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bhijit Das\Downloads\Excel\"/>
    </mc:Choice>
  </mc:AlternateContent>
  <xr:revisionPtr revIDLastSave="0" documentId="8_{18D7ABB5-B276-4AC1-8817-6357048E5712}" xr6:coauthVersionLast="47" xr6:coauthVersionMax="47" xr10:uidLastSave="{00000000-0000-0000-0000-000000000000}"/>
  <bookViews>
    <workbookView xWindow="-120" yWindow="-120" windowWidth="20730" windowHeight="11040" activeTab="3" xr2:uid="{00000000-000D-0000-FFFF-FFFF00000000}"/>
  </bookViews>
  <sheets>
    <sheet name="RawData" sheetId="1" r:id="rId1"/>
    <sheet name="PivotAnalysis" sheetId="3" r:id="rId2"/>
    <sheet name="KPI" sheetId="4" r:id="rId3"/>
    <sheet name="Documentation" sheetId="6" r:id="rId4"/>
    <sheet name="Dashboard" sheetId="5" r:id="rId5"/>
    <sheet name="CleanData" sheetId="2" r:id="rId6"/>
  </sheets>
  <definedNames>
    <definedName name="Slicer_City">#N/A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D5" i="5"/>
  <c r="A5" i="5"/>
  <c r="B3" i="4"/>
  <c r="B11" i="4"/>
  <c r="E2" i="4" s="1"/>
  <c r="B8" i="4"/>
  <c r="AC4" i="5"/>
  <c r="AC6" i="5"/>
  <c r="AC5" i="5"/>
  <c r="AC3" i="5"/>
  <c r="Z4" i="5"/>
  <c r="Z6" i="5"/>
  <c r="Z5" i="5"/>
  <c r="Z7" i="5"/>
  <c r="Z3" i="5"/>
  <c r="W4" i="5"/>
  <c r="W5" i="5"/>
  <c r="W3" i="5"/>
  <c r="T4" i="5"/>
  <c r="T3" i="5"/>
  <c r="Q4" i="5"/>
  <c r="Q3" i="5"/>
  <c r="Q9" i="5"/>
  <c r="Q11" i="5"/>
  <c r="Q13" i="5"/>
  <c r="Q15" i="5"/>
  <c r="Q10" i="5"/>
  <c r="Q12" i="5"/>
  <c r="Q14" i="5"/>
  <c r="Q8" i="5"/>
  <c r="J5" i="5" l="1"/>
  <c r="AD2" i="2"/>
  <c r="AD3" i="2"/>
  <c r="AE3" i="2" s="1"/>
  <c r="AD4" i="2"/>
  <c r="AE4" i="2" s="1"/>
  <c r="AD5" i="2"/>
  <c r="AE5" i="2" s="1"/>
  <c r="AD6" i="2"/>
  <c r="AE6" i="2" s="1"/>
  <c r="AD7" i="2"/>
  <c r="AE7" i="2" s="1"/>
  <c r="AD8" i="2"/>
  <c r="AE8" i="2" s="1"/>
  <c r="AD9" i="2"/>
  <c r="AE9" i="2" s="1"/>
  <c r="AD10" i="2"/>
  <c r="AE10" i="2" s="1"/>
  <c r="AD11" i="2"/>
  <c r="AE11" i="2" s="1"/>
  <c r="AD12" i="2"/>
  <c r="AE12" i="2" s="1"/>
  <c r="AD13" i="2"/>
  <c r="AE13" i="2" s="1"/>
  <c r="AD14" i="2"/>
  <c r="AE14" i="2" s="1"/>
  <c r="AD15" i="2"/>
  <c r="AE15" i="2" s="1"/>
  <c r="AD16" i="2"/>
  <c r="AE16" i="2" s="1"/>
  <c r="AD17" i="2"/>
  <c r="AE17" i="2" s="1"/>
  <c r="AD18" i="2"/>
  <c r="AE18" i="2" s="1"/>
  <c r="AD19" i="2"/>
  <c r="AE19" i="2" s="1"/>
  <c r="AD20" i="2"/>
  <c r="AE20" i="2" s="1"/>
  <c r="AD21" i="2"/>
  <c r="AE21" i="2" s="1"/>
  <c r="AD22" i="2"/>
  <c r="AE22" i="2" s="1"/>
  <c r="AD23" i="2"/>
  <c r="AE23" i="2" s="1"/>
  <c r="AD24" i="2"/>
  <c r="AE24" i="2" s="1"/>
  <c r="AD25" i="2"/>
  <c r="AE25" i="2" s="1"/>
  <c r="AD26" i="2"/>
  <c r="AE26" i="2" s="1"/>
  <c r="AD27" i="2"/>
  <c r="AE27" i="2" s="1"/>
  <c r="AD28" i="2"/>
  <c r="AE28" i="2" s="1"/>
  <c r="AD29" i="2"/>
  <c r="AE29" i="2" s="1"/>
  <c r="AD30" i="2"/>
  <c r="AE30" i="2" s="1"/>
  <c r="AD31" i="2"/>
  <c r="AE31" i="2" s="1"/>
  <c r="AD32" i="2"/>
  <c r="AE32" i="2" s="1"/>
  <c r="AD33" i="2"/>
  <c r="AE33" i="2" s="1"/>
  <c r="AD34" i="2"/>
  <c r="AE34" i="2" s="1"/>
  <c r="AD35" i="2"/>
  <c r="AE35" i="2" s="1"/>
  <c r="AD36" i="2"/>
  <c r="AE36" i="2" s="1"/>
  <c r="AD37" i="2"/>
  <c r="AE37" i="2" s="1"/>
  <c r="AD38" i="2"/>
  <c r="AE38" i="2" s="1"/>
  <c r="AD39" i="2"/>
  <c r="AE39" i="2" s="1"/>
  <c r="AD40" i="2"/>
  <c r="AE40" i="2" s="1"/>
  <c r="AD41" i="2"/>
  <c r="AE41" i="2" s="1"/>
  <c r="AD42" i="2"/>
  <c r="AE42" i="2" s="1"/>
  <c r="AD43" i="2"/>
  <c r="AE43" i="2" s="1"/>
  <c r="AD44" i="2"/>
  <c r="AE44" i="2" s="1"/>
  <c r="AD45" i="2"/>
  <c r="AE45" i="2" s="1"/>
  <c r="AD46" i="2"/>
  <c r="AE46" i="2" s="1"/>
  <c r="AD47" i="2"/>
  <c r="AE47" i="2" s="1"/>
  <c r="AD48" i="2"/>
  <c r="AE48" i="2" s="1"/>
  <c r="AD49" i="2"/>
  <c r="AE49" i="2" s="1"/>
  <c r="AD50" i="2"/>
  <c r="AE50" i="2" s="1"/>
  <c r="AD51" i="2"/>
  <c r="AE51" i="2" s="1"/>
  <c r="AD52" i="2"/>
  <c r="AE52" i="2" s="1"/>
  <c r="AD53" i="2"/>
  <c r="AE53" i="2" s="1"/>
  <c r="AD54" i="2"/>
  <c r="AE54" i="2" s="1"/>
  <c r="AD55" i="2"/>
  <c r="AE55" i="2" s="1"/>
  <c r="AD56" i="2"/>
  <c r="AE56" i="2" s="1"/>
  <c r="AD57" i="2"/>
  <c r="AE57" i="2" s="1"/>
  <c r="AD58" i="2"/>
  <c r="AE58" i="2" s="1"/>
  <c r="AD59" i="2"/>
  <c r="AE59" i="2" s="1"/>
  <c r="AD60" i="2"/>
  <c r="AE60" i="2" s="1"/>
  <c r="AD61" i="2"/>
  <c r="AE61" i="2" s="1"/>
  <c r="AD62" i="2"/>
  <c r="AE62" i="2" s="1"/>
  <c r="AD63" i="2"/>
  <c r="AE63" i="2" s="1"/>
  <c r="AD64" i="2"/>
  <c r="AE64" i="2" s="1"/>
  <c r="AD65" i="2"/>
  <c r="AE65" i="2" s="1"/>
  <c r="AD66" i="2"/>
  <c r="AE66" i="2" s="1"/>
  <c r="AD67" i="2"/>
  <c r="AE67" i="2" s="1"/>
  <c r="AD68" i="2"/>
  <c r="AE68" i="2" s="1"/>
  <c r="AD69" i="2"/>
  <c r="AE69" i="2" s="1"/>
  <c r="AD70" i="2"/>
  <c r="AE70" i="2" s="1"/>
  <c r="AD71" i="2"/>
  <c r="AE71" i="2" s="1"/>
  <c r="AD72" i="2"/>
  <c r="AE72" i="2" s="1"/>
  <c r="AD73" i="2"/>
  <c r="AE73" i="2" s="1"/>
  <c r="AD74" i="2"/>
  <c r="AE74" i="2" s="1"/>
  <c r="AD75" i="2"/>
  <c r="AE75" i="2" s="1"/>
  <c r="AD76" i="2"/>
  <c r="AE76" i="2" s="1"/>
  <c r="AD77" i="2"/>
  <c r="AE77" i="2" s="1"/>
  <c r="AD78" i="2"/>
  <c r="AE78" i="2" s="1"/>
  <c r="AD79" i="2"/>
  <c r="AE79" i="2" s="1"/>
  <c r="AD80" i="2"/>
  <c r="AE80" i="2" s="1"/>
  <c r="AD81" i="2"/>
  <c r="AE81" i="2" s="1"/>
  <c r="AD82" i="2"/>
  <c r="AE82" i="2" s="1"/>
  <c r="AD83" i="2"/>
  <c r="AE83" i="2" s="1"/>
  <c r="AD84" i="2"/>
  <c r="AE84" i="2" s="1"/>
  <c r="AD85" i="2"/>
  <c r="AE85" i="2" s="1"/>
  <c r="AD86" i="2"/>
  <c r="AE86" i="2" s="1"/>
  <c r="AD87" i="2"/>
  <c r="AE87" i="2" s="1"/>
  <c r="AD88" i="2"/>
  <c r="AE88" i="2" s="1"/>
  <c r="AD89" i="2"/>
  <c r="AE89" i="2" s="1"/>
  <c r="AD90" i="2"/>
  <c r="AE90" i="2" s="1"/>
  <c r="AD91" i="2"/>
  <c r="AE91" i="2" s="1"/>
  <c r="AD92" i="2"/>
  <c r="AE92" i="2" s="1"/>
  <c r="AD93" i="2"/>
  <c r="AE93" i="2" s="1"/>
  <c r="AD94" i="2"/>
  <c r="AE94" i="2" s="1"/>
  <c r="AD95" i="2"/>
  <c r="AE95" i="2" s="1"/>
  <c r="AD96" i="2"/>
  <c r="AE96" i="2" s="1"/>
  <c r="AD97" i="2"/>
  <c r="AE97" i="2" s="1"/>
  <c r="AD98" i="2"/>
  <c r="AE98" i="2" s="1"/>
  <c r="AD99" i="2"/>
  <c r="AE99" i="2" s="1"/>
  <c r="AD100" i="2"/>
  <c r="AE100" i="2" s="1"/>
  <c r="AD101" i="2"/>
  <c r="AE101" i="2" s="1"/>
  <c r="AD102" i="2"/>
  <c r="AE102" i="2" s="1"/>
  <c r="AD103" i="2"/>
  <c r="AE103" i="2" s="1"/>
  <c r="AD104" i="2"/>
  <c r="AE104" i="2" s="1"/>
  <c r="AD105" i="2"/>
  <c r="AE105" i="2" s="1"/>
  <c r="AD106" i="2"/>
  <c r="AE106" i="2" s="1"/>
  <c r="AD107" i="2"/>
  <c r="AE107" i="2" s="1"/>
  <c r="AD108" i="2"/>
  <c r="AE108" i="2" s="1"/>
  <c r="AD109" i="2"/>
  <c r="AE109" i="2" s="1"/>
  <c r="AD110" i="2"/>
  <c r="AE110" i="2" s="1"/>
  <c r="AD111" i="2"/>
  <c r="AE111" i="2" s="1"/>
  <c r="AD112" i="2"/>
  <c r="AE112" i="2" s="1"/>
  <c r="AD113" i="2"/>
  <c r="AE113" i="2" s="1"/>
  <c r="AD114" i="2"/>
  <c r="AE114" i="2" s="1"/>
  <c r="AD115" i="2"/>
  <c r="AE115" i="2" s="1"/>
  <c r="AD116" i="2"/>
  <c r="AE116" i="2" s="1"/>
  <c r="AD117" i="2"/>
  <c r="AE117" i="2" s="1"/>
  <c r="AD118" i="2"/>
  <c r="AE118" i="2" s="1"/>
  <c r="AD119" i="2"/>
  <c r="AE119" i="2" s="1"/>
  <c r="AD120" i="2"/>
  <c r="AE120" i="2" s="1"/>
  <c r="AD121" i="2"/>
  <c r="AE121" i="2" s="1"/>
  <c r="AD122" i="2"/>
  <c r="AE122" i="2" s="1"/>
  <c r="AD123" i="2"/>
  <c r="AE123" i="2" s="1"/>
  <c r="AD124" i="2"/>
  <c r="AE124" i="2" s="1"/>
  <c r="AD125" i="2"/>
  <c r="AE125" i="2" s="1"/>
  <c r="AD126" i="2"/>
  <c r="AE126" i="2" s="1"/>
  <c r="AD127" i="2"/>
  <c r="AE127" i="2" s="1"/>
  <c r="AD128" i="2"/>
  <c r="AE128" i="2" s="1"/>
  <c r="AD129" i="2"/>
  <c r="AE129" i="2" s="1"/>
  <c r="AD130" i="2"/>
  <c r="AE130" i="2" s="1"/>
  <c r="AD131" i="2"/>
  <c r="AE131" i="2" s="1"/>
  <c r="AD132" i="2"/>
  <c r="AE132" i="2" s="1"/>
  <c r="AD133" i="2"/>
  <c r="AE133" i="2" s="1"/>
  <c r="AD134" i="2"/>
  <c r="AE134" i="2" s="1"/>
  <c r="AD135" i="2"/>
  <c r="AE135" i="2" s="1"/>
  <c r="AD136" i="2"/>
  <c r="AE136" i="2" s="1"/>
  <c r="AD137" i="2"/>
  <c r="AE137" i="2" s="1"/>
  <c r="AD138" i="2"/>
  <c r="AE138" i="2" s="1"/>
  <c r="AD139" i="2"/>
  <c r="AE139" i="2" s="1"/>
  <c r="AD140" i="2"/>
  <c r="AE140" i="2" s="1"/>
  <c r="AD141" i="2"/>
  <c r="AE141" i="2" s="1"/>
  <c r="AD142" i="2"/>
  <c r="AE142" i="2" s="1"/>
  <c r="AD143" i="2"/>
  <c r="AE143" i="2" s="1"/>
  <c r="AD144" i="2"/>
  <c r="AE144" i="2" s="1"/>
  <c r="AD145" i="2"/>
  <c r="AE145" i="2" s="1"/>
  <c r="AD146" i="2"/>
  <c r="AE146" i="2" s="1"/>
  <c r="AD147" i="2"/>
  <c r="AE147" i="2" s="1"/>
  <c r="AD148" i="2"/>
  <c r="AE148" i="2" s="1"/>
  <c r="AD149" i="2"/>
  <c r="AE149" i="2" s="1"/>
  <c r="AD150" i="2"/>
  <c r="AE150" i="2" s="1"/>
  <c r="AD151" i="2"/>
  <c r="AE151" i="2" s="1"/>
  <c r="AD152" i="2"/>
  <c r="AE152" i="2" s="1"/>
  <c r="AD153" i="2"/>
  <c r="AE153" i="2" s="1"/>
  <c r="AD154" i="2"/>
  <c r="AE154" i="2" s="1"/>
  <c r="AD155" i="2"/>
  <c r="AE155" i="2" s="1"/>
  <c r="AD156" i="2"/>
  <c r="AE156" i="2" s="1"/>
  <c r="AD157" i="2"/>
  <c r="AE157" i="2" s="1"/>
  <c r="AD158" i="2"/>
  <c r="AE158" i="2" s="1"/>
  <c r="AD159" i="2"/>
  <c r="AE159" i="2" s="1"/>
  <c r="AD160" i="2"/>
  <c r="AE160" i="2" s="1"/>
  <c r="AD161" i="2"/>
  <c r="AE161" i="2" s="1"/>
  <c r="AD162" i="2"/>
  <c r="AE162" i="2" s="1"/>
  <c r="AD163" i="2"/>
  <c r="AE163" i="2" s="1"/>
  <c r="AD164" i="2"/>
  <c r="AE164" i="2" s="1"/>
  <c r="AD165" i="2"/>
  <c r="AE165" i="2" s="1"/>
  <c r="AD166" i="2"/>
  <c r="AE166" i="2" s="1"/>
  <c r="AD167" i="2"/>
  <c r="AE167" i="2" s="1"/>
  <c r="AD168" i="2"/>
  <c r="AE168" i="2" s="1"/>
  <c r="AD169" i="2"/>
  <c r="AE169" i="2" s="1"/>
  <c r="AD170" i="2"/>
  <c r="AE170" i="2" s="1"/>
  <c r="AD171" i="2"/>
  <c r="AE171" i="2" s="1"/>
  <c r="AD172" i="2"/>
  <c r="AE172" i="2" s="1"/>
  <c r="AD173" i="2"/>
  <c r="AE173" i="2" s="1"/>
  <c r="AD174" i="2"/>
  <c r="AE174" i="2" s="1"/>
  <c r="AD175" i="2"/>
  <c r="AE175" i="2" s="1"/>
  <c r="AD176" i="2"/>
  <c r="AE176" i="2" s="1"/>
  <c r="AD177" i="2"/>
  <c r="AE177" i="2" s="1"/>
  <c r="AD178" i="2"/>
  <c r="AE178" i="2" s="1"/>
  <c r="AD179" i="2"/>
  <c r="AE179" i="2" s="1"/>
  <c r="AD180" i="2"/>
  <c r="AE180" i="2" s="1"/>
  <c r="AD181" i="2"/>
  <c r="AE181" i="2" s="1"/>
  <c r="AD182" i="2"/>
  <c r="AE182" i="2" s="1"/>
  <c r="AD183" i="2"/>
  <c r="AE183" i="2" s="1"/>
  <c r="AD184" i="2"/>
  <c r="AE184" i="2" s="1"/>
  <c r="AD185" i="2"/>
  <c r="AE185" i="2" s="1"/>
  <c r="AD186" i="2"/>
  <c r="AE186" i="2" s="1"/>
  <c r="AD187" i="2"/>
  <c r="AE187" i="2" s="1"/>
  <c r="AD188" i="2"/>
  <c r="AE188" i="2" s="1"/>
  <c r="AD189" i="2"/>
  <c r="AE189" i="2" s="1"/>
  <c r="AD190" i="2"/>
  <c r="AE190" i="2" s="1"/>
  <c r="AD191" i="2"/>
  <c r="AE191" i="2" s="1"/>
  <c r="AD192" i="2"/>
  <c r="AE192" i="2" s="1"/>
  <c r="AD193" i="2"/>
  <c r="AE193" i="2" s="1"/>
  <c r="AD194" i="2"/>
  <c r="AE194" i="2" s="1"/>
  <c r="AD195" i="2"/>
  <c r="AE195" i="2" s="1"/>
  <c r="AD196" i="2"/>
  <c r="AE196" i="2" s="1"/>
  <c r="AD197" i="2"/>
  <c r="AE197" i="2" s="1"/>
  <c r="AD198" i="2"/>
  <c r="AE198" i="2" s="1"/>
  <c r="AD199" i="2"/>
  <c r="AE199" i="2" s="1"/>
  <c r="AD200" i="2"/>
  <c r="AE200" i="2" s="1"/>
  <c r="AD201" i="2"/>
  <c r="AE201" i="2" s="1"/>
  <c r="AD202" i="2"/>
  <c r="AE202" i="2" s="1"/>
  <c r="AD203" i="2"/>
  <c r="AE203" i="2" s="1"/>
  <c r="AD204" i="2"/>
  <c r="AE204" i="2" s="1"/>
  <c r="AD205" i="2"/>
  <c r="AE205" i="2" s="1"/>
  <c r="AD206" i="2"/>
  <c r="AE206" i="2" s="1"/>
  <c r="AD207" i="2"/>
  <c r="AE207" i="2" s="1"/>
  <c r="AD208" i="2"/>
  <c r="AE208" i="2" s="1"/>
  <c r="AD209" i="2"/>
  <c r="AE209" i="2" s="1"/>
  <c r="AD210" i="2"/>
  <c r="AE210" i="2" s="1"/>
  <c r="AD211" i="2"/>
  <c r="AE211" i="2" s="1"/>
  <c r="AD212" i="2"/>
  <c r="AE212" i="2" s="1"/>
  <c r="AD213" i="2"/>
  <c r="AE213" i="2" s="1"/>
  <c r="AD214" i="2"/>
  <c r="AE214" i="2" s="1"/>
  <c r="AD215" i="2"/>
  <c r="AE215" i="2" s="1"/>
  <c r="AD216" i="2"/>
  <c r="AE216" i="2" s="1"/>
  <c r="AD217" i="2"/>
  <c r="AE217" i="2" s="1"/>
  <c r="AD218" i="2"/>
  <c r="AE218" i="2" s="1"/>
  <c r="AD219" i="2"/>
  <c r="AE219" i="2" s="1"/>
  <c r="AD220" i="2"/>
  <c r="AE220" i="2" s="1"/>
  <c r="AD221" i="2"/>
  <c r="AE221" i="2" s="1"/>
  <c r="AD222" i="2"/>
  <c r="AE222" i="2" s="1"/>
  <c r="AD223" i="2"/>
  <c r="AE223" i="2" s="1"/>
  <c r="AD224" i="2"/>
  <c r="AE224" i="2" s="1"/>
  <c r="AD225" i="2"/>
  <c r="AE225" i="2" s="1"/>
  <c r="AD226" i="2"/>
  <c r="AE226" i="2" s="1"/>
  <c r="AD227" i="2"/>
  <c r="AE227" i="2" s="1"/>
  <c r="AD228" i="2"/>
  <c r="AE228" i="2" s="1"/>
  <c r="AD229" i="2"/>
  <c r="AE229" i="2" s="1"/>
  <c r="AD230" i="2"/>
  <c r="AE230" i="2" s="1"/>
  <c r="AD231" i="2"/>
  <c r="AE231" i="2" s="1"/>
  <c r="AD232" i="2"/>
  <c r="AE232" i="2" s="1"/>
  <c r="AD233" i="2"/>
  <c r="AE233" i="2" s="1"/>
  <c r="AD234" i="2"/>
  <c r="AE234" i="2" s="1"/>
  <c r="AD235" i="2"/>
  <c r="AE235" i="2" s="1"/>
  <c r="AD236" i="2"/>
  <c r="AE236" i="2" s="1"/>
  <c r="AD237" i="2"/>
  <c r="AE237" i="2" s="1"/>
  <c r="AD238" i="2"/>
  <c r="AE238" i="2" s="1"/>
  <c r="AD239" i="2"/>
  <c r="AE239" i="2" s="1"/>
  <c r="AD240" i="2"/>
  <c r="AE240" i="2" s="1"/>
  <c r="AD241" i="2"/>
  <c r="AE241" i="2" s="1"/>
  <c r="AD242" i="2"/>
  <c r="AE242" i="2" s="1"/>
  <c r="AD243" i="2"/>
  <c r="AE243" i="2" s="1"/>
  <c r="AD244" i="2"/>
  <c r="AE244" i="2" s="1"/>
  <c r="AD245" i="2"/>
  <c r="AE245" i="2" s="1"/>
  <c r="AD246" i="2"/>
  <c r="AE246" i="2" s="1"/>
  <c r="AD247" i="2"/>
  <c r="AE247" i="2" s="1"/>
  <c r="AD248" i="2"/>
  <c r="AE248" i="2" s="1"/>
  <c r="AD249" i="2"/>
  <c r="AE249" i="2" s="1"/>
  <c r="AD250" i="2"/>
  <c r="AE250" i="2" s="1"/>
  <c r="AD251" i="2"/>
  <c r="AE251" i="2" s="1"/>
  <c r="AD252" i="2"/>
  <c r="AE252" i="2" s="1"/>
  <c r="AD253" i="2"/>
  <c r="AE253" i="2" s="1"/>
  <c r="AD254" i="2"/>
  <c r="AE254" i="2" s="1"/>
  <c r="AD255" i="2"/>
  <c r="AE255" i="2" s="1"/>
  <c r="AD256" i="2"/>
  <c r="AE256" i="2" s="1"/>
  <c r="AD257" i="2"/>
  <c r="AE257" i="2" s="1"/>
  <c r="AD258" i="2"/>
  <c r="AE258" i="2" s="1"/>
  <c r="AD259" i="2"/>
  <c r="AE259" i="2" s="1"/>
  <c r="AD260" i="2"/>
  <c r="AE260" i="2" s="1"/>
  <c r="AD261" i="2"/>
  <c r="AE261" i="2" s="1"/>
  <c r="AD262" i="2"/>
  <c r="AE262" i="2" s="1"/>
  <c r="AD263" i="2"/>
  <c r="AE263" i="2" s="1"/>
  <c r="AD264" i="2"/>
  <c r="AE264" i="2" s="1"/>
  <c r="AD265" i="2"/>
  <c r="AE265" i="2" s="1"/>
  <c r="AD266" i="2"/>
  <c r="AE266" i="2" s="1"/>
  <c r="AD267" i="2"/>
  <c r="AE267" i="2" s="1"/>
  <c r="AD268" i="2"/>
  <c r="AE268" i="2" s="1"/>
  <c r="AD269" i="2"/>
  <c r="AE269" i="2" s="1"/>
  <c r="AD270" i="2"/>
  <c r="AE270" i="2" s="1"/>
  <c r="AD271" i="2"/>
  <c r="AE271" i="2" s="1"/>
  <c r="AD272" i="2"/>
  <c r="AE272" i="2" s="1"/>
  <c r="AD273" i="2"/>
  <c r="AE273" i="2" s="1"/>
  <c r="AD274" i="2"/>
  <c r="AE274" i="2" s="1"/>
  <c r="AD275" i="2"/>
  <c r="AE275" i="2" s="1"/>
  <c r="AD276" i="2"/>
  <c r="AE276" i="2" s="1"/>
  <c r="AD277" i="2"/>
  <c r="AE277" i="2" s="1"/>
  <c r="AD278" i="2"/>
  <c r="AE278" i="2" s="1"/>
  <c r="AD279" i="2"/>
  <c r="AE279" i="2" s="1"/>
  <c r="AD280" i="2"/>
  <c r="AE280" i="2" s="1"/>
  <c r="AD281" i="2"/>
  <c r="AE281" i="2" s="1"/>
  <c r="AD282" i="2"/>
  <c r="AE282" i="2" s="1"/>
  <c r="AD283" i="2"/>
  <c r="AE283" i="2" s="1"/>
  <c r="AD284" i="2"/>
  <c r="AE284" i="2" s="1"/>
  <c r="AD285" i="2"/>
  <c r="AE285" i="2" s="1"/>
  <c r="AD286" i="2"/>
  <c r="AE286" i="2" s="1"/>
  <c r="AD287" i="2"/>
  <c r="AE287" i="2" s="1"/>
  <c r="AD288" i="2"/>
  <c r="AE288" i="2" s="1"/>
  <c r="AD289" i="2"/>
  <c r="AE289" i="2" s="1"/>
  <c r="AD290" i="2"/>
  <c r="AE290" i="2" s="1"/>
  <c r="AD291" i="2"/>
  <c r="AE291" i="2" s="1"/>
  <c r="AD292" i="2"/>
  <c r="AE292" i="2" s="1"/>
  <c r="AD293" i="2"/>
  <c r="AE293" i="2" s="1"/>
  <c r="AD294" i="2"/>
  <c r="AE294" i="2" s="1"/>
  <c r="AD295" i="2"/>
  <c r="AE295" i="2" s="1"/>
  <c r="AD296" i="2"/>
  <c r="AE296" i="2" s="1"/>
  <c r="AD297" i="2"/>
  <c r="AE297" i="2" s="1"/>
  <c r="AD298" i="2"/>
  <c r="AE298" i="2" s="1"/>
  <c r="AD299" i="2"/>
  <c r="AE299" i="2" s="1"/>
  <c r="AD300" i="2"/>
  <c r="AE300" i="2" s="1"/>
  <c r="AD301" i="2"/>
  <c r="AE301" i="2" s="1"/>
  <c r="AD302" i="2"/>
  <c r="AE302" i="2" s="1"/>
  <c r="AD303" i="2"/>
  <c r="AE303" i="2" s="1"/>
  <c r="AD304" i="2"/>
  <c r="AE304" i="2" s="1"/>
  <c r="AD305" i="2"/>
  <c r="AE305" i="2" s="1"/>
  <c r="AD306" i="2"/>
  <c r="AE306" i="2" s="1"/>
  <c r="AD307" i="2"/>
  <c r="AE307" i="2" s="1"/>
  <c r="AD308" i="2"/>
  <c r="AE308" i="2" s="1"/>
  <c r="AD309" i="2"/>
  <c r="AE309" i="2" s="1"/>
  <c r="AD310" i="2"/>
  <c r="AE310" i="2" s="1"/>
  <c r="AD311" i="2"/>
  <c r="AE311" i="2" s="1"/>
  <c r="AD312" i="2"/>
  <c r="AE312" i="2" s="1"/>
  <c r="AD313" i="2"/>
  <c r="AE313" i="2" s="1"/>
  <c r="AD314" i="2"/>
  <c r="AE314" i="2" s="1"/>
  <c r="AD315" i="2"/>
  <c r="AE315" i="2" s="1"/>
  <c r="AD316" i="2"/>
  <c r="AE316" i="2" s="1"/>
  <c r="AD317" i="2"/>
  <c r="AE317" i="2" s="1"/>
  <c r="AD318" i="2"/>
  <c r="AE318" i="2" s="1"/>
  <c r="AD319" i="2"/>
  <c r="AE319" i="2" s="1"/>
  <c r="AD320" i="2"/>
  <c r="AE320" i="2" s="1"/>
  <c r="AD321" i="2"/>
  <c r="AE321" i="2" s="1"/>
  <c r="AD322" i="2"/>
  <c r="AE322" i="2" s="1"/>
  <c r="AD323" i="2"/>
  <c r="AE323" i="2" s="1"/>
  <c r="AD324" i="2"/>
  <c r="AE324" i="2" s="1"/>
  <c r="AD325" i="2"/>
  <c r="AE325" i="2" s="1"/>
  <c r="AD326" i="2"/>
  <c r="AE326" i="2" s="1"/>
  <c r="AD327" i="2"/>
  <c r="AE327" i="2" s="1"/>
  <c r="AD328" i="2"/>
  <c r="AE328" i="2" s="1"/>
  <c r="AD329" i="2"/>
  <c r="AE329" i="2" s="1"/>
  <c r="AD330" i="2"/>
  <c r="AE330" i="2" s="1"/>
  <c r="AD331" i="2"/>
  <c r="AE331" i="2" s="1"/>
  <c r="AD332" i="2"/>
  <c r="AE332" i="2" s="1"/>
  <c r="AD333" i="2"/>
  <c r="AE333" i="2" s="1"/>
  <c r="AD334" i="2"/>
  <c r="AE334" i="2" s="1"/>
  <c r="AD335" i="2"/>
  <c r="AE335" i="2" s="1"/>
  <c r="AD336" i="2"/>
  <c r="AE336" i="2" s="1"/>
  <c r="AD337" i="2"/>
  <c r="AE337" i="2" s="1"/>
  <c r="AD338" i="2"/>
  <c r="AE338" i="2" s="1"/>
  <c r="AD339" i="2"/>
  <c r="AE339" i="2" s="1"/>
  <c r="AD340" i="2"/>
  <c r="AE340" i="2" s="1"/>
  <c r="AD341" i="2"/>
  <c r="AE341" i="2" s="1"/>
  <c r="AD342" i="2"/>
  <c r="AE342" i="2" s="1"/>
  <c r="AD343" i="2"/>
  <c r="AE343" i="2" s="1"/>
  <c r="AD344" i="2"/>
  <c r="AE344" i="2" s="1"/>
  <c r="AD345" i="2"/>
  <c r="AE345" i="2" s="1"/>
  <c r="AD346" i="2"/>
  <c r="AE346" i="2" s="1"/>
  <c r="AD347" i="2"/>
  <c r="AE347" i="2" s="1"/>
  <c r="AD348" i="2"/>
  <c r="AE348" i="2" s="1"/>
  <c r="AD349" i="2"/>
  <c r="AE349" i="2" s="1"/>
  <c r="AD350" i="2"/>
  <c r="AE350" i="2" s="1"/>
  <c r="AD351" i="2"/>
  <c r="AE351" i="2" s="1"/>
  <c r="AD352" i="2"/>
  <c r="AE352" i="2" s="1"/>
  <c r="AD353" i="2"/>
  <c r="AE353" i="2" s="1"/>
  <c r="AD354" i="2"/>
  <c r="AE354" i="2" s="1"/>
  <c r="AD355" i="2"/>
  <c r="AE355" i="2" s="1"/>
  <c r="AD356" i="2"/>
  <c r="AE356" i="2" s="1"/>
  <c r="AD357" i="2"/>
  <c r="AE357" i="2" s="1"/>
  <c r="AD358" i="2"/>
  <c r="AE358" i="2" s="1"/>
  <c r="AD359" i="2"/>
  <c r="AE359" i="2" s="1"/>
  <c r="AD360" i="2"/>
  <c r="AE360" i="2" s="1"/>
  <c r="AD361" i="2"/>
  <c r="AE361" i="2" s="1"/>
  <c r="AD362" i="2"/>
  <c r="AE362" i="2" s="1"/>
  <c r="AD363" i="2"/>
  <c r="AE363" i="2" s="1"/>
  <c r="AD364" i="2"/>
  <c r="AE364" i="2" s="1"/>
  <c r="AD365" i="2"/>
  <c r="AE365" i="2" s="1"/>
  <c r="AD366" i="2"/>
  <c r="AE366" i="2" s="1"/>
  <c r="AD367" i="2"/>
  <c r="AE367" i="2" s="1"/>
  <c r="AD368" i="2"/>
  <c r="AE368" i="2" s="1"/>
  <c r="AD369" i="2"/>
  <c r="AE369" i="2" s="1"/>
  <c r="AD370" i="2"/>
  <c r="AE370" i="2" s="1"/>
  <c r="AD371" i="2"/>
  <c r="AE371" i="2" s="1"/>
  <c r="AD372" i="2"/>
  <c r="AE372" i="2" s="1"/>
  <c r="AD373" i="2"/>
  <c r="AE373" i="2" s="1"/>
  <c r="AD374" i="2"/>
  <c r="AE374" i="2" s="1"/>
  <c r="AD375" i="2"/>
  <c r="AE375" i="2" s="1"/>
  <c r="AD376" i="2"/>
  <c r="AE376" i="2" s="1"/>
  <c r="AD377" i="2"/>
  <c r="AE377" i="2" s="1"/>
  <c r="AD378" i="2"/>
  <c r="AE378" i="2" s="1"/>
  <c r="AD379" i="2"/>
  <c r="AE379" i="2" s="1"/>
  <c r="AD380" i="2"/>
  <c r="AE380" i="2" s="1"/>
  <c r="AD381" i="2"/>
  <c r="AE381" i="2" s="1"/>
  <c r="AD382" i="2"/>
  <c r="AE382" i="2" s="1"/>
  <c r="AD383" i="2"/>
  <c r="AE383" i="2" s="1"/>
  <c r="AD384" i="2"/>
  <c r="AE384" i="2" s="1"/>
  <c r="AD385" i="2"/>
  <c r="AE385" i="2" s="1"/>
  <c r="AD386" i="2"/>
  <c r="AE386" i="2" s="1"/>
  <c r="AD387" i="2"/>
  <c r="AE387" i="2" s="1"/>
  <c r="AD388" i="2"/>
  <c r="AE388" i="2" s="1"/>
  <c r="AD389" i="2"/>
  <c r="AE389" i="2" s="1"/>
  <c r="AD390" i="2"/>
  <c r="AE390" i="2" s="1"/>
  <c r="AD391" i="2"/>
  <c r="AE391" i="2" s="1"/>
  <c r="AD392" i="2"/>
  <c r="AE392" i="2" s="1"/>
  <c r="AD393" i="2"/>
  <c r="AE393" i="2" s="1"/>
  <c r="AD394" i="2"/>
  <c r="AE394" i="2" s="1"/>
  <c r="AD395" i="2"/>
  <c r="AE395" i="2" s="1"/>
  <c r="AD396" i="2"/>
  <c r="AE396" i="2" s="1"/>
  <c r="AD397" i="2"/>
  <c r="AE397" i="2" s="1"/>
  <c r="AD398" i="2"/>
  <c r="AE398" i="2" s="1"/>
  <c r="AD399" i="2"/>
  <c r="AE399" i="2" s="1"/>
  <c r="AD400" i="2"/>
  <c r="AE400" i="2" s="1"/>
  <c r="AD401" i="2"/>
  <c r="AE401" i="2" s="1"/>
  <c r="AD402" i="2"/>
  <c r="AE402" i="2" s="1"/>
  <c r="AD403" i="2"/>
  <c r="AE403" i="2" s="1"/>
  <c r="AD404" i="2"/>
  <c r="AE404" i="2" s="1"/>
  <c r="AD405" i="2"/>
  <c r="AE405" i="2" s="1"/>
  <c r="AD406" i="2"/>
  <c r="AE406" i="2" s="1"/>
  <c r="AD407" i="2"/>
  <c r="AE407" i="2" s="1"/>
  <c r="AD408" i="2"/>
  <c r="AE408" i="2" s="1"/>
  <c r="AD409" i="2"/>
  <c r="AE409" i="2" s="1"/>
  <c r="AD410" i="2"/>
  <c r="AE410" i="2" s="1"/>
  <c r="AD411" i="2"/>
  <c r="AE411" i="2" s="1"/>
  <c r="AD412" i="2"/>
  <c r="AE412" i="2" s="1"/>
  <c r="AD413" i="2"/>
  <c r="AE413" i="2" s="1"/>
  <c r="AD414" i="2"/>
  <c r="AE414" i="2" s="1"/>
  <c r="AD415" i="2"/>
  <c r="AE415" i="2" s="1"/>
  <c r="AD416" i="2"/>
  <c r="AE416" i="2" s="1"/>
  <c r="AD417" i="2"/>
  <c r="AE417" i="2" s="1"/>
  <c r="AD418" i="2"/>
  <c r="AE418" i="2" s="1"/>
  <c r="AD419" i="2"/>
  <c r="AE419" i="2" s="1"/>
  <c r="AD420" i="2"/>
  <c r="AE420" i="2" s="1"/>
  <c r="AD421" i="2"/>
  <c r="AE421" i="2" s="1"/>
  <c r="AD422" i="2"/>
  <c r="AE422" i="2" s="1"/>
  <c r="AD423" i="2"/>
  <c r="AE423" i="2" s="1"/>
  <c r="AD424" i="2"/>
  <c r="AE424" i="2" s="1"/>
  <c r="AD425" i="2"/>
  <c r="AE425" i="2" s="1"/>
  <c r="AD426" i="2"/>
  <c r="AE426" i="2" s="1"/>
  <c r="AD427" i="2"/>
  <c r="AE427" i="2" s="1"/>
  <c r="AD428" i="2"/>
  <c r="AE428" i="2" s="1"/>
  <c r="AD429" i="2"/>
  <c r="AE429" i="2" s="1"/>
  <c r="AD430" i="2"/>
  <c r="AE430" i="2" s="1"/>
  <c r="AD431" i="2"/>
  <c r="AE431" i="2" s="1"/>
  <c r="AD432" i="2"/>
  <c r="AE432" i="2" s="1"/>
  <c r="AD433" i="2"/>
  <c r="AE433" i="2" s="1"/>
  <c r="AD434" i="2"/>
  <c r="AE434" i="2" s="1"/>
  <c r="AD435" i="2"/>
  <c r="AE435" i="2" s="1"/>
  <c r="AD436" i="2"/>
  <c r="AE436" i="2" s="1"/>
  <c r="AD437" i="2"/>
  <c r="AE437" i="2" s="1"/>
  <c r="AD438" i="2"/>
  <c r="AE438" i="2" s="1"/>
  <c r="AD439" i="2"/>
  <c r="AE439" i="2" s="1"/>
  <c r="AD440" i="2"/>
  <c r="AE440" i="2" s="1"/>
  <c r="AD441" i="2"/>
  <c r="AE441" i="2" s="1"/>
  <c r="AD442" i="2"/>
  <c r="AE442" i="2" s="1"/>
  <c r="AD443" i="2"/>
  <c r="AE443" i="2" s="1"/>
  <c r="AD444" i="2"/>
  <c r="AE444" i="2" s="1"/>
  <c r="AD445" i="2"/>
  <c r="AE445" i="2" s="1"/>
  <c r="AD446" i="2"/>
  <c r="AE446" i="2" s="1"/>
  <c r="AD447" i="2"/>
  <c r="AE447" i="2" s="1"/>
  <c r="AD448" i="2"/>
  <c r="AE448" i="2" s="1"/>
  <c r="AD449" i="2"/>
  <c r="AE449" i="2" s="1"/>
  <c r="AD450" i="2"/>
  <c r="AE450" i="2" s="1"/>
  <c r="AD451" i="2"/>
  <c r="AE451" i="2" s="1"/>
  <c r="AD452" i="2"/>
  <c r="AE452" i="2" s="1"/>
  <c r="AD453" i="2"/>
  <c r="AE453" i="2" s="1"/>
  <c r="AD454" i="2"/>
  <c r="AE454" i="2" s="1"/>
  <c r="AD455" i="2"/>
  <c r="AE455" i="2" s="1"/>
  <c r="AD456" i="2"/>
  <c r="AE456" i="2" s="1"/>
  <c r="AD457" i="2"/>
  <c r="AE457" i="2" s="1"/>
  <c r="AD458" i="2"/>
  <c r="AE458" i="2" s="1"/>
  <c r="AD459" i="2"/>
  <c r="AE459" i="2" s="1"/>
  <c r="AD460" i="2"/>
  <c r="AE460" i="2" s="1"/>
  <c r="AD461" i="2"/>
  <c r="AE461" i="2" s="1"/>
  <c r="AD462" i="2"/>
  <c r="AE462" i="2" s="1"/>
  <c r="AD463" i="2"/>
  <c r="AE463" i="2" s="1"/>
  <c r="AD464" i="2"/>
  <c r="AE464" i="2" s="1"/>
  <c r="AD465" i="2"/>
  <c r="AE465" i="2" s="1"/>
  <c r="AD466" i="2"/>
  <c r="AE466" i="2" s="1"/>
  <c r="AD467" i="2"/>
  <c r="AE467" i="2" s="1"/>
  <c r="AD468" i="2"/>
  <c r="AE468" i="2" s="1"/>
  <c r="AD469" i="2"/>
  <c r="AE469" i="2" s="1"/>
  <c r="AD470" i="2"/>
  <c r="AE470" i="2" s="1"/>
  <c r="AD471" i="2"/>
  <c r="AE471" i="2" s="1"/>
  <c r="AD472" i="2"/>
  <c r="AE472" i="2" s="1"/>
  <c r="AD473" i="2"/>
  <c r="AE473" i="2" s="1"/>
  <c r="AD474" i="2"/>
  <c r="AE474" i="2" s="1"/>
  <c r="AD475" i="2"/>
  <c r="AE475" i="2" s="1"/>
  <c r="AD476" i="2"/>
  <c r="AE476" i="2" s="1"/>
  <c r="AD477" i="2"/>
  <c r="AE477" i="2" s="1"/>
  <c r="AD478" i="2"/>
  <c r="AE478" i="2" s="1"/>
  <c r="AD479" i="2"/>
  <c r="AE479" i="2" s="1"/>
  <c r="AD480" i="2"/>
  <c r="AE480" i="2" s="1"/>
  <c r="AD481" i="2"/>
  <c r="AE481" i="2" s="1"/>
  <c r="AD482" i="2"/>
  <c r="AE482" i="2" s="1"/>
  <c r="AD483" i="2"/>
  <c r="AE483" i="2" s="1"/>
  <c r="AD484" i="2"/>
  <c r="AE484" i="2" s="1"/>
  <c r="AD485" i="2"/>
  <c r="AE485" i="2" s="1"/>
  <c r="AD486" i="2"/>
  <c r="AE486" i="2" s="1"/>
  <c r="AD487" i="2"/>
  <c r="AE487" i="2" s="1"/>
  <c r="AD488" i="2"/>
  <c r="AE488" i="2" s="1"/>
  <c r="AD489" i="2"/>
  <c r="AE489" i="2" s="1"/>
  <c r="AD490" i="2"/>
  <c r="AE490" i="2" s="1"/>
  <c r="AD491" i="2"/>
  <c r="AE491" i="2" s="1"/>
  <c r="AD492" i="2"/>
  <c r="AE492" i="2" s="1"/>
  <c r="AD493" i="2"/>
  <c r="AE493" i="2" s="1"/>
  <c r="AD494" i="2"/>
  <c r="AE494" i="2" s="1"/>
  <c r="AD495" i="2"/>
  <c r="AE495" i="2" s="1"/>
  <c r="AD496" i="2"/>
  <c r="AE496" i="2" s="1"/>
  <c r="AD497" i="2"/>
  <c r="AE497" i="2" s="1"/>
  <c r="AD498" i="2"/>
  <c r="AE498" i="2" s="1"/>
  <c r="AD499" i="2"/>
  <c r="AE499" i="2" s="1"/>
  <c r="AD500" i="2"/>
  <c r="AE500" i="2" s="1"/>
  <c r="AD501" i="2"/>
  <c r="AE501" i="2" s="1"/>
  <c r="AD502" i="2"/>
  <c r="AE502" i="2" s="1"/>
  <c r="AD503" i="2"/>
  <c r="AE503" i="2" s="1"/>
  <c r="AD504" i="2"/>
  <c r="AE504" i="2" s="1"/>
  <c r="AD505" i="2"/>
  <c r="AE505" i="2" s="1"/>
  <c r="AD506" i="2"/>
  <c r="AE506" i="2" s="1"/>
  <c r="AD507" i="2"/>
  <c r="AE507" i="2" s="1"/>
  <c r="AD508" i="2"/>
  <c r="AE508" i="2" s="1"/>
  <c r="AD509" i="2"/>
  <c r="AE509" i="2" s="1"/>
  <c r="AD510" i="2"/>
  <c r="AE510" i="2" s="1"/>
  <c r="AD511" i="2"/>
  <c r="AE511" i="2" s="1"/>
  <c r="AD512" i="2"/>
  <c r="AE512" i="2" s="1"/>
  <c r="AD513" i="2"/>
  <c r="AE513" i="2" s="1"/>
  <c r="AD514" i="2"/>
  <c r="AE514" i="2" s="1"/>
  <c r="AD515" i="2"/>
  <c r="AE515" i="2" s="1"/>
  <c r="AD516" i="2"/>
  <c r="AE516" i="2" s="1"/>
  <c r="AD517" i="2"/>
  <c r="AE517" i="2" s="1"/>
  <c r="AD518" i="2"/>
  <c r="AE518" i="2" s="1"/>
  <c r="AD519" i="2"/>
  <c r="AE519" i="2" s="1"/>
  <c r="AD520" i="2"/>
  <c r="AE520" i="2" s="1"/>
  <c r="AD521" i="2"/>
  <c r="AE521" i="2" s="1"/>
  <c r="AD522" i="2"/>
  <c r="AE522" i="2" s="1"/>
  <c r="AD523" i="2"/>
  <c r="AE523" i="2" s="1"/>
  <c r="AD524" i="2"/>
  <c r="AE524" i="2" s="1"/>
  <c r="AD525" i="2"/>
  <c r="AE525" i="2" s="1"/>
  <c r="AD526" i="2"/>
  <c r="AE526" i="2" s="1"/>
  <c r="AD527" i="2"/>
  <c r="AE527" i="2" s="1"/>
  <c r="AD528" i="2"/>
  <c r="AE528" i="2" s="1"/>
  <c r="AD529" i="2"/>
  <c r="AE529" i="2" s="1"/>
  <c r="AD530" i="2"/>
  <c r="AE530" i="2" s="1"/>
  <c r="AD531" i="2"/>
  <c r="AE531" i="2" s="1"/>
  <c r="AD532" i="2"/>
  <c r="AE532" i="2" s="1"/>
  <c r="AD533" i="2"/>
  <c r="AE533" i="2" s="1"/>
  <c r="AD534" i="2"/>
  <c r="AE534" i="2" s="1"/>
  <c r="AD535" i="2"/>
  <c r="AE535" i="2" s="1"/>
  <c r="AD536" i="2"/>
  <c r="AE536" i="2" s="1"/>
  <c r="AD537" i="2"/>
  <c r="AE537" i="2" s="1"/>
  <c r="AD538" i="2"/>
  <c r="AE538" i="2" s="1"/>
  <c r="AD539" i="2"/>
  <c r="AE539" i="2" s="1"/>
  <c r="AD540" i="2"/>
  <c r="AE540" i="2" s="1"/>
  <c r="AD541" i="2"/>
  <c r="AE541" i="2" s="1"/>
  <c r="AD542" i="2"/>
  <c r="AE542" i="2" s="1"/>
  <c r="AD543" i="2"/>
  <c r="AE543" i="2" s="1"/>
  <c r="AD544" i="2"/>
  <c r="AE544" i="2" s="1"/>
  <c r="AD545" i="2"/>
  <c r="AE545" i="2" s="1"/>
  <c r="AD546" i="2"/>
  <c r="AE546" i="2" s="1"/>
  <c r="AD547" i="2"/>
  <c r="AE547" i="2" s="1"/>
  <c r="AD548" i="2"/>
  <c r="AE548" i="2" s="1"/>
  <c r="AD549" i="2"/>
  <c r="AE549" i="2" s="1"/>
  <c r="AD550" i="2"/>
  <c r="AE550" i="2" s="1"/>
  <c r="AD551" i="2"/>
  <c r="AE551" i="2" s="1"/>
  <c r="AD552" i="2"/>
  <c r="AE552" i="2" s="1"/>
  <c r="AD553" i="2"/>
  <c r="AE553" i="2" s="1"/>
  <c r="AD554" i="2"/>
  <c r="AE554" i="2" s="1"/>
  <c r="AD555" i="2"/>
  <c r="AE555" i="2" s="1"/>
  <c r="AD556" i="2"/>
  <c r="AE556" i="2" s="1"/>
  <c r="AD557" i="2"/>
  <c r="AE557" i="2" s="1"/>
  <c r="AD558" i="2"/>
  <c r="AE558" i="2" s="1"/>
  <c r="AD559" i="2"/>
  <c r="AE559" i="2" s="1"/>
  <c r="AD560" i="2"/>
  <c r="AE560" i="2" s="1"/>
  <c r="AD561" i="2"/>
  <c r="AE561" i="2" s="1"/>
  <c r="AD562" i="2"/>
  <c r="AE562" i="2" s="1"/>
  <c r="AD563" i="2"/>
  <c r="AE563" i="2" s="1"/>
  <c r="AD564" i="2"/>
  <c r="AE564" i="2" s="1"/>
  <c r="AD565" i="2"/>
  <c r="AE565" i="2" s="1"/>
  <c r="AD566" i="2"/>
  <c r="AE566" i="2" s="1"/>
  <c r="AD567" i="2"/>
  <c r="AE567" i="2" s="1"/>
  <c r="AD568" i="2"/>
  <c r="AE568" i="2" s="1"/>
  <c r="AD569" i="2"/>
  <c r="AE569" i="2" s="1"/>
  <c r="AD570" i="2"/>
  <c r="AE570" i="2" s="1"/>
  <c r="AD571" i="2"/>
  <c r="AE571" i="2" s="1"/>
  <c r="AD572" i="2"/>
  <c r="AE572" i="2" s="1"/>
  <c r="AD573" i="2"/>
  <c r="AE573" i="2" s="1"/>
  <c r="AD574" i="2"/>
  <c r="AE574" i="2" s="1"/>
  <c r="AD575" i="2"/>
  <c r="AE575" i="2" s="1"/>
  <c r="AD576" i="2"/>
  <c r="AE576" i="2" s="1"/>
  <c r="AD577" i="2"/>
  <c r="AE577" i="2" s="1"/>
  <c r="AD578" i="2"/>
  <c r="AE578" i="2" s="1"/>
  <c r="AD579" i="2"/>
  <c r="AE579" i="2" s="1"/>
  <c r="AD580" i="2"/>
  <c r="AE580" i="2" s="1"/>
  <c r="AD581" i="2"/>
  <c r="AE581" i="2" s="1"/>
  <c r="AD582" i="2"/>
  <c r="AE582" i="2" s="1"/>
  <c r="AD583" i="2"/>
  <c r="AE583" i="2" s="1"/>
  <c r="AD584" i="2"/>
  <c r="AE584" i="2" s="1"/>
  <c r="AD585" i="2"/>
  <c r="AE585" i="2" s="1"/>
  <c r="AD586" i="2"/>
  <c r="AE586" i="2" s="1"/>
  <c r="AD587" i="2"/>
  <c r="AE587" i="2" s="1"/>
  <c r="AD588" i="2"/>
  <c r="AE588" i="2" s="1"/>
  <c r="AD589" i="2"/>
  <c r="AE589" i="2" s="1"/>
  <c r="AD590" i="2"/>
  <c r="AE590" i="2" s="1"/>
  <c r="AD591" i="2"/>
  <c r="AE591" i="2" s="1"/>
  <c r="AD592" i="2"/>
  <c r="AE592" i="2" s="1"/>
  <c r="AD593" i="2"/>
  <c r="AE593" i="2" s="1"/>
  <c r="AD594" i="2"/>
  <c r="AE594" i="2" s="1"/>
  <c r="AD595" i="2"/>
  <c r="AE595" i="2" s="1"/>
  <c r="AD596" i="2"/>
  <c r="AE596" i="2" s="1"/>
  <c r="AD597" i="2"/>
  <c r="AE597" i="2" s="1"/>
  <c r="AD598" i="2"/>
  <c r="AE598" i="2" s="1"/>
  <c r="AD599" i="2"/>
  <c r="AE599" i="2" s="1"/>
  <c r="AD600" i="2"/>
  <c r="AE600" i="2" s="1"/>
  <c r="AD601" i="2"/>
  <c r="AE601" i="2" s="1"/>
  <c r="AD602" i="2"/>
  <c r="AE602" i="2" s="1"/>
  <c r="AD603" i="2"/>
  <c r="AE603" i="2" s="1"/>
  <c r="AD604" i="2"/>
  <c r="AE604" i="2" s="1"/>
  <c r="AD605" i="2"/>
  <c r="AE605" i="2" s="1"/>
  <c r="AD606" i="2"/>
  <c r="AE606" i="2" s="1"/>
  <c r="AD607" i="2"/>
  <c r="AE607" i="2" s="1"/>
  <c r="AD608" i="2"/>
  <c r="AE608" i="2" s="1"/>
  <c r="AD609" i="2"/>
  <c r="AE609" i="2" s="1"/>
  <c r="AD610" i="2"/>
  <c r="AE610" i="2" s="1"/>
  <c r="AD611" i="2"/>
  <c r="AE611" i="2" s="1"/>
  <c r="AD612" i="2"/>
  <c r="AE612" i="2" s="1"/>
  <c r="AD613" i="2"/>
  <c r="AE613" i="2" s="1"/>
  <c r="AD614" i="2"/>
  <c r="AE614" i="2" s="1"/>
  <c r="AD615" i="2"/>
  <c r="AE615" i="2" s="1"/>
  <c r="AD616" i="2"/>
  <c r="AE616" i="2" s="1"/>
  <c r="AD617" i="2"/>
  <c r="AE617" i="2" s="1"/>
  <c r="AD618" i="2"/>
  <c r="AE618" i="2" s="1"/>
  <c r="AD619" i="2"/>
  <c r="AE619" i="2" s="1"/>
  <c r="AD620" i="2"/>
  <c r="AE620" i="2" s="1"/>
  <c r="AD621" i="2"/>
  <c r="AE621" i="2" s="1"/>
  <c r="AD622" i="2"/>
  <c r="AE622" i="2" s="1"/>
  <c r="AD623" i="2"/>
  <c r="AE623" i="2" s="1"/>
  <c r="AD624" i="2"/>
  <c r="AE624" i="2" s="1"/>
  <c r="AD625" i="2"/>
  <c r="AE625" i="2" s="1"/>
  <c r="AD626" i="2"/>
  <c r="AE626" i="2" s="1"/>
  <c r="AD627" i="2"/>
  <c r="AE627" i="2" s="1"/>
  <c r="AD628" i="2"/>
  <c r="AE628" i="2" s="1"/>
  <c r="AD629" i="2"/>
  <c r="AE629" i="2" s="1"/>
  <c r="AD630" i="2"/>
  <c r="AE630" i="2" s="1"/>
  <c r="AD631" i="2"/>
  <c r="AE631" i="2" s="1"/>
  <c r="AD632" i="2"/>
  <c r="AE632" i="2" s="1"/>
  <c r="AD633" i="2"/>
  <c r="AE633" i="2" s="1"/>
  <c r="AD634" i="2"/>
  <c r="AE634" i="2" s="1"/>
  <c r="AD635" i="2"/>
  <c r="AE635" i="2" s="1"/>
  <c r="AD636" i="2"/>
  <c r="AE636" i="2" s="1"/>
  <c r="AD637" i="2"/>
  <c r="AE637" i="2" s="1"/>
  <c r="AD638" i="2"/>
  <c r="AE638" i="2" s="1"/>
  <c r="AD639" i="2"/>
  <c r="AE639" i="2" s="1"/>
  <c r="AD640" i="2"/>
  <c r="AE640" i="2" s="1"/>
  <c r="AD641" i="2"/>
  <c r="AE641" i="2" s="1"/>
  <c r="AD642" i="2"/>
  <c r="AE642" i="2" s="1"/>
  <c r="AD643" i="2"/>
  <c r="AE643" i="2" s="1"/>
  <c r="AD644" i="2"/>
  <c r="AE644" i="2" s="1"/>
  <c r="AD645" i="2"/>
  <c r="AE645" i="2" s="1"/>
  <c r="AD646" i="2"/>
  <c r="AE646" i="2" s="1"/>
  <c r="AD647" i="2"/>
  <c r="AE647" i="2" s="1"/>
  <c r="AD648" i="2"/>
  <c r="AE648" i="2" s="1"/>
  <c r="AD649" i="2"/>
  <c r="AE649" i="2" s="1"/>
  <c r="AD650" i="2"/>
  <c r="AE650" i="2" s="1"/>
  <c r="AD651" i="2"/>
  <c r="AE651" i="2" s="1"/>
  <c r="AD652" i="2"/>
  <c r="AE652" i="2" s="1"/>
  <c r="AD653" i="2"/>
  <c r="AE653" i="2" s="1"/>
  <c r="AD654" i="2"/>
  <c r="AE654" i="2" s="1"/>
  <c r="AD655" i="2"/>
  <c r="AE655" i="2" s="1"/>
  <c r="AD656" i="2"/>
  <c r="AE656" i="2" s="1"/>
  <c r="AD657" i="2"/>
  <c r="AE657" i="2" s="1"/>
  <c r="AD658" i="2"/>
  <c r="AE658" i="2" s="1"/>
  <c r="AD659" i="2"/>
  <c r="AE659" i="2" s="1"/>
  <c r="AD660" i="2"/>
  <c r="AE660" i="2" s="1"/>
  <c r="AD661" i="2"/>
  <c r="AE661" i="2" s="1"/>
  <c r="AD662" i="2"/>
  <c r="AE662" i="2" s="1"/>
  <c r="AD663" i="2"/>
  <c r="AE663" i="2" s="1"/>
  <c r="AD664" i="2"/>
  <c r="AE664" i="2" s="1"/>
  <c r="AD665" i="2"/>
  <c r="AE665" i="2" s="1"/>
  <c r="AD666" i="2"/>
  <c r="AE666" i="2" s="1"/>
  <c r="AD667" i="2"/>
  <c r="AE667" i="2" s="1"/>
  <c r="AD668" i="2"/>
  <c r="AE668" i="2" s="1"/>
  <c r="AD669" i="2"/>
  <c r="AE669" i="2" s="1"/>
  <c r="AD670" i="2"/>
  <c r="AE670" i="2" s="1"/>
  <c r="AD671" i="2"/>
  <c r="AE671" i="2" s="1"/>
  <c r="AD672" i="2"/>
  <c r="AE672" i="2" s="1"/>
  <c r="AD673" i="2"/>
  <c r="AE673" i="2" s="1"/>
  <c r="AD674" i="2"/>
  <c r="AE674" i="2" s="1"/>
  <c r="AD675" i="2"/>
  <c r="AE675" i="2" s="1"/>
  <c r="AD676" i="2"/>
  <c r="AE676" i="2" s="1"/>
  <c r="AD677" i="2"/>
  <c r="AE677" i="2" s="1"/>
  <c r="AD678" i="2"/>
  <c r="AE678" i="2" s="1"/>
  <c r="AD679" i="2"/>
  <c r="AE679" i="2" s="1"/>
  <c r="AD680" i="2"/>
  <c r="AE680" i="2" s="1"/>
  <c r="AD681" i="2"/>
  <c r="AE681" i="2" s="1"/>
  <c r="AD682" i="2"/>
  <c r="AE682" i="2" s="1"/>
  <c r="AD683" i="2"/>
  <c r="AE683" i="2" s="1"/>
  <c r="AD684" i="2"/>
  <c r="AE684" i="2" s="1"/>
  <c r="AD685" i="2"/>
  <c r="AE685" i="2" s="1"/>
  <c r="AD686" i="2"/>
  <c r="AE686" i="2" s="1"/>
  <c r="AD687" i="2"/>
  <c r="AE687" i="2" s="1"/>
  <c r="AD688" i="2"/>
  <c r="AE688" i="2" s="1"/>
  <c r="AD689" i="2"/>
  <c r="AE689" i="2" s="1"/>
  <c r="AD690" i="2"/>
  <c r="AE690" i="2" s="1"/>
  <c r="AD691" i="2"/>
  <c r="AE691" i="2" s="1"/>
  <c r="AD692" i="2"/>
  <c r="AE692" i="2" s="1"/>
  <c r="AD693" i="2"/>
  <c r="AE693" i="2" s="1"/>
  <c r="AD694" i="2"/>
  <c r="AE694" i="2" s="1"/>
  <c r="AD695" i="2"/>
  <c r="AE695" i="2" s="1"/>
  <c r="AD696" i="2"/>
  <c r="AE696" i="2" s="1"/>
  <c r="AD697" i="2"/>
  <c r="AE697" i="2" s="1"/>
  <c r="AD698" i="2"/>
  <c r="AE698" i="2" s="1"/>
  <c r="AD699" i="2"/>
  <c r="AE699" i="2" s="1"/>
  <c r="AD700" i="2"/>
  <c r="AE700" i="2" s="1"/>
  <c r="AD701" i="2"/>
  <c r="AE701" i="2" s="1"/>
  <c r="AD702" i="2"/>
  <c r="AE702" i="2" s="1"/>
  <c r="AD703" i="2"/>
  <c r="AE703" i="2" s="1"/>
  <c r="AD704" i="2"/>
  <c r="AE704" i="2" s="1"/>
  <c r="AD705" i="2"/>
  <c r="AE705" i="2" s="1"/>
  <c r="AD706" i="2"/>
  <c r="AE706" i="2" s="1"/>
  <c r="AD707" i="2"/>
  <c r="AE707" i="2" s="1"/>
  <c r="AD708" i="2"/>
  <c r="AE708" i="2" s="1"/>
  <c r="AD709" i="2"/>
  <c r="AE709" i="2" s="1"/>
  <c r="AD710" i="2"/>
  <c r="AE710" i="2" s="1"/>
  <c r="AD711" i="2"/>
  <c r="AE711" i="2" s="1"/>
  <c r="AD712" i="2"/>
  <c r="AE712" i="2" s="1"/>
  <c r="AD713" i="2"/>
  <c r="AE713" i="2" s="1"/>
  <c r="AD714" i="2"/>
  <c r="AE714" i="2" s="1"/>
  <c r="AD715" i="2"/>
  <c r="AE715" i="2" s="1"/>
  <c r="AD716" i="2"/>
  <c r="AE716" i="2" s="1"/>
  <c r="AD717" i="2"/>
  <c r="AE717" i="2" s="1"/>
  <c r="AD718" i="2"/>
  <c r="AE718" i="2" s="1"/>
  <c r="AD719" i="2"/>
  <c r="AE719" i="2" s="1"/>
  <c r="AD720" i="2"/>
  <c r="AE720" i="2" s="1"/>
  <c r="AD721" i="2"/>
  <c r="AE721" i="2" s="1"/>
  <c r="AD722" i="2"/>
  <c r="AE722" i="2" s="1"/>
  <c r="AD723" i="2"/>
  <c r="AE723" i="2" s="1"/>
  <c r="AD724" i="2"/>
  <c r="AE724" i="2" s="1"/>
  <c r="AD725" i="2"/>
  <c r="AE725" i="2" s="1"/>
  <c r="AD726" i="2"/>
  <c r="AE726" i="2" s="1"/>
  <c r="AD727" i="2"/>
  <c r="AE727" i="2" s="1"/>
  <c r="AD728" i="2"/>
  <c r="AE728" i="2" s="1"/>
  <c r="AD729" i="2"/>
  <c r="AE729" i="2" s="1"/>
  <c r="AD730" i="2"/>
  <c r="AE730" i="2" s="1"/>
  <c r="AD731" i="2"/>
  <c r="AE731" i="2" s="1"/>
  <c r="AD732" i="2"/>
  <c r="AE732" i="2" s="1"/>
  <c r="AD733" i="2"/>
  <c r="AE733" i="2" s="1"/>
  <c r="AD734" i="2"/>
  <c r="AE734" i="2" s="1"/>
  <c r="AD735" i="2"/>
  <c r="AE735" i="2" s="1"/>
  <c r="AD736" i="2"/>
  <c r="AE736" i="2" s="1"/>
  <c r="AD737" i="2"/>
  <c r="AE737" i="2" s="1"/>
  <c r="AD738" i="2"/>
  <c r="AE738" i="2" s="1"/>
  <c r="AD739" i="2"/>
  <c r="AE739" i="2" s="1"/>
  <c r="AD740" i="2"/>
  <c r="AE740" i="2" s="1"/>
  <c r="AD741" i="2"/>
  <c r="AE741" i="2" s="1"/>
  <c r="AD742" i="2"/>
  <c r="AE742" i="2" s="1"/>
  <c r="AD743" i="2"/>
  <c r="AE743" i="2" s="1"/>
  <c r="AD744" i="2"/>
  <c r="AE744" i="2" s="1"/>
  <c r="AD745" i="2"/>
  <c r="AE745" i="2" s="1"/>
  <c r="AD746" i="2"/>
  <c r="AE746" i="2" s="1"/>
  <c r="AD747" i="2"/>
  <c r="AE747" i="2" s="1"/>
  <c r="AD748" i="2"/>
  <c r="AE748" i="2" s="1"/>
  <c r="AD749" i="2"/>
  <c r="AE749" i="2" s="1"/>
  <c r="AD750" i="2"/>
  <c r="AE750" i="2" s="1"/>
  <c r="AD751" i="2"/>
  <c r="AE751" i="2" s="1"/>
  <c r="AD752" i="2"/>
  <c r="AE752" i="2" s="1"/>
  <c r="AD753" i="2"/>
  <c r="AE753" i="2" s="1"/>
  <c r="AD754" i="2"/>
  <c r="AE754" i="2" s="1"/>
  <c r="AD755" i="2"/>
  <c r="AE755" i="2" s="1"/>
  <c r="AD756" i="2"/>
  <c r="AE756" i="2" s="1"/>
  <c r="AD757" i="2"/>
  <c r="AE757" i="2" s="1"/>
  <c r="AD758" i="2"/>
  <c r="AE758" i="2" s="1"/>
  <c r="AD759" i="2"/>
  <c r="AE759" i="2" s="1"/>
  <c r="AD760" i="2"/>
  <c r="AE760" i="2" s="1"/>
  <c r="AD761" i="2"/>
  <c r="AE761" i="2" s="1"/>
  <c r="AD762" i="2"/>
  <c r="AE762" i="2" s="1"/>
  <c r="AD763" i="2"/>
  <c r="AE763" i="2" s="1"/>
  <c r="AD764" i="2"/>
  <c r="AE764" i="2" s="1"/>
  <c r="AD765" i="2"/>
  <c r="AE765" i="2" s="1"/>
  <c r="AD766" i="2"/>
  <c r="AE766" i="2" s="1"/>
  <c r="AD767" i="2"/>
  <c r="AE767" i="2" s="1"/>
  <c r="AD768" i="2"/>
  <c r="AE768" i="2" s="1"/>
  <c r="AD769" i="2"/>
  <c r="AE769" i="2" s="1"/>
  <c r="AD770" i="2"/>
  <c r="AE770" i="2" s="1"/>
  <c r="AD771" i="2"/>
  <c r="AE771" i="2" s="1"/>
  <c r="AD772" i="2"/>
  <c r="AE772" i="2" s="1"/>
  <c r="AD773" i="2"/>
  <c r="AE773" i="2" s="1"/>
  <c r="AD774" i="2"/>
  <c r="AE774" i="2" s="1"/>
  <c r="AD775" i="2"/>
  <c r="AE775" i="2" s="1"/>
  <c r="AD776" i="2"/>
  <c r="AE776" i="2" s="1"/>
  <c r="AD777" i="2"/>
  <c r="AE777" i="2" s="1"/>
  <c r="AD778" i="2"/>
  <c r="AE778" i="2" s="1"/>
  <c r="AD779" i="2"/>
  <c r="AE779" i="2" s="1"/>
  <c r="AD780" i="2"/>
  <c r="AE780" i="2" s="1"/>
  <c r="AD781" i="2"/>
  <c r="AE781" i="2" s="1"/>
  <c r="AD782" i="2"/>
  <c r="AE782" i="2" s="1"/>
  <c r="AD783" i="2"/>
  <c r="AE783" i="2" s="1"/>
  <c r="AD784" i="2"/>
  <c r="AE784" i="2" s="1"/>
  <c r="AD785" i="2"/>
  <c r="AE785" i="2" s="1"/>
  <c r="AD786" i="2"/>
  <c r="AE786" i="2" s="1"/>
  <c r="AD787" i="2"/>
  <c r="AE787" i="2" s="1"/>
  <c r="AD788" i="2"/>
  <c r="AE788" i="2" s="1"/>
  <c r="AD789" i="2"/>
  <c r="AE789" i="2" s="1"/>
  <c r="AD790" i="2"/>
  <c r="AE790" i="2" s="1"/>
  <c r="AD791" i="2"/>
  <c r="AE791" i="2" s="1"/>
  <c r="AD792" i="2"/>
  <c r="AE792" i="2" s="1"/>
  <c r="AD793" i="2"/>
  <c r="AE793" i="2" s="1"/>
  <c r="AD794" i="2"/>
  <c r="AE794" i="2" s="1"/>
  <c r="AD795" i="2"/>
  <c r="AE795" i="2" s="1"/>
  <c r="AD796" i="2"/>
  <c r="AE796" i="2" s="1"/>
  <c r="AD797" i="2"/>
  <c r="AE797" i="2" s="1"/>
  <c r="AD798" i="2"/>
  <c r="AE798" i="2" s="1"/>
  <c r="AD799" i="2"/>
  <c r="AE799" i="2" s="1"/>
  <c r="AD800" i="2"/>
  <c r="AE800" i="2" s="1"/>
  <c r="AD801" i="2"/>
  <c r="AE801" i="2" s="1"/>
  <c r="AD802" i="2"/>
  <c r="AE802" i="2" s="1"/>
  <c r="AD803" i="2"/>
  <c r="AE803" i="2" s="1"/>
  <c r="AD804" i="2"/>
  <c r="AE804" i="2" s="1"/>
  <c r="AD805" i="2"/>
  <c r="AE805" i="2" s="1"/>
  <c r="AD806" i="2"/>
  <c r="AE806" i="2" s="1"/>
  <c r="AD807" i="2"/>
  <c r="AE807" i="2" s="1"/>
  <c r="AD808" i="2"/>
  <c r="AE808" i="2" s="1"/>
  <c r="AD809" i="2"/>
  <c r="AE809" i="2" s="1"/>
  <c r="AD810" i="2"/>
  <c r="AE810" i="2" s="1"/>
  <c r="AD811" i="2"/>
  <c r="AE811" i="2" s="1"/>
  <c r="AD812" i="2"/>
  <c r="AE812" i="2" s="1"/>
  <c r="AD813" i="2"/>
  <c r="AE813" i="2" s="1"/>
  <c r="AD814" i="2"/>
  <c r="AE814" i="2" s="1"/>
  <c r="AD815" i="2"/>
  <c r="AE815" i="2" s="1"/>
  <c r="AD816" i="2"/>
  <c r="AE816" i="2" s="1"/>
  <c r="AD817" i="2"/>
  <c r="AE817" i="2" s="1"/>
  <c r="AD818" i="2"/>
  <c r="AE818" i="2" s="1"/>
  <c r="AD819" i="2"/>
  <c r="AE819" i="2" s="1"/>
  <c r="AD820" i="2"/>
  <c r="AE820" i="2" s="1"/>
  <c r="AD821" i="2"/>
  <c r="AE821" i="2" s="1"/>
  <c r="AD822" i="2"/>
  <c r="AE822" i="2" s="1"/>
  <c r="AD823" i="2"/>
  <c r="AE823" i="2" s="1"/>
  <c r="AD824" i="2"/>
  <c r="AE824" i="2" s="1"/>
  <c r="AD825" i="2"/>
  <c r="AE825" i="2" s="1"/>
  <c r="AD826" i="2"/>
  <c r="AE826" i="2" s="1"/>
  <c r="AD827" i="2"/>
  <c r="AE827" i="2" s="1"/>
  <c r="AD828" i="2"/>
  <c r="AE828" i="2" s="1"/>
  <c r="AD829" i="2"/>
  <c r="AE829" i="2" s="1"/>
  <c r="AD830" i="2"/>
  <c r="AE830" i="2" s="1"/>
  <c r="AD831" i="2"/>
  <c r="AE831" i="2" s="1"/>
  <c r="AD832" i="2"/>
  <c r="AE832" i="2" s="1"/>
  <c r="AD833" i="2"/>
  <c r="AE833" i="2" s="1"/>
  <c r="AD834" i="2"/>
  <c r="AE834" i="2" s="1"/>
  <c r="AD835" i="2"/>
  <c r="AE835" i="2" s="1"/>
  <c r="AD836" i="2"/>
  <c r="AE836" i="2" s="1"/>
  <c r="AD837" i="2"/>
  <c r="AE837" i="2" s="1"/>
  <c r="AD838" i="2"/>
  <c r="AE838" i="2" s="1"/>
  <c r="AD839" i="2"/>
  <c r="AE839" i="2" s="1"/>
  <c r="AD840" i="2"/>
  <c r="AE840" i="2" s="1"/>
  <c r="AD841" i="2"/>
  <c r="AE841" i="2" s="1"/>
  <c r="AD842" i="2"/>
  <c r="AE842" i="2" s="1"/>
  <c r="AD843" i="2"/>
  <c r="AE843" i="2" s="1"/>
  <c r="AD844" i="2"/>
  <c r="AE844" i="2" s="1"/>
  <c r="AD845" i="2"/>
  <c r="AE845" i="2" s="1"/>
  <c r="AD846" i="2"/>
  <c r="AE846" i="2" s="1"/>
  <c r="AD847" i="2"/>
  <c r="AE847" i="2" s="1"/>
  <c r="AD848" i="2"/>
  <c r="AE848" i="2" s="1"/>
  <c r="AD849" i="2"/>
  <c r="AE849" i="2" s="1"/>
  <c r="AD850" i="2"/>
  <c r="AE850" i="2" s="1"/>
  <c r="AD851" i="2"/>
  <c r="AE851" i="2" s="1"/>
  <c r="AD852" i="2"/>
  <c r="AE852" i="2" s="1"/>
  <c r="AD853" i="2"/>
  <c r="AE853" i="2" s="1"/>
  <c r="AD854" i="2"/>
  <c r="AE854" i="2" s="1"/>
  <c r="AD855" i="2"/>
  <c r="AE855" i="2" s="1"/>
  <c r="AD856" i="2"/>
  <c r="AE856" i="2" s="1"/>
  <c r="AD857" i="2"/>
  <c r="AE857" i="2" s="1"/>
  <c r="AD858" i="2"/>
  <c r="AE858" i="2" s="1"/>
  <c r="AD859" i="2"/>
  <c r="AE859" i="2" s="1"/>
  <c r="AD860" i="2"/>
  <c r="AE860" i="2" s="1"/>
  <c r="AD861" i="2"/>
  <c r="AE861" i="2" s="1"/>
  <c r="AD862" i="2"/>
  <c r="AE862" i="2" s="1"/>
  <c r="AD863" i="2"/>
  <c r="AE863" i="2" s="1"/>
  <c r="AD864" i="2"/>
  <c r="AE864" i="2" s="1"/>
  <c r="AD865" i="2"/>
  <c r="AE865" i="2" s="1"/>
  <c r="AD866" i="2"/>
  <c r="AE866" i="2" s="1"/>
  <c r="AD867" i="2"/>
  <c r="AE867" i="2" s="1"/>
  <c r="AD868" i="2"/>
  <c r="AE868" i="2" s="1"/>
  <c r="AD869" i="2"/>
  <c r="AE869" i="2" s="1"/>
  <c r="AD870" i="2"/>
  <c r="AE870" i="2" s="1"/>
  <c r="AD871" i="2"/>
  <c r="AE871" i="2" s="1"/>
  <c r="AD872" i="2"/>
  <c r="AE872" i="2" s="1"/>
  <c r="AD873" i="2"/>
  <c r="AE873" i="2" s="1"/>
  <c r="AD874" i="2"/>
  <c r="AE874" i="2" s="1"/>
  <c r="AD875" i="2"/>
  <c r="AE875" i="2" s="1"/>
  <c r="AD876" i="2"/>
  <c r="AE876" i="2" s="1"/>
  <c r="AD877" i="2"/>
  <c r="AE877" i="2" s="1"/>
  <c r="AD878" i="2"/>
  <c r="AE878" i="2" s="1"/>
  <c r="AD879" i="2"/>
  <c r="AE879" i="2" s="1"/>
  <c r="AD880" i="2"/>
  <c r="AE880" i="2" s="1"/>
  <c r="AD881" i="2"/>
  <c r="AE881" i="2" s="1"/>
  <c r="AD882" i="2"/>
  <c r="AE882" i="2" s="1"/>
  <c r="AD883" i="2"/>
  <c r="AE883" i="2" s="1"/>
  <c r="AD884" i="2"/>
  <c r="AE884" i="2" s="1"/>
  <c r="AD885" i="2"/>
  <c r="AE885" i="2" s="1"/>
  <c r="AD886" i="2"/>
  <c r="AE886" i="2" s="1"/>
  <c r="AD887" i="2"/>
  <c r="AE887" i="2" s="1"/>
  <c r="AD888" i="2"/>
  <c r="AE888" i="2" s="1"/>
  <c r="AD889" i="2"/>
  <c r="AE889" i="2" s="1"/>
  <c r="AD890" i="2"/>
  <c r="AE890" i="2" s="1"/>
  <c r="AD891" i="2"/>
  <c r="AE891" i="2" s="1"/>
  <c r="AD892" i="2"/>
  <c r="AE892" i="2" s="1"/>
  <c r="AD893" i="2"/>
  <c r="AE893" i="2" s="1"/>
  <c r="AD894" i="2"/>
  <c r="AE894" i="2" s="1"/>
  <c r="AD895" i="2"/>
  <c r="AE895" i="2" s="1"/>
  <c r="AD896" i="2"/>
  <c r="AE896" i="2" s="1"/>
  <c r="AD897" i="2"/>
  <c r="AE897" i="2" s="1"/>
  <c r="AD898" i="2"/>
  <c r="AE898" i="2" s="1"/>
  <c r="AD899" i="2"/>
  <c r="AE899" i="2" s="1"/>
  <c r="AD900" i="2"/>
  <c r="AE900" i="2" s="1"/>
  <c r="AD901" i="2"/>
  <c r="AE901" i="2" s="1"/>
  <c r="AD902" i="2"/>
  <c r="AE902" i="2" s="1"/>
  <c r="AD903" i="2"/>
  <c r="AE903" i="2" s="1"/>
  <c r="AD904" i="2"/>
  <c r="AE904" i="2" s="1"/>
  <c r="AD905" i="2"/>
  <c r="AE905" i="2" s="1"/>
  <c r="AD906" i="2"/>
  <c r="AE906" i="2" s="1"/>
  <c r="AD907" i="2"/>
  <c r="AE907" i="2" s="1"/>
  <c r="AD908" i="2"/>
  <c r="AE908" i="2" s="1"/>
  <c r="AD909" i="2"/>
  <c r="AE909" i="2" s="1"/>
  <c r="AD910" i="2"/>
  <c r="AE910" i="2" s="1"/>
  <c r="AD911" i="2"/>
  <c r="AE911" i="2" s="1"/>
  <c r="AD912" i="2"/>
  <c r="AE912" i="2" s="1"/>
  <c r="AD913" i="2"/>
  <c r="AE913" i="2" s="1"/>
  <c r="AD914" i="2"/>
  <c r="AE914" i="2" s="1"/>
  <c r="AD915" i="2"/>
  <c r="AE915" i="2" s="1"/>
  <c r="AD916" i="2"/>
  <c r="AE916" i="2" s="1"/>
  <c r="AD917" i="2"/>
  <c r="AE917" i="2" s="1"/>
  <c r="AD918" i="2"/>
  <c r="AE918" i="2" s="1"/>
  <c r="AD919" i="2"/>
  <c r="AE919" i="2" s="1"/>
  <c r="AD920" i="2"/>
  <c r="AE920" i="2" s="1"/>
  <c r="AD921" i="2"/>
  <c r="AE921" i="2" s="1"/>
  <c r="AD922" i="2"/>
  <c r="AE922" i="2" s="1"/>
  <c r="AD923" i="2"/>
  <c r="AE923" i="2" s="1"/>
  <c r="AD924" i="2"/>
  <c r="AE924" i="2" s="1"/>
  <c r="AD925" i="2"/>
  <c r="AE925" i="2" s="1"/>
  <c r="AD926" i="2"/>
  <c r="AE926" i="2" s="1"/>
  <c r="AD927" i="2"/>
  <c r="AE927" i="2" s="1"/>
  <c r="AD928" i="2"/>
  <c r="AE928" i="2" s="1"/>
  <c r="AD929" i="2"/>
  <c r="AE929" i="2" s="1"/>
  <c r="AD930" i="2"/>
  <c r="AE930" i="2" s="1"/>
  <c r="AD931" i="2"/>
  <c r="AE931" i="2" s="1"/>
  <c r="AD932" i="2"/>
  <c r="AE932" i="2" s="1"/>
  <c r="AD933" i="2"/>
  <c r="AE933" i="2" s="1"/>
  <c r="AD934" i="2"/>
  <c r="AE934" i="2" s="1"/>
  <c r="AD935" i="2"/>
  <c r="AE935" i="2" s="1"/>
  <c r="AD936" i="2"/>
  <c r="AE936" i="2" s="1"/>
  <c r="AD937" i="2"/>
  <c r="AE937" i="2" s="1"/>
  <c r="AD938" i="2"/>
  <c r="AE938" i="2" s="1"/>
  <c r="AD939" i="2"/>
  <c r="AE939" i="2" s="1"/>
  <c r="AD940" i="2"/>
  <c r="AE940" i="2" s="1"/>
  <c r="AD941" i="2"/>
  <c r="AE941" i="2" s="1"/>
  <c r="AD942" i="2"/>
  <c r="AE942" i="2" s="1"/>
  <c r="AD943" i="2"/>
  <c r="AE943" i="2" s="1"/>
  <c r="AD944" i="2"/>
  <c r="AE944" i="2" s="1"/>
  <c r="AD945" i="2"/>
  <c r="AE945" i="2" s="1"/>
  <c r="AD946" i="2"/>
  <c r="AE946" i="2" s="1"/>
  <c r="AD947" i="2"/>
  <c r="AE947" i="2" s="1"/>
  <c r="AD948" i="2"/>
  <c r="AE948" i="2" s="1"/>
  <c r="AD949" i="2"/>
  <c r="AE949" i="2" s="1"/>
  <c r="AD950" i="2"/>
  <c r="AE950" i="2" s="1"/>
  <c r="AD951" i="2"/>
  <c r="AE951" i="2" s="1"/>
  <c r="AD952" i="2"/>
  <c r="AE952" i="2" s="1"/>
  <c r="AD953" i="2"/>
  <c r="AE953" i="2" s="1"/>
  <c r="AD954" i="2"/>
  <c r="AE954" i="2" s="1"/>
  <c r="AD955" i="2"/>
  <c r="AE955" i="2" s="1"/>
  <c r="AD956" i="2"/>
  <c r="AE956" i="2" s="1"/>
  <c r="AD957" i="2"/>
  <c r="AE957" i="2" s="1"/>
  <c r="AD958" i="2"/>
  <c r="AE958" i="2" s="1"/>
  <c r="AD959" i="2"/>
  <c r="AE959" i="2" s="1"/>
  <c r="AD960" i="2"/>
  <c r="AE960" i="2" s="1"/>
  <c r="AD961" i="2"/>
  <c r="AE961" i="2" s="1"/>
  <c r="AD962" i="2"/>
  <c r="AE962" i="2" s="1"/>
  <c r="AD963" i="2"/>
  <c r="AE963" i="2" s="1"/>
  <c r="AD964" i="2"/>
  <c r="AE964" i="2" s="1"/>
  <c r="AD965" i="2"/>
  <c r="AE965" i="2" s="1"/>
  <c r="AD966" i="2"/>
  <c r="AE966" i="2" s="1"/>
  <c r="AD967" i="2"/>
  <c r="AE967" i="2" s="1"/>
  <c r="AD968" i="2"/>
  <c r="AE968" i="2" s="1"/>
  <c r="AD969" i="2"/>
  <c r="AE969" i="2" s="1"/>
  <c r="AD970" i="2"/>
  <c r="AE970" i="2" s="1"/>
  <c r="AD971" i="2"/>
  <c r="AE971" i="2" s="1"/>
  <c r="AD972" i="2"/>
  <c r="AE972" i="2" s="1"/>
  <c r="AD973" i="2"/>
  <c r="AE973" i="2" s="1"/>
  <c r="AD974" i="2"/>
  <c r="AE974" i="2" s="1"/>
  <c r="AD975" i="2"/>
  <c r="AE975" i="2" s="1"/>
  <c r="AD976" i="2"/>
  <c r="AE976" i="2" s="1"/>
  <c r="AD977" i="2"/>
  <c r="AE977" i="2" s="1"/>
  <c r="AD978" i="2"/>
  <c r="AE978" i="2" s="1"/>
  <c r="AD979" i="2"/>
  <c r="AE979" i="2" s="1"/>
  <c r="AD980" i="2"/>
  <c r="AE980" i="2" s="1"/>
  <c r="AD981" i="2"/>
  <c r="AE981" i="2" s="1"/>
  <c r="AD982" i="2"/>
  <c r="AE982" i="2" s="1"/>
  <c r="AD983" i="2"/>
  <c r="AE983" i="2" s="1"/>
  <c r="AD984" i="2"/>
  <c r="AE984" i="2" s="1"/>
  <c r="AD985" i="2"/>
  <c r="AE985" i="2" s="1"/>
  <c r="AD986" i="2"/>
  <c r="AE986" i="2" s="1"/>
  <c r="AD987" i="2"/>
  <c r="AE987" i="2" s="1"/>
  <c r="AD988" i="2"/>
  <c r="AE988" i="2" s="1"/>
  <c r="AD989" i="2"/>
  <c r="AE989" i="2" s="1"/>
  <c r="AD990" i="2"/>
  <c r="AE990" i="2" s="1"/>
  <c r="AD991" i="2"/>
  <c r="AE991" i="2" s="1"/>
  <c r="AD992" i="2"/>
  <c r="AE992" i="2" s="1"/>
  <c r="AD993" i="2"/>
  <c r="AE993" i="2" s="1"/>
  <c r="AD994" i="2"/>
  <c r="AE994" i="2" s="1"/>
  <c r="AD995" i="2"/>
  <c r="AE995" i="2" s="1"/>
  <c r="AD996" i="2"/>
  <c r="AE996" i="2" s="1"/>
  <c r="AD997" i="2"/>
  <c r="AE997" i="2" s="1"/>
  <c r="AD998" i="2"/>
  <c r="AE998" i="2" s="1"/>
  <c r="AD999" i="2"/>
  <c r="AE999" i="2" s="1"/>
  <c r="AD1000" i="2"/>
  <c r="AE1000" i="2" s="1"/>
  <c r="AD1001" i="2"/>
  <c r="AE1001" i="2" s="1"/>
  <c r="AD1002" i="2"/>
  <c r="AE1002" i="2" s="1"/>
  <c r="AD1003" i="2"/>
  <c r="AE1003" i="2" s="1"/>
  <c r="AD1004" i="2"/>
  <c r="AE1004" i="2" s="1"/>
  <c r="AD1005" i="2"/>
  <c r="AE1005" i="2" s="1"/>
  <c r="AD1006" i="2"/>
  <c r="AE1006" i="2" s="1"/>
  <c r="AD1007" i="2"/>
  <c r="AE1007" i="2" s="1"/>
  <c r="AD1008" i="2"/>
  <c r="AE1008" i="2" s="1"/>
  <c r="AD1009" i="2"/>
  <c r="AE1009" i="2" s="1"/>
  <c r="AD1010" i="2"/>
  <c r="AE1010" i="2" s="1"/>
  <c r="AD1011" i="2"/>
  <c r="AE1011" i="2" s="1"/>
  <c r="AD1012" i="2"/>
  <c r="AE1012" i="2" s="1"/>
  <c r="AD1013" i="2"/>
  <c r="AE1013" i="2" s="1"/>
  <c r="AD1014" i="2"/>
  <c r="AE1014" i="2" s="1"/>
  <c r="AD1015" i="2"/>
  <c r="AE1015" i="2" s="1"/>
  <c r="AD1016" i="2"/>
  <c r="AE1016" i="2" s="1"/>
  <c r="AD1017" i="2"/>
  <c r="AE1017" i="2" s="1"/>
  <c r="AD1018" i="2"/>
  <c r="AE1018" i="2" s="1"/>
  <c r="AD1019" i="2"/>
  <c r="AE1019" i="2" s="1"/>
  <c r="AD1020" i="2"/>
  <c r="AE1020" i="2" s="1"/>
  <c r="AD1021" i="2"/>
  <c r="AE1021" i="2" s="1"/>
  <c r="AD1022" i="2"/>
  <c r="AE1022" i="2" s="1"/>
  <c r="AD1023" i="2"/>
  <c r="AE1023" i="2" s="1"/>
  <c r="AD1024" i="2"/>
  <c r="AE1024" i="2" s="1"/>
  <c r="AD1025" i="2"/>
  <c r="AE1025" i="2" s="1"/>
  <c r="AD1026" i="2"/>
  <c r="AE1026" i="2" s="1"/>
  <c r="AD1027" i="2"/>
  <c r="AE1027" i="2" s="1"/>
  <c r="AD1028" i="2"/>
  <c r="AE1028" i="2" s="1"/>
  <c r="AD1029" i="2"/>
  <c r="AE1029" i="2" s="1"/>
  <c r="AD1030" i="2"/>
  <c r="AE1030" i="2" s="1"/>
  <c r="AD1031" i="2"/>
  <c r="AE1031" i="2" s="1"/>
  <c r="AD1032" i="2"/>
  <c r="AE1032" i="2" s="1"/>
  <c r="AD1033" i="2"/>
  <c r="AE1033" i="2" s="1"/>
  <c r="AD1034" i="2"/>
  <c r="AE1034" i="2" s="1"/>
  <c r="AD1035" i="2"/>
  <c r="AE1035" i="2" s="1"/>
  <c r="AD1036" i="2"/>
  <c r="AE1036" i="2" s="1"/>
  <c r="AD1037" i="2"/>
  <c r="AE1037" i="2" s="1"/>
  <c r="AD1038" i="2"/>
  <c r="AE1038" i="2" s="1"/>
  <c r="AD1039" i="2"/>
  <c r="AE1039" i="2" s="1"/>
  <c r="AD1040" i="2"/>
  <c r="AE1040" i="2" s="1"/>
  <c r="AD1041" i="2"/>
  <c r="AE1041" i="2" s="1"/>
  <c r="AD1042" i="2"/>
  <c r="AE1042" i="2" s="1"/>
  <c r="AD1043" i="2"/>
  <c r="AE1043" i="2" s="1"/>
  <c r="AD1044" i="2"/>
  <c r="AE1044" i="2" s="1"/>
  <c r="AD1045" i="2"/>
  <c r="AE1045" i="2" s="1"/>
  <c r="AD1046" i="2"/>
  <c r="AE1046" i="2" s="1"/>
  <c r="AD1047" i="2"/>
  <c r="AE1047" i="2" s="1"/>
  <c r="AD1048" i="2"/>
  <c r="AE1048" i="2" s="1"/>
  <c r="AD1049" i="2"/>
  <c r="AE1049" i="2" s="1"/>
  <c r="AD1050" i="2"/>
  <c r="AE1050" i="2" s="1"/>
  <c r="AD1051" i="2"/>
  <c r="AE1051" i="2" s="1"/>
  <c r="AD1052" i="2"/>
  <c r="AE1052" i="2" s="1"/>
  <c r="AD1053" i="2"/>
  <c r="AE1053" i="2" s="1"/>
  <c r="AD1054" i="2"/>
  <c r="AE1054" i="2" s="1"/>
  <c r="AD1055" i="2"/>
  <c r="AE1055" i="2" s="1"/>
  <c r="AD1056" i="2"/>
  <c r="AE1056" i="2" s="1"/>
  <c r="AD1057" i="2"/>
  <c r="AE1057" i="2" s="1"/>
  <c r="AD1058" i="2"/>
  <c r="AE1058" i="2" s="1"/>
  <c r="AD1059" i="2"/>
  <c r="AE1059" i="2" s="1"/>
  <c r="AD1060" i="2"/>
  <c r="AE1060" i="2" s="1"/>
  <c r="AD1061" i="2"/>
  <c r="AE1061" i="2" s="1"/>
  <c r="AD1062" i="2"/>
  <c r="AE1062" i="2" s="1"/>
  <c r="AD1063" i="2"/>
  <c r="AE1063" i="2" s="1"/>
  <c r="AD1064" i="2"/>
  <c r="AE1064" i="2" s="1"/>
  <c r="AD1065" i="2"/>
  <c r="AE1065" i="2" s="1"/>
  <c r="AD1066" i="2"/>
  <c r="AE1066" i="2" s="1"/>
  <c r="AD1067" i="2"/>
  <c r="AE1067" i="2" s="1"/>
  <c r="AD1068" i="2"/>
  <c r="AE1068" i="2" s="1"/>
  <c r="AD1069" i="2"/>
  <c r="AE1069" i="2" s="1"/>
  <c r="AD1070" i="2"/>
  <c r="AE1070" i="2" s="1"/>
  <c r="AD1071" i="2"/>
  <c r="AE1071" i="2" s="1"/>
  <c r="AD1072" i="2"/>
  <c r="AE1072" i="2" s="1"/>
  <c r="AD1073" i="2"/>
  <c r="AE1073" i="2" s="1"/>
  <c r="AD1074" i="2"/>
  <c r="AE1074" i="2" s="1"/>
  <c r="AD1075" i="2"/>
  <c r="AE1075" i="2" s="1"/>
  <c r="AD1076" i="2"/>
  <c r="AE1076" i="2" s="1"/>
  <c r="AD1077" i="2"/>
  <c r="AE1077" i="2" s="1"/>
  <c r="AD1078" i="2"/>
  <c r="AE1078" i="2" s="1"/>
  <c r="AD1079" i="2"/>
  <c r="AE1079" i="2" s="1"/>
  <c r="AD1080" i="2"/>
  <c r="AE1080" i="2" s="1"/>
  <c r="AD1081" i="2"/>
  <c r="AE1081" i="2" s="1"/>
  <c r="AD1082" i="2"/>
  <c r="AE1082" i="2" s="1"/>
  <c r="AD1083" i="2"/>
  <c r="AE1083" i="2" s="1"/>
  <c r="AD1084" i="2"/>
  <c r="AE1084" i="2" s="1"/>
  <c r="AD1085" i="2"/>
  <c r="AE1085" i="2" s="1"/>
  <c r="AD1086" i="2"/>
  <c r="AE1086" i="2" s="1"/>
  <c r="AD1087" i="2"/>
  <c r="AE1087" i="2" s="1"/>
  <c r="AD1088" i="2"/>
  <c r="AE1088" i="2" s="1"/>
  <c r="AD1089" i="2"/>
  <c r="AE1089" i="2" s="1"/>
  <c r="AD1090" i="2"/>
  <c r="AE1090" i="2" s="1"/>
  <c r="AD1091" i="2"/>
  <c r="AE1091" i="2" s="1"/>
  <c r="AD1092" i="2"/>
  <c r="AE1092" i="2" s="1"/>
  <c r="AD1093" i="2"/>
  <c r="AE1093" i="2" s="1"/>
  <c r="AD1094" i="2"/>
  <c r="AE1094" i="2" s="1"/>
  <c r="AD1095" i="2"/>
  <c r="AE1095" i="2" s="1"/>
  <c r="AD1096" i="2"/>
  <c r="AE1096" i="2" s="1"/>
  <c r="AD1097" i="2"/>
  <c r="AE1097" i="2" s="1"/>
  <c r="AD1098" i="2"/>
  <c r="AE1098" i="2" s="1"/>
  <c r="AD1099" i="2"/>
  <c r="AE1099" i="2" s="1"/>
  <c r="AD1100" i="2"/>
  <c r="AE1100" i="2" s="1"/>
  <c r="AD1101" i="2"/>
  <c r="AE1101" i="2" s="1"/>
  <c r="AD1102" i="2"/>
  <c r="AE1102" i="2" s="1"/>
  <c r="AD1103" i="2"/>
  <c r="AE1103" i="2" s="1"/>
  <c r="AD1104" i="2"/>
  <c r="AE1104" i="2" s="1"/>
  <c r="AD1105" i="2"/>
  <c r="AE1105" i="2" s="1"/>
  <c r="AD1106" i="2"/>
  <c r="AE1106" i="2" s="1"/>
  <c r="AD1107" i="2"/>
  <c r="AE1107" i="2" s="1"/>
  <c r="AD1108" i="2"/>
  <c r="AE1108" i="2" s="1"/>
  <c r="AD1109" i="2"/>
  <c r="AE1109" i="2" s="1"/>
  <c r="AD1110" i="2"/>
  <c r="AE1110" i="2" s="1"/>
  <c r="AD1111" i="2"/>
  <c r="AE1111" i="2" s="1"/>
  <c r="AD1112" i="2"/>
  <c r="AE1112" i="2" s="1"/>
  <c r="AD1113" i="2"/>
  <c r="AE1113" i="2" s="1"/>
  <c r="AD1114" i="2"/>
  <c r="AE1114" i="2" s="1"/>
  <c r="AD1115" i="2"/>
  <c r="AE1115" i="2" s="1"/>
  <c r="AD1116" i="2"/>
  <c r="AE1116" i="2" s="1"/>
  <c r="AD1117" i="2"/>
  <c r="AE1117" i="2" s="1"/>
  <c r="AD1118" i="2"/>
  <c r="AE1118" i="2" s="1"/>
  <c r="AD1119" i="2"/>
  <c r="AE1119" i="2" s="1"/>
  <c r="AD1120" i="2"/>
  <c r="AE1120" i="2" s="1"/>
  <c r="AD1121" i="2"/>
  <c r="AE1121" i="2" s="1"/>
  <c r="AD1122" i="2"/>
  <c r="AE1122" i="2" s="1"/>
  <c r="AD1123" i="2"/>
  <c r="AE1123" i="2" s="1"/>
  <c r="AD1124" i="2"/>
  <c r="AE1124" i="2" s="1"/>
  <c r="AD1125" i="2"/>
  <c r="AE1125" i="2" s="1"/>
  <c r="AD1126" i="2"/>
  <c r="AE1126" i="2" s="1"/>
  <c r="AD1127" i="2"/>
  <c r="AE1127" i="2" s="1"/>
  <c r="AD1128" i="2"/>
  <c r="AE1128" i="2" s="1"/>
  <c r="AD1129" i="2"/>
  <c r="AE1129" i="2" s="1"/>
  <c r="AD1130" i="2"/>
  <c r="AE1130" i="2" s="1"/>
  <c r="AD1131" i="2"/>
  <c r="AE1131" i="2" s="1"/>
  <c r="AD1132" i="2"/>
  <c r="AE1132" i="2" s="1"/>
  <c r="AD1133" i="2"/>
  <c r="AE1133" i="2" s="1"/>
  <c r="AD1134" i="2"/>
  <c r="AE1134" i="2" s="1"/>
  <c r="AD1135" i="2"/>
  <c r="AE1135" i="2" s="1"/>
  <c r="AD1136" i="2"/>
  <c r="AE1136" i="2" s="1"/>
  <c r="AD1137" i="2"/>
  <c r="AE1137" i="2" s="1"/>
  <c r="AD1138" i="2"/>
  <c r="AE1138" i="2" s="1"/>
  <c r="AD1139" i="2"/>
  <c r="AE1139" i="2" s="1"/>
  <c r="AD1140" i="2"/>
  <c r="AE1140" i="2" s="1"/>
  <c r="AD1141" i="2"/>
  <c r="AE1141" i="2" s="1"/>
  <c r="AD1142" i="2"/>
  <c r="AE1142" i="2" s="1"/>
  <c r="AD1143" i="2"/>
  <c r="AE1143" i="2" s="1"/>
  <c r="AD1144" i="2"/>
  <c r="AE1144" i="2" s="1"/>
  <c r="AD1145" i="2"/>
  <c r="AE1145" i="2" s="1"/>
  <c r="AD1146" i="2"/>
  <c r="AE1146" i="2" s="1"/>
  <c r="AD1147" i="2"/>
  <c r="AE1147" i="2" s="1"/>
  <c r="AD1148" i="2"/>
  <c r="AE1148" i="2" s="1"/>
  <c r="AD1149" i="2"/>
  <c r="AE1149" i="2" s="1"/>
  <c r="AD1150" i="2"/>
  <c r="AE1150" i="2" s="1"/>
  <c r="AD1151" i="2"/>
  <c r="AE1151" i="2" s="1"/>
  <c r="AD1152" i="2"/>
  <c r="AE1152" i="2" s="1"/>
  <c r="AD1153" i="2"/>
  <c r="AE1153" i="2" s="1"/>
  <c r="AD1154" i="2"/>
  <c r="AE1154" i="2" s="1"/>
  <c r="AD1155" i="2"/>
  <c r="AE1155" i="2" s="1"/>
  <c r="AD1156" i="2"/>
  <c r="AE1156" i="2" s="1"/>
  <c r="AD1157" i="2"/>
  <c r="AE1157" i="2" s="1"/>
  <c r="AD1158" i="2"/>
  <c r="AE1158" i="2" s="1"/>
  <c r="AD1159" i="2"/>
  <c r="AE1159" i="2" s="1"/>
  <c r="AD1160" i="2"/>
  <c r="AE1160" i="2" s="1"/>
  <c r="AD1161" i="2"/>
  <c r="AE1161" i="2" s="1"/>
  <c r="AD1162" i="2"/>
  <c r="AE1162" i="2" s="1"/>
  <c r="AD1163" i="2"/>
  <c r="AE1163" i="2" s="1"/>
  <c r="AD1164" i="2"/>
  <c r="AE1164" i="2" s="1"/>
  <c r="AD1165" i="2"/>
  <c r="AE1165" i="2" s="1"/>
  <c r="AD1166" i="2"/>
  <c r="AE1166" i="2" s="1"/>
  <c r="AD1167" i="2"/>
  <c r="AE1167" i="2" s="1"/>
  <c r="AD1168" i="2"/>
  <c r="AE1168" i="2" s="1"/>
  <c r="AD1169" i="2"/>
  <c r="AE1169" i="2" s="1"/>
  <c r="AD1170" i="2"/>
  <c r="AE1170" i="2" s="1"/>
  <c r="AD1171" i="2"/>
  <c r="AE1171" i="2" s="1"/>
  <c r="AD1172" i="2"/>
  <c r="AE1172" i="2" s="1"/>
  <c r="AD1173" i="2"/>
  <c r="AE1173" i="2" s="1"/>
  <c r="AD1174" i="2"/>
  <c r="AE1174" i="2" s="1"/>
  <c r="AD1175" i="2"/>
  <c r="AE1175" i="2" s="1"/>
  <c r="AD1176" i="2"/>
  <c r="AE1176" i="2" s="1"/>
  <c r="AD1177" i="2"/>
  <c r="AE1177" i="2" s="1"/>
  <c r="AD1178" i="2"/>
  <c r="AE1178" i="2" s="1"/>
  <c r="AD1179" i="2"/>
  <c r="AE1179" i="2" s="1"/>
  <c r="AD1180" i="2"/>
  <c r="AE1180" i="2" s="1"/>
  <c r="AD1181" i="2"/>
  <c r="AE1181" i="2" s="1"/>
  <c r="AD1182" i="2"/>
  <c r="AE1182" i="2" s="1"/>
  <c r="AD1183" i="2"/>
  <c r="AE1183" i="2" s="1"/>
  <c r="AD1184" i="2"/>
  <c r="AE1184" i="2" s="1"/>
  <c r="AD1185" i="2"/>
  <c r="AE1185" i="2" s="1"/>
  <c r="AD1186" i="2"/>
  <c r="AE1186" i="2" s="1"/>
  <c r="AD1187" i="2"/>
  <c r="AE1187" i="2" s="1"/>
  <c r="AD1188" i="2"/>
  <c r="AE1188" i="2" s="1"/>
  <c r="AD1189" i="2"/>
  <c r="AE1189" i="2" s="1"/>
  <c r="AD1190" i="2"/>
  <c r="AE1190" i="2" s="1"/>
  <c r="AD1191" i="2"/>
  <c r="AE1191" i="2" s="1"/>
  <c r="AD1192" i="2"/>
  <c r="AE1192" i="2" s="1"/>
  <c r="AD1193" i="2"/>
  <c r="AE1193" i="2" s="1"/>
  <c r="AD1194" i="2"/>
  <c r="AE1194" i="2" s="1"/>
  <c r="AD1195" i="2"/>
  <c r="AE1195" i="2" s="1"/>
  <c r="AD1196" i="2"/>
  <c r="AE1196" i="2" s="1"/>
  <c r="AD1197" i="2"/>
  <c r="AE1197" i="2" s="1"/>
  <c r="AD1198" i="2"/>
  <c r="AE1198" i="2" s="1"/>
  <c r="AD1199" i="2"/>
  <c r="AE1199" i="2" s="1"/>
  <c r="AD1200" i="2"/>
  <c r="AE1200" i="2" s="1"/>
  <c r="AD1201" i="2"/>
  <c r="AE1201" i="2" s="1"/>
  <c r="Z2" i="2"/>
  <c r="Z3" i="2"/>
  <c r="AC3" i="2" s="1"/>
  <c r="Z4" i="2"/>
  <c r="AC4" i="2" s="1"/>
  <c r="Z5" i="2"/>
  <c r="AC5" i="2" s="1"/>
  <c r="Z6" i="2"/>
  <c r="AC6" i="2" s="1"/>
  <c r="Z7" i="2"/>
  <c r="AC7" i="2" s="1"/>
  <c r="Z8" i="2"/>
  <c r="AC8" i="2" s="1"/>
  <c r="Z9" i="2"/>
  <c r="AC9" i="2" s="1"/>
  <c r="Z10" i="2"/>
  <c r="AC10" i="2" s="1"/>
  <c r="Z11" i="2"/>
  <c r="AC11" i="2" s="1"/>
  <c r="Z12" i="2"/>
  <c r="AC12" i="2" s="1"/>
  <c r="Z13" i="2"/>
  <c r="AC13" i="2" s="1"/>
  <c r="Z14" i="2"/>
  <c r="AC14" i="2" s="1"/>
  <c r="Z15" i="2"/>
  <c r="AC15" i="2" s="1"/>
  <c r="Z16" i="2"/>
  <c r="AC16" i="2" s="1"/>
  <c r="Z17" i="2"/>
  <c r="AC17" i="2" s="1"/>
  <c r="Z18" i="2"/>
  <c r="AC18" i="2" s="1"/>
  <c r="Z19" i="2"/>
  <c r="AC19" i="2" s="1"/>
  <c r="Z20" i="2"/>
  <c r="AC20" i="2" s="1"/>
  <c r="Z21" i="2"/>
  <c r="AC21" i="2" s="1"/>
  <c r="Z22" i="2"/>
  <c r="AC22" i="2" s="1"/>
  <c r="Z23" i="2"/>
  <c r="AC23" i="2" s="1"/>
  <c r="Z24" i="2"/>
  <c r="AC24" i="2" s="1"/>
  <c r="Z25" i="2"/>
  <c r="AC25" i="2" s="1"/>
  <c r="Z26" i="2"/>
  <c r="AC26" i="2" s="1"/>
  <c r="Z27" i="2"/>
  <c r="AC27" i="2" s="1"/>
  <c r="Z28" i="2"/>
  <c r="AC28" i="2" s="1"/>
  <c r="Z29" i="2"/>
  <c r="AC29" i="2" s="1"/>
  <c r="Z30" i="2"/>
  <c r="AC30" i="2" s="1"/>
  <c r="Z31" i="2"/>
  <c r="AC31" i="2" s="1"/>
  <c r="Z32" i="2"/>
  <c r="AC32" i="2" s="1"/>
  <c r="Z33" i="2"/>
  <c r="AC33" i="2" s="1"/>
  <c r="Z34" i="2"/>
  <c r="AC34" i="2" s="1"/>
  <c r="Z35" i="2"/>
  <c r="AC35" i="2" s="1"/>
  <c r="Z36" i="2"/>
  <c r="AC36" i="2" s="1"/>
  <c r="Z37" i="2"/>
  <c r="AC37" i="2" s="1"/>
  <c r="Z38" i="2"/>
  <c r="AC38" i="2" s="1"/>
  <c r="Z39" i="2"/>
  <c r="AC39" i="2" s="1"/>
  <c r="Z40" i="2"/>
  <c r="AC40" i="2" s="1"/>
  <c r="Z41" i="2"/>
  <c r="AC41" i="2" s="1"/>
  <c r="Z42" i="2"/>
  <c r="AC42" i="2" s="1"/>
  <c r="Z43" i="2"/>
  <c r="AC43" i="2" s="1"/>
  <c r="Z44" i="2"/>
  <c r="AC44" i="2" s="1"/>
  <c r="Z45" i="2"/>
  <c r="AC45" i="2" s="1"/>
  <c r="Z46" i="2"/>
  <c r="AC46" i="2" s="1"/>
  <c r="Z47" i="2"/>
  <c r="AC47" i="2" s="1"/>
  <c r="Z48" i="2"/>
  <c r="AC48" i="2" s="1"/>
  <c r="Z49" i="2"/>
  <c r="AC49" i="2" s="1"/>
  <c r="Z50" i="2"/>
  <c r="AC50" i="2" s="1"/>
  <c r="Z51" i="2"/>
  <c r="AC51" i="2" s="1"/>
  <c r="Z52" i="2"/>
  <c r="AC52" i="2" s="1"/>
  <c r="Z53" i="2"/>
  <c r="AC53" i="2" s="1"/>
  <c r="Z54" i="2"/>
  <c r="AC54" i="2" s="1"/>
  <c r="Z55" i="2"/>
  <c r="AC55" i="2" s="1"/>
  <c r="Z56" i="2"/>
  <c r="AC56" i="2" s="1"/>
  <c r="Z57" i="2"/>
  <c r="AC57" i="2" s="1"/>
  <c r="Z58" i="2"/>
  <c r="AC58" i="2" s="1"/>
  <c r="Z59" i="2"/>
  <c r="AC59" i="2" s="1"/>
  <c r="Z60" i="2"/>
  <c r="AC60" i="2" s="1"/>
  <c r="Z61" i="2"/>
  <c r="AC61" i="2" s="1"/>
  <c r="Z62" i="2"/>
  <c r="AC62" i="2" s="1"/>
  <c r="Z63" i="2"/>
  <c r="AC63" i="2" s="1"/>
  <c r="Z64" i="2"/>
  <c r="AC64" i="2" s="1"/>
  <c r="Z65" i="2"/>
  <c r="AC65" i="2" s="1"/>
  <c r="Z66" i="2"/>
  <c r="AC66" i="2" s="1"/>
  <c r="Z67" i="2"/>
  <c r="AC67" i="2" s="1"/>
  <c r="Z68" i="2"/>
  <c r="AC68" i="2" s="1"/>
  <c r="Z69" i="2"/>
  <c r="AC69" i="2" s="1"/>
  <c r="Z70" i="2"/>
  <c r="AC70" i="2" s="1"/>
  <c r="Z71" i="2"/>
  <c r="AC71" i="2" s="1"/>
  <c r="Z72" i="2"/>
  <c r="AC72" i="2" s="1"/>
  <c r="Z73" i="2"/>
  <c r="AC73" i="2" s="1"/>
  <c r="Z74" i="2"/>
  <c r="AC74" i="2" s="1"/>
  <c r="Z75" i="2"/>
  <c r="AC75" i="2" s="1"/>
  <c r="Z76" i="2"/>
  <c r="AC76" i="2" s="1"/>
  <c r="Z77" i="2"/>
  <c r="AC77" i="2" s="1"/>
  <c r="Z78" i="2"/>
  <c r="AC78" i="2" s="1"/>
  <c r="Z79" i="2"/>
  <c r="AC79" i="2" s="1"/>
  <c r="Z80" i="2"/>
  <c r="AC80" i="2" s="1"/>
  <c r="Z81" i="2"/>
  <c r="AC81" i="2" s="1"/>
  <c r="Z82" i="2"/>
  <c r="AC82" i="2" s="1"/>
  <c r="Z83" i="2"/>
  <c r="AC83" i="2" s="1"/>
  <c r="Z84" i="2"/>
  <c r="AC84" i="2" s="1"/>
  <c r="Z85" i="2"/>
  <c r="AC85" i="2" s="1"/>
  <c r="Z86" i="2"/>
  <c r="AC86" i="2" s="1"/>
  <c r="Z87" i="2"/>
  <c r="AC87" i="2" s="1"/>
  <c r="Z88" i="2"/>
  <c r="Z89" i="2"/>
  <c r="AC89" i="2" s="1"/>
  <c r="Z90" i="2"/>
  <c r="AC90" i="2" s="1"/>
  <c r="Z91" i="2"/>
  <c r="AC91" i="2" s="1"/>
  <c r="Z92" i="2"/>
  <c r="AC92" i="2" s="1"/>
  <c r="Z93" i="2"/>
  <c r="AC93" i="2" s="1"/>
  <c r="Z94" i="2"/>
  <c r="AC94" i="2" s="1"/>
  <c r="Z95" i="2"/>
  <c r="AC95" i="2" s="1"/>
  <c r="Z96" i="2"/>
  <c r="AC96" i="2" s="1"/>
  <c r="Z97" i="2"/>
  <c r="AC97" i="2" s="1"/>
  <c r="Z98" i="2"/>
  <c r="AC98" i="2" s="1"/>
  <c r="Z99" i="2"/>
  <c r="AC99" i="2" s="1"/>
  <c r="Z100" i="2"/>
  <c r="AC100" i="2" s="1"/>
  <c r="Z101" i="2"/>
  <c r="AC101" i="2" s="1"/>
  <c r="Z102" i="2"/>
  <c r="AC102" i="2" s="1"/>
  <c r="Z103" i="2"/>
  <c r="AC103" i="2" s="1"/>
  <c r="Z104" i="2"/>
  <c r="AC104" i="2" s="1"/>
  <c r="Z105" i="2"/>
  <c r="AC105" i="2" s="1"/>
  <c r="Z106" i="2"/>
  <c r="AC106" i="2" s="1"/>
  <c r="Z107" i="2"/>
  <c r="AC107" i="2" s="1"/>
  <c r="Z108" i="2"/>
  <c r="AC108" i="2" s="1"/>
  <c r="Z109" i="2"/>
  <c r="AC109" i="2" s="1"/>
  <c r="Z110" i="2"/>
  <c r="AC110" i="2" s="1"/>
  <c r="Z111" i="2"/>
  <c r="AC111" i="2" s="1"/>
  <c r="Z112" i="2"/>
  <c r="AC112" i="2" s="1"/>
  <c r="Z113" i="2"/>
  <c r="AC113" i="2" s="1"/>
  <c r="Z114" i="2"/>
  <c r="AC114" i="2" s="1"/>
  <c r="Z115" i="2"/>
  <c r="AC115" i="2" s="1"/>
  <c r="Z116" i="2"/>
  <c r="AC116" i="2" s="1"/>
  <c r="Z117" i="2"/>
  <c r="AC117" i="2" s="1"/>
  <c r="Z118" i="2"/>
  <c r="AC118" i="2" s="1"/>
  <c r="Z119" i="2"/>
  <c r="AC119" i="2" s="1"/>
  <c r="Z120" i="2"/>
  <c r="AC120" i="2" s="1"/>
  <c r="Z121" i="2"/>
  <c r="AC121" i="2" s="1"/>
  <c r="Z122" i="2"/>
  <c r="AC122" i="2" s="1"/>
  <c r="Z123" i="2"/>
  <c r="AC123" i="2" s="1"/>
  <c r="Z124" i="2"/>
  <c r="AC124" i="2" s="1"/>
  <c r="Z125" i="2"/>
  <c r="AC125" i="2" s="1"/>
  <c r="Z126" i="2"/>
  <c r="AC126" i="2" s="1"/>
  <c r="Z127" i="2"/>
  <c r="AC127" i="2" s="1"/>
  <c r="Z128" i="2"/>
  <c r="AC128" i="2" s="1"/>
  <c r="Z129" i="2"/>
  <c r="AC129" i="2" s="1"/>
  <c r="Z130" i="2"/>
  <c r="AC130" i="2" s="1"/>
  <c r="Z131" i="2"/>
  <c r="AC131" i="2" s="1"/>
  <c r="Z132" i="2"/>
  <c r="AC132" i="2" s="1"/>
  <c r="Z133" i="2"/>
  <c r="AC133" i="2" s="1"/>
  <c r="Z134" i="2"/>
  <c r="AC134" i="2" s="1"/>
  <c r="Z135" i="2"/>
  <c r="AC135" i="2" s="1"/>
  <c r="Z136" i="2"/>
  <c r="AC136" i="2" s="1"/>
  <c r="Z137" i="2"/>
  <c r="AC137" i="2" s="1"/>
  <c r="Z138" i="2"/>
  <c r="AC138" i="2" s="1"/>
  <c r="Z139" i="2"/>
  <c r="AC139" i="2" s="1"/>
  <c r="Z140" i="2"/>
  <c r="AC140" i="2" s="1"/>
  <c r="Z141" i="2"/>
  <c r="AC141" i="2" s="1"/>
  <c r="Z142" i="2"/>
  <c r="AC142" i="2" s="1"/>
  <c r="Z143" i="2"/>
  <c r="AC143" i="2" s="1"/>
  <c r="Z144" i="2"/>
  <c r="AC144" i="2" s="1"/>
  <c r="Z145" i="2"/>
  <c r="AC145" i="2" s="1"/>
  <c r="Z146" i="2"/>
  <c r="AC146" i="2" s="1"/>
  <c r="Z147" i="2"/>
  <c r="AC147" i="2" s="1"/>
  <c r="Z148" i="2"/>
  <c r="AC148" i="2" s="1"/>
  <c r="Z149" i="2"/>
  <c r="AC149" i="2" s="1"/>
  <c r="Z150" i="2"/>
  <c r="AC150" i="2" s="1"/>
  <c r="Z151" i="2"/>
  <c r="AC151" i="2" s="1"/>
  <c r="Z152" i="2"/>
  <c r="AC152" i="2" s="1"/>
  <c r="Z153" i="2"/>
  <c r="AC153" i="2" s="1"/>
  <c r="Z154" i="2"/>
  <c r="AC154" i="2" s="1"/>
  <c r="Z155" i="2"/>
  <c r="AC155" i="2" s="1"/>
  <c r="Z156" i="2"/>
  <c r="AC156" i="2" s="1"/>
  <c r="Z157" i="2"/>
  <c r="AC157" i="2" s="1"/>
  <c r="Z158" i="2"/>
  <c r="AC158" i="2" s="1"/>
  <c r="Z159" i="2"/>
  <c r="AC159" i="2" s="1"/>
  <c r="Z160" i="2"/>
  <c r="AC160" i="2" s="1"/>
  <c r="Z161" i="2"/>
  <c r="AC161" i="2" s="1"/>
  <c r="Z162" i="2"/>
  <c r="AC162" i="2" s="1"/>
  <c r="Z163" i="2"/>
  <c r="AC163" i="2" s="1"/>
  <c r="Z164" i="2"/>
  <c r="AC164" i="2" s="1"/>
  <c r="Z165" i="2"/>
  <c r="AC165" i="2" s="1"/>
  <c r="Z166" i="2"/>
  <c r="AC166" i="2" s="1"/>
  <c r="Z167" i="2"/>
  <c r="AC167" i="2" s="1"/>
  <c r="Z168" i="2"/>
  <c r="AC168" i="2" s="1"/>
  <c r="Z169" i="2"/>
  <c r="AC169" i="2" s="1"/>
  <c r="Z170" i="2"/>
  <c r="AC170" i="2" s="1"/>
  <c r="Z171" i="2"/>
  <c r="AC171" i="2" s="1"/>
  <c r="Z172" i="2"/>
  <c r="AC172" i="2" s="1"/>
  <c r="Z173" i="2"/>
  <c r="AC173" i="2" s="1"/>
  <c r="Z174" i="2"/>
  <c r="AC174" i="2" s="1"/>
  <c r="Z175" i="2"/>
  <c r="AC175" i="2" s="1"/>
  <c r="Z176" i="2"/>
  <c r="AC176" i="2" s="1"/>
  <c r="Z177" i="2"/>
  <c r="AC177" i="2" s="1"/>
  <c r="Z178" i="2"/>
  <c r="AC178" i="2" s="1"/>
  <c r="Z179" i="2"/>
  <c r="AC179" i="2" s="1"/>
  <c r="Z180" i="2"/>
  <c r="AC180" i="2" s="1"/>
  <c r="Z181" i="2"/>
  <c r="AC181" i="2" s="1"/>
  <c r="Z182" i="2"/>
  <c r="AC182" i="2" s="1"/>
  <c r="Z183" i="2"/>
  <c r="AC183" i="2" s="1"/>
  <c r="Z184" i="2"/>
  <c r="AC184" i="2" s="1"/>
  <c r="Z185" i="2"/>
  <c r="AC185" i="2" s="1"/>
  <c r="Z186" i="2"/>
  <c r="AC186" i="2" s="1"/>
  <c r="Z187" i="2"/>
  <c r="AC187" i="2" s="1"/>
  <c r="Z188" i="2"/>
  <c r="AC188" i="2" s="1"/>
  <c r="Z189" i="2"/>
  <c r="AC189" i="2" s="1"/>
  <c r="Z190" i="2"/>
  <c r="AC190" i="2" s="1"/>
  <c r="Z191" i="2"/>
  <c r="AC191" i="2" s="1"/>
  <c r="Z192" i="2"/>
  <c r="AC192" i="2" s="1"/>
  <c r="Z193" i="2"/>
  <c r="AC193" i="2" s="1"/>
  <c r="Z194" i="2"/>
  <c r="AC194" i="2" s="1"/>
  <c r="Z195" i="2"/>
  <c r="AC195" i="2" s="1"/>
  <c r="Z196" i="2"/>
  <c r="AC196" i="2" s="1"/>
  <c r="Z197" i="2"/>
  <c r="AC197" i="2" s="1"/>
  <c r="Z198" i="2"/>
  <c r="AC198" i="2" s="1"/>
  <c r="Z199" i="2"/>
  <c r="AC199" i="2" s="1"/>
  <c r="Z200" i="2"/>
  <c r="AC200" i="2" s="1"/>
  <c r="Z201" i="2"/>
  <c r="AC201" i="2" s="1"/>
  <c r="Z202" i="2"/>
  <c r="AC202" i="2" s="1"/>
  <c r="Z203" i="2"/>
  <c r="AC203" i="2" s="1"/>
  <c r="Z204" i="2"/>
  <c r="AC204" i="2" s="1"/>
  <c r="Z205" i="2"/>
  <c r="AC205" i="2" s="1"/>
  <c r="Z206" i="2"/>
  <c r="AC206" i="2" s="1"/>
  <c r="Z207" i="2"/>
  <c r="AC207" i="2" s="1"/>
  <c r="Z208" i="2"/>
  <c r="AC208" i="2" s="1"/>
  <c r="Z209" i="2"/>
  <c r="AC209" i="2" s="1"/>
  <c r="Z210" i="2"/>
  <c r="AC210" i="2" s="1"/>
  <c r="Z211" i="2"/>
  <c r="AC211" i="2" s="1"/>
  <c r="Z212" i="2"/>
  <c r="AC212" i="2" s="1"/>
  <c r="Z213" i="2"/>
  <c r="AC213" i="2" s="1"/>
  <c r="Z214" i="2"/>
  <c r="AC214" i="2" s="1"/>
  <c r="Z215" i="2"/>
  <c r="AC215" i="2" s="1"/>
  <c r="Z216" i="2"/>
  <c r="AC216" i="2" s="1"/>
  <c r="Z217" i="2"/>
  <c r="AC217" i="2" s="1"/>
  <c r="Z218" i="2"/>
  <c r="AC218" i="2" s="1"/>
  <c r="Z219" i="2"/>
  <c r="AC219" i="2" s="1"/>
  <c r="Z220" i="2"/>
  <c r="AC220" i="2" s="1"/>
  <c r="Z221" i="2"/>
  <c r="AC221" i="2" s="1"/>
  <c r="Z222" i="2"/>
  <c r="AC222" i="2" s="1"/>
  <c r="Z223" i="2"/>
  <c r="AC223" i="2" s="1"/>
  <c r="Z224" i="2"/>
  <c r="AC224" i="2" s="1"/>
  <c r="Z225" i="2"/>
  <c r="AC225" i="2" s="1"/>
  <c r="Z226" i="2"/>
  <c r="AC226" i="2" s="1"/>
  <c r="Z227" i="2"/>
  <c r="AC227" i="2" s="1"/>
  <c r="Z228" i="2"/>
  <c r="AC228" i="2" s="1"/>
  <c r="Z229" i="2"/>
  <c r="AC229" i="2" s="1"/>
  <c r="Z230" i="2"/>
  <c r="AC230" i="2" s="1"/>
  <c r="Z231" i="2"/>
  <c r="AC231" i="2" s="1"/>
  <c r="Z232" i="2"/>
  <c r="AC232" i="2" s="1"/>
  <c r="Z233" i="2"/>
  <c r="AC233" i="2" s="1"/>
  <c r="Z234" i="2"/>
  <c r="AC234" i="2" s="1"/>
  <c r="Z235" i="2"/>
  <c r="AC235" i="2" s="1"/>
  <c r="Z236" i="2"/>
  <c r="AC236" i="2" s="1"/>
  <c r="Z237" i="2"/>
  <c r="AC237" i="2" s="1"/>
  <c r="Z238" i="2"/>
  <c r="AC238" i="2" s="1"/>
  <c r="Z239" i="2"/>
  <c r="AC239" i="2" s="1"/>
  <c r="Z240" i="2"/>
  <c r="AC240" i="2" s="1"/>
  <c r="Z241" i="2"/>
  <c r="AC241" i="2" s="1"/>
  <c r="Z242" i="2"/>
  <c r="AC242" i="2" s="1"/>
  <c r="Z243" i="2"/>
  <c r="AC243" i="2" s="1"/>
  <c r="Z244" i="2"/>
  <c r="AC244" i="2" s="1"/>
  <c r="Z245" i="2"/>
  <c r="AC245" i="2" s="1"/>
  <c r="Z246" i="2"/>
  <c r="AC246" i="2" s="1"/>
  <c r="Z247" i="2"/>
  <c r="AC247" i="2" s="1"/>
  <c r="Z248" i="2"/>
  <c r="AC248" i="2" s="1"/>
  <c r="Z249" i="2"/>
  <c r="AC249" i="2" s="1"/>
  <c r="Z250" i="2"/>
  <c r="AC250" i="2" s="1"/>
  <c r="Z251" i="2"/>
  <c r="AC251" i="2" s="1"/>
  <c r="Z252" i="2"/>
  <c r="AC252" i="2" s="1"/>
  <c r="Z253" i="2"/>
  <c r="AC253" i="2" s="1"/>
  <c r="Z254" i="2"/>
  <c r="AC254" i="2" s="1"/>
  <c r="Z255" i="2"/>
  <c r="AC255" i="2" s="1"/>
  <c r="Z256" i="2"/>
  <c r="AC256" i="2" s="1"/>
  <c r="Z257" i="2"/>
  <c r="AC257" i="2" s="1"/>
  <c r="Z258" i="2"/>
  <c r="AC258" i="2" s="1"/>
  <c r="Z259" i="2"/>
  <c r="AC259" i="2" s="1"/>
  <c r="Z260" i="2"/>
  <c r="AC260" i="2" s="1"/>
  <c r="Z261" i="2"/>
  <c r="AC261" i="2" s="1"/>
  <c r="Z262" i="2"/>
  <c r="AC262" i="2" s="1"/>
  <c r="Z263" i="2"/>
  <c r="AC263" i="2" s="1"/>
  <c r="Z264" i="2"/>
  <c r="AC264" i="2" s="1"/>
  <c r="Z265" i="2"/>
  <c r="AC265" i="2" s="1"/>
  <c r="Z266" i="2"/>
  <c r="AC266" i="2" s="1"/>
  <c r="Z267" i="2"/>
  <c r="AC267" i="2" s="1"/>
  <c r="Z268" i="2"/>
  <c r="AC268" i="2" s="1"/>
  <c r="Z269" i="2"/>
  <c r="AC269" i="2" s="1"/>
  <c r="Z270" i="2"/>
  <c r="AC270" i="2" s="1"/>
  <c r="Z271" i="2"/>
  <c r="AC271" i="2" s="1"/>
  <c r="Z272" i="2"/>
  <c r="AC272" i="2" s="1"/>
  <c r="Z273" i="2"/>
  <c r="AC273" i="2" s="1"/>
  <c r="Z274" i="2"/>
  <c r="AC274" i="2" s="1"/>
  <c r="Z275" i="2"/>
  <c r="AC275" i="2" s="1"/>
  <c r="Z276" i="2"/>
  <c r="AC276" i="2" s="1"/>
  <c r="Z277" i="2"/>
  <c r="AC277" i="2" s="1"/>
  <c r="Z278" i="2"/>
  <c r="AC278" i="2" s="1"/>
  <c r="Z279" i="2"/>
  <c r="AC279" i="2" s="1"/>
  <c r="Z280" i="2"/>
  <c r="AC280" i="2" s="1"/>
  <c r="Z281" i="2"/>
  <c r="AC281" i="2" s="1"/>
  <c r="Z282" i="2"/>
  <c r="AC282" i="2" s="1"/>
  <c r="Z283" i="2"/>
  <c r="AC283" i="2" s="1"/>
  <c r="Z284" i="2"/>
  <c r="AC284" i="2" s="1"/>
  <c r="Z285" i="2"/>
  <c r="AC285" i="2" s="1"/>
  <c r="Z286" i="2"/>
  <c r="AC286" i="2" s="1"/>
  <c r="Z287" i="2"/>
  <c r="AC287" i="2" s="1"/>
  <c r="Z288" i="2"/>
  <c r="AC288" i="2" s="1"/>
  <c r="Z289" i="2"/>
  <c r="AC289" i="2" s="1"/>
  <c r="Z290" i="2"/>
  <c r="AC290" i="2" s="1"/>
  <c r="Z291" i="2"/>
  <c r="AC291" i="2" s="1"/>
  <c r="Z292" i="2"/>
  <c r="AC292" i="2" s="1"/>
  <c r="Z293" i="2"/>
  <c r="AC293" i="2" s="1"/>
  <c r="Z294" i="2"/>
  <c r="AC294" i="2" s="1"/>
  <c r="Z295" i="2"/>
  <c r="AC295" i="2" s="1"/>
  <c r="Z296" i="2"/>
  <c r="AC296" i="2" s="1"/>
  <c r="Z297" i="2"/>
  <c r="AC297" i="2" s="1"/>
  <c r="Z298" i="2"/>
  <c r="AC298" i="2" s="1"/>
  <c r="Z299" i="2"/>
  <c r="AC299" i="2" s="1"/>
  <c r="Z300" i="2"/>
  <c r="AC300" i="2" s="1"/>
  <c r="Z301" i="2"/>
  <c r="AC301" i="2" s="1"/>
  <c r="Z302" i="2"/>
  <c r="AC302" i="2" s="1"/>
  <c r="Z303" i="2"/>
  <c r="AC303" i="2" s="1"/>
  <c r="Z304" i="2"/>
  <c r="AC304" i="2" s="1"/>
  <c r="Z305" i="2"/>
  <c r="AC305" i="2" s="1"/>
  <c r="Z306" i="2"/>
  <c r="AC306" i="2" s="1"/>
  <c r="Z307" i="2"/>
  <c r="AC307" i="2" s="1"/>
  <c r="Z308" i="2"/>
  <c r="AC308" i="2" s="1"/>
  <c r="Z309" i="2"/>
  <c r="AC309" i="2" s="1"/>
  <c r="Z310" i="2"/>
  <c r="AC310" i="2" s="1"/>
  <c r="Z311" i="2"/>
  <c r="AC311" i="2" s="1"/>
  <c r="Z312" i="2"/>
  <c r="AC312" i="2" s="1"/>
  <c r="Z313" i="2"/>
  <c r="AC313" i="2" s="1"/>
  <c r="Z314" i="2"/>
  <c r="AC314" i="2" s="1"/>
  <c r="Z315" i="2"/>
  <c r="AC315" i="2" s="1"/>
  <c r="Z316" i="2"/>
  <c r="AC316" i="2" s="1"/>
  <c r="Z317" i="2"/>
  <c r="AC317" i="2" s="1"/>
  <c r="Z318" i="2"/>
  <c r="AC318" i="2" s="1"/>
  <c r="Z319" i="2"/>
  <c r="AC319" i="2" s="1"/>
  <c r="Z320" i="2"/>
  <c r="AC320" i="2" s="1"/>
  <c r="Z321" i="2"/>
  <c r="AC321" i="2" s="1"/>
  <c r="Z322" i="2"/>
  <c r="AC322" i="2" s="1"/>
  <c r="Z323" i="2"/>
  <c r="AC323" i="2" s="1"/>
  <c r="Z324" i="2"/>
  <c r="AC324" i="2" s="1"/>
  <c r="Z325" i="2"/>
  <c r="AC325" i="2" s="1"/>
  <c r="Z326" i="2"/>
  <c r="AC326" i="2" s="1"/>
  <c r="Z327" i="2"/>
  <c r="AC327" i="2" s="1"/>
  <c r="Z328" i="2"/>
  <c r="AC328" i="2" s="1"/>
  <c r="Z329" i="2"/>
  <c r="AC329" i="2" s="1"/>
  <c r="Z330" i="2"/>
  <c r="AC330" i="2" s="1"/>
  <c r="Z331" i="2"/>
  <c r="AC331" i="2" s="1"/>
  <c r="Z332" i="2"/>
  <c r="AC332" i="2" s="1"/>
  <c r="Z333" i="2"/>
  <c r="AC333" i="2" s="1"/>
  <c r="Z334" i="2"/>
  <c r="AC334" i="2" s="1"/>
  <c r="Z335" i="2"/>
  <c r="AC335" i="2" s="1"/>
  <c r="Z336" i="2"/>
  <c r="AC336" i="2" s="1"/>
  <c r="Z337" i="2"/>
  <c r="AC337" i="2" s="1"/>
  <c r="Z338" i="2"/>
  <c r="AC338" i="2" s="1"/>
  <c r="Z339" i="2"/>
  <c r="AC339" i="2" s="1"/>
  <c r="Z340" i="2"/>
  <c r="AC340" i="2" s="1"/>
  <c r="Z341" i="2"/>
  <c r="AC341" i="2" s="1"/>
  <c r="Z342" i="2"/>
  <c r="AC342" i="2" s="1"/>
  <c r="Z343" i="2"/>
  <c r="AC343" i="2" s="1"/>
  <c r="Z344" i="2"/>
  <c r="AC344" i="2" s="1"/>
  <c r="Z345" i="2"/>
  <c r="AC345" i="2" s="1"/>
  <c r="Z346" i="2"/>
  <c r="AC346" i="2" s="1"/>
  <c r="Z347" i="2"/>
  <c r="AC347" i="2" s="1"/>
  <c r="Z348" i="2"/>
  <c r="AC348" i="2" s="1"/>
  <c r="Z349" i="2"/>
  <c r="AC349" i="2" s="1"/>
  <c r="Z350" i="2"/>
  <c r="AC350" i="2" s="1"/>
  <c r="Z351" i="2"/>
  <c r="AC351" i="2" s="1"/>
  <c r="Z352" i="2"/>
  <c r="AC352" i="2" s="1"/>
  <c r="Z353" i="2"/>
  <c r="AC353" i="2" s="1"/>
  <c r="Z354" i="2"/>
  <c r="AC354" i="2" s="1"/>
  <c r="Z355" i="2"/>
  <c r="AC355" i="2" s="1"/>
  <c r="Z356" i="2"/>
  <c r="AC356" i="2" s="1"/>
  <c r="Z357" i="2"/>
  <c r="AC357" i="2" s="1"/>
  <c r="Z358" i="2"/>
  <c r="AC358" i="2" s="1"/>
  <c r="Z359" i="2"/>
  <c r="AC359" i="2" s="1"/>
  <c r="Z360" i="2"/>
  <c r="AC360" i="2" s="1"/>
  <c r="Z361" i="2"/>
  <c r="AC361" i="2" s="1"/>
  <c r="Z362" i="2"/>
  <c r="AC362" i="2" s="1"/>
  <c r="Z363" i="2"/>
  <c r="AC363" i="2" s="1"/>
  <c r="Z364" i="2"/>
  <c r="AC364" i="2" s="1"/>
  <c r="Z365" i="2"/>
  <c r="AC365" i="2" s="1"/>
  <c r="Z366" i="2"/>
  <c r="AC366" i="2" s="1"/>
  <c r="Z367" i="2"/>
  <c r="AC367" i="2" s="1"/>
  <c r="Z368" i="2"/>
  <c r="AC368" i="2" s="1"/>
  <c r="Z369" i="2"/>
  <c r="AC369" i="2" s="1"/>
  <c r="Z370" i="2"/>
  <c r="AC370" i="2" s="1"/>
  <c r="Z371" i="2"/>
  <c r="AC371" i="2" s="1"/>
  <c r="Z372" i="2"/>
  <c r="AC372" i="2" s="1"/>
  <c r="Z373" i="2"/>
  <c r="AC373" i="2" s="1"/>
  <c r="Z374" i="2"/>
  <c r="AC374" i="2" s="1"/>
  <c r="Z375" i="2"/>
  <c r="AC375" i="2" s="1"/>
  <c r="Z376" i="2"/>
  <c r="AC376" i="2" s="1"/>
  <c r="Z377" i="2"/>
  <c r="AC377" i="2" s="1"/>
  <c r="Z378" i="2"/>
  <c r="AC378" i="2" s="1"/>
  <c r="Z379" i="2"/>
  <c r="AC379" i="2" s="1"/>
  <c r="Z380" i="2"/>
  <c r="AC380" i="2" s="1"/>
  <c r="Z381" i="2"/>
  <c r="AC381" i="2" s="1"/>
  <c r="Z382" i="2"/>
  <c r="AC382" i="2" s="1"/>
  <c r="Z383" i="2"/>
  <c r="AC383" i="2" s="1"/>
  <c r="Z384" i="2"/>
  <c r="AC384" i="2" s="1"/>
  <c r="Z385" i="2"/>
  <c r="AC385" i="2" s="1"/>
  <c r="Z386" i="2"/>
  <c r="AC386" i="2" s="1"/>
  <c r="Z387" i="2"/>
  <c r="AC387" i="2" s="1"/>
  <c r="Z388" i="2"/>
  <c r="AC388" i="2" s="1"/>
  <c r="Z389" i="2"/>
  <c r="AC389" i="2" s="1"/>
  <c r="Z390" i="2"/>
  <c r="AC390" i="2" s="1"/>
  <c r="Z391" i="2"/>
  <c r="AC391" i="2" s="1"/>
  <c r="Z392" i="2"/>
  <c r="AC392" i="2" s="1"/>
  <c r="Z393" i="2"/>
  <c r="AC393" i="2" s="1"/>
  <c r="Z394" i="2"/>
  <c r="AC394" i="2" s="1"/>
  <c r="Z395" i="2"/>
  <c r="AC395" i="2" s="1"/>
  <c r="Z396" i="2"/>
  <c r="AC396" i="2" s="1"/>
  <c r="Z397" i="2"/>
  <c r="AC397" i="2" s="1"/>
  <c r="Z398" i="2"/>
  <c r="AC398" i="2" s="1"/>
  <c r="Z399" i="2"/>
  <c r="AC399" i="2" s="1"/>
  <c r="Z400" i="2"/>
  <c r="AC400" i="2" s="1"/>
  <c r="Z401" i="2"/>
  <c r="AC401" i="2" s="1"/>
  <c r="Z402" i="2"/>
  <c r="AC402" i="2" s="1"/>
  <c r="Z403" i="2"/>
  <c r="AC403" i="2" s="1"/>
  <c r="Z404" i="2"/>
  <c r="AC404" i="2" s="1"/>
  <c r="Z405" i="2"/>
  <c r="AC405" i="2" s="1"/>
  <c r="Z406" i="2"/>
  <c r="AC406" i="2" s="1"/>
  <c r="Z407" i="2"/>
  <c r="AC407" i="2" s="1"/>
  <c r="Z408" i="2"/>
  <c r="AC408" i="2" s="1"/>
  <c r="Z409" i="2"/>
  <c r="AC409" i="2" s="1"/>
  <c r="Z410" i="2"/>
  <c r="AC410" i="2" s="1"/>
  <c r="Z411" i="2"/>
  <c r="AC411" i="2" s="1"/>
  <c r="Z412" i="2"/>
  <c r="AC412" i="2" s="1"/>
  <c r="Z413" i="2"/>
  <c r="AC413" i="2" s="1"/>
  <c r="Z414" i="2"/>
  <c r="AC414" i="2" s="1"/>
  <c r="Z415" i="2"/>
  <c r="AC415" i="2" s="1"/>
  <c r="Z416" i="2"/>
  <c r="AC416" i="2" s="1"/>
  <c r="Z417" i="2"/>
  <c r="AC417" i="2" s="1"/>
  <c r="Z418" i="2"/>
  <c r="AC418" i="2" s="1"/>
  <c r="Z419" i="2"/>
  <c r="AC419" i="2" s="1"/>
  <c r="Z420" i="2"/>
  <c r="AC420" i="2" s="1"/>
  <c r="Z421" i="2"/>
  <c r="AC421" i="2" s="1"/>
  <c r="Z422" i="2"/>
  <c r="AC422" i="2" s="1"/>
  <c r="Z423" i="2"/>
  <c r="AC423" i="2" s="1"/>
  <c r="Z424" i="2"/>
  <c r="AC424" i="2" s="1"/>
  <c r="Z425" i="2"/>
  <c r="AC425" i="2" s="1"/>
  <c r="Z426" i="2"/>
  <c r="AC426" i="2" s="1"/>
  <c r="Z427" i="2"/>
  <c r="AC427" i="2" s="1"/>
  <c r="Z428" i="2"/>
  <c r="AC428" i="2" s="1"/>
  <c r="Z429" i="2"/>
  <c r="AC429" i="2" s="1"/>
  <c r="Z430" i="2"/>
  <c r="AC430" i="2" s="1"/>
  <c r="Z431" i="2"/>
  <c r="AC431" i="2" s="1"/>
  <c r="Z432" i="2"/>
  <c r="AC432" i="2" s="1"/>
  <c r="Z433" i="2"/>
  <c r="AC433" i="2" s="1"/>
  <c r="Z434" i="2"/>
  <c r="AC434" i="2" s="1"/>
  <c r="Z435" i="2"/>
  <c r="AC435" i="2" s="1"/>
  <c r="Z436" i="2"/>
  <c r="AC436" i="2" s="1"/>
  <c r="Z437" i="2"/>
  <c r="AC437" i="2" s="1"/>
  <c r="Z438" i="2"/>
  <c r="AC438" i="2" s="1"/>
  <c r="Z439" i="2"/>
  <c r="AC439" i="2" s="1"/>
  <c r="Z440" i="2"/>
  <c r="AC440" i="2" s="1"/>
  <c r="Z441" i="2"/>
  <c r="AC441" i="2" s="1"/>
  <c r="Z442" i="2"/>
  <c r="AC442" i="2" s="1"/>
  <c r="Z443" i="2"/>
  <c r="AC443" i="2" s="1"/>
  <c r="Z444" i="2"/>
  <c r="AC444" i="2" s="1"/>
  <c r="Z445" i="2"/>
  <c r="AC445" i="2" s="1"/>
  <c r="Z446" i="2"/>
  <c r="AC446" i="2" s="1"/>
  <c r="Z447" i="2"/>
  <c r="AC447" i="2" s="1"/>
  <c r="Z448" i="2"/>
  <c r="AC448" i="2" s="1"/>
  <c r="Z449" i="2"/>
  <c r="AC449" i="2" s="1"/>
  <c r="Z450" i="2"/>
  <c r="AC450" i="2" s="1"/>
  <c r="Z451" i="2"/>
  <c r="AC451" i="2" s="1"/>
  <c r="Z452" i="2"/>
  <c r="AC452" i="2" s="1"/>
  <c r="Z453" i="2"/>
  <c r="AC453" i="2" s="1"/>
  <c r="Z454" i="2"/>
  <c r="AC454" i="2" s="1"/>
  <c r="Z455" i="2"/>
  <c r="AC455" i="2" s="1"/>
  <c r="Z456" i="2"/>
  <c r="AC456" i="2" s="1"/>
  <c r="Z457" i="2"/>
  <c r="AC457" i="2" s="1"/>
  <c r="Z458" i="2"/>
  <c r="AC458" i="2" s="1"/>
  <c r="Z459" i="2"/>
  <c r="AC459" i="2" s="1"/>
  <c r="Z460" i="2"/>
  <c r="AC460" i="2" s="1"/>
  <c r="Z461" i="2"/>
  <c r="AC461" i="2" s="1"/>
  <c r="Z462" i="2"/>
  <c r="AC462" i="2" s="1"/>
  <c r="Z463" i="2"/>
  <c r="AC463" i="2" s="1"/>
  <c r="Z464" i="2"/>
  <c r="AC464" i="2" s="1"/>
  <c r="Z465" i="2"/>
  <c r="AC465" i="2" s="1"/>
  <c r="Z466" i="2"/>
  <c r="AC466" i="2" s="1"/>
  <c r="Z467" i="2"/>
  <c r="AC467" i="2" s="1"/>
  <c r="Z468" i="2"/>
  <c r="AC468" i="2" s="1"/>
  <c r="Z469" i="2"/>
  <c r="AC469" i="2" s="1"/>
  <c r="Z470" i="2"/>
  <c r="AC470" i="2" s="1"/>
  <c r="Z471" i="2"/>
  <c r="AC471" i="2" s="1"/>
  <c r="Z472" i="2"/>
  <c r="AC472" i="2" s="1"/>
  <c r="Z473" i="2"/>
  <c r="AC473" i="2" s="1"/>
  <c r="Z474" i="2"/>
  <c r="AC474" i="2" s="1"/>
  <c r="Z475" i="2"/>
  <c r="AC475" i="2" s="1"/>
  <c r="Z476" i="2"/>
  <c r="AC476" i="2" s="1"/>
  <c r="Z477" i="2"/>
  <c r="AC477" i="2" s="1"/>
  <c r="Z478" i="2"/>
  <c r="AC478" i="2" s="1"/>
  <c r="Z479" i="2"/>
  <c r="AC479" i="2" s="1"/>
  <c r="Z480" i="2"/>
  <c r="AC480" i="2" s="1"/>
  <c r="Z481" i="2"/>
  <c r="AC481" i="2" s="1"/>
  <c r="Z482" i="2"/>
  <c r="AC482" i="2" s="1"/>
  <c r="Z483" i="2"/>
  <c r="AC483" i="2" s="1"/>
  <c r="Z484" i="2"/>
  <c r="AC484" i="2" s="1"/>
  <c r="Z485" i="2"/>
  <c r="AC485" i="2" s="1"/>
  <c r="Z486" i="2"/>
  <c r="AC486" i="2" s="1"/>
  <c r="Z487" i="2"/>
  <c r="AC487" i="2" s="1"/>
  <c r="Z488" i="2"/>
  <c r="AC488" i="2" s="1"/>
  <c r="Z489" i="2"/>
  <c r="AC489" i="2" s="1"/>
  <c r="Z490" i="2"/>
  <c r="AC490" i="2" s="1"/>
  <c r="Z491" i="2"/>
  <c r="AC491" i="2" s="1"/>
  <c r="Z492" i="2"/>
  <c r="AC492" i="2" s="1"/>
  <c r="Z493" i="2"/>
  <c r="AC493" i="2" s="1"/>
  <c r="Z494" i="2"/>
  <c r="AC494" i="2" s="1"/>
  <c r="Z495" i="2"/>
  <c r="AC495" i="2" s="1"/>
  <c r="Z496" i="2"/>
  <c r="AC496" i="2" s="1"/>
  <c r="Z497" i="2"/>
  <c r="AC497" i="2" s="1"/>
  <c r="Z498" i="2"/>
  <c r="AC498" i="2" s="1"/>
  <c r="Z499" i="2"/>
  <c r="AC499" i="2" s="1"/>
  <c r="Z500" i="2"/>
  <c r="AC500" i="2" s="1"/>
  <c r="Z501" i="2"/>
  <c r="AC501" i="2" s="1"/>
  <c r="Z502" i="2"/>
  <c r="AC502" i="2" s="1"/>
  <c r="Z503" i="2"/>
  <c r="AC503" i="2" s="1"/>
  <c r="Z504" i="2"/>
  <c r="AC504" i="2" s="1"/>
  <c r="Z505" i="2"/>
  <c r="AC505" i="2" s="1"/>
  <c r="Z506" i="2"/>
  <c r="AC506" i="2" s="1"/>
  <c r="Z507" i="2"/>
  <c r="AC507" i="2" s="1"/>
  <c r="Z508" i="2"/>
  <c r="AC508" i="2" s="1"/>
  <c r="Z509" i="2"/>
  <c r="AC509" i="2" s="1"/>
  <c r="Z510" i="2"/>
  <c r="AC510" i="2" s="1"/>
  <c r="Z511" i="2"/>
  <c r="AC511" i="2" s="1"/>
  <c r="Z512" i="2"/>
  <c r="AC512" i="2" s="1"/>
  <c r="Z513" i="2"/>
  <c r="AC513" i="2" s="1"/>
  <c r="Z514" i="2"/>
  <c r="AC514" i="2" s="1"/>
  <c r="Z515" i="2"/>
  <c r="AC515" i="2" s="1"/>
  <c r="Z516" i="2"/>
  <c r="AC516" i="2" s="1"/>
  <c r="Z517" i="2"/>
  <c r="AC517" i="2" s="1"/>
  <c r="Z518" i="2"/>
  <c r="AC518" i="2" s="1"/>
  <c r="Z519" i="2"/>
  <c r="AC519" i="2" s="1"/>
  <c r="Z520" i="2"/>
  <c r="AC520" i="2" s="1"/>
  <c r="Z521" i="2"/>
  <c r="AC521" i="2" s="1"/>
  <c r="Z522" i="2"/>
  <c r="AC522" i="2" s="1"/>
  <c r="Z523" i="2"/>
  <c r="AC523" i="2" s="1"/>
  <c r="Z524" i="2"/>
  <c r="AC524" i="2" s="1"/>
  <c r="Z525" i="2"/>
  <c r="AC525" i="2" s="1"/>
  <c r="Z526" i="2"/>
  <c r="AC526" i="2" s="1"/>
  <c r="Z527" i="2"/>
  <c r="AC527" i="2" s="1"/>
  <c r="Z528" i="2"/>
  <c r="AC528" i="2" s="1"/>
  <c r="Z529" i="2"/>
  <c r="AC529" i="2" s="1"/>
  <c r="Z530" i="2"/>
  <c r="AC530" i="2" s="1"/>
  <c r="Z531" i="2"/>
  <c r="AC531" i="2" s="1"/>
  <c r="Z532" i="2"/>
  <c r="AC532" i="2" s="1"/>
  <c r="Z533" i="2"/>
  <c r="AC533" i="2" s="1"/>
  <c r="Z534" i="2"/>
  <c r="AC534" i="2" s="1"/>
  <c r="Z535" i="2"/>
  <c r="AC535" i="2" s="1"/>
  <c r="Z536" i="2"/>
  <c r="AC536" i="2" s="1"/>
  <c r="Z537" i="2"/>
  <c r="AC537" i="2" s="1"/>
  <c r="Z538" i="2"/>
  <c r="AC538" i="2" s="1"/>
  <c r="Z539" i="2"/>
  <c r="AC539" i="2" s="1"/>
  <c r="Z540" i="2"/>
  <c r="AC540" i="2" s="1"/>
  <c r="Z541" i="2"/>
  <c r="AC541" i="2" s="1"/>
  <c r="Z542" i="2"/>
  <c r="AC542" i="2" s="1"/>
  <c r="Z543" i="2"/>
  <c r="AC543" i="2" s="1"/>
  <c r="Z544" i="2"/>
  <c r="AC544" i="2" s="1"/>
  <c r="Z545" i="2"/>
  <c r="AC545" i="2" s="1"/>
  <c r="Z546" i="2"/>
  <c r="AC546" i="2" s="1"/>
  <c r="Z547" i="2"/>
  <c r="AC547" i="2" s="1"/>
  <c r="Z548" i="2"/>
  <c r="AC548" i="2" s="1"/>
  <c r="Z549" i="2"/>
  <c r="AC549" i="2" s="1"/>
  <c r="Z550" i="2"/>
  <c r="AC550" i="2" s="1"/>
  <c r="Z551" i="2"/>
  <c r="AC551" i="2" s="1"/>
  <c r="Z552" i="2"/>
  <c r="AC552" i="2" s="1"/>
  <c r="Z553" i="2"/>
  <c r="AC553" i="2" s="1"/>
  <c r="Z554" i="2"/>
  <c r="AC554" i="2" s="1"/>
  <c r="Z555" i="2"/>
  <c r="AC555" i="2" s="1"/>
  <c r="Z556" i="2"/>
  <c r="AC556" i="2" s="1"/>
  <c r="Z557" i="2"/>
  <c r="AC557" i="2" s="1"/>
  <c r="Z558" i="2"/>
  <c r="AC558" i="2" s="1"/>
  <c r="Z559" i="2"/>
  <c r="AC559" i="2" s="1"/>
  <c r="Z560" i="2"/>
  <c r="AC560" i="2" s="1"/>
  <c r="Z561" i="2"/>
  <c r="AC561" i="2" s="1"/>
  <c r="Z562" i="2"/>
  <c r="AC562" i="2" s="1"/>
  <c r="Z563" i="2"/>
  <c r="AC563" i="2" s="1"/>
  <c r="Z564" i="2"/>
  <c r="AC564" i="2" s="1"/>
  <c r="Z565" i="2"/>
  <c r="AC565" i="2" s="1"/>
  <c r="Z566" i="2"/>
  <c r="AC566" i="2" s="1"/>
  <c r="Z567" i="2"/>
  <c r="AC567" i="2" s="1"/>
  <c r="Z568" i="2"/>
  <c r="AC568" i="2" s="1"/>
  <c r="Z569" i="2"/>
  <c r="AC569" i="2" s="1"/>
  <c r="Z570" i="2"/>
  <c r="AC570" i="2" s="1"/>
  <c r="Z571" i="2"/>
  <c r="AC571" i="2" s="1"/>
  <c r="Z572" i="2"/>
  <c r="AC572" i="2" s="1"/>
  <c r="Z573" i="2"/>
  <c r="AC573" i="2" s="1"/>
  <c r="Z574" i="2"/>
  <c r="AC574" i="2" s="1"/>
  <c r="Z575" i="2"/>
  <c r="AC575" i="2" s="1"/>
  <c r="Z576" i="2"/>
  <c r="AC576" i="2" s="1"/>
  <c r="Z577" i="2"/>
  <c r="AC577" i="2" s="1"/>
  <c r="Z578" i="2"/>
  <c r="AC578" i="2" s="1"/>
  <c r="Z579" i="2"/>
  <c r="AC579" i="2" s="1"/>
  <c r="Z580" i="2"/>
  <c r="AC580" i="2" s="1"/>
  <c r="Z581" i="2"/>
  <c r="AC581" i="2" s="1"/>
  <c r="Z582" i="2"/>
  <c r="AC582" i="2" s="1"/>
  <c r="Z583" i="2"/>
  <c r="AC583" i="2" s="1"/>
  <c r="Z584" i="2"/>
  <c r="AC584" i="2" s="1"/>
  <c r="Z585" i="2"/>
  <c r="AC585" i="2" s="1"/>
  <c r="Z586" i="2"/>
  <c r="AC586" i="2" s="1"/>
  <c r="Z587" i="2"/>
  <c r="AC587" i="2" s="1"/>
  <c r="Z588" i="2"/>
  <c r="AC588" i="2" s="1"/>
  <c r="Z589" i="2"/>
  <c r="AC589" i="2" s="1"/>
  <c r="Z590" i="2"/>
  <c r="AC590" i="2" s="1"/>
  <c r="Z591" i="2"/>
  <c r="AC591" i="2" s="1"/>
  <c r="Z592" i="2"/>
  <c r="AC592" i="2" s="1"/>
  <c r="Z593" i="2"/>
  <c r="AC593" i="2" s="1"/>
  <c r="Z594" i="2"/>
  <c r="AC594" i="2" s="1"/>
  <c r="Z595" i="2"/>
  <c r="AC595" i="2" s="1"/>
  <c r="Z596" i="2"/>
  <c r="AC596" i="2" s="1"/>
  <c r="Z597" i="2"/>
  <c r="AC597" i="2" s="1"/>
  <c r="Z598" i="2"/>
  <c r="AC598" i="2" s="1"/>
  <c r="Z599" i="2"/>
  <c r="AC599" i="2" s="1"/>
  <c r="Z600" i="2"/>
  <c r="AC600" i="2" s="1"/>
  <c r="Z601" i="2"/>
  <c r="AC601" i="2" s="1"/>
  <c r="Z602" i="2"/>
  <c r="AC602" i="2" s="1"/>
  <c r="Z603" i="2"/>
  <c r="AC603" i="2" s="1"/>
  <c r="Z604" i="2"/>
  <c r="AC604" i="2" s="1"/>
  <c r="Z605" i="2"/>
  <c r="AC605" i="2" s="1"/>
  <c r="Z606" i="2"/>
  <c r="AC606" i="2" s="1"/>
  <c r="Z607" i="2"/>
  <c r="AC607" i="2" s="1"/>
  <c r="Z608" i="2"/>
  <c r="AC608" i="2" s="1"/>
  <c r="Z609" i="2"/>
  <c r="AC609" i="2" s="1"/>
  <c r="Z610" i="2"/>
  <c r="AC610" i="2" s="1"/>
  <c r="Z611" i="2"/>
  <c r="AC611" i="2" s="1"/>
  <c r="Z612" i="2"/>
  <c r="AC612" i="2" s="1"/>
  <c r="Z613" i="2"/>
  <c r="AC613" i="2" s="1"/>
  <c r="Z614" i="2"/>
  <c r="AC614" i="2" s="1"/>
  <c r="Z615" i="2"/>
  <c r="AC615" i="2" s="1"/>
  <c r="Z616" i="2"/>
  <c r="AC616" i="2" s="1"/>
  <c r="Z617" i="2"/>
  <c r="AC617" i="2" s="1"/>
  <c r="Z618" i="2"/>
  <c r="AC618" i="2" s="1"/>
  <c r="Z619" i="2"/>
  <c r="AC619" i="2" s="1"/>
  <c r="Z620" i="2"/>
  <c r="AC620" i="2" s="1"/>
  <c r="Z621" i="2"/>
  <c r="AC621" i="2" s="1"/>
  <c r="Z622" i="2"/>
  <c r="AC622" i="2" s="1"/>
  <c r="Z623" i="2"/>
  <c r="AC623" i="2" s="1"/>
  <c r="Z624" i="2"/>
  <c r="AC624" i="2" s="1"/>
  <c r="Z625" i="2"/>
  <c r="AC625" i="2" s="1"/>
  <c r="Z626" i="2"/>
  <c r="AC626" i="2" s="1"/>
  <c r="Z627" i="2"/>
  <c r="AC627" i="2" s="1"/>
  <c r="Z628" i="2"/>
  <c r="AC628" i="2" s="1"/>
  <c r="Z629" i="2"/>
  <c r="AC629" i="2" s="1"/>
  <c r="Z630" i="2"/>
  <c r="AC630" i="2" s="1"/>
  <c r="Z631" i="2"/>
  <c r="AC631" i="2" s="1"/>
  <c r="Z632" i="2"/>
  <c r="AC632" i="2" s="1"/>
  <c r="Z633" i="2"/>
  <c r="AC633" i="2" s="1"/>
  <c r="Z634" i="2"/>
  <c r="AC634" i="2" s="1"/>
  <c r="Z635" i="2"/>
  <c r="AC635" i="2" s="1"/>
  <c r="Z636" i="2"/>
  <c r="AC636" i="2" s="1"/>
  <c r="Z637" i="2"/>
  <c r="AC637" i="2" s="1"/>
  <c r="Z638" i="2"/>
  <c r="AC638" i="2" s="1"/>
  <c r="Z639" i="2"/>
  <c r="AC639" i="2" s="1"/>
  <c r="Z640" i="2"/>
  <c r="AC640" i="2" s="1"/>
  <c r="Z641" i="2"/>
  <c r="AC641" i="2" s="1"/>
  <c r="Z642" i="2"/>
  <c r="AC642" i="2" s="1"/>
  <c r="Z643" i="2"/>
  <c r="AC643" i="2" s="1"/>
  <c r="Z644" i="2"/>
  <c r="AC644" i="2" s="1"/>
  <c r="Z645" i="2"/>
  <c r="AC645" i="2" s="1"/>
  <c r="Z646" i="2"/>
  <c r="AC646" i="2" s="1"/>
  <c r="Z647" i="2"/>
  <c r="AC647" i="2" s="1"/>
  <c r="Z648" i="2"/>
  <c r="AC648" i="2" s="1"/>
  <c r="Z649" i="2"/>
  <c r="AC649" i="2" s="1"/>
  <c r="Z650" i="2"/>
  <c r="AC650" i="2" s="1"/>
  <c r="Z651" i="2"/>
  <c r="AC651" i="2" s="1"/>
  <c r="Z652" i="2"/>
  <c r="AC652" i="2" s="1"/>
  <c r="Z653" i="2"/>
  <c r="AC653" i="2" s="1"/>
  <c r="Z654" i="2"/>
  <c r="AC654" i="2" s="1"/>
  <c r="Z655" i="2"/>
  <c r="AC655" i="2" s="1"/>
  <c r="Z656" i="2"/>
  <c r="AC656" i="2" s="1"/>
  <c r="Z657" i="2"/>
  <c r="AC657" i="2" s="1"/>
  <c r="Z658" i="2"/>
  <c r="AC658" i="2" s="1"/>
  <c r="Z659" i="2"/>
  <c r="AC659" i="2" s="1"/>
  <c r="Z660" i="2"/>
  <c r="AC660" i="2" s="1"/>
  <c r="Z661" i="2"/>
  <c r="AC661" i="2" s="1"/>
  <c r="Z662" i="2"/>
  <c r="AC662" i="2" s="1"/>
  <c r="Z663" i="2"/>
  <c r="AC663" i="2" s="1"/>
  <c r="Z664" i="2"/>
  <c r="AC664" i="2" s="1"/>
  <c r="Z665" i="2"/>
  <c r="AC665" i="2" s="1"/>
  <c r="Z666" i="2"/>
  <c r="AC666" i="2" s="1"/>
  <c r="Z667" i="2"/>
  <c r="AC667" i="2" s="1"/>
  <c r="Z668" i="2"/>
  <c r="AC668" i="2" s="1"/>
  <c r="Z669" i="2"/>
  <c r="AC669" i="2" s="1"/>
  <c r="Z670" i="2"/>
  <c r="AC670" i="2" s="1"/>
  <c r="Z671" i="2"/>
  <c r="AC671" i="2" s="1"/>
  <c r="Z672" i="2"/>
  <c r="AC672" i="2" s="1"/>
  <c r="Z673" i="2"/>
  <c r="AC673" i="2" s="1"/>
  <c r="Z674" i="2"/>
  <c r="AC674" i="2" s="1"/>
  <c r="Z675" i="2"/>
  <c r="AC675" i="2" s="1"/>
  <c r="Z676" i="2"/>
  <c r="AC676" i="2" s="1"/>
  <c r="Z677" i="2"/>
  <c r="AC677" i="2" s="1"/>
  <c r="Z678" i="2"/>
  <c r="AC678" i="2" s="1"/>
  <c r="Z679" i="2"/>
  <c r="AC679" i="2" s="1"/>
  <c r="Z680" i="2"/>
  <c r="AC680" i="2" s="1"/>
  <c r="Z681" i="2"/>
  <c r="AC681" i="2" s="1"/>
  <c r="Z682" i="2"/>
  <c r="AC682" i="2" s="1"/>
  <c r="Z683" i="2"/>
  <c r="AC683" i="2" s="1"/>
  <c r="Z684" i="2"/>
  <c r="AC684" i="2" s="1"/>
  <c r="Z685" i="2"/>
  <c r="AC685" i="2" s="1"/>
  <c r="Z686" i="2"/>
  <c r="AC686" i="2" s="1"/>
  <c r="Z687" i="2"/>
  <c r="AC687" i="2" s="1"/>
  <c r="Z688" i="2"/>
  <c r="AC688" i="2" s="1"/>
  <c r="Z689" i="2"/>
  <c r="AC689" i="2" s="1"/>
  <c r="Z690" i="2"/>
  <c r="AC690" i="2" s="1"/>
  <c r="Z691" i="2"/>
  <c r="AC691" i="2" s="1"/>
  <c r="Z692" i="2"/>
  <c r="AC692" i="2" s="1"/>
  <c r="Z693" i="2"/>
  <c r="AC693" i="2" s="1"/>
  <c r="Z694" i="2"/>
  <c r="AC694" i="2" s="1"/>
  <c r="Z695" i="2"/>
  <c r="AC695" i="2" s="1"/>
  <c r="Z696" i="2"/>
  <c r="AC696" i="2" s="1"/>
  <c r="Z697" i="2"/>
  <c r="AC697" i="2" s="1"/>
  <c r="Z698" i="2"/>
  <c r="AC698" i="2" s="1"/>
  <c r="Z699" i="2"/>
  <c r="AC699" i="2" s="1"/>
  <c r="Z700" i="2"/>
  <c r="AC700" i="2" s="1"/>
  <c r="Z701" i="2"/>
  <c r="AC701" i="2" s="1"/>
  <c r="Z702" i="2"/>
  <c r="AC702" i="2" s="1"/>
  <c r="Z703" i="2"/>
  <c r="AC703" i="2" s="1"/>
  <c r="Z704" i="2"/>
  <c r="AC704" i="2" s="1"/>
  <c r="Z705" i="2"/>
  <c r="AC705" i="2" s="1"/>
  <c r="Z706" i="2"/>
  <c r="AC706" i="2" s="1"/>
  <c r="Z707" i="2"/>
  <c r="AC707" i="2" s="1"/>
  <c r="Z708" i="2"/>
  <c r="AC708" i="2" s="1"/>
  <c r="Z709" i="2"/>
  <c r="AC709" i="2" s="1"/>
  <c r="Z710" i="2"/>
  <c r="AC710" i="2" s="1"/>
  <c r="Z711" i="2"/>
  <c r="AC711" i="2" s="1"/>
  <c r="Z712" i="2"/>
  <c r="AC712" i="2" s="1"/>
  <c r="Z713" i="2"/>
  <c r="AC713" i="2" s="1"/>
  <c r="Z714" i="2"/>
  <c r="AC714" i="2" s="1"/>
  <c r="Z715" i="2"/>
  <c r="AC715" i="2" s="1"/>
  <c r="Z716" i="2"/>
  <c r="AC716" i="2" s="1"/>
  <c r="Z717" i="2"/>
  <c r="AC717" i="2" s="1"/>
  <c r="Z718" i="2"/>
  <c r="AC718" i="2" s="1"/>
  <c r="Z719" i="2"/>
  <c r="AC719" i="2" s="1"/>
  <c r="Z720" i="2"/>
  <c r="AC720" i="2" s="1"/>
  <c r="Z721" i="2"/>
  <c r="AC721" i="2" s="1"/>
  <c r="Z722" i="2"/>
  <c r="AC722" i="2" s="1"/>
  <c r="Z723" i="2"/>
  <c r="AC723" i="2" s="1"/>
  <c r="Z724" i="2"/>
  <c r="AC724" i="2" s="1"/>
  <c r="Z725" i="2"/>
  <c r="AC725" i="2" s="1"/>
  <c r="Z726" i="2"/>
  <c r="AC726" i="2" s="1"/>
  <c r="Z727" i="2"/>
  <c r="AC727" i="2" s="1"/>
  <c r="Z728" i="2"/>
  <c r="AC728" i="2" s="1"/>
  <c r="Z729" i="2"/>
  <c r="AC729" i="2" s="1"/>
  <c r="Z730" i="2"/>
  <c r="AC730" i="2" s="1"/>
  <c r="Z731" i="2"/>
  <c r="AC731" i="2" s="1"/>
  <c r="Z732" i="2"/>
  <c r="AC732" i="2" s="1"/>
  <c r="Z733" i="2"/>
  <c r="AC733" i="2" s="1"/>
  <c r="Z734" i="2"/>
  <c r="AC734" i="2" s="1"/>
  <c r="Z735" i="2"/>
  <c r="AC735" i="2" s="1"/>
  <c r="Z736" i="2"/>
  <c r="AC736" i="2" s="1"/>
  <c r="Z737" i="2"/>
  <c r="AC737" i="2" s="1"/>
  <c r="Z738" i="2"/>
  <c r="AC738" i="2" s="1"/>
  <c r="Z739" i="2"/>
  <c r="AC739" i="2" s="1"/>
  <c r="Z740" i="2"/>
  <c r="AC740" i="2" s="1"/>
  <c r="Z741" i="2"/>
  <c r="AC741" i="2" s="1"/>
  <c r="Z742" i="2"/>
  <c r="AC742" i="2" s="1"/>
  <c r="Z743" i="2"/>
  <c r="AC743" i="2" s="1"/>
  <c r="Z744" i="2"/>
  <c r="AC744" i="2" s="1"/>
  <c r="Z745" i="2"/>
  <c r="AC745" i="2" s="1"/>
  <c r="Z746" i="2"/>
  <c r="AC746" i="2" s="1"/>
  <c r="Z747" i="2"/>
  <c r="AC747" i="2" s="1"/>
  <c r="Z748" i="2"/>
  <c r="AC748" i="2" s="1"/>
  <c r="Z749" i="2"/>
  <c r="AC749" i="2" s="1"/>
  <c r="Z750" i="2"/>
  <c r="AC750" i="2" s="1"/>
  <c r="Z751" i="2"/>
  <c r="AC751" i="2" s="1"/>
  <c r="Z752" i="2"/>
  <c r="AC752" i="2" s="1"/>
  <c r="Z753" i="2"/>
  <c r="AC753" i="2" s="1"/>
  <c r="Z754" i="2"/>
  <c r="AC754" i="2" s="1"/>
  <c r="Z755" i="2"/>
  <c r="AC755" i="2" s="1"/>
  <c r="Z756" i="2"/>
  <c r="AC756" i="2" s="1"/>
  <c r="Z757" i="2"/>
  <c r="AC757" i="2" s="1"/>
  <c r="Z758" i="2"/>
  <c r="AC758" i="2" s="1"/>
  <c r="Z759" i="2"/>
  <c r="AC759" i="2" s="1"/>
  <c r="Z760" i="2"/>
  <c r="AC760" i="2" s="1"/>
  <c r="Z761" i="2"/>
  <c r="AC761" i="2" s="1"/>
  <c r="Z762" i="2"/>
  <c r="AC762" i="2" s="1"/>
  <c r="Z763" i="2"/>
  <c r="AC763" i="2" s="1"/>
  <c r="Z764" i="2"/>
  <c r="AC764" i="2" s="1"/>
  <c r="Z765" i="2"/>
  <c r="AC765" i="2" s="1"/>
  <c r="Z766" i="2"/>
  <c r="AC766" i="2" s="1"/>
  <c r="Z767" i="2"/>
  <c r="AC767" i="2" s="1"/>
  <c r="Z768" i="2"/>
  <c r="AC768" i="2" s="1"/>
  <c r="Z769" i="2"/>
  <c r="AC769" i="2" s="1"/>
  <c r="Z770" i="2"/>
  <c r="AC770" i="2" s="1"/>
  <c r="Z771" i="2"/>
  <c r="AC771" i="2" s="1"/>
  <c r="Z772" i="2"/>
  <c r="AC772" i="2" s="1"/>
  <c r="Z773" i="2"/>
  <c r="AC773" i="2" s="1"/>
  <c r="Z774" i="2"/>
  <c r="AC774" i="2" s="1"/>
  <c r="Z775" i="2"/>
  <c r="AC775" i="2" s="1"/>
  <c r="Z776" i="2"/>
  <c r="AC776" i="2" s="1"/>
  <c r="Z777" i="2"/>
  <c r="AC777" i="2" s="1"/>
  <c r="Z778" i="2"/>
  <c r="AC778" i="2" s="1"/>
  <c r="Z779" i="2"/>
  <c r="AC779" i="2" s="1"/>
  <c r="Z780" i="2"/>
  <c r="AC780" i="2" s="1"/>
  <c r="Z781" i="2"/>
  <c r="AC781" i="2" s="1"/>
  <c r="Z782" i="2"/>
  <c r="AC782" i="2" s="1"/>
  <c r="Z783" i="2"/>
  <c r="AC783" i="2" s="1"/>
  <c r="Z784" i="2"/>
  <c r="AC784" i="2" s="1"/>
  <c r="Z785" i="2"/>
  <c r="AC785" i="2" s="1"/>
  <c r="Z786" i="2"/>
  <c r="AC786" i="2" s="1"/>
  <c r="Z787" i="2"/>
  <c r="AC787" i="2" s="1"/>
  <c r="Z788" i="2"/>
  <c r="AC788" i="2" s="1"/>
  <c r="Z789" i="2"/>
  <c r="AC789" i="2" s="1"/>
  <c r="Z790" i="2"/>
  <c r="AC790" i="2" s="1"/>
  <c r="Z791" i="2"/>
  <c r="AC791" i="2" s="1"/>
  <c r="Z792" i="2"/>
  <c r="AC792" i="2" s="1"/>
  <c r="Z793" i="2"/>
  <c r="AC793" i="2" s="1"/>
  <c r="Z794" i="2"/>
  <c r="AC794" i="2" s="1"/>
  <c r="Z795" i="2"/>
  <c r="AC795" i="2" s="1"/>
  <c r="Z796" i="2"/>
  <c r="AC796" i="2" s="1"/>
  <c r="Z797" i="2"/>
  <c r="AC797" i="2" s="1"/>
  <c r="Z798" i="2"/>
  <c r="AC798" i="2" s="1"/>
  <c r="Z799" i="2"/>
  <c r="AC799" i="2" s="1"/>
  <c r="Z800" i="2"/>
  <c r="AC800" i="2" s="1"/>
  <c r="Z801" i="2"/>
  <c r="AC801" i="2" s="1"/>
  <c r="Z802" i="2"/>
  <c r="AC802" i="2" s="1"/>
  <c r="Z803" i="2"/>
  <c r="AC803" i="2" s="1"/>
  <c r="Z804" i="2"/>
  <c r="AC804" i="2" s="1"/>
  <c r="Z805" i="2"/>
  <c r="AC805" i="2" s="1"/>
  <c r="Z806" i="2"/>
  <c r="AC806" i="2" s="1"/>
  <c r="Z807" i="2"/>
  <c r="AC807" i="2" s="1"/>
  <c r="Z808" i="2"/>
  <c r="AC808" i="2" s="1"/>
  <c r="Z809" i="2"/>
  <c r="AC809" i="2" s="1"/>
  <c r="Z810" i="2"/>
  <c r="AC810" i="2" s="1"/>
  <c r="Z811" i="2"/>
  <c r="AC811" i="2" s="1"/>
  <c r="Z812" i="2"/>
  <c r="AC812" i="2" s="1"/>
  <c r="Z813" i="2"/>
  <c r="AC813" i="2" s="1"/>
  <c r="Z814" i="2"/>
  <c r="AC814" i="2" s="1"/>
  <c r="Z815" i="2"/>
  <c r="AC815" i="2" s="1"/>
  <c r="Z816" i="2"/>
  <c r="AC816" i="2" s="1"/>
  <c r="Z817" i="2"/>
  <c r="AC817" i="2" s="1"/>
  <c r="Z818" i="2"/>
  <c r="AC818" i="2" s="1"/>
  <c r="Z819" i="2"/>
  <c r="AC819" i="2" s="1"/>
  <c r="Z820" i="2"/>
  <c r="AC820" i="2" s="1"/>
  <c r="Z821" i="2"/>
  <c r="AC821" i="2" s="1"/>
  <c r="Z822" i="2"/>
  <c r="AC822" i="2" s="1"/>
  <c r="Z823" i="2"/>
  <c r="AC823" i="2" s="1"/>
  <c r="Z824" i="2"/>
  <c r="AC824" i="2" s="1"/>
  <c r="Z825" i="2"/>
  <c r="AC825" i="2" s="1"/>
  <c r="Z826" i="2"/>
  <c r="AC826" i="2" s="1"/>
  <c r="Z827" i="2"/>
  <c r="AC827" i="2" s="1"/>
  <c r="Z828" i="2"/>
  <c r="AC828" i="2" s="1"/>
  <c r="Z829" i="2"/>
  <c r="AC829" i="2" s="1"/>
  <c r="Z830" i="2"/>
  <c r="AC830" i="2" s="1"/>
  <c r="Z831" i="2"/>
  <c r="AC831" i="2" s="1"/>
  <c r="Z832" i="2"/>
  <c r="AC832" i="2" s="1"/>
  <c r="Z833" i="2"/>
  <c r="AC833" i="2" s="1"/>
  <c r="Z834" i="2"/>
  <c r="AC834" i="2" s="1"/>
  <c r="Z835" i="2"/>
  <c r="AC835" i="2" s="1"/>
  <c r="Z836" i="2"/>
  <c r="AC836" i="2" s="1"/>
  <c r="Z837" i="2"/>
  <c r="AC837" i="2" s="1"/>
  <c r="Z838" i="2"/>
  <c r="AC838" i="2" s="1"/>
  <c r="Z839" i="2"/>
  <c r="AC839" i="2" s="1"/>
  <c r="Z840" i="2"/>
  <c r="AC840" i="2" s="1"/>
  <c r="Z841" i="2"/>
  <c r="AC841" i="2" s="1"/>
  <c r="Z842" i="2"/>
  <c r="AC842" i="2" s="1"/>
  <c r="Z843" i="2"/>
  <c r="AC843" i="2" s="1"/>
  <c r="Z844" i="2"/>
  <c r="AC844" i="2" s="1"/>
  <c r="Z845" i="2"/>
  <c r="AC845" i="2" s="1"/>
  <c r="Z846" i="2"/>
  <c r="AC846" i="2" s="1"/>
  <c r="Z847" i="2"/>
  <c r="AC847" i="2" s="1"/>
  <c r="Z848" i="2"/>
  <c r="AC848" i="2" s="1"/>
  <c r="Z849" i="2"/>
  <c r="AC849" i="2" s="1"/>
  <c r="Z850" i="2"/>
  <c r="AC850" i="2" s="1"/>
  <c r="Z851" i="2"/>
  <c r="AC851" i="2" s="1"/>
  <c r="Z852" i="2"/>
  <c r="AC852" i="2" s="1"/>
  <c r="Z853" i="2"/>
  <c r="AC853" i="2" s="1"/>
  <c r="Z854" i="2"/>
  <c r="AC854" i="2" s="1"/>
  <c r="Z855" i="2"/>
  <c r="AC855" i="2" s="1"/>
  <c r="Z856" i="2"/>
  <c r="AC856" i="2" s="1"/>
  <c r="Z857" i="2"/>
  <c r="AC857" i="2" s="1"/>
  <c r="Z858" i="2"/>
  <c r="AC858" i="2" s="1"/>
  <c r="Z859" i="2"/>
  <c r="AC859" i="2" s="1"/>
  <c r="Z860" i="2"/>
  <c r="AC860" i="2" s="1"/>
  <c r="Z861" i="2"/>
  <c r="AC861" i="2" s="1"/>
  <c r="Z862" i="2"/>
  <c r="AC862" i="2" s="1"/>
  <c r="Z863" i="2"/>
  <c r="AC863" i="2" s="1"/>
  <c r="Z864" i="2"/>
  <c r="AC864" i="2" s="1"/>
  <c r="Z865" i="2"/>
  <c r="AC865" i="2" s="1"/>
  <c r="Z866" i="2"/>
  <c r="AC866" i="2" s="1"/>
  <c r="Z867" i="2"/>
  <c r="AC867" i="2" s="1"/>
  <c r="Z868" i="2"/>
  <c r="AC868" i="2" s="1"/>
  <c r="Z869" i="2"/>
  <c r="AC869" i="2" s="1"/>
  <c r="Z870" i="2"/>
  <c r="AC870" i="2" s="1"/>
  <c r="Z871" i="2"/>
  <c r="AC871" i="2" s="1"/>
  <c r="Z872" i="2"/>
  <c r="AC872" i="2" s="1"/>
  <c r="Z873" i="2"/>
  <c r="AC873" i="2" s="1"/>
  <c r="Z874" i="2"/>
  <c r="AC874" i="2" s="1"/>
  <c r="Z875" i="2"/>
  <c r="AC875" i="2" s="1"/>
  <c r="Z876" i="2"/>
  <c r="AC876" i="2" s="1"/>
  <c r="Z877" i="2"/>
  <c r="AC877" i="2" s="1"/>
  <c r="Z878" i="2"/>
  <c r="AC878" i="2" s="1"/>
  <c r="Z879" i="2"/>
  <c r="AC879" i="2" s="1"/>
  <c r="Z880" i="2"/>
  <c r="AC880" i="2" s="1"/>
  <c r="Z881" i="2"/>
  <c r="AC881" i="2" s="1"/>
  <c r="Z882" i="2"/>
  <c r="AC882" i="2" s="1"/>
  <c r="Z883" i="2"/>
  <c r="AC883" i="2" s="1"/>
  <c r="Z884" i="2"/>
  <c r="AC884" i="2" s="1"/>
  <c r="Z885" i="2"/>
  <c r="AC885" i="2" s="1"/>
  <c r="Z886" i="2"/>
  <c r="AC886" i="2" s="1"/>
  <c r="Z887" i="2"/>
  <c r="AC887" i="2" s="1"/>
  <c r="Z888" i="2"/>
  <c r="AC888" i="2" s="1"/>
  <c r="Z889" i="2"/>
  <c r="AC889" i="2" s="1"/>
  <c r="Z890" i="2"/>
  <c r="AC890" i="2" s="1"/>
  <c r="Z891" i="2"/>
  <c r="AC891" i="2" s="1"/>
  <c r="Z892" i="2"/>
  <c r="AC892" i="2" s="1"/>
  <c r="Z893" i="2"/>
  <c r="AC893" i="2" s="1"/>
  <c r="Z894" i="2"/>
  <c r="AC894" i="2" s="1"/>
  <c r="Z895" i="2"/>
  <c r="AC895" i="2" s="1"/>
  <c r="Z896" i="2"/>
  <c r="AC896" i="2" s="1"/>
  <c r="Z897" i="2"/>
  <c r="AC897" i="2" s="1"/>
  <c r="Z898" i="2"/>
  <c r="AC898" i="2" s="1"/>
  <c r="Z899" i="2"/>
  <c r="AC899" i="2" s="1"/>
  <c r="Z900" i="2"/>
  <c r="AC900" i="2" s="1"/>
  <c r="Z901" i="2"/>
  <c r="AC901" i="2" s="1"/>
  <c r="Z902" i="2"/>
  <c r="AC902" i="2" s="1"/>
  <c r="Z903" i="2"/>
  <c r="AC903" i="2" s="1"/>
  <c r="Z904" i="2"/>
  <c r="AC904" i="2" s="1"/>
  <c r="Z905" i="2"/>
  <c r="AC905" i="2" s="1"/>
  <c r="Z906" i="2"/>
  <c r="AC906" i="2" s="1"/>
  <c r="Z907" i="2"/>
  <c r="AC907" i="2" s="1"/>
  <c r="Z908" i="2"/>
  <c r="AC908" i="2" s="1"/>
  <c r="Z909" i="2"/>
  <c r="AC909" i="2" s="1"/>
  <c r="Z910" i="2"/>
  <c r="AC910" i="2" s="1"/>
  <c r="Z911" i="2"/>
  <c r="AC911" i="2" s="1"/>
  <c r="Z912" i="2"/>
  <c r="AC912" i="2" s="1"/>
  <c r="Z913" i="2"/>
  <c r="AC913" i="2" s="1"/>
  <c r="Z914" i="2"/>
  <c r="AC914" i="2" s="1"/>
  <c r="Z915" i="2"/>
  <c r="AC915" i="2" s="1"/>
  <c r="Z916" i="2"/>
  <c r="AC916" i="2" s="1"/>
  <c r="Z917" i="2"/>
  <c r="AC917" i="2" s="1"/>
  <c r="Z918" i="2"/>
  <c r="AC918" i="2" s="1"/>
  <c r="Z919" i="2"/>
  <c r="AC919" i="2" s="1"/>
  <c r="Z920" i="2"/>
  <c r="AC920" i="2" s="1"/>
  <c r="Z921" i="2"/>
  <c r="AC921" i="2" s="1"/>
  <c r="Z922" i="2"/>
  <c r="AC922" i="2" s="1"/>
  <c r="Z923" i="2"/>
  <c r="AC923" i="2" s="1"/>
  <c r="Z924" i="2"/>
  <c r="AC924" i="2" s="1"/>
  <c r="Z925" i="2"/>
  <c r="AC925" i="2" s="1"/>
  <c r="Z926" i="2"/>
  <c r="AC926" i="2" s="1"/>
  <c r="Z927" i="2"/>
  <c r="AC927" i="2" s="1"/>
  <c r="Z928" i="2"/>
  <c r="AC928" i="2" s="1"/>
  <c r="Z929" i="2"/>
  <c r="AC929" i="2" s="1"/>
  <c r="Z930" i="2"/>
  <c r="AC930" i="2" s="1"/>
  <c r="Z931" i="2"/>
  <c r="AC931" i="2" s="1"/>
  <c r="Z932" i="2"/>
  <c r="AC932" i="2" s="1"/>
  <c r="Z933" i="2"/>
  <c r="AC933" i="2" s="1"/>
  <c r="Z934" i="2"/>
  <c r="AC934" i="2" s="1"/>
  <c r="Z935" i="2"/>
  <c r="AC935" i="2" s="1"/>
  <c r="Z936" i="2"/>
  <c r="AC936" i="2" s="1"/>
  <c r="Z937" i="2"/>
  <c r="AC937" i="2" s="1"/>
  <c r="Z938" i="2"/>
  <c r="AC938" i="2" s="1"/>
  <c r="Z939" i="2"/>
  <c r="AC939" i="2" s="1"/>
  <c r="Z940" i="2"/>
  <c r="AC940" i="2" s="1"/>
  <c r="Z941" i="2"/>
  <c r="AC941" i="2" s="1"/>
  <c r="Z942" i="2"/>
  <c r="AC942" i="2" s="1"/>
  <c r="Z943" i="2"/>
  <c r="AC943" i="2" s="1"/>
  <c r="Z944" i="2"/>
  <c r="AC944" i="2" s="1"/>
  <c r="Z945" i="2"/>
  <c r="AC945" i="2" s="1"/>
  <c r="Z946" i="2"/>
  <c r="AC946" i="2" s="1"/>
  <c r="Z947" i="2"/>
  <c r="AC947" i="2" s="1"/>
  <c r="Z948" i="2"/>
  <c r="AC948" i="2" s="1"/>
  <c r="Z949" i="2"/>
  <c r="AC949" i="2" s="1"/>
  <c r="Z950" i="2"/>
  <c r="AC950" i="2" s="1"/>
  <c r="Z951" i="2"/>
  <c r="AC951" i="2" s="1"/>
  <c r="Z952" i="2"/>
  <c r="AC952" i="2" s="1"/>
  <c r="Z953" i="2"/>
  <c r="AC953" i="2" s="1"/>
  <c r="Z954" i="2"/>
  <c r="AC954" i="2" s="1"/>
  <c r="Z955" i="2"/>
  <c r="AC955" i="2" s="1"/>
  <c r="Z956" i="2"/>
  <c r="AC956" i="2" s="1"/>
  <c r="Z957" i="2"/>
  <c r="AC957" i="2" s="1"/>
  <c r="Z958" i="2"/>
  <c r="AC958" i="2" s="1"/>
  <c r="Z959" i="2"/>
  <c r="AC959" i="2" s="1"/>
  <c r="Z960" i="2"/>
  <c r="AC960" i="2" s="1"/>
  <c r="Z961" i="2"/>
  <c r="AC961" i="2" s="1"/>
  <c r="Z962" i="2"/>
  <c r="AC962" i="2" s="1"/>
  <c r="Z963" i="2"/>
  <c r="AC963" i="2" s="1"/>
  <c r="Z964" i="2"/>
  <c r="AC964" i="2" s="1"/>
  <c r="Z965" i="2"/>
  <c r="AC965" i="2" s="1"/>
  <c r="Z966" i="2"/>
  <c r="AC966" i="2" s="1"/>
  <c r="Z967" i="2"/>
  <c r="AC967" i="2" s="1"/>
  <c r="Z968" i="2"/>
  <c r="AC968" i="2" s="1"/>
  <c r="Z969" i="2"/>
  <c r="AC969" i="2" s="1"/>
  <c r="Z970" i="2"/>
  <c r="AC970" i="2" s="1"/>
  <c r="Z971" i="2"/>
  <c r="AC971" i="2" s="1"/>
  <c r="Z972" i="2"/>
  <c r="AC972" i="2" s="1"/>
  <c r="Z973" i="2"/>
  <c r="AC973" i="2" s="1"/>
  <c r="Z974" i="2"/>
  <c r="AC974" i="2" s="1"/>
  <c r="Z975" i="2"/>
  <c r="AC975" i="2" s="1"/>
  <c r="Z976" i="2"/>
  <c r="AC976" i="2" s="1"/>
  <c r="Z977" i="2"/>
  <c r="AC977" i="2" s="1"/>
  <c r="Z978" i="2"/>
  <c r="AC978" i="2" s="1"/>
  <c r="Z979" i="2"/>
  <c r="AC979" i="2" s="1"/>
  <c r="Z980" i="2"/>
  <c r="AC980" i="2" s="1"/>
  <c r="Z981" i="2"/>
  <c r="AC981" i="2" s="1"/>
  <c r="Z982" i="2"/>
  <c r="AC982" i="2" s="1"/>
  <c r="Z983" i="2"/>
  <c r="AC983" i="2" s="1"/>
  <c r="Z984" i="2"/>
  <c r="AC984" i="2" s="1"/>
  <c r="Z985" i="2"/>
  <c r="AC985" i="2" s="1"/>
  <c r="Z986" i="2"/>
  <c r="AC986" i="2" s="1"/>
  <c r="Z987" i="2"/>
  <c r="AC987" i="2" s="1"/>
  <c r="Z988" i="2"/>
  <c r="AC988" i="2" s="1"/>
  <c r="Z989" i="2"/>
  <c r="AC989" i="2" s="1"/>
  <c r="Z990" i="2"/>
  <c r="AC990" i="2" s="1"/>
  <c r="Z991" i="2"/>
  <c r="AC991" i="2" s="1"/>
  <c r="Z992" i="2"/>
  <c r="AC992" i="2" s="1"/>
  <c r="Z993" i="2"/>
  <c r="AC993" i="2" s="1"/>
  <c r="Z994" i="2"/>
  <c r="AC994" i="2" s="1"/>
  <c r="Z995" i="2"/>
  <c r="AC995" i="2" s="1"/>
  <c r="Z996" i="2"/>
  <c r="AC996" i="2" s="1"/>
  <c r="Z997" i="2"/>
  <c r="AC997" i="2" s="1"/>
  <c r="Z998" i="2"/>
  <c r="AC998" i="2" s="1"/>
  <c r="Z999" i="2"/>
  <c r="AC999" i="2" s="1"/>
  <c r="Z1000" i="2"/>
  <c r="AC1000" i="2" s="1"/>
  <c r="Z1001" i="2"/>
  <c r="AC1001" i="2" s="1"/>
  <c r="Z1002" i="2"/>
  <c r="AC1002" i="2" s="1"/>
  <c r="Z1003" i="2"/>
  <c r="AC1003" i="2" s="1"/>
  <c r="Z1004" i="2"/>
  <c r="AC1004" i="2" s="1"/>
  <c r="Z1005" i="2"/>
  <c r="AC1005" i="2" s="1"/>
  <c r="Z1006" i="2"/>
  <c r="AC1006" i="2" s="1"/>
  <c r="Z1007" i="2"/>
  <c r="AC1007" i="2" s="1"/>
  <c r="Z1008" i="2"/>
  <c r="AC1008" i="2" s="1"/>
  <c r="Z1009" i="2"/>
  <c r="AC1009" i="2" s="1"/>
  <c r="Z1010" i="2"/>
  <c r="AC1010" i="2" s="1"/>
  <c r="Z1011" i="2"/>
  <c r="AC1011" i="2" s="1"/>
  <c r="Z1012" i="2"/>
  <c r="AC1012" i="2" s="1"/>
  <c r="Z1013" i="2"/>
  <c r="AC1013" i="2" s="1"/>
  <c r="Z1014" i="2"/>
  <c r="AC1014" i="2" s="1"/>
  <c r="Z1015" i="2"/>
  <c r="AC1015" i="2" s="1"/>
  <c r="Z1016" i="2"/>
  <c r="AC1016" i="2" s="1"/>
  <c r="Z1017" i="2"/>
  <c r="AC1017" i="2" s="1"/>
  <c r="Z1018" i="2"/>
  <c r="AC1018" i="2" s="1"/>
  <c r="Z1019" i="2"/>
  <c r="AC1019" i="2" s="1"/>
  <c r="Z1020" i="2"/>
  <c r="AC1020" i="2" s="1"/>
  <c r="Z1021" i="2"/>
  <c r="AC1021" i="2" s="1"/>
  <c r="Z1022" i="2"/>
  <c r="AC1022" i="2" s="1"/>
  <c r="Z1023" i="2"/>
  <c r="AC1023" i="2" s="1"/>
  <c r="Z1024" i="2"/>
  <c r="AC1024" i="2" s="1"/>
  <c r="Z1025" i="2"/>
  <c r="AC1025" i="2" s="1"/>
  <c r="Z1026" i="2"/>
  <c r="AC1026" i="2" s="1"/>
  <c r="Z1027" i="2"/>
  <c r="AC1027" i="2" s="1"/>
  <c r="Z1028" i="2"/>
  <c r="AC1028" i="2" s="1"/>
  <c r="Z1029" i="2"/>
  <c r="AC1029" i="2" s="1"/>
  <c r="Z1030" i="2"/>
  <c r="AC1030" i="2" s="1"/>
  <c r="Z1031" i="2"/>
  <c r="AC1031" i="2" s="1"/>
  <c r="Z1032" i="2"/>
  <c r="AC1032" i="2" s="1"/>
  <c r="Z1033" i="2"/>
  <c r="AC1033" i="2" s="1"/>
  <c r="Z1034" i="2"/>
  <c r="AC1034" i="2" s="1"/>
  <c r="Z1035" i="2"/>
  <c r="AC1035" i="2" s="1"/>
  <c r="Z1036" i="2"/>
  <c r="AC1036" i="2" s="1"/>
  <c r="Z1037" i="2"/>
  <c r="AC1037" i="2" s="1"/>
  <c r="Z1038" i="2"/>
  <c r="AC1038" i="2" s="1"/>
  <c r="Z1039" i="2"/>
  <c r="AC1039" i="2" s="1"/>
  <c r="Z1040" i="2"/>
  <c r="AC1040" i="2" s="1"/>
  <c r="Z1041" i="2"/>
  <c r="AC1041" i="2" s="1"/>
  <c r="Z1042" i="2"/>
  <c r="AC1042" i="2" s="1"/>
  <c r="Z1043" i="2"/>
  <c r="AC1043" i="2" s="1"/>
  <c r="Z1044" i="2"/>
  <c r="AC1044" i="2" s="1"/>
  <c r="Z1045" i="2"/>
  <c r="AC1045" i="2" s="1"/>
  <c r="Z1046" i="2"/>
  <c r="AC1046" i="2" s="1"/>
  <c r="Z1047" i="2"/>
  <c r="AC1047" i="2" s="1"/>
  <c r="Z1048" i="2"/>
  <c r="AC1048" i="2" s="1"/>
  <c r="Z1049" i="2"/>
  <c r="AC1049" i="2" s="1"/>
  <c r="Z1050" i="2"/>
  <c r="AC1050" i="2" s="1"/>
  <c r="Z1051" i="2"/>
  <c r="AC1051" i="2" s="1"/>
  <c r="Z1052" i="2"/>
  <c r="AC1052" i="2" s="1"/>
  <c r="Z1053" i="2"/>
  <c r="AC1053" i="2" s="1"/>
  <c r="Z1054" i="2"/>
  <c r="AC1054" i="2" s="1"/>
  <c r="Z1055" i="2"/>
  <c r="AC1055" i="2" s="1"/>
  <c r="Z1056" i="2"/>
  <c r="AC1056" i="2" s="1"/>
  <c r="Z1057" i="2"/>
  <c r="AC1057" i="2" s="1"/>
  <c r="Z1058" i="2"/>
  <c r="AC1058" i="2" s="1"/>
  <c r="Z1059" i="2"/>
  <c r="AC1059" i="2" s="1"/>
  <c r="Z1060" i="2"/>
  <c r="AC1060" i="2" s="1"/>
  <c r="Z1061" i="2"/>
  <c r="AC1061" i="2" s="1"/>
  <c r="Z1062" i="2"/>
  <c r="AC1062" i="2" s="1"/>
  <c r="Z1063" i="2"/>
  <c r="AC1063" i="2" s="1"/>
  <c r="Z1064" i="2"/>
  <c r="AC1064" i="2" s="1"/>
  <c r="Z1065" i="2"/>
  <c r="AC1065" i="2" s="1"/>
  <c r="Z1066" i="2"/>
  <c r="AC1066" i="2" s="1"/>
  <c r="Z1067" i="2"/>
  <c r="AC1067" i="2" s="1"/>
  <c r="Z1068" i="2"/>
  <c r="AC1068" i="2" s="1"/>
  <c r="Z1069" i="2"/>
  <c r="AC1069" i="2" s="1"/>
  <c r="Z1070" i="2"/>
  <c r="AC1070" i="2" s="1"/>
  <c r="Z1071" i="2"/>
  <c r="AC1071" i="2" s="1"/>
  <c r="Z1072" i="2"/>
  <c r="AC1072" i="2" s="1"/>
  <c r="Z1073" i="2"/>
  <c r="AC1073" i="2" s="1"/>
  <c r="Z1074" i="2"/>
  <c r="AC1074" i="2" s="1"/>
  <c r="Z1075" i="2"/>
  <c r="AC1075" i="2" s="1"/>
  <c r="Z1076" i="2"/>
  <c r="AC1076" i="2" s="1"/>
  <c r="Z1077" i="2"/>
  <c r="AC1077" i="2" s="1"/>
  <c r="Z1078" i="2"/>
  <c r="AC1078" i="2" s="1"/>
  <c r="Z1079" i="2"/>
  <c r="AC1079" i="2" s="1"/>
  <c r="Z1080" i="2"/>
  <c r="AC1080" i="2" s="1"/>
  <c r="Z1081" i="2"/>
  <c r="AC1081" i="2" s="1"/>
  <c r="Z1082" i="2"/>
  <c r="AC1082" i="2" s="1"/>
  <c r="Z1083" i="2"/>
  <c r="AC1083" i="2" s="1"/>
  <c r="Z1084" i="2"/>
  <c r="AC1084" i="2" s="1"/>
  <c r="Z1085" i="2"/>
  <c r="AC1085" i="2" s="1"/>
  <c r="Z1086" i="2"/>
  <c r="AC1086" i="2" s="1"/>
  <c r="Z1087" i="2"/>
  <c r="AC1087" i="2" s="1"/>
  <c r="Z1088" i="2"/>
  <c r="AC1088" i="2" s="1"/>
  <c r="Z1089" i="2"/>
  <c r="AC1089" i="2" s="1"/>
  <c r="Z1090" i="2"/>
  <c r="AC1090" i="2" s="1"/>
  <c r="Z1091" i="2"/>
  <c r="AC1091" i="2" s="1"/>
  <c r="Z1092" i="2"/>
  <c r="AC1092" i="2" s="1"/>
  <c r="Z1093" i="2"/>
  <c r="AC1093" i="2" s="1"/>
  <c r="Z1094" i="2"/>
  <c r="AC1094" i="2" s="1"/>
  <c r="Z1095" i="2"/>
  <c r="AC1095" i="2" s="1"/>
  <c r="Z1096" i="2"/>
  <c r="AC1096" i="2" s="1"/>
  <c r="Z1097" i="2"/>
  <c r="AC1097" i="2" s="1"/>
  <c r="Z1098" i="2"/>
  <c r="AC1098" i="2" s="1"/>
  <c r="Z1099" i="2"/>
  <c r="AC1099" i="2" s="1"/>
  <c r="Z1100" i="2"/>
  <c r="AC1100" i="2" s="1"/>
  <c r="Z1101" i="2"/>
  <c r="AC1101" i="2" s="1"/>
  <c r="Z1102" i="2"/>
  <c r="AC1102" i="2" s="1"/>
  <c r="Z1103" i="2"/>
  <c r="AC1103" i="2" s="1"/>
  <c r="Z1104" i="2"/>
  <c r="AC1104" i="2" s="1"/>
  <c r="Z1105" i="2"/>
  <c r="AC1105" i="2" s="1"/>
  <c r="Z1106" i="2"/>
  <c r="AC1106" i="2" s="1"/>
  <c r="Z1107" i="2"/>
  <c r="AC1107" i="2" s="1"/>
  <c r="Z1108" i="2"/>
  <c r="AC1108" i="2" s="1"/>
  <c r="Z1109" i="2"/>
  <c r="AC1109" i="2" s="1"/>
  <c r="Z1110" i="2"/>
  <c r="AC1110" i="2" s="1"/>
  <c r="Z1111" i="2"/>
  <c r="AC1111" i="2" s="1"/>
  <c r="Z1112" i="2"/>
  <c r="AC1112" i="2" s="1"/>
  <c r="Z1113" i="2"/>
  <c r="AC1113" i="2" s="1"/>
  <c r="Z1114" i="2"/>
  <c r="AC1114" i="2" s="1"/>
  <c r="Z1115" i="2"/>
  <c r="AC1115" i="2" s="1"/>
  <c r="Z1116" i="2"/>
  <c r="AC1116" i="2" s="1"/>
  <c r="Z1117" i="2"/>
  <c r="AC1117" i="2" s="1"/>
  <c r="Z1118" i="2"/>
  <c r="AC1118" i="2" s="1"/>
  <c r="Z1119" i="2"/>
  <c r="AC1119" i="2" s="1"/>
  <c r="Z1120" i="2"/>
  <c r="AC1120" i="2" s="1"/>
  <c r="Z1121" i="2"/>
  <c r="AC1121" i="2" s="1"/>
  <c r="Z1122" i="2"/>
  <c r="AC1122" i="2" s="1"/>
  <c r="Z1123" i="2"/>
  <c r="AC1123" i="2" s="1"/>
  <c r="Z1124" i="2"/>
  <c r="AC1124" i="2" s="1"/>
  <c r="Z1125" i="2"/>
  <c r="AC1125" i="2" s="1"/>
  <c r="Z1126" i="2"/>
  <c r="AC1126" i="2" s="1"/>
  <c r="Z1127" i="2"/>
  <c r="AC1127" i="2" s="1"/>
  <c r="Z1128" i="2"/>
  <c r="AC1128" i="2" s="1"/>
  <c r="Z1129" i="2"/>
  <c r="AC1129" i="2" s="1"/>
  <c r="Z1130" i="2"/>
  <c r="AC1130" i="2" s="1"/>
  <c r="Z1131" i="2"/>
  <c r="AC1131" i="2" s="1"/>
  <c r="Z1132" i="2"/>
  <c r="AC1132" i="2" s="1"/>
  <c r="Z1133" i="2"/>
  <c r="AC1133" i="2" s="1"/>
  <c r="Z1134" i="2"/>
  <c r="AC1134" i="2" s="1"/>
  <c r="Z1135" i="2"/>
  <c r="AC1135" i="2" s="1"/>
  <c r="Z1136" i="2"/>
  <c r="AC1136" i="2" s="1"/>
  <c r="Z1137" i="2"/>
  <c r="AC1137" i="2" s="1"/>
  <c r="Z1138" i="2"/>
  <c r="AC1138" i="2" s="1"/>
  <c r="Z1139" i="2"/>
  <c r="AC1139" i="2" s="1"/>
  <c r="Z1140" i="2"/>
  <c r="AC1140" i="2" s="1"/>
  <c r="Z1141" i="2"/>
  <c r="AC1141" i="2" s="1"/>
  <c r="Z1142" i="2"/>
  <c r="AC1142" i="2" s="1"/>
  <c r="Z1143" i="2"/>
  <c r="AC1143" i="2" s="1"/>
  <c r="Z1144" i="2"/>
  <c r="AC1144" i="2" s="1"/>
  <c r="Z1145" i="2"/>
  <c r="AC1145" i="2" s="1"/>
  <c r="Z1146" i="2"/>
  <c r="AC1146" i="2" s="1"/>
  <c r="Z1147" i="2"/>
  <c r="AC1147" i="2" s="1"/>
  <c r="Z1148" i="2"/>
  <c r="AC1148" i="2" s="1"/>
  <c r="Z1149" i="2"/>
  <c r="AC1149" i="2" s="1"/>
  <c r="Z1150" i="2"/>
  <c r="AC1150" i="2" s="1"/>
  <c r="Z1151" i="2"/>
  <c r="AC1151" i="2" s="1"/>
  <c r="Z1152" i="2"/>
  <c r="AC1152" i="2" s="1"/>
  <c r="Z1153" i="2"/>
  <c r="AC1153" i="2" s="1"/>
  <c r="Z1154" i="2"/>
  <c r="AC1154" i="2" s="1"/>
  <c r="Z1155" i="2"/>
  <c r="AC1155" i="2" s="1"/>
  <c r="Z1156" i="2"/>
  <c r="AC1156" i="2" s="1"/>
  <c r="Z1157" i="2"/>
  <c r="AC1157" i="2" s="1"/>
  <c r="Z1158" i="2"/>
  <c r="AC1158" i="2" s="1"/>
  <c r="Z1159" i="2"/>
  <c r="AC1159" i="2" s="1"/>
  <c r="Z1160" i="2"/>
  <c r="AC1160" i="2" s="1"/>
  <c r="Z1161" i="2"/>
  <c r="AC1161" i="2" s="1"/>
  <c r="Z1162" i="2"/>
  <c r="AC1162" i="2" s="1"/>
  <c r="Z1163" i="2"/>
  <c r="AC1163" i="2" s="1"/>
  <c r="Z1164" i="2"/>
  <c r="AC1164" i="2" s="1"/>
  <c r="Z1165" i="2"/>
  <c r="AC1165" i="2" s="1"/>
  <c r="Z1166" i="2"/>
  <c r="AC1166" i="2" s="1"/>
  <c r="Z1167" i="2"/>
  <c r="AC1167" i="2" s="1"/>
  <c r="Z1168" i="2"/>
  <c r="AC1168" i="2" s="1"/>
  <c r="Z1169" i="2"/>
  <c r="AC1169" i="2" s="1"/>
  <c r="Z1170" i="2"/>
  <c r="AC1170" i="2" s="1"/>
  <c r="Z1171" i="2"/>
  <c r="AC1171" i="2" s="1"/>
  <c r="Z1172" i="2"/>
  <c r="AC1172" i="2" s="1"/>
  <c r="Z1173" i="2"/>
  <c r="AC1173" i="2" s="1"/>
  <c r="Z1174" i="2"/>
  <c r="AC1174" i="2" s="1"/>
  <c r="Z1175" i="2"/>
  <c r="AC1175" i="2" s="1"/>
  <c r="Z1176" i="2"/>
  <c r="AC1176" i="2" s="1"/>
  <c r="Z1177" i="2"/>
  <c r="AC1177" i="2" s="1"/>
  <c r="Z1178" i="2"/>
  <c r="AC1178" i="2" s="1"/>
  <c r="Z1179" i="2"/>
  <c r="AC1179" i="2" s="1"/>
  <c r="Z1180" i="2"/>
  <c r="AC1180" i="2" s="1"/>
  <c r="Z1181" i="2"/>
  <c r="AC1181" i="2" s="1"/>
  <c r="Z1182" i="2"/>
  <c r="AC1182" i="2" s="1"/>
  <c r="Z1183" i="2"/>
  <c r="AC1183" i="2" s="1"/>
  <c r="Z1184" i="2"/>
  <c r="AC1184" i="2" s="1"/>
  <c r="Z1185" i="2"/>
  <c r="AC1185" i="2" s="1"/>
  <c r="Z1186" i="2"/>
  <c r="AC1186" i="2" s="1"/>
  <c r="Z1187" i="2"/>
  <c r="AC1187" i="2" s="1"/>
  <c r="Z1188" i="2"/>
  <c r="AC1188" i="2" s="1"/>
  <c r="Z1189" i="2"/>
  <c r="AC1189" i="2" s="1"/>
  <c r="Z1190" i="2"/>
  <c r="AC1190" i="2" s="1"/>
  <c r="Z1191" i="2"/>
  <c r="AC1191" i="2" s="1"/>
  <c r="Z1192" i="2"/>
  <c r="AC1192" i="2" s="1"/>
  <c r="Z1193" i="2"/>
  <c r="AC1193" i="2" s="1"/>
  <c r="Z1194" i="2"/>
  <c r="AC1194" i="2" s="1"/>
  <c r="Z1195" i="2"/>
  <c r="AC1195" i="2" s="1"/>
  <c r="Z1196" i="2"/>
  <c r="AC1196" i="2" s="1"/>
  <c r="Z1197" i="2"/>
  <c r="AC1197" i="2" s="1"/>
  <c r="Z1198" i="2"/>
  <c r="AC1198" i="2" s="1"/>
  <c r="Z1199" i="2"/>
  <c r="AC1199" i="2" s="1"/>
  <c r="Z1200" i="2"/>
  <c r="AC1200" i="2" s="1"/>
  <c r="Z1201" i="2"/>
  <c r="AC1201" i="2" s="1"/>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AC88" i="2"/>
  <c r="B9" i="4" l="1"/>
  <c r="AE2" i="2"/>
  <c r="B4" i="4"/>
  <c r="AC2" i="2"/>
  <c r="B7" i="4"/>
  <c r="G5" i="5" s="1"/>
  <c r="B6" i="4" l="1"/>
  <c r="B5" i="4"/>
</calcChain>
</file>

<file path=xl/sharedStrings.xml><?xml version="1.0" encoding="utf-8"?>
<sst xmlns="http://schemas.openxmlformats.org/spreadsheetml/2006/main" count="30827" uniqueCount="5531">
  <si>
    <t>EmployeeID</t>
  </si>
  <si>
    <t>Name</t>
  </si>
  <si>
    <t>Gender</t>
  </si>
  <si>
    <t>Age</t>
  </si>
  <si>
    <t>Department</t>
  </si>
  <si>
    <t>JobRole</t>
  </si>
  <si>
    <t>DateOfJoining</t>
  </si>
  <si>
    <t>MonthlyIncome</t>
  </si>
  <si>
    <t>MaritalStatus</t>
  </si>
  <si>
    <t>Education</t>
  </si>
  <si>
    <t>City</t>
  </si>
  <si>
    <t>BusinessTravel</t>
  </si>
  <si>
    <t>DistanceFromHome_KM</t>
  </si>
  <si>
    <t>OverTime</t>
  </si>
  <si>
    <t>JobSatisfaction</t>
  </si>
  <si>
    <t>EnvironmentSatisfaction</t>
  </si>
  <si>
    <t>WorkLifeBalance</t>
  </si>
  <si>
    <t>PerformanceRating</t>
  </si>
  <si>
    <t>TrainingTimesLastYear</t>
  </si>
  <si>
    <t>NumCompaniesWorked</t>
  </si>
  <si>
    <t>PercentSalaryHike</t>
  </si>
  <si>
    <t>ManagerName</t>
  </si>
  <si>
    <t>Attrition</t>
  </si>
  <si>
    <t>LastWorkingDate</t>
  </si>
  <si>
    <t>EMP1052</t>
  </si>
  <si>
    <t>Matthew Rivera</t>
  </si>
  <si>
    <t>M</t>
  </si>
  <si>
    <t>Research &amp; Development</t>
  </si>
  <si>
    <t>research director</t>
  </si>
  <si>
    <t>2016/05/06</t>
  </si>
  <si>
    <t>Married</t>
  </si>
  <si>
    <t>Master's</t>
  </si>
  <si>
    <t>Pune</t>
  </si>
  <si>
    <t>Travel_Frequently</t>
  </si>
  <si>
    <t>No</t>
  </si>
  <si>
    <t>Michelle Evans</t>
  </si>
  <si>
    <t>EMP1523</t>
  </si>
  <si>
    <t>Kevin Sullivan</t>
  </si>
  <si>
    <t>Human Resources</t>
  </si>
  <si>
    <t>HR EXECUTIVE</t>
  </si>
  <si>
    <t>06/19/2020</t>
  </si>
  <si>
    <t>₹51,334</t>
  </si>
  <si>
    <t>Single</t>
  </si>
  <si>
    <t>Travel_Rarely</t>
  </si>
  <si>
    <t>Kimberly Lutz</t>
  </si>
  <si>
    <t>Yes</t>
  </si>
  <si>
    <t>30-01-2026</t>
  </si>
  <si>
    <t>EMP1180</t>
  </si>
  <si>
    <t>Christopher Guerra</t>
  </si>
  <si>
    <t>Male</t>
  </si>
  <si>
    <t>Research Scientist</t>
  </si>
  <si>
    <t>03/02/2023</t>
  </si>
  <si>
    <t>Divorced</t>
  </si>
  <si>
    <t>Diploma</t>
  </si>
  <si>
    <t>Mumbai</t>
  </si>
  <si>
    <t>Carol Kim</t>
  </si>
  <si>
    <t>EMP2173</t>
  </si>
  <si>
    <t>Kyle Horton</t>
  </si>
  <si>
    <t>Female</t>
  </si>
  <si>
    <t>Lab Technician</t>
  </si>
  <si>
    <t>08/02/2013</t>
  </si>
  <si>
    <t>Bachelor's</t>
  </si>
  <si>
    <t>Non-Travel</t>
  </si>
  <si>
    <t>Rebecca Benson</t>
  </si>
  <si>
    <t>03/07/2014</t>
  </si>
  <si>
    <t>EMP1938</t>
  </si>
  <si>
    <t>Peter Keller</t>
  </si>
  <si>
    <t>female</t>
  </si>
  <si>
    <t>03/26/2021</t>
  </si>
  <si>
    <t>Mark Reeves</t>
  </si>
  <si>
    <t>18-02-2026</t>
  </si>
  <si>
    <t>EMP2152</t>
  </si>
  <si>
    <t>John Moore</t>
  </si>
  <si>
    <t>male</t>
  </si>
  <si>
    <t xml:space="preserve">  Research &amp; Development  </t>
  </si>
  <si>
    <t>Manufacturing Technician</t>
  </si>
  <si>
    <t>06/16/2021</t>
  </si>
  <si>
    <t>Noida</t>
  </si>
  <si>
    <t>James Evans</t>
  </si>
  <si>
    <t>EMP1206</t>
  </si>
  <si>
    <t>Danielle Wilson</t>
  </si>
  <si>
    <t>F</t>
  </si>
  <si>
    <t>08/21/2022</t>
  </si>
  <si>
    <t>Bangalore</t>
  </si>
  <si>
    <t>Mr. Justin Green III</t>
  </si>
  <si>
    <t>EMP2090</t>
  </si>
  <si>
    <t>Michael Hardy</t>
  </si>
  <si>
    <t xml:space="preserve"> Male</t>
  </si>
  <si>
    <t>IT</t>
  </si>
  <si>
    <t>System Administrator</t>
  </si>
  <si>
    <t>28-11-2024</t>
  </si>
  <si>
    <t>Lance Melton</t>
  </si>
  <si>
    <t>EMP1657</t>
  </si>
  <si>
    <t>Logan Newton</t>
  </si>
  <si>
    <t>Finance</t>
  </si>
  <si>
    <t>ACCOUNTANT</t>
  </si>
  <si>
    <t>09-07-2020</t>
  </si>
  <si>
    <t>PhD</t>
  </si>
  <si>
    <t>Gurgaon</t>
  </si>
  <si>
    <t>Sheri Buchanan</t>
  </si>
  <si>
    <t>EMP2114</t>
  </si>
  <si>
    <t>Nicholas Johnston</t>
  </si>
  <si>
    <t xml:space="preserve">Female </t>
  </si>
  <si>
    <t>SALES</t>
  </si>
  <si>
    <t>SALES EXECUTIVE</t>
  </si>
  <si>
    <t>2021/10/13</t>
  </si>
  <si>
    <t>Ahmedabad</t>
  </si>
  <si>
    <t>Brittany Clements MD</t>
  </si>
  <si>
    <t>EMP1035</t>
  </si>
  <si>
    <t>Elizabeth Stewart</t>
  </si>
  <si>
    <t xml:space="preserve">  Research Scientist  </t>
  </si>
  <si>
    <t>2022/11/17</t>
  </si>
  <si>
    <t>₹60,333</t>
  </si>
  <si>
    <t>Hyderabad</t>
  </si>
  <si>
    <t>Jimmy Murillo</t>
  </si>
  <si>
    <t>EMP1736</t>
  </si>
  <si>
    <t>Margaret Erickson</t>
  </si>
  <si>
    <t>06/14/2013</t>
  </si>
  <si>
    <t>Matthew Yoder</t>
  </si>
  <si>
    <t>07-10-2024</t>
  </si>
  <si>
    <t>EMP1064</t>
  </si>
  <si>
    <t>David Benson</t>
  </si>
  <si>
    <t>sales</t>
  </si>
  <si>
    <t>Sales Manager</t>
  </si>
  <si>
    <t>2022/03/15</t>
  </si>
  <si>
    <t>Jason Daniels</t>
  </si>
  <si>
    <t>EMP1642</t>
  </si>
  <si>
    <t>Jonathan Ellis</t>
  </si>
  <si>
    <t>Sales</t>
  </si>
  <si>
    <t>sales representative</t>
  </si>
  <si>
    <t>2025/06/25</t>
  </si>
  <si>
    <t>Delhi</t>
  </si>
  <si>
    <t>Joseph Cook</t>
  </si>
  <si>
    <t>2025/07/04</t>
  </si>
  <si>
    <t>EMP1762</t>
  </si>
  <si>
    <t>Anna Cox</t>
  </si>
  <si>
    <t>HR Manager</t>
  </si>
  <si>
    <t>01/07/2023</t>
  </si>
  <si>
    <t>Colleen Townsend</t>
  </si>
  <si>
    <t>EMP1928</t>
  </si>
  <si>
    <t>Luke Martinez</t>
  </si>
  <si>
    <t>IT Support</t>
  </si>
  <si>
    <t>03-01-2015</t>
  </si>
  <si>
    <t>High School</t>
  </si>
  <si>
    <t>Gerald Kelly</t>
  </si>
  <si>
    <t>EMP1455</t>
  </si>
  <si>
    <t>Joseph Williams</t>
  </si>
  <si>
    <t>human resources</t>
  </si>
  <si>
    <t>HR Executive</t>
  </si>
  <si>
    <t>07/03/2026</t>
  </si>
  <si>
    <t>₹29,667</t>
  </si>
  <si>
    <t>Alicia Norris</t>
  </si>
  <si>
    <t>2026/08/11</t>
  </si>
  <si>
    <t>EMP1356</t>
  </si>
  <si>
    <t>Pamela Best</t>
  </si>
  <si>
    <t>26-02-2023</t>
  </si>
  <si>
    <t>EMP2073</t>
  </si>
  <si>
    <t>John Davidson</t>
  </si>
  <si>
    <t xml:space="preserve">  Auditor  </t>
  </si>
  <si>
    <t>09-06-2020</t>
  </si>
  <si>
    <t>₹134,761</t>
  </si>
  <si>
    <t>Andrew Dorsey</t>
  </si>
  <si>
    <t>EMP1446</t>
  </si>
  <si>
    <t>Jason Hudson</t>
  </si>
  <si>
    <t>devops engineer</t>
  </si>
  <si>
    <t>10 Mar 2025</t>
  </si>
  <si>
    <t>₹132,335</t>
  </si>
  <si>
    <t>Chennai</t>
  </si>
  <si>
    <t>Mike Maxwell</t>
  </si>
  <si>
    <t>2025/11/11</t>
  </si>
  <si>
    <t>EMP1351</t>
  </si>
  <si>
    <t>Angelica Garcia</t>
  </si>
  <si>
    <t>lab technician</t>
  </si>
  <si>
    <t>11/21/2022</t>
  </si>
  <si>
    <t>₹69,167</t>
  </si>
  <si>
    <t>2025/02/11</t>
  </si>
  <si>
    <t>EMP1173</t>
  </si>
  <si>
    <t>Kyle Mccormick</t>
  </si>
  <si>
    <t>accountant</t>
  </si>
  <si>
    <t>2021/04/27</t>
  </si>
  <si>
    <t>Michael Mitchell</t>
  </si>
  <si>
    <t>02-09-2021</t>
  </si>
  <si>
    <t>EMP1514</t>
  </si>
  <si>
    <t>Kimberly Arroyo</t>
  </si>
  <si>
    <t>17-03-2016</t>
  </si>
  <si>
    <t>Stephanie Cooper</t>
  </si>
  <si>
    <t>EMP1628</t>
  </si>
  <si>
    <t>Andrew Fernandez</t>
  </si>
  <si>
    <t>Research Director</t>
  </si>
  <si>
    <t>23-11-2013</t>
  </si>
  <si>
    <t>Connie Williams</t>
  </si>
  <si>
    <t>EMP1569</t>
  </si>
  <si>
    <t>Louis Diaz</t>
  </si>
  <si>
    <t>07-02-2019</t>
  </si>
  <si>
    <t>Michael Watson</t>
  </si>
  <si>
    <t>EMP1791</t>
  </si>
  <si>
    <t>Richard Jackson</t>
  </si>
  <si>
    <t>Marketing</t>
  </si>
  <si>
    <t>marketing executive</t>
  </si>
  <si>
    <t>07/17/2015</t>
  </si>
  <si>
    <t>Kolkata</t>
  </si>
  <si>
    <t>Patricia Williams</t>
  </si>
  <si>
    <t>2020/12/04</t>
  </si>
  <si>
    <t>EMP1373</t>
  </si>
  <si>
    <t>Ashley Moreno</t>
  </si>
  <si>
    <t>20 Mar 2015</t>
  </si>
  <si>
    <t>Anthony Shea DDS</t>
  </si>
  <si>
    <t>EMP1254</t>
  </si>
  <si>
    <t>Eric Sullivan</t>
  </si>
  <si>
    <t>HR Business Partner</t>
  </si>
  <si>
    <t>28 Feb 2019</t>
  </si>
  <si>
    <t>Michele Collins</t>
  </si>
  <si>
    <t>EMP2038</t>
  </si>
  <si>
    <t>Susan Suarez</t>
  </si>
  <si>
    <t>IT SUPPORT</t>
  </si>
  <si>
    <t>07/12/2018</t>
  </si>
  <si>
    <t>Donna Ibarra</t>
  </si>
  <si>
    <t>03/20/2023</t>
  </si>
  <si>
    <t>EMP1632</t>
  </si>
  <si>
    <t>Luis Fitzgerald</t>
  </si>
  <si>
    <t>DATA ANALYST</t>
  </si>
  <si>
    <t>05/03/2015</t>
  </si>
  <si>
    <t>74430.00</t>
  </si>
  <si>
    <t>Ricardo Morris</t>
  </si>
  <si>
    <t>EMP1453</t>
  </si>
  <si>
    <t>Travis Hull</t>
  </si>
  <si>
    <t>Account Manager</t>
  </si>
  <si>
    <t>09/06/2017</t>
  </si>
  <si>
    <t>Nicholas Anderson</t>
  </si>
  <si>
    <t>EMP1545</t>
  </si>
  <si>
    <t>Autumn Smith</t>
  </si>
  <si>
    <t>05-06-2021</t>
  </si>
  <si>
    <t>Emily Cox</t>
  </si>
  <si>
    <t>EMP1526</t>
  </si>
  <si>
    <t>Carol Palmer</t>
  </si>
  <si>
    <t>Marketing Executive</t>
  </si>
  <si>
    <t>27 Apr 2018</t>
  </si>
  <si>
    <t>Travis Hopkins</t>
  </si>
  <si>
    <t>EMP1190</t>
  </si>
  <si>
    <t>Eric Williams</t>
  </si>
  <si>
    <t>LAB TECHNICIAN</t>
  </si>
  <si>
    <t>12/04/2017</t>
  </si>
  <si>
    <t>Joyce Rodriguez</t>
  </si>
  <si>
    <t>EMP1102</t>
  </si>
  <si>
    <t>Jordan Edwards</t>
  </si>
  <si>
    <t>2016/06/26</t>
  </si>
  <si>
    <t>Jennifer Robertson</t>
  </si>
  <si>
    <t>EMP1735</t>
  </si>
  <si>
    <t>Corey Johnson</t>
  </si>
  <si>
    <t>software engineer</t>
  </si>
  <si>
    <t>12 Jan 2013</t>
  </si>
  <si>
    <t>₹72,007</t>
  </si>
  <si>
    <t>Mary Houston</t>
  </si>
  <si>
    <t>EMP1335</t>
  </si>
  <si>
    <t>Anthony Bell</t>
  </si>
  <si>
    <t>Sales Executive</t>
  </si>
  <si>
    <t>2015/11/09</t>
  </si>
  <si>
    <t>87128.00</t>
  </si>
  <si>
    <t>Erica Padilla</t>
  </si>
  <si>
    <t>EMP1997</t>
  </si>
  <si>
    <t>Robert Hobbs</t>
  </si>
  <si>
    <t>Data Analyst</t>
  </si>
  <si>
    <t>25-11-2020</t>
  </si>
  <si>
    <t>Timothy Logan</t>
  </si>
  <si>
    <t>EMP1447</t>
  </si>
  <si>
    <t>Mr. Christopher Walters</t>
  </si>
  <si>
    <t>Accountant</t>
  </si>
  <si>
    <t>25 Sep 2011</t>
  </si>
  <si>
    <t>Philip Jackson</t>
  </si>
  <si>
    <t>EMP1171</t>
  </si>
  <si>
    <t>Steven Cooper</t>
  </si>
  <si>
    <t>Sales Representative</t>
  </si>
  <si>
    <t>27-04-2022</t>
  </si>
  <si>
    <t>Carrie Wright</t>
  </si>
  <si>
    <t>EMP1633</t>
  </si>
  <si>
    <t>Ann Powers</t>
  </si>
  <si>
    <t>2017/12/24</t>
  </si>
  <si>
    <t>Kirk Johnson</t>
  </si>
  <si>
    <t>01/01/2021</t>
  </si>
  <si>
    <t>EMP1370</t>
  </si>
  <si>
    <t>Justin Torres</t>
  </si>
  <si>
    <t>manufacturing technician</t>
  </si>
  <si>
    <t>2020/12/14</t>
  </si>
  <si>
    <t>Kevin Snyder</t>
  </si>
  <si>
    <t>EMP1286</t>
  </si>
  <si>
    <t>Mary Jensen</t>
  </si>
  <si>
    <t>DevOps Engineer</t>
  </si>
  <si>
    <t>14 Nov 2018</t>
  </si>
  <si>
    <t>Juan Smith</t>
  </si>
  <si>
    <t>2022/09/02</t>
  </si>
  <si>
    <t>EMP2061</t>
  </si>
  <si>
    <t>Dan Johnson</t>
  </si>
  <si>
    <t>09-06-2025</t>
  </si>
  <si>
    <t>Theresa Stevenson</t>
  </si>
  <si>
    <t>EMP1573</t>
  </si>
  <si>
    <t>Elizabeth Hart</t>
  </si>
  <si>
    <t>02/19/2020</t>
  </si>
  <si>
    <t>₹73,043</t>
  </si>
  <si>
    <t>Michael Brown</t>
  </si>
  <si>
    <t>EMP1028</t>
  </si>
  <si>
    <t>Zachary Huff</t>
  </si>
  <si>
    <t>13-02-2026</t>
  </si>
  <si>
    <t>Carol Tucker</t>
  </si>
  <si>
    <t>2026/08/16</t>
  </si>
  <si>
    <t>EMP1427</t>
  </si>
  <si>
    <t>Samantha Robertson</t>
  </si>
  <si>
    <t>Finance Manager</t>
  </si>
  <si>
    <t>13 Jan 2014</t>
  </si>
  <si>
    <t>₹128,079</t>
  </si>
  <si>
    <t>Brandy York</t>
  </si>
  <si>
    <t>2017/12/18</t>
  </si>
  <si>
    <t>EMP2136</t>
  </si>
  <si>
    <t>Lisa Mosley</t>
  </si>
  <si>
    <t>2014/03/18</t>
  </si>
  <si>
    <t>Jean Reed</t>
  </si>
  <si>
    <t>EMP1279</t>
  </si>
  <si>
    <t>Dennis Hunt</t>
  </si>
  <si>
    <t>01/30/2019</t>
  </si>
  <si>
    <t>₹128,576</t>
  </si>
  <si>
    <t>William Harrison</t>
  </si>
  <si>
    <t>EMP2110</t>
  </si>
  <si>
    <t>Miss Sarah Ritter</t>
  </si>
  <si>
    <t>MARKETING</t>
  </si>
  <si>
    <t>Brand Manager</t>
  </si>
  <si>
    <t>11/02/2019</t>
  </si>
  <si>
    <t>Michael Mooney</t>
  </si>
  <si>
    <t>EMP1666</t>
  </si>
  <si>
    <t>Michael Barnes</t>
  </si>
  <si>
    <t>2016/04/12</t>
  </si>
  <si>
    <t>Jill Sims</t>
  </si>
  <si>
    <t>EMP1962</t>
  </si>
  <si>
    <t>Barbara Mayer</t>
  </si>
  <si>
    <t>HUMAN RESOURCES</t>
  </si>
  <si>
    <t>RECRUITER</t>
  </si>
  <si>
    <t>06 May 2014</t>
  </si>
  <si>
    <t>Richard Sanchez</t>
  </si>
  <si>
    <t>EMP1651</t>
  </si>
  <si>
    <t>Denise Maxwell</t>
  </si>
  <si>
    <t>03-04-2013</t>
  </si>
  <si>
    <t>Phillip Salazar</t>
  </si>
  <si>
    <t>EMP1681</t>
  </si>
  <si>
    <t>Maria Olson</t>
  </si>
  <si>
    <t>07 Jan 2021</t>
  </si>
  <si>
    <t>Kimberly Rogers</t>
  </si>
  <si>
    <t>EMP1499</t>
  </si>
  <si>
    <t>Kenneth Howard DDS</t>
  </si>
  <si>
    <t>28-05-2016</t>
  </si>
  <si>
    <t>₹83,128</t>
  </si>
  <si>
    <t>Clinton Jones</t>
  </si>
  <si>
    <t>EMP1114</t>
  </si>
  <si>
    <t>John Costa</t>
  </si>
  <si>
    <t>SALES MANAGER</t>
  </si>
  <si>
    <t>17 Sep 2016</t>
  </si>
  <si>
    <t>Marie Christian</t>
  </si>
  <si>
    <t>EMP1129</t>
  </si>
  <si>
    <t>Misty Whitney</t>
  </si>
  <si>
    <t>Financial Analyst</t>
  </si>
  <si>
    <t>02/03/2026</t>
  </si>
  <si>
    <t>Richard Smith</t>
  </si>
  <si>
    <t>07/21/2026</t>
  </si>
  <si>
    <t>EMP1653</t>
  </si>
  <si>
    <t>Jonathan Jacobs</t>
  </si>
  <si>
    <t>FINANCIAL ANALYST</t>
  </si>
  <si>
    <t>2022/04/14</t>
  </si>
  <si>
    <t>Samuel Henry</t>
  </si>
  <si>
    <t>EMP1674</t>
  </si>
  <si>
    <t>Kelly Dominguez</t>
  </si>
  <si>
    <t>17-10-2020</t>
  </si>
  <si>
    <t>Nicholas Fuller</t>
  </si>
  <si>
    <t>EMP1047</t>
  </si>
  <si>
    <t>Robert Perez</t>
  </si>
  <si>
    <t>06 Jan 2012</t>
  </si>
  <si>
    <t>Garrett Lin</t>
  </si>
  <si>
    <t>EMP2149</t>
  </si>
  <si>
    <t>Laura Robinson</t>
  </si>
  <si>
    <t>2016/03/17</t>
  </si>
  <si>
    <t>Samantha Johnson</t>
  </si>
  <si>
    <t>12/18/2025</t>
  </si>
  <si>
    <t>EMP2188</t>
  </si>
  <si>
    <t>Alex Serrano</t>
  </si>
  <si>
    <t xml:space="preserve">  Manufacturing Technician  </t>
  </si>
  <si>
    <t>20-01-2023</t>
  </si>
  <si>
    <t>₹87,344</t>
  </si>
  <si>
    <t>David Miller</t>
  </si>
  <si>
    <t>2025/05/19</t>
  </si>
  <si>
    <t>EMP1397</t>
  </si>
  <si>
    <t>Shannon Yu</t>
  </si>
  <si>
    <t>2017/03/27</t>
  </si>
  <si>
    <t>₹122,666</t>
  </si>
  <si>
    <t>Brian Turner</t>
  </si>
  <si>
    <t>2026/02/11</t>
  </si>
  <si>
    <t>EMP1510</t>
  </si>
  <si>
    <t>Angel Reilly</t>
  </si>
  <si>
    <t>31-03-2013</t>
  </si>
  <si>
    <t>Elizabeth Miller</t>
  </si>
  <si>
    <t>EMP1798</t>
  </si>
  <si>
    <t>Michael Dennis</t>
  </si>
  <si>
    <t>account manager</t>
  </si>
  <si>
    <t>2025/02/03</t>
  </si>
  <si>
    <t>Elizabeth Morales</t>
  </si>
  <si>
    <t>24-04-2025</t>
  </si>
  <si>
    <t>EMP1456</t>
  </si>
  <si>
    <t>James Kelley</t>
  </si>
  <si>
    <t>09/27/2018</t>
  </si>
  <si>
    <t>Lorraine Turner</t>
  </si>
  <si>
    <t>12/14/2019</t>
  </si>
  <si>
    <t>EMP1987</t>
  </si>
  <si>
    <t>Jordan Pace</t>
  </si>
  <si>
    <t>03/23/2021</t>
  </si>
  <si>
    <t>Amber Mcmillan</t>
  </si>
  <si>
    <t>EMP1644</t>
  </si>
  <si>
    <t>Robin Garrett</t>
  </si>
  <si>
    <t>Operations</t>
  </si>
  <si>
    <t>SUPPLY CHAIN ANALYST</t>
  </si>
  <si>
    <t>08 Oct 2024</t>
  </si>
  <si>
    <t>Alyssa Peters</t>
  </si>
  <si>
    <t>16-06-2026</t>
  </si>
  <si>
    <t>EMP1661</t>
  </si>
  <si>
    <t>Jocelyn Sharp</t>
  </si>
  <si>
    <t>05/08/2013</t>
  </si>
  <si>
    <t>Teresa Horton</t>
  </si>
  <si>
    <t>EMP1725</t>
  </si>
  <si>
    <t>Christopher Vargas</t>
  </si>
  <si>
    <t xml:space="preserve">  Sales Manager  </t>
  </si>
  <si>
    <t>01 Dec 2013</t>
  </si>
  <si>
    <t>Robert Green</t>
  </si>
  <si>
    <t>EMP1925</t>
  </si>
  <si>
    <t>Lisa Campbell</t>
  </si>
  <si>
    <t>2022/11/03</t>
  </si>
  <si>
    <t>Curtis Obrien</t>
  </si>
  <si>
    <t>05/22/2025</t>
  </si>
  <si>
    <t>EMP1621</t>
  </si>
  <si>
    <t>Kelly Holder</t>
  </si>
  <si>
    <t>BRAND MANAGER</t>
  </si>
  <si>
    <t>01-03-2016</t>
  </si>
  <si>
    <t>Daniel Foley</t>
  </si>
  <si>
    <t>EMP1221</t>
  </si>
  <si>
    <t>Shannon Hester</t>
  </si>
  <si>
    <t>HR MANAGER</t>
  </si>
  <si>
    <t>2013/08/12</t>
  </si>
  <si>
    <t>Justin Flores</t>
  </si>
  <si>
    <t>EMP1409</t>
  </si>
  <si>
    <t>Daniel Lee</t>
  </si>
  <si>
    <t>24 Jan 2022</t>
  </si>
  <si>
    <t>Monica Baker</t>
  </si>
  <si>
    <t>EMP1922</t>
  </si>
  <si>
    <t>Michael Smith</t>
  </si>
  <si>
    <t>17-12-2015</t>
  </si>
  <si>
    <t>₹110,164</t>
  </si>
  <si>
    <t>David Robinson</t>
  </si>
  <si>
    <t>06-01-2018</t>
  </si>
  <si>
    <t>EMP1285</t>
  </si>
  <si>
    <t>Ryan Hall</t>
  </si>
  <si>
    <t>19-03-2022</t>
  </si>
  <si>
    <t>64670.00</t>
  </si>
  <si>
    <t>EMP1879</t>
  </si>
  <si>
    <t>Maria Sims</t>
  </si>
  <si>
    <t>research &amp; development</t>
  </si>
  <si>
    <t>11-03-2025</t>
  </si>
  <si>
    <t>Michael Jackson</t>
  </si>
  <si>
    <t>17-08-2026</t>
  </si>
  <si>
    <t>EMP1368</t>
  </si>
  <si>
    <t>Jonathan Winters</t>
  </si>
  <si>
    <t>SALES REPRESENTATIVE</t>
  </si>
  <si>
    <t>04 May 2014</t>
  </si>
  <si>
    <t>₹88,184</t>
  </si>
  <si>
    <t>Vicki Finley</t>
  </si>
  <si>
    <t>EMP2174</t>
  </si>
  <si>
    <t>Jennifer Cohen</t>
  </si>
  <si>
    <t xml:space="preserve">  Software Engineer  </t>
  </si>
  <si>
    <t>24 Aug 2024</t>
  </si>
  <si>
    <t>Carol Christensen</t>
  </si>
  <si>
    <t>EMP1431</t>
  </si>
  <si>
    <t>Nicole Barker</t>
  </si>
  <si>
    <t>12/01/2015</t>
  </si>
  <si>
    <t>₹73,181</t>
  </si>
  <si>
    <t>Christopher Armstrong</t>
  </si>
  <si>
    <t>EMP1759</t>
  </si>
  <si>
    <t>Stacie Butler</t>
  </si>
  <si>
    <t>16-09-2023</t>
  </si>
  <si>
    <t>Melissa Harris</t>
  </si>
  <si>
    <t>EMP1061</t>
  </si>
  <si>
    <t>Stephanie Salazar</t>
  </si>
  <si>
    <t>Software Engineer</t>
  </si>
  <si>
    <t>2022/05/24</t>
  </si>
  <si>
    <t>₹49,410</t>
  </si>
  <si>
    <t>Kimberly Merritt</t>
  </si>
  <si>
    <t>2024/07/19</t>
  </si>
  <si>
    <t>EMP1229</t>
  </si>
  <si>
    <t>Kathryn Williams</t>
  </si>
  <si>
    <t>2013/09/15</t>
  </si>
  <si>
    <t>John Bryant</t>
  </si>
  <si>
    <t>EMP1826</t>
  </si>
  <si>
    <t>Kimberly Beltran</t>
  </si>
  <si>
    <t>hr executive</t>
  </si>
  <si>
    <t>02/18/2013</t>
  </si>
  <si>
    <t>Jonathan Zimmerman</t>
  </si>
  <si>
    <t>EMP1362</t>
  </si>
  <si>
    <t>Rachel Le</t>
  </si>
  <si>
    <t>25 Feb 2014</t>
  </si>
  <si>
    <t>₹107,220</t>
  </si>
  <si>
    <t>Debra Tanner</t>
  </si>
  <si>
    <t>09/28/2015</t>
  </si>
  <si>
    <t>EMP1650</t>
  </si>
  <si>
    <t>Sheryl Gutierrez</t>
  </si>
  <si>
    <t>operations</t>
  </si>
  <si>
    <t>LOGISTICS MANAGER</t>
  </si>
  <si>
    <t>18-10-2017</t>
  </si>
  <si>
    <t>Timothy Shannon</t>
  </si>
  <si>
    <t>EMP1542</t>
  </si>
  <si>
    <t>Joseph Perez</t>
  </si>
  <si>
    <t>2023/08/19</t>
  </si>
  <si>
    <t>₹83,185</t>
  </si>
  <si>
    <t>Jane Chapman</t>
  </si>
  <si>
    <t>EMP2178</t>
  </si>
  <si>
    <t>Tammy Nelson</t>
  </si>
  <si>
    <t>17 Jun 2023</t>
  </si>
  <si>
    <t>Danielle Colon</t>
  </si>
  <si>
    <t>EMP2105</t>
  </si>
  <si>
    <t>James Medina</t>
  </si>
  <si>
    <t>2018/07/14</t>
  </si>
  <si>
    <t>100585.00</t>
  </si>
  <si>
    <t>Sara Porter</t>
  </si>
  <si>
    <t>09/16/2019</t>
  </si>
  <si>
    <t>EMP1111</t>
  </si>
  <si>
    <t>Amanda Garner</t>
  </si>
  <si>
    <t>08 Mar 2022</t>
  </si>
  <si>
    <t>35856.00</t>
  </si>
  <si>
    <t>Jasmin Alvarado</t>
  </si>
  <si>
    <t>EMP1529</t>
  </si>
  <si>
    <t>Michael Boyd</t>
  </si>
  <si>
    <t>15 Jan 2024</t>
  </si>
  <si>
    <t>₹34,418</t>
  </si>
  <si>
    <t>Joshua Thompson</t>
  </si>
  <si>
    <t>03/25/2026</t>
  </si>
  <si>
    <t>EMP1627</t>
  </si>
  <si>
    <t>Sheila Perez</t>
  </si>
  <si>
    <t>26 May 2021</t>
  </si>
  <si>
    <t>₹125,374</t>
  </si>
  <si>
    <t>Richard Reyes</t>
  </si>
  <si>
    <t>2024/07/27</t>
  </si>
  <si>
    <t>EMP1464</t>
  </si>
  <si>
    <t>Marco Johns</t>
  </si>
  <si>
    <t>2013/01/18</t>
  </si>
  <si>
    <t>EMP2169</t>
  </si>
  <si>
    <t>Susan Pena</t>
  </si>
  <si>
    <t>07/03/2014</t>
  </si>
  <si>
    <t>Tammy Jones</t>
  </si>
  <si>
    <t>EMP1290</t>
  </si>
  <si>
    <t>Shannon Malone</t>
  </si>
  <si>
    <t>01/21/2013</t>
  </si>
  <si>
    <t>Juan Brown</t>
  </si>
  <si>
    <t>EMP1010</t>
  </si>
  <si>
    <t>Derek Clark</t>
  </si>
  <si>
    <t>it</t>
  </si>
  <si>
    <t>data analyst</t>
  </si>
  <si>
    <t>09/23/2025</t>
  </si>
  <si>
    <t>105484.00</t>
  </si>
  <si>
    <t>Matthew Foster</t>
  </si>
  <si>
    <t>19-07-2026</t>
  </si>
  <si>
    <t>EMP1817</t>
  </si>
  <si>
    <t>Sandra Fox</t>
  </si>
  <si>
    <t>RESEARCH SCIENTIST</t>
  </si>
  <si>
    <t>2019/08/08</t>
  </si>
  <si>
    <t>₹53,350</t>
  </si>
  <si>
    <t>Nicole Wilson</t>
  </si>
  <si>
    <t>EMP1054</t>
  </si>
  <si>
    <t>Lisa Turner</t>
  </si>
  <si>
    <t>02-11-2019</t>
  </si>
  <si>
    <t>Dustin Jordan</t>
  </si>
  <si>
    <t>EMP2015</t>
  </si>
  <si>
    <t>John Alvarado</t>
  </si>
  <si>
    <t xml:space="preserve">  Marketing  </t>
  </si>
  <si>
    <t>Digital Marketing Specialist</t>
  </si>
  <si>
    <t>2012/08/18</t>
  </si>
  <si>
    <t>Maria Hicks</t>
  </si>
  <si>
    <t>2019/10/08</t>
  </si>
  <si>
    <t>EMP1768</t>
  </si>
  <si>
    <t>John Washington</t>
  </si>
  <si>
    <t xml:space="preserve">  IT  </t>
  </si>
  <si>
    <t>2024/12/12</t>
  </si>
  <si>
    <t>Jordan Hughes</t>
  </si>
  <si>
    <t>03/12/2025</t>
  </si>
  <si>
    <t>EMP1398</t>
  </si>
  <si>
    <t>Christopher Fry</t>
  </si>
  <si>
    <t>23-06-2023</t>
  </si>
  <si>
    <t>Marie Thompson</t>
  </si>
  <si>
    <t>EMP2125</t>
  </si>
  <si>
    <t>Katie Cox</t>
  </si>
  <si>
    <t>2019/10/14</t>
  </si>
  <si>
    <t>April Turner</t>
  </si>
  <si>
    <t>09/11/2022</t>
  </si>
  <si>
    <t>EMP1263</t>
  </si>
  <si>
    <t>Maria Fisher</t>
  </si>
  <si>
    <t>research scientist</t>
  </si>
  <si>
    <t>23 Jun 2026</t>
  </si>
  <si>
    <t>₹91,781</t>
  </si>
  <si>
    <t>Susan Bennett</t>
  </si>
  <si>
    <t>07/19/2026</t>
  </si>
  <si>
    <t>EMP1041</t>
  </si>
  <si>
    <t>Jessica Smith</t>
  </si>
  <si>
    <t>14 Oct 2012</t>
  </si>
  <si>
    <t>73101.00</t>
  </si>
  <si>
    <t>Stephanie Gardner</t>
  </si>
  <si>
    <t>EMP1110</t>
  </si>
  <si>
    <t>23-06-2014</t>
  </si>
  <si>
    <t>Laura Hall</t>
  </si>
  <si>
    <t>EMP1610</t>
  </si>
  <si>
    <t>Ashley Mills</t>
  </si>
  <si>
    <t>FINANCE</t>
  </si>
  <si>
    <t>28-08-2012</t>
  </si>
  <si>
    <t>Beverly Russo</t>
  </si>
  <si>
    <t>EMP1846</t>
  </si>
  <si>
    <t>Leslie Lozano</t>
  </si>
  <si>
    <t>21 Aug 2012</t>
  </si>
  <si>
    <t>Alejandro Nguyen</t>
  </si>
  <si>
    <t>2016/11/30</t>
  </si>
  <si>
    <t>EMP2065</t>
  </si>
  <si>
    <t>Aaron Kane</t>
  </si>
  <si>
    <t>2012/09/15</t>
  </si>
  <si>
    <t>Mark Thomas</t>
  </si>
  <si>
    <t>EMP2083</t>
  </si>
  <si>
    <t>James Padilla</t>
  </si>
  <si>
    <t>14-08-2014</t>
  </si>
  <si>
    <t>60258.00</t>
  </si>
  <si>
    <t>Joanne Olsen</t>
  </si>
  <si>
    <t>10/22/2016</t>
  </si>
  <si>
    <t>EMP1084</t>
  </si>
  <si>
    <t>Patrick Rivera</t>
  </si>
  <si>
    <t xml:space="preserve">  Sales  </t>
  </si>
  <si>
    <t>02/23/2022</t>
  </si>
  <si>
    <t>David Martinez</t>
  </si>
  <si>
    <t>EMP1565</t>
  </si>
  <si>
    <t>Mr. Johnathan Galloway</t>
  </si>
  <si>
    <t>16 Jan 2025</t>
  </si>
  <si>
    <t>William Moon IV</t>
  </si>
  <si>
    <t>06/14/2026</t>
  </si>
  <si>
    <t>EMP1867</t>
  </si>
  <si>
    <t>Taylor Cox</t>
  </si>
  <si>
    <t>Auditor</t>
  </si>
  <si>
    <t>05/04/2022</t>
  </si>
  <si>
    <t>Alisha Rasmussen</t>
  </si>
  <si>
    <t>EMP1408</t>
  </si>
  <si>
    <t>Karen Johnson</t>
  </si>
  <si>
    <t>2025/09/21</t>
  </si>
  <si>
    <t>Steve Moore</t>
  </si>
  <si>
    <t>EMP1099</t>
  </si>
  <si>
    <t>Debra Williams</t>
  </si>
  <si>
    <t>12/11/2022</t>
  </si>
  <si>
    <t>Matthew Moon</t>
  </si>
  <si>
    <t>EMP1634</t>
  </si>
  <si>
    <t>William Jensen</t>
  </si>
  <si>
    <t>08 Jun 2026</t>
  </si>
  <si>
    <t>Charles Williams</t>
  </si>
  <si>
    <t>EMP2190</t>
  </si>
  <si>
    <t>Michael Harris</t>
  </si>
  <si>
    <t>10/30/2018</t>
  </si>
  <si>
    <t>Jill Martin</t>
  </si>
  <si>
    <t>EMP1375</t>
  </si>
  <si>
    <t>Casey Wilkins</t>
  </si>
  <si>
    <t>10/11/2012</t>
  </si>
  <si>
    <t>Victor Young</t>
  </si>
  <si>
    <t>29-08-2020</t>
  </si>
  <si>
    <t>EMP1271</t>
  </si>
  <si>
    <t>Eric Brown</t>
  </si>
  <si>
    <t xml:space="preserve">  Human Resources  </t>
  </si>
  <si>
    <t>10/24/2025</t>
  </si>
  <si>
    <t>Susan Garrett</t>
  </si>
  <si>
    <t>EMP1337</t>
  </si>
  <si>
    <t>Tamara Riddle</t>
  </si>
  <si>
    <t>06-08-2024</t>
  </si>
  <si>
    <t>Sean Wright</t>
  </si>
  <si>
    <t>EMP1998</t>
  </si>
  <si>
    <t>Garrett Lee</t>
  </si>
  <si>
    <t>12 Mar 2013</t>
  </si>
  <si>
    <t>₹70,171</t>
  </si>
  <si>
    <t>Andrea Clarke</t>
  </si>
  <si>
    <t>EMP1152</t>
  </si>
  <si>
    <t>Lisa Day</t>
  </si>
  <si>
    <t>2012/01/21</t>
  </si>
  <si>
    <t>Debra White</t>
  </si>
  <si>
    <t>08/17/2025</t>
  </si>
  <si>
    <t>EMP1512</t>
  </si>
  <si>
    <t>Kimberly Choi</t>
  </si>
  <si>
    <t>2013/10/24</t>
  </si>
  <si>
    <t>Suzanne Norton</t>
  </si>
  <si>
    <t>EMP1929</t>
  </si>
  <si>
    <t>Shawn Adams</t>
  </si>
  <si>
    <t>Maureen Mccarthy</t>
  </si>
  <si>
    <t>2022/09/18</t>
  </si>
  <si>
    <t>EMP1620</t>
  </si>
  <si>
    <t>Tammy King</t>
  </si>
  <si>
    <t>2026/01/04</t>
  </si>
  <si>
    <t>₹76,833</t>
  </si>
  <si>
    <t>Nicholas Bird</t>
  </si>
  <si>
    <t>2026/04/20</t>
  </si>
  <si>
    <t>EMP1319</t>
  </si>
  <si>
    <t>Robert Wilson</t>
  </si>
  <si>
    <t>2024/05/01</t>
  </si>
  <si>
    <t>Megan Martin</t>
  </si>
  <si>
    <t>EMP1232</t>
  </si>
  <si>
    <t>Lauren Robles</t>
  </si>
  <si>
    <t>26 Jun 2022</t>
  </si>
  <si>
    <t>Alyssa Wells</t>
  </si>
  <si>
    <t>EMP1253</t>
  </si>
  <si>
    <t>Elizabeth Sharp</t>
  </si>
  <si>
    <t>finance</t>
  </si>
  <si>
    <t>2011/11/01</t>
  </si>
  <si>
    <t>Melissa Brown</t>
  </si>
  <si>
    <t>EMP1858</t>
  </si>
  <si>
    <t>Dawn Burke</t>
  </si>
  <si>
    <t>2017/09/19</t>
  </si>
  <si>
    <t>Corey Sanchez</t>
  </si>
  <si>
    <t>EMP2121</t>
  </si>
  <si>
    <t>Rebecca Lopez</t>
  </si>
  <si>
    <t>16 Oct 2023</t>
  </si>
  <si>
    <t>Justin Herrera</t>
  </si>
  <si>
    <t>EMP1055</t>
  </si>
  <si>
    <t>Mary Marshall</t>
  </si>
  <si>
    <t>04/05/2018</t>
  </si>
  <si>
    <t>John Santana</t>
  </si>
  <si>
    <t>EMP1380</t>
  </si>
  <si>
    <t>David Kelly</t>
  </si>
  <si>
    <t>28 Apr 2019</t>
  </si>
  <si>
    <t>Debbie Ewing</t>
  </si>
  <si>
    <t>EMP1432</t>
  </si>
  <si>
    <t>Shannon Holland</t>
  </si>
  <si>
    <t>2021/10/09</t>
  </si>
  <si>
    <t>₹53,467</t>
  </si>
  <si>
    <t>Jason Smith</t>
  </si>
  <si>
    <t>EMP1142</t>
  </si>
  <si>
    <t>Amanda Logan</t>
  </si>
  <si>
    <t>Victor Brown</t>
  </si>
  <si>
    <t>09/03/2025</t>
  </si>
  <si>
    <t>EMP1811</t>
  </si>
  <si>
    <t>Michael Wilson</t>
  </si>
  <si>
    <t>23 Apr 2019</t>
  </si>
  <si>
    <t>₹90,390</t>
  </si>
  <si>
    <t>Carla Brown</t>
  </si>
  <si>
    <t>2023/07/16</t>
  </si>
  <si>
    <t>EMP1098</t>
  </si>
  <si>
    <t>David Davis</t>
  </si>
  <si>
    <t>2026/01/05</t>
  </si>
  <si>
    <t>₹128,459</t>
  </si>
  <si>
    <t>Tiffany Key</t>
  </si>
  <si>
    <t>2026/07/22</t>
  </si>
  <si>
    <t>EMP1757</t>
  </si>
  <si>
    <t>Michael Tran</t>
  </si>
  <si>
    <t>it support</t>
  </si>
  <si>
    <t>17 Mar 2018</t>
  </si>
  <si>
    <t>Amanda Garcia</t>
  </si>
  <si>
    <t>EMP1984</t>
  </si>
  <si>
    <t>Laura Snyder</t>
  </si>
  <si>
    <t>23-11-2019</t>
  </si>
  <si>
    <t>EMP1572</t>
  </si>
  <si>
    <t>Cassandra Porter</t>
  </si>
  <si>
    <t>07 Jul 2026</t>
  </si>
  <si>
    <t>Kelly Le</t>
  </si>
  <si>
    <t>EMP1433</t>
  </si>
  <si>
    <t>Patricia Smith</t>
  </si>
  <si>
    <t xml:space="preserve">  IT Support  </t>
  </si>
  <si>
    <t>05-04-2025</t>
  </si>
  <si>
    <t>Alejandra King</t>
  </si>
  <si>
    <t>2026/03/03</t>
  </si>
  <si>
    <t>EMP1524</t>
  </si>
  <si>
    <t>Reginald Diaz</t>
  </si>
  <si>
    <t>12/29/2014</t>
  </si>
  <si>
    <t>₹91,318</t>
  </si>
  <si>
    <t>Morgan Carter</t>
  </si>
  <si>
    <t>EMP1013</t>
  </si>
  <si>
    <t>Rebecca Henderson</t>
  </si>
  <si>
    <t xml:space="preserve">  Brand Manager  </t>
  </si>
  <si>
    <t>2012/08/11</t>
  </si>
  <si>
    <t>67285.00</t>
  </si>
  <si>
    <t>Zachary Rice</t>
  </si>
  <si>
    <t>EMP1686</t>
  </si>
  <si>
    <t>David Hayes DVM</t>
  </si>
  <si>
    <t>20 Nov 2014</t>
  </si>
  <si>
    <t>Brian Glover</t>
  </si>
  <si>
    <t>EMP1818</t>
  </si>
  <si>
    <t>Billy Fuentes</t>
  </si>
  <si>
    <t xml:space="preserve">  Marketing Executive  </t>
  </si>
  <si>
    <t>2025/06/09</t>
  </si>
  <si>
    <t>₹53,847</t>
  </si>
  <si>
    <t>Jack Montoya</t>
  </si>
  <si>
    <t>2026/01/09</t>
  </si>
  <si>
    <t>EMP1147</t>
  </si>
  <si>
    <t>Maurice Brooks</t>
  </si>
  <si>
    <t>12/09/2013</t>
  </si>
  <si>
    <t>Andrea Decker</t>
  </si>
  <si>
    <t>EMP1680</t>
  </si>
  <si>
    <t>Alyssa Thompson</t>
  </si>
  <si>
    <t>Recruiter</t>
  </si>
  <si>
    <t>04-08-2016</t>
  </si>
  <si>
    <t>71996.00</t>
  </si>
  <si>
    <t>Michael Hendricks</t>
  </si>
  <si>
    <t>EMP2135</t>
  </si>
  <si>
    <t>Elizabeth Nicholson</t>
  </si>
  <si>
    <t>RESEARCH &amp; DEVELOPMENT</t>
  </si>
  <si>
    <t xml:space="preserve">  Lab Technician  </t>
  </si>
  <si>
    <t>12/19/2018</t>
  </si>
  <si>
    <t>Melody Grimes</t>
  </si>
  <si>
    <t>EMP1014</t>
  </si>
  <si>
    <t>Shannon Smith</t>
  </si>
  <si>
    <t>2022/06/01</t>
  </si>
  <si>
    <t>Kimberly Adams</t>
  </si>
  <si>
    <t>EMP1618</t>
  </si>
  <si>
    <t>Zachary Ramos</t>
  </si>
  <si>
    <t>01 Dec 2016</t>
  </si>
  <si>
    <t>117258.00</t>
  </si>
  <si>
    <t>William Nguyen</t>
  </si>
  <si>
    <t>EMP1552</t>
  </si>
  <si>
    <t>Michelle Harper</t>
  </si>
  <si>
    <t>2025/10/09</t>
  </si>
  <si>
    <t>Jessica Harris</t>
  </si>
  <si>
    <t>2026/07/03</t>
  </si>
  <si>
    <t>EMP1889</t>
  </si>
  <si>
    <t>Bonnie Stewart</t>
  </si>
  <si>
    <t>07/30/2019</t>
  </si>
  <si>
    <t>₹121,180</t>
  </si>
  <si>
    <t>Bruce Williams</t>
  </si>
  <si>
    <t>EMP1699</t>
  </si>
  <si>
    <t>Jenna Lyons</t>
  </si>
  <si>
    <t>08/02/2021</t>
  </si>
  <si>
    <t>Sonya Chavez</t>
  </si>
  <si>
    <t>EMP1021</t>
  </si>
  <si>
    <t>Eric Carney</t>
  </si>
  <si>
    <t xml:space="preserve">  Operations  </t>
  </si>
  <si>
    <t>Supply Chain Analyst</t>
  </si>
  <si>
    <t>11 May 2021</t>
  </si>
  <si>
    <t>EMP1896</t>
  </si>
  <si>
    <t>Kelly Duncan</t>
  </si>
  <si>
    <t>16-11-2017</t>
  </si>
  <si>
    <t>Randy Rhodes</t>
  </si>
  <si>
    <t>EMP1352</t>
  </si>
  <si>
    <t>Donald Miller</t>
  </si>
  <si>
    <t>12/02/2019</t>
  </si>
  <si>
    <t>Lisa Maxwell</t>
  </si>
  <si>
    <t>EMP1875</t>
  </si>
  <si>
    <t>Rachel Taylor</t>
  </si>
  <si>
    <t>08/22/2017</t>
  </si>
  <si>
    <t>04/23/2023</t>
  </si>
  <si>
    <t>EMP1307</t>
  </si>
  <si>
    <t>Frank Valentine</t>
  </si>
  <si>
    <t>29 Aug 2014</t>
  </si>
  <si>
    <t>Vincent Novak</t>
  </si>
  <si>
    <t>EMP1825</t>
  </si>
  <si>
    <t>Annette Lane</t>
  </si>
  <si>
    <t xml:space="preserve">  Sales Executive  </t>
  </si>
  <si>
    <t>11/15/2011</t>
  </si>
  <si>
    <t>Corey Campbell</t>
  </si>
  <si>
    <t>EMP1400</t>
  </si>
  <si>
    <t>Bethany Daniel</t>
  </si>
  <si>
    <t>25-10-2025</t>
  </si>
  <si>
    <t>Jenna Gamble</t>
  </si>
  <si>
    <t>EMP1205</t>
  </si>
  <si>
    <t>Meghan Rush</t>
  </si>
  <si>
    <t>03/19/2017</t>
  </si>
  <si>
    <t>₹69,722</t>
  </si>
  <si>
    <t>Kendra Sanders</t>
  </si>
  <si>
    <t>06/04/2024</t>
  </si>
  <si>
    <t>EMP2171</t>
  </si>
  <si>
    <t>Joshua King</t>
  </si>
  <si>
    <t>09/30/2024</t>
  </si>
  <si>
    <t>Susan Hester</t>
  </si>
  <si>
    <t>EMP1678</t>
  </si>
  <si>
    <t>Mrs. Felicia Castro DDS</t>
  </si>
  <si>
    <t>31 Oct 2011</t>
  </si>
  <si>
    <t>Douglas Tyler</t>
  </si>
  <si>
    <t>EMP2195</t>
  </si>
  <si>
    <t>Stephanie Munoz</t>
  </si>
  <si>
    <t>04/27/2014</t>
  </si>
  <si>
    <t>₹97,427</t>
  </si>
  <si>
    <t>Linda Shelton</t>
  </si>
  <si>
    <t>EMP1018</t>
  </si>
  <si>
    <t>Sherry Decker</t>
  </si>
  <si>
    <t>04/01/2016</t>
  </si>
  <si>
    <t>Shawn Arroyo</t>
  </si>
  <si>
    <t>EMP1390</t>
  </si>
  <si>
    <t>Amy Frey</t>
  </si>
  <si>
    <t>24 Jul 2019</t>
  </si>
  <si>
    <t>Yvonne Dickson</t>
  </si>
  <si>
    <t>EMP1881</t>
  </si>
  <si>
    <t>Jessica Mora</t>
  </si>
  <si>
    <t>MARKETING EXECUTIVE</t>
  </si>
  <si>
    <t>07-06-2018</t>
  </si>
  <si>
    <t>Bailey Reeves</t>
  </si>
  <si>
    <t>EMP1504</t>
  </si>
  <si>
    <t>Robert Griffin</t>
  </si>
  <si>
    <t>25 Apr 2012</t>
  </si>
  <si>
    <t>₹125,829</t>
  </si>
  <si>
    <t>Cheryl Palmer</t>
  </si>
  <si>
    <t>EMP1535</t>
  </si>
  <si>
    <t>Amy Scott</t>
  </si>
  <si>
    <t>08-05-2014</t>
  </si>
  <si>
    <t>100147.00</t>
  </si>
  <si>
    <t>Kristy Smith</t>
  </si>
  <si>
    <t>02/24/2026</t>
  </si>
  <si>
    <t>EMP1273</t>
  </si>
  <si>
    <t>James Webster</t>
  </si>
  <si>
    <t>2018/09/23</t>
  </si>
  <si>
    <t>Elizabeth Zimmerman</t>
  </si>
  <si>
    <t>EMP1116</t>
  </si>
  <si>
    <t>Barry Welch</t>
  </si>
  <si>
    <t>05/27/2025</t>
  </si>
  <si>
    <t>Jessica Garcia</t>
  </si>
  <si>
    <t>2026/08/29</t>
  </si>
  <si>
    <t>EMP1208</t>
  </si>
  <si>
    <t>Jill Miller</t>
  </si>
  <si>
    <t>01-11-2021</t>
  </si>
  <si>
    <t>Gregory Brown</t>
  </si>
  <si>
    <t>12/01/2025</t>
  </si>
  <si>
    <t>EMP1493</t>
  </si>
  <si>
    <t>Matthew House</t>
  </si>
  <si>
    <t>11-06-2017</t>
  </si>
  <si>
    <t>Emily Arnold</t>
  </si>
  <si>
    <t>2026/04/07</t>
  </si>
  <si>
    <t>EMP1717</t>
  </si>
  <si>
    <t>Jennifer Payne</t>
  </si>
  <si>
    <t>19 Feb 2017</t>
  </si>
  <si>
    <t>EMP2087</t>
  </si>
  <si>
    <t>Kevin Huerta</t>
  </si>
  <si>
    <t>02/08/2013</t>
  </si>
  <si>
    <t>Adrienne Morrison</t>
  </si>
  <si>
    <t>EMP1975</t>
  </si>
  <si>
    <t>Bryce Taylor</t>
  </si>
  <si>
    <t>2019/12/19</t>
  </si>
  <si>
    <t>Leroy Bernard</t>
  </si>
  <si>
    <t>11/01/2021</t>
  </si>
  <si>
    <t>EMP1141</t>
  </si>
  <si>
    <t>Kelly Reese</t>
  </si>
  <si>
    <t>08 Oct 2018</t>
  </si>
  <si>
    <t>₹63,263</t>
  </si>
  <si>
    <t>Ashley Gordon</t>
  </si>
  <si>
    <t>11/28/2024</t>
  </si>
  <si>
    <t>EMP1887</t>
  </si>
  <si>
    <t>Linda Goodman</t>
  </si>
  <si>
    <t>05/04/2012</t>
  </si>
  <si>
    <t>Elizabeth Foster</t>
  </si>
  <si>
    <t>12/22/2015</t>
  </si>
  <si>
    <t>EMP1264</t>
  </si>
  <si>
    <t>Mary Ryan</t>
  </si>
  <si>
    <t>2021/05/31</t>
  </si>
  <si>
    <t>EMP2159</t>
  </si>
  <si>
    <t>Jessica Roberts</t>
  </si>
  <si>
    <t>Operations Executive</t>
  </si>
  <si>
    <t>2018/11/29</t>
  </si>
  <si>
    <t>Christian Dixon</t>
  </si>
  <si>
    <t>2024/10/22</t>
  </si>
  <si>
    <t>EMP1419</t>
  </si>
  <si>
    <t>Suzanne Jones</t>
  </si>
  <si>
    <t>14 Jun 2017</t>
  </si>
  <si>
    <t>Gabriel Hill</t>
  </si>
  <si>
    <t>EMP1566</t>
  </si>
  <si>
    <t>Kenneth Brown</t>
  </si>
  <si>
    <t>2023/08/03</t>
  </si>
  <si>
    <t>Joshua Shaw</t>
  </si>
  <si>
    <t>EMP1485</t>
  </si>
  <si>
    <t>Tracy Chavez</t>
  </si>
  <si>
    <t>08/26/2013</t>
  </si>
  <si>
    <t>Nicole Evans</t>
  </si>
  <si>
    <t>08-01-2019</t>
  </si>
  <si>
    <t>EMP2170</t>
  </si>
  <si>
    <t>Grace Swanson</t>
  </si>
  <si>
    <t>05-06-2026</t>
  </si>
  <si>
    <t>₹76,533</t>
  </si>
  <si>
    <t>Nathan Williams</t>
  </si>
  <si>
    <t>EMP1557</t>
  </si>
  <si>
    <t>Jason Rodriguez</t>
  </si>
  <si>
    <t>09/28/2012</t>
  </si>
  <si>
    <t>Regina Frye</t>
  </si>
  <si>
    <t>2016/11/02</t>
  </si>
  <si>
    <t>EMP1748</t>
  </si>
  <si>
    <t>Bradley Chen</t>
  </si>
  <si>
    <t>08/19/2022</t>
  </si>
  <si>
    <t>EMP1359</t>
  </si>
  <si>
    <t>Kimberly Myers</t>
  </si>
  <si>
    <t>2021/02/15</t>
  </si>
  <si>
    <t>₹79,274</t>
  </si>
  <si>
    <t>Melanie Jones</t>
  </si>
  <si>
    <t>EMP1109</t>
  </si>
  <si>
    <t>Yvonne Burns</t>
  </si>
  <si>
    <t>17 Nov 2013</t>
  </si>
  <si>
    <t>Haley Arnold</t>
  </si>
  <si>
    <t>EMP1672</t>
  </si>
  <si>
    <t>Jesse Riley</t>
  </si>
  <si>
    <t>2025/07/23</t>
  </si>
  <si>
    <t>Jacob Gray</t>
  </si>
  <si>
    <t>29-08-2025</t>
  </si>
  <si>
    <t>EMP2115</t>
  </si>
  <si>
    <t>Tammy Davis</t>
  </si>
  <si>
    <t>13 Mar 2026</t>
  </si>
  <si>
    <t>William Santos</t>
  </si>
  <si>
    <t>2026/04/12</t>
  </si>
  <si>
    <t>EMP2000</t>
  </si>
  <si>
    <t>Amy Collins</t>
  </si>
  <si>
    <t>01-03-2018</t>
  </si>
  <si>
    <t>₹85,400</t>
  </si>
  <si>
    <t>Nicole Collins</t>
  </si>
  <si>
    <t>EMP1100</t>
  </si>
  <si>
    <t>Kevin Walters</t>
  </si>
  <si>
    <t>31 Dec 2018</t>
  </si>
  <si>
    <t>Gregory Cook</t>
  </si>
  <si>
    <t>EMP1217</t>
  </si>
  <si>
    <t>Lisa Kirby</t>
  </si>
  <si>
    <t>27-01-2020</t>
  </si>
  <si>
    <t>Alyssa Williams</t>
  </si>
  <si>
    <t>EMP1586</t>
  </si>
  <si>
    <t>Kristy Mills</t>
  </si>
  <si>
    <t>15-03-2021</t>
  </si>
  <si>
    <t>Gregory Fernandez</t>
  </si>
  <si>
    <t>EMP1386</t>
  </si>
  <si>
    <t>Cody Ramirez</t>
  </si>
  <si>
    <t>AUDITOR</t>
  </si>
  <si>
    <t>11/03/2024</t>
  </si>
  <si>
    <t>106007.00</t>
  </si>
  <si>
    <t>Danielle Phillips</t>
  </si>
  <si>
    <t>2024/11/26</t>
  </si>
  <si>
    <t>EMP1421</t>
  </si>
  <si>
    <t>Olivia Ayers</t>
  </si>
  <si>
    <t>06/17/2025</t>
  </si>
  <si>
    <t>Ashlee Mitchell</t>
  </si>
  <si>
    <t>EMP1413</t>
  </si>
  <si>
    <t>Stephen Wood</t>
  </si>
  <si>
    <t>04/25/2018</t>
  </si>
  <si>
    <t>John Perez</t>
  </si>
  <si>
    <t>EMP1707</t>
  </si>
  <si>
    <t>Stephanie Fields</t>
  </si>
  <si>
    <t>01-09-2011</t>
  </si>
  <si>
    <t>₹101,981</t>
  </si>
  <si>
    <t>Chase Schmidt</t>
  </si>
  <si>
    <t>EMP1942</t>
  </si>
  <si>
    <t>Jennifer Gonzalez</t>
  </si>
  <si>
    <t>29 Feb 2016</t>
  </si>
  <si>
    <t>₹97,801</t>
  </si>
  <si>
    <t>George Hardy</t>
  </si>
  <si>
    <t>EMP1558</t>
  </si>
  <si>
    <t>Robin Andrews</t>
  </si>
  <si>
    <t>01/07/2022</t>
  </si>
  <si>
    <t>Kristine Carrillo</t>
  </si>
  <si>
    <t>EMP1794</t>
  </si>
  <si>
    <t>Cody Hart</t>
  </si>
  <si>
    <t>07 Mar 2012</t>
  </si>
  <si>
    <t>Gregg Watson</t>
  </si>
  <si>
    <t>EMP1306</t>
  </si>
  <si>
    <t>Regina Rivera</t>
  </si>
  <si>
    <t>2016/08/27</t>
  </si>
  <si>
    <t>Shannon Mccann</t>
  </si>
  <si>
    <t>EMP1914</t>
  </si>
  <si>
    <t>Heather Nunez</t>
  </si>
  <si>
    <t>17-12-2021</t>
  </si>
  <si>
    <t>Eric Martinez</t>
  </si>
  <si>
    <t>EMP1663</t>
  </si>
  <si>
    <t>David Holt</t>
  </si>
  <si>
    <t>03/13/2025</t>
  </si>
  <si>
    <t>Michelle Martinez</t>
  </si>
  <si>
    <t>EMP2166</t>
  </si>
  <si>
    <t>Ashlee Lopez</t>
  </si>
  <si>
    <t>23 Oct 2025</t>
  </si>
  <si>
    <t>Brent Smith</t>
  </si>
  <si>
    <t>2026/02/13</t>
  </si>
  <si>
    <t>EMP1364</t>
  </si>
  <si>
    <t>Jesse Ward</t>
  </si>
  <si>
    <t>02/12/2019</t>
  </si>
  <si>
    <t>Holly Scott</t>
  </si>
  <si>
    <t>EMP1024</t>
  </si>
  <si>
    <t>Timothy Duncan</t>
  </si>
  <si>
    <t>2018/09/18</t>
  </si>
  <si>
    <t>Rhonda Lee</t>
  </si>
  <si>
    <t>EMP2039</t>
  </si>
  <si>
    <t>Michael Dawson</t>
  </si>
  <si>
    <t>06-02-2016</t>
  </si>
  <si>
    <t>Casey Wright</t>
  </si>
  <si>
    <t>2022/07/29</t>
  </si>
  <si>
    <t>EMP1265</t>
  </si>
  <si>
    <t>Monica Walker</t>
  </si>
  <si>
    <t>18 Sep 2011</t>
  </si>
  <si>
    <t>₹47,512</t>
  </si>
  <si>
    <t>Michael Stephens</t>
  </si>
  <si>
    <t>01/20/2012</t>
  </si>
  <si>
    <t>EMP1756</t>
  </si>
  <si>
    <t>Russell Mcguire</t>
  </si>
  <si>
    <t>01/24/2023</t>
  </si>
  <si>
    <t>Bryan Thomas</t>
  </si>
  <si>
    <t>EMP2036</t>
  </si>
  <si>
    <t>Jeffrey Mckinney</t>
  </si>
  <si>
    <t>30 Sep 2018</t>
  </si>
  <si>
    <t>₹83,329</t>
  </si>
  <si>
    <t>Laurie Shaw</t>
  </si>
  <si>
    <t>11-07-2023</t>
  </si>
  <si>
    <t>EMP1187</t>
  </si>
  <si>
    <t>Alfred Galvan</t>
  </si>
  <si>
    <t>OPERATIONS</t>
  </si>
  <si>
    <t>Logistics Manager</t>
  </si>
  <si>
    <t>07 Mar 2024</t>
  </si>
  <si>
    <t>Raven Taylor</t>
  </si>
  <si>
    <t>EMP1563</t>
  </si>
  <si>
    <t>Mr. Nicolas Salas II</t>
  </si>
  <si>
    <t>09/08/2014</t>
  </si>
  <si>
    <t>Luke Moore</t>
  </si>
  <si>
    <t>EMP1863</t>
  </si>
  <si>
    <t>Tasha Boyd</t>
  </si>
  <si>
    <t>hr manager</t>
  </si>
  <si>
    <t>12 Jan 2024</t>
  </si>
  <si>
    <t>Tara King</t>
  </si>
  <si>
    <t>EMP1948</t>
  </si>
  <si>
    <t>Megan Klein</t>
  </si>
  <si>
    <t xml:space="preserve">  Account Manager  </t>
  </si>
  <si>
    <t>2019/06/01</t>
  </si>
  <si>
    <t>Garrett Aguilar</t>
  </si>
  <si>
    <t>EMP1124</t>
  </si>
  <si>
    <t>Robert Lawson</t>
  </si>
  <si>
    <t>financial analyst</t>
  </si>
  <si>
    <t>2016/12/01</t>
  </si>
  <si>
    <t>106662.00</t>
  </si>
  <si>
    <t>Lisa Byrd</t>
  </si>
  <si>
    <t>EMP1639</t>
  </si>
  <si>
    <t>Duane Mccormick</t>
  </si>
  <si>
    <t>18 Nov 2020</t>
  </si>
  <si>
    <t>Alejandra Price</t>
  </si>
  <si>
    <t>03/10/2021</t>
  </si>
  <si>
    <t>EMP1903</t>
  </si>
  <si>
    <t>Jeffrey Drake MD</t>
  </si>
  <si>
    <t>18-11-2021</t>
  </si>
  <si>
    <t>EMP2050</t>
  </si>
  <si>
    <t>Raymond Wang</t>
  </si>
  <si>
    <t>09 Jul 2025</t>
  </si>
  <si>
    <t>EMP1769</t>
  </si>
  <si>
    <t>Nathan Chen</t>
  </si>
  <si>
    <t>20-03-2026</t>
  </si>
  <si>
    <t>04/22/2026</t>
  </si>
  <si>
    <t>EMP1587</t>
  </si>
  <si>
    <t>Jessica Diaz</t>
  </si>
  <si>
    <t>2015/07/16</t>
  </si>
  <si>
    <t>₹130,928</t>
  </si>
  <si>
    <t>Aaron Ochoa</t>
  </si>
  <si>
    <t>EMP2138</t>
  </si>
  <si>
    <t>Jose Moore</t>
  </si>
  <si>
    <t>07/19/2013</t>
  </si>
  <si>
    <t>Nicolas Brown</t>
  </si>
  <si>
    <t>EMP2075</t>
  </si>
  <si>
    <t>Katherine Barker</t>
  </si>
  <si>
    <t>2022/01/19</t>
  </si>
  <si>
    <t>Tammy Fitzgerald</t>
  </si>
  <si>
    <t>EMP1148</t>
  </si>
  <si>
    <t>Brent Rodgers</t>
  </si>
  <si>
    <t>finance manager</t>
  </si>
  <si>
    <t>10-10-2023</t>
  </si>
  <si>
    <t>₹86,045</t>
  </si>
  <si>
    <t>Kristina Rivera</t>
  </si>
  <si>
    <t>19-05-2025</t>
  </si>
  <si>
    <t>EMP1934</t>
  </si>
  <si>
    <t>Gloria Wagner</t>
  </si>
  <si>
    <t>07 Dec 2012</t>
  </si>
  <si>
    <t>Paul Ward</t>
  </si>
  <si>
    <t>EMP1494</t>
  </si>
  <si>
    <t>2023/04/25</t>
  </si>
  <si>
    <t>Sandra Pruitt</t>
  </si>
  <si>
    <t>EMP1225</t>
  </si>
  <si>
    <t>Anthony Simpson</t>
  </si>
  <si>
    <t>10/28/2024</t>
  </si>
  <si>
    <t>69612.00</t>
  </si>
  <si>
    <t>Joshua Boone</t>
  </si>
  <si>
    <t>2026/01/10</t>
  </si>
  <si>
    <t>EMP1832</t>
  </si>
  <si>
    <t>Jeffrey Barrett</t>
  </si>
  <si>
    <t>marketing</t>
  </si>
  <si>
    <t>06-12-2012</t>
  </si>
  <si>
    <t>Kevin Garcia</t>
  </si>
  <si>
    <t>25-11-2014</t>
  </si>
  <si>
    <t>EMP1071</t>
  </si>
  <si>
    <t>Darlene Miller</t>
  </si>
  <si>
    <t>2011/12/14</t>
  </si>
  <si>
    <t>₹106,751</t>
  </si>
  <si>
    <t>Mrs. Marie Harrington DDS</t>
  </si>
  <si>
    <t>2019/11/20</t>
  </si>
  <si>
    <t>EMP1692</t>
  </si>
  <si>
    <t>Jeremy Wilson</t>
  </si>
  <si>
    <t>21-11-2013</t>
  </si>
  <si>
    <t>Marcus Palmer</t>
  </si>
  <si>
    <t>05/20/2017</t>
  </si>
  <si>
    <t>EMP1281</t>
  </si>
  <si>
    <t>Timothy Riley</t>
  </si>
  <si>
    <t>11/22/2017</t>
  </si>
  <si>
    <t>₹97,779</t>
  </si>
  <si>
    <t>Gary James</t>
  </si>
  <si>
    <t>EMP1172</t>
  </si>
  <si>
    <t>Jeffrey Mills</t>
  </si>
  <si>
    <t>12 Jan 2014</t>
  </si>
  <si>
    <t>EMP1749</t>
  </si>
  <si>
    <t>Katherine Brown</t>
  </si>
  <si>
    <t>23-09-2019</t>
  </si>
  <si>
    <t>Joseph Flowers</t>
  </si>
  <si>
    <t>EMP1169</t>
  </si>
  <si>
    <t>Lisa Hunter</t>
  </si>
  <si>
    <t xml:space="preserve">  Research Director  </t>
  </si>
  <si>
    <t>2018/07/26</t>
  </si>
  <si>
    <t>Rebecca Huang</t>
  </si>
  <si>
    <t>EMP1892</t>
  </si>
  <si>
    <t>Brittany Farrell</t>
  </si>
  <si>
    <t>2021/06/21</t>
  </si>
  <si>
    <t>Amy Hernandez</t>
  </si>
  <si>
    <t>EMP1284</t>
  </si>
  <si>
    <t>Maria Brown</t>
  </si>
  <si>
    <t>02-03-2012</t>
  </si>
  <si>
    <t>Mary Duran</t>
  </si>
  <si>
    <t>2024/06/10</t>
  </si>
  <si>
    <t>EMP2052</t>
  </si>
  <si>
    <t>Sandra Jackson</t>
  </si>
  <si>
    <t>26 Feb 2014</t>
  </si>
  <si>
    <t>Brian Murphy</t>
  </si>
  <si>
    <t>EMP1126</t>
  </si>
  <si>
    <t>Kevin Oconnor</t>
  </si>
  <si>
    <t>03 Jan 2013</t>
  </si>
  <si>
    <t>Casey Anderson</t>
  </si>
  <si>
    <t>2017/01/14</t>
  </si>
  <si>
    <t>EMP2165</t>
  </si>
  <si>
    <t>Anthony Williams</t>
  </si>
  <si>
    <t>06/10/2012</t>
  </si>
  <si>
    <t>Christy Kennedy</t>
  </si>
  <si>
    <t>EMP2196</t>
  </si>
  <si>
    <t>Michael Turner</t>
  </si>
  <si>
    <t>digital marketing specialist</t>
  </si>
  <si>
    <t>2023/11/10</t>
  </si>
  <si>
    <t>Brian Hendricks</t>
  </si>
  <si>
    <t>EMP1165</t>
  </si>
  <si>
    <t>Charles Gonzalez</t>
  </si>
  <si>
    <t>25 Aug 2020</t>
  </si>
  <si>
    <t>₹73,565</t>
  </si>
  <si>
    <t>Cassandra Mejia</t>
  </si>
  <si>
    <t>22-03-2025</t>
  </si>
  <si>
    <t>EMP2009</t>
  </si>
  <si>
    <t>Julian White</t>
  </si>
  <si>
    <t>26-12-2011</t>
  </si>
  <si>
    <t>₹80,978</t>
  </si>
  <si>
    <t>Susan Smith</t>
  </si>
  <si>
    <t>EMP2153</t>
  </si>
  <si>
    <t>Clarence Cain</t>
  </si>
  <si>
    <t>14-04-2013</t>
  </si>
  <si>
    <t>Ryan Martin</t>
  </si>
  <si>
    <t>EMP1532</t>
  </si>
  <si>
    <t>Billy Schneider</t>
  </si>
  <si>
    <t>2014/10/26</t>
  </si>
  <si>
    <t>99279.00</t>
  </si>
  <si>
    <t>Jack Love</t>
  </si>
  <si>
    <t>EMP1841</t>
  </si>
  <si>
    <t>Elizabeth Mccarthy</t>
  </si>
  <si>
    <t>12/30/2018</t>
  </si>
  <si>
    <t>Mike Freeman</t>
  </si>
  <si>
    <t>EMP1043</t>
  </si>
  <si>
    <t>Stephanie Clark</t>
  </si>
  <si>
    <t>2015/05/21</t>
  </si>
  <si>
    <t>68651.00</t>
  </si>
  <si>
    <t>Richard Henson</t>
  </si>
  <si>
    <t>EMP1782</t>
  </si>
  <si>
    <t>04/20/2026</t>
  </si>
  <si>
    <t>John Crosby</t>
  </si>
  <si>
    <t>2026/05/21</t>
  </si>
  <si>
    <t>EMP1919</t>
  </si>
  <si>
    <t>Sarah Mclaughlin</t>
  </si>
  <si>
    <t>20-07-2020</t>
  </si>
  <si>
    <t>John Tucker</t>
  </si>
  <si>
    <t>12/09/2023</t>
  </si>
  <si>
    <t>EMP1689</t>
  </si>
  <si>
    <t>Brandi Hardy</t>
  </si>
  <si>
    <t>08 Jul 2018</t>
  </si>
  <si>
    <t>Kelly Smith</t>
  </si>
  <si>
    <t>EMP1579</t>
  </si>
  <si>
    <t>Evan Carter</t>
  </si>
  <si>
    <t>2015/08/27</t>
  </si>
  <si>
    <t>66737.00</t>
  </si>
  <si>
    <t>Denise Wallace</t>
  </si>
  <si>
    <t>EMP1133</t>
  </si>
  <si>
    <t>Brent Clay Jr.</t>
  </si>
  <si>
    <t>ACCOUNT MANAGER</t>
  </si>
  <si>
    <t>06 Jun 2018</t>
  </si>
  <si>
    <t>₹92,952</t>
  </si>
  <si>
    <t>Natalie Bautista</t>
  </si>
  <si>
    <t>EMP2014</t>
  </si>
  <si>
    <t>Robert Salas</t>
  </si>
  <si>
    <t>2024/05/13</t>
  </si>
  <si>
    <t>Stacey Clark</t>
  </si>
  <si>
    <t>EMP1468</t>
  </si>
  <si>
    <t>Bianca Knapp</t>
  </si>
  <si>
    <t>2013/05/07</t>
  </si>
  <si>
    <t>Dennis Edwards</t>
  </si>
  <si>
    <t>10/28/2018</t>
  </si>
  <si>
    <t>EMP1039</t>
  </si>
  <si>
    <t>Christina Walters</t>
  </si>
  <si>
    <t>08/08/2015</t>
  </si>
  <si>
    <t>Taylor Mathis Jr.</t>
  </si>
  <si>
    <t>EMP1964</t>
  </si>
  <si>
    <t>Allison Kim</t>
  </si>
  <si>
    <t>07 Nov 2017</t>
  </si>
  <si>
    <t>Emily Scott</t>
  </si>
  <si>
    <t>EMP2006</t>
  </si>
  <si>
    <t>Cynthia Navarro</t>
  </si>
  <si>
    <t>2025/11/15</t>
  </si>
  <si>
    <t>Patrick Harris</t>
  </si>
  <si>
    <t>EMP2042</t>
  </si>
  <si>
    <t>Miranda Robinson</t>
  </si>
  <si>
    <t>01/10/2019</t>
  </si>
  <si>
    <t>Kristen Carney MD</t>
  </si>
  <si>
    <t>EMP1509</t>
  </si>
  <si>
    <t>Alan Nunez</t>
  </si>
  <si>
    <t>08/23/2019</t>
  </si>
  <si>
    <t>Nicole Richards</t>
  </si>
  <si>
    <t>2024/02/23</t>
  </si>
  <si>
    <t>EMP1167</t>
  </si>
  <si>
    <t>Brittany Jones</t>
  </si>
  <si>
    <t>05 Apr 2018</t>
  </si>
  <si>
    <t>Donald Brown</t>
  </si>
  <si>
    <t>EMP1541</t>
  </si>
  <si>
    <t>Samantha Prince</t>
  </si>
  <si>
    <t>23-03-2023</t>
  </si>
  <si>
    <t>EMP1072</t>
  </si>
  <si>
    <t>Tiffany Gonzalez</t>
  </si>
  <si>
    <t>2011/12/20</t>
  </si>
  <si>
    <t>Cameron Caldwell</t>
  </si>
  <si>
    <t>EMP1907</t>
  </si>
  <si>
    <t>Terry Woods</t>
  </si>
  <si>
    <t>₹115,667</t>
  </si>
  <si>
    <t>Steven Skinner</t>
  </si>
  <si>
    <t>EMP1906</t>
  </si>
  <si>
    <t>Michael Moore</t>
  </si>
  <si>
    <t>20 Jan 2019</t>
  </si>
  <si>
    <t>82680.00</t>
  </si>
  <si>
    <t>Kelly Roberts</t>
  </si>
  <si>
    <t>EMP2200</t>
  </si>
  <si>
    <t>Francisco Coleman</t>
  </si>
  <si>
    <t>03 Jan 2022</t>
  </si>
  <si>
    <t>Ricky Cook</t>
  </si>
  <si>
    <t>EMP1993</t>
  </si>
  <si>
    <t>Terri Parsons</t>
  </si>
  <si>
    <t>2020/11/27</t>
  </si>
  <si>
    <t>Lori Riley</t>
  </si>
  <si>
    <t>EMP1927</t>
  </si>
  <si>
    <t>Heather Moore</t>
  </si>
  <si>
    <t>06-01-2024</t>
  </si>
  <si>
    <t>Amanda Brown</t>
  </si>
  <si>
    <t>EMP1005</t>
  </si>
  <si>
    <t>Kimberly Dudley</t>
  </si>
  <si>
    <t>2017/04/23</t>
  </si>
  <si>
    <t>₹82,647</t>
  </si>
  <si>
    <t>Sandra Montgomery</t>
  </si>
  <si>
    <t>EMP1340</t>
  </si>
  <si>
    <t>Travis Murphy</t>
  </si>
  <si>
    <t>13 Sep 2011</t>
  </si>
  <si>
    <t>Morgan Simon</t>
  </si>
  <si>
    <t>EMP1695</t>
  </si>
  <si>
    <t>Anthony Simmons</t>
  </si>
  <si>
    <t>05/02/2014</t>
  </si>
  <si>
    <t>Leslie Huff</t>
  </si>
  <si>
    <t>EMP1715</t>
  </si>
  <si>
    <t>Richard Munoz</t>
  </si>
  <si>
    <t>supply chain analyst</t>
  </si>
  <si>
    <t>05-01-2018</t>
  </si>
  <si>
    <t>37058.00</t>
  </si>
  <si>
    <t>Jordan Arnold</t>
  </si>
  <si>
    <t>EMP1378</t>
  </si>
  <si>
    <t>Joshua Oconnell</t>
  </si>
  <si>
    <t>2014/10/05</t>
  </si>
  <si>
    <t>Derek Wilson</t>
  </si>
  <si>
    <t>EMP1448</t>
  </si>
  <si>
    <t>Katherine Gallagher</t>
  </si>
  <si>
    <t>22 Dec 2012</t>
  </si>
  <si>
    <t>Madeline Powell</t>
  </si>
  <si>
    <t>EMP1652</t>
  </si>
  <si>
    <t>Keith Hall</t>
  </si>
  <si>
    <t>2015/02/16</t>
  </si>
  <si>
    <t>Heather Watts</t>
  </si>
  <si>
    <t>EMP2053</t>
  </si>
  <si>
    <t>Chelsey Clark</t>
  </si>
  <si>
    <t>09/29/2019</t>
  </si>
  <si>
    <t>Barbara Lewis</t>
  </si>
  <si>
    <t>EMP1501</t>
  </si>
  <si>
    <t>Daniel Goodwin</t>
  </si>
  <si>
    <t>30-07-2019</t>
  </si>
  <si>
    <t>Samantha Zavala MD</t>
  </si>
  <si>
    <t>EMP1805</t>
  </si>
  <si>
    <t>Sean Hatfield</t>
  </si>
  <si>
    <t>25 Aug 2012</t>
  </si>
  <si>
    <t>101103.00</t>
  </si>
  <si>
    <t>Nicole Davis</t>
  </si>
  <si>
    <t>EMP2077</t>
  </si>
  <si>
    <t>Jesus Becker</t>
  </si>
  <si>
    <t>06/16/2015</t>
  </si>
  <si>
    <t>Tiffany Skinner</t>
  </si>
  <si>
    <t>EMP1095</t>
  </si>
  <si>
    <t>Taylor Coleman</t>
  </si>
  <si>
    <t>15 Oct 2019</t>
  </si>
  <si>
    <t>₹64,606</t>
  </si>
  <si>
    <t>Susan Serrano</t>
  </si>
  <si>
    <t>EMP1096</t>
  </si>
  <si>
    <t>Christopher Parker</t>
  </si>
  <si>
    <t>02 Nov 2022</t>
  </si>
  <si>
    <t>Donna Martinez</t>
  </si>
  <si>
    <t>EMP1309</t>
  </si>
  <si>
    <t>Brian Elliott</t>
  </si>
  <si>
    <t>2020/07/01</t>
  </si>
  <si>
    <t>Melanie Pierce</t>
  </si>
  <si>
    <t>EMP1747</t>
  </si>
  <si>
    <t>Andrew Cruz</t>
  </si>
  <si>
    <t>06-07-2014</t>
  </si>
  <si>
    <t>Stephanie Mccoy</t>
  </si>
  <si>
    <t>EMP1490</t>
  </si>
  <si>
    <t>Christina Christensen</t>
  </si>
  <si>
    <t>23-01-2014</t>
  </si>
  <si>
    <t>David Franco</t>
  </si>
  <si>
    <t>EMP1603</t>
  </si>
  <si>
    <t>Lori Brown DDS</t>
  </si>
  <si>
    <t>2022/02/15</t>
  </si>
  <si>
    <t>Beth Hall</t>
  </si>
  <si>
    <t>EMP1059</t>
  </si>
  <si>
    <t>Patricia Rodriguez</t>
  </si>
  <si>
    <t>02-01-2018</t>
  </si>
  <si>
    <t>₹98,395</t>
  </si>
  <si>
    <t>Tyler Holmes</t>
  </si>
  <si>
    <t>EMP1322</t>
  </si>
  <si>
    <t>Christine Goodwin</t>
  </si>
  <si>
    <t>2023/09/23</t>
  </si>
  <si>
    <t>₹112,928</t>
  </si>
  <si>
    <t>Shane Lopez</t>
  </si>
  <si>
    <t>2023/11/29</t>
  </si>
  <si>
    <t>EMP1326</t>
  </si>
  <si>
    <t>Kayla Barnes</t>
  </si>
  <si>
    <t>20 Sep 2013</t>
  </si>
  <si>
    <t>40881.00</t>
  </si>
  <si>
    <t>Cody Reid</t>
  </si>
  <si>
    <t>EMP1518</t>
  </si>
  <si>
    <t>Manuel Mccullough</t>
  </si>
  <si>
    <t>05/27/2016</t>
  </si>
  <si>
    <t>Elizabeth Silva</t>
  </si>
  <si>
    <t>01/10/2021</t>
  </si>
  <si>
    <t>EMP1025</t>
  </si>
  <si>
    <t>Jeffrey Henderson</t>
  </si>
  <si>
    <t xml:space="preserve">  Accountant  </t>
  </si>
  <si>
    <t>2018/08/18</t>
  </si>
  <si>
    <t>Megan Joyce</t>
  </si>
  <si>
    <t>EMP2024</t>
  </si>
  <si>
    <t>Elijah Short</t>
  </si>
  <si>
    <t>05/07/2023</t>
  </si>
  <si>
    <t>₹69,108</t>
  </si>
  <si>
    <t>Kevin Rios</t>
  </si>
  <si>
    <t>2024/09/07</t>
  </si>
  <si>
    <t>EMP1245</t>
  </si>
  <si>
    <t>Timothy Johns</t>
  </si>
  <si>
    <t>2018/10/14</t>
  </si>
  <si>
    <t>Victor Morris</t>
  </si>
  <si>
    <t>EMP1026</t>
  </si>
  <si>
    <t>James Morgan</t>
  </si>
  <si>
    <t>07/08/2024</t>
  </si>
  <si>
    <t>Connor West</t>
  </si>
  <si>
    <t>EMP1223</t>
  </si>
  <si>
    <t>Sean Moore</t>
  </si>
  <si>
    <t>19-07-2016</t>
  </si>
  <si>
    <t>Emily Hines</t>
  </si>
  <si>
    <t>EMP1604</t>
  </si>
  <si>
    <t>Dr. Nicole Trujillo</t>
  </si>
  <si>
    <t>03/17/2018</t>
  </si>
  <si>
    <t>₹124,186</t>
  </si>
  <si>
    <t>Michael Howard</t>
  </si>
  <si>
    <t>EMP1106</t>
  </si>
  <si>
    <t>Julia Wilson</t>
  </si>
  <si>
    <t>29 Jan 2024</t>
  </si>
  <si>
    <t>111792.00</t>
  </si>
  <si>
    <t>Dr. Jordan Hill PhD</t>
  </si>
  <si>
    <t>EMP2086</t>
  </si>
  <si>
    <t>Kevin Woods</t>
  </si>
  <si>
    <t>2021/09/13</t>
  </si>
  <si>
    <t>Antonio Walton</t>
  </si>
  <si>
    <t>EMP1131</t>
  </si>
  <si>
    <t>David Johnson</t>
  </si>
  <si>
    <t>11/08/2024</t>
  </si>
  <si>
    <t>Connie Brown</t>
  </si>
  <si>
    <t>14-11-2025</t>
  </si>
  <si>
    <t>EMP1154</t>
  </si>
  <si>
    <t>Amanda Reese</t>
  </si>
  <si>
    <t>11/15/2014</t>
  </si>
  <si>
    <t>Glen Wood</t>
  </si>
  <si>
    <t>EMP2079</t>
  </si>
  <si>
    <t>Jay Gallegos</t>
  </si>
  <si>
    <t xml:space="preserve">  Supply Chain Analyst  </t>
  </si>
  <si>
    <t>08 Jun 2015</t>
  </si>
  <si>
    <t>Walter Barrett</t>
  </si>
  <si>
    <t>EMP1973</t>
  </si>
  <si>
    <t>Timothy Olson</t>
  </si>
  <si>
    <t>31 Jul 2020</t>
  </si>
  <si>
    <t>Jamie Bell</t>
  </si>
  <si>
    <t>EMP1871</t>
  </si>
  <si>
    <t>Daniel Zamora</t>
  </si>
  <si>
    <t>2025/04/29</t>
  </si>
  <si>
    <t>Sherry Wang</t>
  </si>
  <si>
    <t>EMP2044</t>
  </si>
  <si>
    <t>Michael Brady</t>
  </si>
  <si>
    <t>05/07/2017</t>
  </si>
  <si>
    <t>129368.00</t>
  </si>
  <si>
    <t>Jennifer Smith</t>
  </si>
  <si>
    <t>18-04-2024</t>
  </si>
  <si>
    <t>EMP1076</t>
  </si>
  <si>
    <t>Lindsay Martinez</t>
  </si>
  <si>
    <t>2026/05/04</t>
  </si>
  <si>
    <t>Jeffrey Wood</t>
  </si>
  <si>
    <t>05-08-2026</t>
  </si>
  <si>
    <t>EMP2133</t>
  </si>
  <si>
    <t>Joshua Jones</t>
  </si>
  <si>
    <t>19 Mar 2021</t>
  </si>
  <si>
    <t>Donald Melton</t>
  </si>
  <si>
    <t>03/11/2023</t>
  </si>
  <si>
    <t>EMP2070</t>
  </si>
  <si>
    <t>Tammy Larson</t>
  </si>
  <si>
    <t>10-12-2013</t>
  </si>
  <si>
    <t>Dawn Ford</t>
  </si>
  <si>
    <t>EMP1923</t>
  </si>
  <si>
    <t>Gina Guzman</t>
  </si>
  <si>
    <t>03/25/2024</t>
  </si>
  <si>
    <t>Bonnie Carter</t>
  </si>
  <si>
    <t>EMP1317</t>
  </si>
  <si>
    <t>Jason Nixon</t>
  </si>
  <si>
    <t>2013/05/24</t>
  </si>
  <si>
    <t>57841.00</t>
  </si>
  <si>
    <t>Brenda Collins</t>
  </si>
  <si>
    <t>EMP1985</t>
  </si>
  <si>
    <t>Ana Anderson</t>
  </si>
  <si>
    <t>08/19/2012</t>
  </si>
  <si>
    <t>Kelly Perez</t>
  </si>
  <si>
    <t>EMP1743</t>
  </si>
  <si>
    <t>Mary Adams</t>
  </si>
  <si>
    <t>02/08/2022</t>
  </si>
  <si>
    <t>Kaylee Case</t>
  </si>
  <si>
    <t>2026/03/25</t>
  </si>
  <si>
    <t>EMP1200</t>
  </si>
  <si>
    <t>Monica Miller</t>
  </si>
  <si>
    <t>2020/08/25</t>
  </si>
  <si>
    <t>Kimberly Morris</t>
  </si>
  <si>
    <t>EMP1862</t>
  </si>
  <si>
    <t>Matthew Davis</t>
  </si>
  <si>
    <t>09/25/2025</t>
  </si>
  <si>
    <t>Brenda Rodriguez</t>
  </si>
  <si>
    <t>EMP1135</t>
  </si>
  <si>
    <t>Jeremy Sampson</t>
  </si>
  <si>
    <t>04-06-2024</t>
  </si>
  <si>
    <t>Kimberly Levine</t>
  </si>
  <si>
    <t>24-08-2024</t>
  </si>
  <si>
    <t>EMP1327</t>
  </si>
  <si>
    <t>Maria Cooke</t>
  </si>
  <si>
    <t>10 Dec 2019</t>
  </si>
  <si>
    <t>Ernest Hayes</t>
  </si>
  <si>
    <t>03/26/2023</t>
  </si>
  <si>
    <t>EMP1260</t>
  </si>
  <si>
    <t>Jose Bryant</t>
  </si>
  <si>
    <t>07/10/2012</t>
  </si>
  <si>
    <t>EMP1972</t>
  </si>
  <si>
    <t>Jodi Smith</t>
  </si>
  <si>
    <t>2018/08/05</t>
  </si>
  <si>
    <t>Donna Stanton</t>
  </si>
  <si>
    <t>EMP1004</t>
  </si>
  <si>
    <t>Gabrielle Davis</t>
  </si>
  <si>
    <t>08-02-2013</t>
  </si>
  <si>
    <t>₹88,792</t>
  </si>
  <si>
    <t>Lindsey Roman</t>
  </si>
  <si>
    <t>EMP1849</t>
  </si>
  <si>
    <t>Gina Mendez</t>
  </si>
  <si>
    <t>2017/01/30</t>
  </si>
  <si>
    <t>104008.00</t>
  </si>
  <si>
    <t>Jonathan Boone</t>
  </si>
  <si>
    <t>EMP1211</t>
  </si>
  <si>
    <t>Robert Arnold</t>
  </si>
  <si>
    <t>2020/10/16</t>
  </si>
  <si>
    <t>Zachary Higgins</t>
  </si>
  <si>
    <t>2021/04/18</t>
  </si>
  <si>
    <t>EMP1197</t>
  </si>
  <si>
    <t>Andrew Mahoney</t>
  </si>
  <si>
    <t>09 May 2019</t>
  </si>
  <si>
    <t>₹56,505</t>
  </si>
  <si>
    <t>Kimberly King PhD</t>
  </si>
  <si>
    <t>EMP1481</t>
  </si>
  <si>
    <t>Sara Chapman</t>
  </si>
  <si>
    <t>08-03-2023</t>
  </si>
  <si>
    <t>Matthew Blanchard</t>
  </si>
  <si>
    <t>EMP1537</t>
  </si>
  <si>
    <t>Ronald Burke</t>
  </si>
  <si>
    <t>08-07-2023</t>
  </si>
  <si>
    <t>Catherine Keller</t>
  </si>
  <si>
    <t>EMP1592</t>
  </si>
  <si>
    <t>Rhonda Gutierrez</t>
  </si>
  <si>
    <t>24-05-2024</t>
  </si>
  <si>
    <t>Dylan Walsh</t>
  </si>
  <si>
    <t>EMP1027</t>
  </si>
  <si>
    <t>Donald Wright</t>
  </si>
  <si>
    <t>RESEARCH DIRECTOR</t>
  </si>
  <si>
    <t>08-06-2025</t>
  </si>
  <si>
    <t>Scott Pierce</t>
  </si>
  <si>
    <t>EMP2089</t>
  </si>
  <si>
    <t>Dr. Teresa Ortega MD</t>
  </si>
  <si>
    <t>07 Jul 2012</t>
  </si>
  <si>
    <t>EMP1902</t>
  </si>
  <si>
    <t>Samuel Martin</t>
  </si>
  <si>
    <t>17-04-2023</t>
  </si>
  <si>
    <t>Martha Martinez</t>
  </si>
  <si>
    <t>02-04-2024</t>
  </si>
  <si>
    <t>EMP2130</t>
  </si>
  <si>
    <t>Jeffery Neal</t>
  </si>
  <si>
    <t>29 Aug 2019</t>
  </si>
  <si>
    <t>Nicholas Cowan</t>
  </si>
  <si>
    <t>EMP1595</t>
  </si>
  <si>
    <t>Eric Lloyd</t>
  </si>
  <si>
    <t>20 Jul 2026</t>
  </si>
  <si>
    <t>Rick Rivera</t>
  </si>
  <si>
    <t>EMP1062</t>
  </si>
  <si>
    <t>09-05-2015</t>
  </si>
  <si>
    <t>₹92,820</t>
  </si>
  <si>
    <t>Pamela Boyd</t>
  </si>
  <si>
    <t>EMP1723</t>
  </si>
  <si>
    <t>Christopher Williams</t>
  </si>
  <si>
    <t xml:space="preserve">  Operations Executive  </t>
  </si>
  <si>
    <t>2026/06/09</t>
  </si>
  <si>
    <t>₹49,670</t>
  </si>
  <si>
    <t>Donna Miller</t>
  </si>
  <si>
    <t>08/15/2026</t>
  </si>
  <si>
    <t>EMP1191</t>
  </si>
  <si>
    <t>Linda Smith</t>
  </si>
  <si>
    <t>09-05-2019</t>
  </si>
  <si>
    <t>Jeffrey Mendez</t>
  </si>
  <si>
    <t>02/13/2021</t>
  </si>
  <si>
    <t>EMP1983</t>
  </si>
  <si>
    <t>Tanner Mann</t>
  </si>
  <si>
    <t>13 Oct 2014</t>
  </si>
  <si>
    <t>Roberto Foster</t>
  </si>
  <si>
    <t>EMP1682</t>
  </si>
  <si>
    <t>Jennifer Newton</t>
  </si>
  <si>
    <t>2024/02/14</t>
  </si>
  <si>
    <t>₹97,985</t>
  </si>
  <si>
    <t>Nathaniel Stewart</t>
  </si>
  <si>
    <t>EMP1638</t>
  </si>
  <si>
    <t>Brenda Hale</t>
  </si>
  <si>
    <t>09 Dec 2011</t>
  </si>
  <si>
    <t>Mary Williams</t>
  </si>
  <si>
    <t>EMP1780</t>
  </si>
  <si>
    <t>Angela Gilmore</t>
  </si>
  <si>
    <t>22-08-2022</t>
  </si>
  <si>
    <t>Tony Leonard</t>
  </si>
  <si>
    <t>EMP1598</t>
  </si>
  <si>
    <t>Amanda Murray</t>
  </si>
  <si>
    <t xml:space="preserve">  Data Analyst  </t>
  </si>
  <si>
    <t>73580.00</t>
  </si>
  <si>
    <t>Mrs. Melanie Collins</t>
  </si>
  <si>
    <t>2024/12/27</t>
  </si>
  <si>
    <t>EMP1574</t>
  </si>
  <si>
    <t>Karen Soto</t>
  </si>
  <si>
    <t>17-05-2018</t>
  </si>
  <si>
    <t>90855.00</t>
  </si>
  <si>
    <t>Isaac Castro</t>
  </si>
  <si>
    <t>EMP1458</t>
  </si>
  <si>
    <t>Autumn Wilson</t>
  </si>
  <si>
    <t xml:space="preserve">  DevOps Engineer  </t>
  </si>
  <si>
    <t>01 Apr 2013</t>
  </si>
  <si>
    <t>Curtis Baker</t>
  </si>
  <si>
    <t>EMP1926</t>
  </si>
  <si>
    <t>Jason Chaney</t>
  </si>
  <si>
    <t>03/11/2016</t>
  </si>
  <si>
    <t>Anthony Smith</t>
  </si>
  <si>
    <t>EMP1886</t>
  </si>
  <si>
    <t>Anthony Cook</t>
  </si>
  <si>
    <t>02 Mar 2015</t>
  </si>
  <si>
    <t>₹84,358</t>
  </si>
  <si>
    <t>Yesenia Crosby</t>
  </si>
  <si>
    <t>EMP1009</t>
  </si>
  <si>
    <t>Kristin Cohen</t>
  </si>
  <si>
    <t xml:space="preserve">  Finance  </t>
  </si>
  <si>
    <t>2024/03/27</t>
  </si>
  <si>
    <t>97260.00</t>
  </si>
  <si>
    <t>Crystal Johnson</t>
  </si>
  <si>
    <t>EMP1978</t>
  </si>
  <si>
    <t>Megan Gutierrez</t>
  </si>
  <si>
    <t>07-01-2025</t>
  </si>
  <si>
    <t>Kimberly Cobb</t>
  </si>
  <si>
    <t>05-03-2026</t>
  </si>
  <si>
    <t>EMP1667</t>
  </si>
  <si>
    <t>Carlos Harris</t>
  </si>
  <si>
    <t xml:space="preserve">  Financial Analyst  </t>
  </si>
  <si>
    <t>13-12-2020</t>
  </si>
  <si>
    <t>Scott Stephens</t>
  </si>
  <si>
    <t>2022/05/25</t>
  </si>
  <si>
    <t>EMP2043</t>
  </si>
  <si>
    <t>Randall Nguyen</t>
  </si>
  <si>
    <t>system administrator</t>
  </si>
  <si>
    <t>23-05-2018</t>
  </si>
  <si>
    <t>Jonathan Murray</t>
  </si>
  <si>
    <t>EMP1649</t>
  </si>
  <si>
    <t>Emily Grant</t>
  </si>
  <si>
    <t>2025/10/24</t>
  </si>
  <si>
    <t>Shawn Acosta</t>
  </si>
  <si>
    <t>2025/11/29</t>
  </si>
  <si>
    <t>EMP1658</t>
  </si>
  <si>
    <t>Jocelyn Wilcox</t>
  </si>
  <si>
    <t>18 Apr 2012</t>
  </si>
  <si>
    <t>Kelly Foster PhD</t>
  </si>
  <si>
    <t>EMP1820</t>
  </si>
  <si>
    <t>Scott Thomas</t>
  </si>
  <si>
    <t>01/16/2015</t>
  </si>
  <si>
    <t>Carlos Miller</t>
  </si>
  <si>
    <t>EMP2117</t>
  </si>
  <si>
    <t>Tiffany Delgado</t>
  </si>
  <si>
    <t>04/06/2017</t>
  </si>
  <si>
    <t>Mary Strickland</t>
  </si>
  <si>
    <t>2023/10/07</t>
  </si>
  <si>
    <t>EMP1075</t>
  </si>
  <si>
    <t>Miguel Jones</t>
  </si>
  <si>
    <t>2021/12/19</t>
  </si>
  <si>
    <t>Ashley Barton</t>
  </si>
  <si>
    <t>EMP1564</t>
  </si>
  <si>
    <t>Thomas Lowe</t>
  </si>
  <si>
    <t>23 Jul 2021</t>
  </si>
  <si>
    <t>₹134,705</t>
  </si>
  <si>
    <t>Kimberly Williams</t>
  </si>
  <si>
    <t>09/09/2024</t>
  </si>
  <si>
    <t>EMP2019</t>
  </si>
  <si>
    <t>Gregory Silva</t>
  </si>
  <si>
    <t>2018/08/09</t>
  </si>
  <si>
    <t>Jessica Mcdonald</t>
  </si>
  <si>
    <t>EMP1058</t>
  </si>
  <si>
    <t>Jason Soto</t>
  </si>
  <si>
    <t>2014/07/25</t>
  </si>
  <si>
    <t>₹125,961</t>
  </si>
  <si>
    <t>David Douglas Jr.</t>
  </si>
  <si>
    <t>12/27/2022</t>
  </si>
  <si>
    <t>EMP2027</t>
  </si>
  <si>
    <t>Cole Carrillo</t>
  </si>
  <si>
    <t>01/28/2022</t>
  </si>
  <si>
    <t>Jerry Hansen</t>
  </si>
  <si>
    <t>EMP1479</t>
  </si>
  <si>
    <t>Charles Love</t>
  </si>
  <si>
    <t>06/05/2022</t>
  </si>
  <si>
    <t>₹53,690</t>
  </si>
  <si>
    <t>Levi Lopez</t>
  </si>
  <si>
    <t>EMP1298</t>
  </si>
  <si>
    <t>Todd Reynolds</t>
  </si>
  <si>
    <t>20 Oct 2021</t>
  </si>
  <si>
    <t>Angelica Montgomery</t>
  </si>
  <si>
    <t>EMP1955</t>
  </si>
  <si>
    <t>John Moody</t>
  </si>
  <si>
    <t>13-10-2013</t>
  </si>
  <si>
    <t>Steven Small</t>
  </si>
  <si>
    <t>18-05-2021</t>
  </si>
  <si>
    <t>EMP1218</t>
  </si>
  <si>
    <t>Laura Curtis</t>
  </si>
  <si>
    <t>2023/02/08</t>
  </si>
  <si>
    <t>Kathleen Burton</t>
  </si>
  <si>
    <t>2024/08/02</t>
  </si>
  <si>
    <t>EMP1713</t>
  </si>
  <si>
    <t>Tim Larsen</t>
  </si>
  <si>
    <t>sales executive</t>
  </si>
  <si>
    <t>2013/12/18</t>
  </si>
  <si>
    <t>Meagan Taylor MD</t>
  </si>
  <si>
    <t>EMP1669</t>
  </si>
  <si>
    <t>Joshua Harvey</t>
  </si>
  <si>
    <t>25-12-2019</t>
  </si>
  <si>
    <t>Amber Hernandez</t>
  </si>
  <si>
    <t>EMP1345</t>
  </si>
  <si>
    <t>Timothy Hill</t>
  </si>
  <si>
    <t>05 Jun 2021</t>
  </si>
  <si>
    <t>Jacob Mckee</t>
  </si>
  <si>
    <t>EMP1714</t>
  </si>
  <si>
    <t>Nathan Tucker</t>
  </si>
  <si>
    <t>06 Mar 2018</t>
  </si>
  <si>
    <t>Angela May MD</t>
  </si>
  <si>
    <t>EMP1538</t>
  </si>
  <si>
    <t>Nathaniel Cooper</t>
  </si>
  <si>
    <t>2018/06/05</t>
  </si>
  <si>
    <t>₹49,870</t>
  </si>
  <si>
    <t>Crystal Cruz</t>
  </si>
  <si>
    <t>EMP1940</t>
  </si>
  <si>
    <t>11/02/2015</t>
  </si>
  <si>
    <t>₹113,765</t>
  </si>
  <si>
    <t>Tami Graves</t>
  </si>
  <si>
    <t>EMP1755</t>
  </si>
  <si>
    <t>Robert Hendrix</t>
  </si>
  <si>
    <t>13-10-2021</t>
  </si>
  <si>
    <t>William Johnston</t>
  </si>
  <si>
    <t>EMP2040</t>
  </si>
  <si>
    <t>Morgan Ellis</t>
  </si>
  <si>
    <t>2025/04/02</t>
  </si>
  <si>
    <t>Keith Long</t>
  </si>
  <si>
    <t>EMP1703</t>
  </si>
  <si>
    <t>Robert Garza</t>
  </si>
  <si>
    <t>13 May 2023</t>
  </si>
  <si>
    <t>Richard Stephens</t>
  </si>
  <si>
    <t>EMP1869</t>
  </si>
  <si>
    <t>Tyler Cox</t>
  </si>
  <si>
    <t>10/12/2023</t>
  </si>
  <si>
    <t>Sean Mathews</t>
  </si>
  <si>
    <t>EMP1958</t>
  </si>
  <si>
    <t>Julia Cole</t>
  </si>
  <si>
    <t xml:space="preserve">  Logistics Manager  </t>
  </si>
  <si>
    <t>05/13/2018</t>
  </si>
  <si>
    <t>Robert Beck</t>
  </si>
  <si>
    <t>2025/07/21</t>
  </si>
  <si>
    <t>EMP1267</t>
  </si>
  <si>
    <t>Robert Barnes</t>
  </si>
  <si>
    <t>03-02-2023</t>
  </si>
  <si>
    <t>Daniel Garcia</t>
  </si>
  <si>
    <t>2026/04/01</t>
  </si>
  <si>
    <t>EMP1007</t>
  </si>
  <si>
    <t>Brian Ramirez</t>
  </si>
  <si>
    <t>2021/02/22</t>
  </si>
  <si>
    <t>₹55,635</t>
  </si>
  <si>
    <t>Daniel Adams</t>
  </si>
  <si>
    <t>27-02-2023</t>
  </si>
  <si>
    <t>EMP1123</t>
  </si>
  <si>
    <t>Melissa Garner</t>
  </si>
  <si>
    <t>2012/05/24</t>
  </si>
  <si>
    <t>Kathleen Strong</t>
  </si>
  <si>
    <t>EMP2049</t>
  </si>
  <si>
    <t>Margaret Moran</t>
  </si>
  <si>
    <t>16-01-2025</t>
  </si>
  <si>
    <t>EMP1139</t>
  </si>
  <si>
    <t>08-08-2013</t>
  </si>
  <si>
    <t>Christopher Guerrero</t>
  </si>
  <si>
    <t>EMP1164</t>
  </si>
  <si>
    <t>Jordan Bullock</t>
  </si>
  <si>
    <t>2016/11/15</t>
  </si>
  <si>
    <t>Sabrina Briggs</t>
  </si>
  <si>
    <t>EMP1734</t>
  </si>
  <si>
    <t>Sandra Smith</t>
  </si>
  <si>
    <t>13-02-2013</t>
  </si>
  <si>
    <t>Jeremy Robinson</t>
  </si>
  <si>
    <t>EMP1549</t>
  </si>
  <si>
    <t>Candice Lewis</t>
  </si>
  <si>
    <t>21-08-2017</t>
  </si>
  <si>
    <t>Joshua Terry</t>
  </si>
  <si>
    <t>EMP2072</t>
  </si>
  <si>
    <t>Adam Mason</t>
  </si>
  <si>
    <t>2022/06/26</t>
  </si>
  <si>
    <t>Timothy Bentley DVM</t>
  </si>
  <si>
    <t>EMP1044</t>
  </si>
  <si>
    <t>Marc Moore</t>
  </si>
  <si>
    <t>14-07-2025</t>
  </si>
  <si>
    <t>Rita Keith</t>
  </si>
  <si>
    <t>2026/07/06</t>
  </si>
  <si>
    <t>EMP1779</t>
  </si>
  <si>
    <t>Andrew Simmons</t>
  </si>
  <si>
    <t>09 Sep 2015</t>
  </si>
  <si>
    <t>Kimberly Norton</t>
  </si>
  <si>
    <t>EMP2056</t>
  </si>
  <si>
    <t>Joshua Mooney</t>
  </si>
  <si>
    <t>08-05-2024</t>
  </si>
  <si>
    <t>Tyler Greene</t>
  </si>
  <si>
    <t>EMP1320</t>
  </si>
  <si>
    <t>Mrs. Carrie Moore</t>
  </si>
  <si>
    <t>06 Jan 2020</t>
  </si>
  <si>
    <t>Jared Lopez</t>
  </si>
  <si>
    <t>2026/05/22</t>
  </si>
  <si>
    <t>EMP1801</t>
  </si>
  <si>
    <t>Cheyenne Stewart</t>
  </si>
  <si>
    <t>09-09-2020</t>
  </si>
  <si>
    <t>Susan Ward</t>
  </si>
  <si>
    <t>EMP1796</t>
  </si>
  <si>
    <t>Francisco Smith</t>
  </si>
  <si>
    <t>2022/09/06</t>
  </si>
  <si>
    <t>₹51,347</t>
  </si>
  <si>
    <t>Erin Thornton</t>
  </si>
  <si>
    <t>EMP1452</t>
  </si>
  <si>
    <t>Linda Morgan</t>
  </si>
  <si>
    <t>Steven Howard</t>
  </si>
  <si>
    <t>2026/08/28</t>
  </si>
  <si>
    <t>EMP1295</t>
  </si>
  <si>
    <t>Jasmine Mosley</t>
  </si>
  <si>
    <t>08/11/2016</t>
  </si>
  <si>
    <t>Brenda Hinton</t>
  </si>
  <si>
    <t>EMP1588</t>
  </si>
  <si>
    <t>Hailey Harrison</t>
  </si>
  <si>
    <t>2011/10/15</t>
  </si>
  <si>
    <t>Theresa Woods</t>
  </si>
  <si>
    <t>EMP1559</t>
  </si>
  <si>
    <t>Tonya Ellis</t>
  </si>
  <si>
    <t>SOFTWARE ENGINEER</t>
  </si>
  <si>
    <t>15-07-2018</t>
  </si>
  <si>
    <t>Alyssa Wilson</t>
  </si>
  <si>
    <t>EMP2020</t>
  </si>
  <si>
    <t>Robert Stewart</t>
  </si>
  <si>
    <t>14-05-2017</t>
  </si>
  <si>
    <t>₹95,203</t>
  </si>
  <si>
    <t>Matthew Howard</t>
  </si>
  <si>
    <t>2019/01/13</t>
  </si>
  <si>
    <t>EMP1507</t>
  </si>
  <si>
    <t>Teresa Burgess</t>
  </si>
  <si>
    <t>12/15/2013</t>
  </si>
  <si>
    <t>Gary Miller</t>
  </si>
  <si>
    <t>EMP1020</t>
  </si>
  <si>
    <t>Deborah Brennan</t>
  </si>
  <si>
    <t>22 Dec 2017</t>
  </si>
  <si>
    <t>₹96,153</t>
  </si>
  <si>
    <t>Joshua Blair</t>
  </si>
  <si>
    <t>EMP1519</t>
  </si>
  <si>
    <t>Holly Stewart</t>
  </si>
  <si>
    <t>2018/01/19</t>
  </si>
  <si>
    <t>David Walker</t>
  </si>
  <si>
    <t>EMP1474</t>
  </si>
  <si>
    <t>Jillian Wilson</t>
  </si>
  <si>
    <t>31 Jan 2019</t>
  </si>
  <si>
    <t>Ashley Gutierrez</t>
  </si>
  <si>
    <t>EMP1675</t>
  </si>
  <si>
    <t>Mrs. Melissa Peck</t>
  </si>
  <si>
    <t>05/18/2026</t>
  </si>
  <si>
    <t>Emily Fox</t>
  </si>
  <si>
    <t>17-06-2026</t>
  </si>
  <si>
    <t>EMP1700</t>
  </si>
  <si>
    <t>John Bell</t>
  </si>
  <si>
    <t>18 Jul 2018</t>
  </si>
  <si>
    <t>Randy Munoz</t>
  </si>
  <si>
    <t>EMP2055</t>
  </si>
  <si>
    <t>Jackie Jones</t>
  </si>
  <si>
    <t>2014/12/03</t>
  </si>
  <si>
    <t>125583.00</t>
  </si>
  <si>
    <t>Kyle Bird</t>
  </si>
  <si>
    <t>EMP1410</t>
  </si>
  <si>
    <t>David Williams</t>
  </si>
  <si>
    <t>03/11/2020</t>
  </si>
  <si>
    <t>135213.00</t>
  </si>
  <si>
    <t>Brittany Ward</t>
  </si>
  <si>
    <t>EMP2101</t>
  </si>
  <si>
    <t>Jane May</t>
  </si>
  <si>
    <t>brand manager</t>
  </si>
  <si>
    <t>2020/01/17</t>
  </si>
  <si>
    <t>₹55,443</t>
  </si>
  <si>
    <t>Rhonda Walker</t>
  </si>
  <si>
    <t>EMP1138</t>
  </si>
  <si>
    <t>Phillip Clark</t>
  </si>
  <si>
    <t>19-11-2014</t>
  </si>
  <si>
    <t>44725.00</t>
  </si>
  <si>
    <t>Charles Lester</t>
  </si>
  <si>
    <t>02/16/2025</t>
  </si>
  <si>
    <t>EMP2122</t>
  </si>
  <si>
    <t>Katherine Stone</t>
  </si>
  <si>
    <t>21 May 2020</t>
  </si>
  <si>
    <t>Becky Mullins</t>
  </si>
  <si>
    <t>2024/11/12</t>
  </si>
  <si>
    <t>EMP1527</t>
  </si>
  <si>
    <t>Nancy Webb</t>
  </si>
  <si>
    <t>06 Jan 2017</t>
  </si>
  <si>
    <t>Arthur Wood Jr.</t>
  </si>
  <si>
    <t>02/16/2019</t>
  </si>
  <si>
    <t>EMP1186</t>
  </si>
  <si>
    <t>Jerry Bailey</t>
  </si>
  <si>
    <t>2012/01/23</t>
  </si>
  <si>
    <t>Cynthia Vang</t>
  </si>
  <si>
    <t>2012/11/02</t>
  </si>
  <si>
    <t>EMP1971</t>
  </si>
  <si>
    <t>Christina Faulkner</t>
  </si>
  <si>
    <t>26 Mar 2017</t>
  </si>
  <si>
    <t>₹73,808</t>
  </si>
  <si>
    <t>Dr. Kimberly Henderson</t>
  </si>
  <si>
    <t>EMP2140</t>
  </si>
  <si>
    <t>Kathryn Hill</t>
  </si>
  <si>
    <t>01/16/2018</t>
  </si>
  <si>
    <t>Sierra Cervantes</t>
  </si>
  <si>
    <t>EMP2157</t>
  </si>
  <si>
    <t>Tammy Cameron</t>
  </si>
  <si>
    <t>2017/06/18</t>
  </si>
  <si>
    <t>Brian Smith</t>
  </si>
  <si>
    <t>EMP1873</t>
  </si>
  <si>
    <t>Michelle Mcdowell</t>
  </si>
  <si>
    <t xml:space="preserve">  Recruiter  </t>
  </si>
  <si>
    <t>25-11-2023</t>
  </si>
  <si>
    <t>47161.00</t>
  </si>
  <si>
    <t>Katie Bell</t>
  </si>
  <si>
    <t>06-03-2026</t>
  </si>
  <si>
    <t>EMP2147</t>
  </si>
  <si>
    <t>Kayla Farley</t>
  </si>
  <si>
    <t>20 Dec 2017</t>
  </si>
  <si>
    <t>₹91,690</t>
  </si>
  <si>
    <t>Brian Sloan</t>
  </si>
  <si>
    <t>07-04-2021</t>
  </si>
  <si>
    <t>EMP1508</t>
  </si>
  <si>
    <t>Robert Grant</t>
  </si>
  <si>
    <t>03/28/2020</t>
  </si>
  <si>
    <t>James Mccoy</t>
  </si>
  <si>
    <t>EMP1328</t>
  </si>
  <si>
    <t>Ian Smith</t>
  </si>
  <si>
    <t>09/12/2013</t>
  </si>
  <si>
    <t>₹56,605</t>
  </si>
  <si>
    <t>Tracey Wagner</t>
  </si>
  <si>
    <t>EMP1318</t>
  </si>
  <si>
    <t>Daniel Webb</t>
  </si>
  <si>
    <t>07 Oct 2018</t>
  </si>
  <si>
    <t>Michael Flores</t>
  </si>
  <si>
    <t>EMP1838</t>
  </si>
  <si>
    <t>Billy Walton</t>
  </si>
  <si>
    <t>SYSTEM ADMINISTRATOR</t>
  </si>
  <si>
    <t>2023/02/11</t>
  </si>
  <si>
    <t>₹104,724</t>
  </si>
  <si>
    <t>Christina Bates</t>
  </si>
  <si>
    <t>EMP2143</t>
  </si>
  <si>
    <t>Tonya Coleman</t>
  </si>
  <si>
    <t>2019/04/02</t>
  </si>
  <si>
    <t>₹64,780</t>
  </si>
  <si>
    <t>Karen Robertson</t>
  </si>
  <si>
    <t>EMP1722</t>
  </si>
  <si>
    <t>Donna Johnson</t>
  </si>
  <si>
    <t>06-06-2025</t>
  </si>
  <si>
    <t>Kristy Brown</t>
  </si>
  <si>
    <t>2026/05/09</t>
  </si>
  <si>
    <t>EMP1732</t>
  </si>
  <si>
    <t>Derek Garcia</t>
  </si>
  <si>
    <t>2021/06/04</t>
  </si>
  <si>
    <t>73488.00</t>
  </si>
  <si>
    <t>Raymond Curry</t>
  </si>
  <si>
    <t>EMP1800</t>
  </si>
  <si>
    <t>Diana Johnson</t>
  </si>
  <si>
    <t>2019/09/11</t>
  </si>
  <si>
    <t>Michael Miller</t>
  </si>
  <si>
    <t>EMP1472</t>
  </si>
  <si>
    <t>Sarah Booth</t>
  </si>
  <si>
    <t>2012/10/11</t>
  </si>
  <si>
    <t>Wayne Williams</t>
  </si>
  <si>
    <t>09-08-2019</t>
  </si>
  <si>
    <t>EMP1484</t>
  </si>
  <si>
    <t>Kathy Cruz</t>
  </si>
  <si>
    <t>04/11/2026</t>
  </si>
  <si>
    <t>₹45,877</t>
  </si>
  <si>
    <t>Pamela Hill</t>
  </si>
  <si>
    <t>EMP1786</t>
  </si>
  <si>
    <t>Ana Mcclain</t>
  </si>
  <si>
    <t>06/29/2018</t>
  </si>
  <si>
    <t>Donna Frye</t>
  </si>
  <si>
    <t>02/23/2019</t>
  </si>
  <si>
    <t>EMP1149</t>
  </si>
  <si>
    <t>Hayden Ortega</t>
  </si>
  <si>
    <t>09 Nov 2022</t>
  </si>
  <si>
    <t>₹121,934</t>
  </si>
  <si>
    <t>EMP1489</t>
  </si>
  <si>
    <t>Sarah Mitchell</t>
  </si>
  <si>
    <t>20 Apr 2024</t>
  </si>
  <si>
    <t>Allison Thomas</t>
  </si>
  <si>
    <t>2026/03/18</t>
  </si>
  <si>
    <t>EMP1999</t>
  </si>
  <si>
    <t>Kenneth Walsh</t>
  </si>
  <si>
    <t>06/27/2015</t>
  </si>
  <si>
    <t>Jill Sanchez</t>
  </si>
  <si>
    <t>2020/03/10</t>
  </si>
  <si>
    <t>EMP1709</t>
  </si>
  <si>
    <t>Tony Graham</t>
  </si>
  <si>
    <t>28-04-2026</t>
  </si>
  <si>
    <t>Adam Downs</t>
  </si>
  <si>
    <t>2026/06/10</t>
  </si>
  <si>
    <t>EMP2184</t>
  </si>
  <si>
    <t>David Barber</t>
  </si>
  <si>
    <t>2017/02/28</t>
  </si>
  <si>
    <t>₹66,991</t>
  </si>
  <si>
    <t>Anna White</t>
  </si>
  <si>
    <t>EMP2111</t>
  </si>
  <si>
    <t>Jeanne Rose</t>
  </si>
  <si>
    <t>11/20/2015</t>
  </si>
  <si>
    <t>Scott Long</t>
  </si>
  <si>
    <t>23-05-2023</t>
  </si>
  <si>
    <t>EMP1366</t>
  </si>
  <si>
    <t>John Reyes</t>
  </si>
  <si>
    <t>2013/11/25</t>
  </si>
  <si>
    <t>Shannon Tran</t>
  </si>
  <si>
    <t>EMP1913</t>
  </si>
  <si>
    <t>John Holt</t>
  </si>
  <si>
    <t>15 Aug 2024</t>
  </si>
  <si>
    <t>Katelyn Montgomery</t>
  </si>
  <si>
    <t>08/05/2026</t>
  </si>
  <si>
    <t>EMP1531</t>
  </si>
  <si>
    <t>Heather Parrish</t>
  </si>
  <si>
    <t>04 Dec 2018</t>
  </si>
  <si>
    <t>Mr. Jonathan Taylor</t>
  </si>
  <si>
    <t>EMP1821</t>
  </si>
  <si>
    <t>Rachel Jones</t>
  </si>
  <si>
    <t>22 Mar 2023</t>
  </si>
  <si>
    <t>Brian Mcguire</t>
  </si>
  <si>
    <t>29-10-2025</t>
  </si>
  <si>
    <t>EMP1816</t>
  </si>
  <si>
    <t>Mr. Thomas Garcia</t>
  </si>
  <si>
    <t>20 Dec 2013</t>
  </si>
  <si>
    <t>Colin Prince</t>
  </si>
  <si>
    <t>EMP1953</t>
  </si>
  <si>
    <t>Daniel Kennedy</t>
  </si>
  <si>
    <t>10/19/2022</t>
  </si>
  <si>
    <t>₹80,011</t>
  </si>
  <si>
    <t>Jaclyn Crane</t>
  </si>
  <si>
    <t>EMP1570</t>
  </si>
  <si>
    <t>Diana White</t>
  </si>
  <si>
    <t>2013/08/14</t>
  </si>
  <si>
    <t>Crystal Garcia</t>
  </si>
  <si>
    <t>EMP1233</t>
  </si>
  <si>
    <t>Rachel Parsons</t>
  </si>
  <si>
    <t>12-04-2020</t>
  </si>
  <si>
    <t>2024/11/19</t>
  </si>
  <si>
    <t>EMP1957</t>
  </si>
  <si>
    <t>Stephanie Harrington</t>
  </si>
  <si>
    <t>10/02/2018</t>
  </si>
  <si>
    <t>Lisa Gill</t>
  </si>
  <si>
    <t>EMP2185</t>
  </si>
  <si>
    <t>Scott Lopez</t>
  </si>
  <si>
    <t>12/24/2018</t>
  </si>
  <si>
    <t>₹90,185</t>
  </si>
  <si>
    <t>Maria Smith</t>
  </si>
  <si>
    <t>EMP1813</t>
  </si>
  <si>
    <t>Joseph Mayer</t>
  </si>
  <si>
    <t>01-05-2019</t>
  </si>
  <si>
    <t>Catherine Davis</t>
  </si>
  <si>
    <t>EMP1591</t>
  </si>
  <si>
    <t>David Duran</t>
  </si>
  <si>
    <t>2025/03/28</t>
  </si>
  <si>
    <t>Melinda Mitchell</t>
  </si>
  <si>
    <t>EMP1159</t>
  </si>
  <si>
    <t>Paul Thompson</t>
  </si>
  <si>
    <t>02 May 2017</t>
  </si>
  <si>
    <t>Sandra Drake</t>
  </si>
  <si>
    <t>EMP1316</t>
  </si>
  <si>
    <t>James Barton</t>
  </si>
  <si>
    <t>11 Jun 2020</t>
  </si>
  <si>
    <t>Haley Johnson</t>
  </si>
  <si>
    <t>EMP1257</t>
  </si>
  <si>
    <t>David Fischer</t>
  </si>
  <si>
    <t>08-09-2024</t>
  </si>
  <si>
    <t>₹47,250</t>
  </si>
  <si>
    <t>06-11-2024</t>
  </si>
  <si>
    <t>EMP2029</t>
  </si>
  <si>
    <t>Michael Powell</t>
  </si>
  <si>
    <t>04/12/2023</t>
  </si>
  <si>
    <t>₹79,849</t>
  </si>
  <si>
    <t>Erika Johnson</t>
  </si>
  <si>
    <t>EMP1097</t>
  </si>
  <si>
    <t>Melissa Bender</t>
  </si>
  <si>
    <t>02/17/2019</t>
  </si>
  <si>
    <t>Bobby Williams MD</t>
  </si>
  <si>
    <t>EMP2183</t>
  </si>
  <si>
    <t>Ruth Walker</t>
  </si>
  <si>
    <t>2015/09/03</t>
  </si>
  <si>
    <t>Rhonda Mullins</t>
  </si>
  <si>
    <t>EMP1463</t>
  </si>
  <si>
    <t>Anna Chang</t>
  </si>
  <si>
    <t>07-05-2012</t>
  </si>
  <si>
    <t>63966.00</t>
  </si>
  <si>
    <t>Carolyn Howard</t>
  </si>
  <si>
    <t>2024/07/18</t>
  </si>
  <si>
    <t>EMP1385</t>
  </si>
  <si>
    <t>Kenneth Underwood</t>
  </si>
  <si>
    <t>22 Jul 2017</t>
  </si>
  <si>
    <t>₹103,288</t>
  </si>
  <si>
    <t>Michael Thompson</t>
  </si>
  <si>
    <t>EMP2164</t>
  </si>
  <si>
    <t>Maria Torres</t>
  </si>
  <si>
    <t>2015/09/06</t>
  </si>
  <si>
    <t>Gregory Barnes</t>
  </si>
  <si>
    <t>EMP1178</t>
  </si>
  <si>
    <t>Katelyn Perez</t>
  </si>
  <si>
    <t>18-09-2013</t>
  </si>
  <si>
    <t>Ryan Garcia</t>
  </si>
  <si>
    <t>EMP1475</t>
  </si>
  <si>
    <t>April Davis</t>
  </si>
  <si>
    <t xml:space="preserve">  HR Manager  </t>
  </si>
  <si>
    <t>2020/09/04</t>
  </si>
  <si>
    <t>₹70,221</t>
  </si>
  <si>
    <t>Elizabeth Romero</t>
  </si>
  <si>
    <t>EMP1329</t>
  </si>
  <si>
    <t>Michael Perry PhD</t>
  </si>
  <si>
    <t>14 Dec 2018</t>
  </si>
  <si>
    <t>Andre Juarez</t>
  </si>
  <si>
    <t>EMP1315</t>
  </si>
  <si>
    <t>Adam Green</t>
  </si>
  <si>
    <t>13 Apr 2019</t>
  </si>
  <si>
    <t>Lauren Johnston</t>
  </si>
  <si>
    <t>EMP1416</t>
  </si>
  <si>
    <t>Stephen Alvarez</t>
  </si>
  <si>
    <t>03 Nov 2012</t>
  </si>
  <si>
    <t>Kathryn Lester</t>
  </si>
  <si>
    <t>04/27/2025</t>
  </si>
  <si>
    <t>EMP1358</t>
  </si>
  <si>
    <t>Angela Herrera</t>
  </si>
  <si>
    <t>07-11-2020</t>
  </si>
  <si>
    <t>Jorge Harris</t>
  </si>
  <si>
    <t>2022/06/19</t>
  </si>
  <si>
    <t>EMP1348</t>
  </si>
  <si>
    <t>Jennifer Anderson MD</t>
  </si>
  <si>
    <t>18 May 2017</t>
  </si>
  <si>
    <t>Erik Ibarra</t>
  </si>
  <si>
    <t>2024/02/29</t>
  </si>
  <si>
    <t>EMP1505</t>
  </si>
  <si>
    <t>Carol Huber</t>
  </si>
  <si>
    <t>09/09/2019</t>
  </si>
  <si>
    <t>Austin Santiago</t>
  </si>
  <si>
    <t>EMP1299</t>
  </si>
  <si>
    <t>Michelle Miller</t>
  </si>
  <si>
    <t>Madison Singh</t>
  </si>
  <si>
    <t>EMP2034</t>
  </si>
  <si>
    <t>Andrea Brown</t>
  </si>
  <si>
    <t>05/26/2019</t>
  </si>
  <si>
    <t>Jennifer Moore</t>
  </si>
  <si>
    <t>2020/08/24</t>
  </si>
  <si>
    <t>EMP2144</t>
  </si>
  <si>
    <t>Dr. Melissa Sullivan DDS</t>
  </si>
  <si>
    <t>04/02/2025</t>
  </si>
  <si>
    <t>Michele Brady</t>
  </si>
  <si>
    <t>04/21/2026</t>
  </si>
  <si>
    <t>EMP1789</t>
  </si>
  <si>
    <t>Arthur Wiggins</t>
  </si>
  <si>
    <t>16 Feb 2015</t>
  </si>
  <si>
    <t>Jennifer Cooper</t>
  </si>
  <si>
    <t>2026/01/21</t>
  </si>
  <si>
    <t>EMP1706</t>
  </si>
  <si>
    <t>Patricia Gray</t>
  </si>
  <si>
    <t>14 Jan 2019</t>
  </si>
  <si>
    <t>EMP1961</t>
  </si>
  <si>
    <t>Luke Ray</t>
  </si>
  <si>
    <t>2012/06/14</t>
  </si>
  <si>
    <t>₹118,318</t>
  </si>
  <si>
    <t>Chelsey Alvarez</t>
  </si>
  <si>
    <t>EMP1659</t>
  </si>
  <si>
    <t>Kelli Mccoy</t>
  </si>
  <si>
    <t>25 May 2012</t>
  </si>
  <si>
    <t>James Torres</t>
  </si>
  <si>
    <t>EMP1250</t>
  </si>
  <si>
    <t>Christopher Stevens</t>
  </si>
  <si>
    <t>02 Jul 2015</t>
  </si>
  <si>
    <t>Rachel Bradley</t>
  </si>
  <si>
    <t>30-07-2017</t>
  </si>
  <si>
    <t>EMP1844</t>
  </si>
  <si>
    <t>Andrew Hood</t>
  </si>
  <si>
    <t>13 Nov 2016</t>
  </si>
  <si>
    <t>Alyssa Vance</t>
  </si>
  <si>
    <t>EMP1016</t>
  </si>
  <si>
    <t>Thomas Harrell</t>
  </si>
  <si>
    <t>DEVOPS ENGINEER</t>
  </si>
  <si>
    <t>12 Feb 2016</t>
  </si>
  <si>
    <t>Lisa Hernandez</t>
  </si>
  <si>
    <t>EMP2068</t>
  </si>
  <si>
    <t>Richard Miller</t>
  </si>
  <si>
    <t>04 Mar 2026</t>
  </si>
  <si>
    <t>Jeremy Wagner</t>
  </si>
  <si>
    <t>14-05-2026</t>
  </si>
  <si>
    <t>EMP1160</t>
  </si>
  <si>
    <t>Scott Williams</t>
  </si>
  <si>
    <t>12/11/2011</t>
  </si>
  <si>
    <t>Shannon Johnston</t>
  </si>
  <si>
    <t>EMP2094</t>
  </si>
  <si>
    <t>Tara Hatfield</t>
  </si>
  <si>
    <t>13-06-2024</t>
  </si>
  <si>
    <t>Elizabeth Lee</t>
  </si>
  <si>
    <t>06/15/2026</t>
  </si>
  <si>
    <t>EMP1611</t>
  </si>
  <si>
    <t>John Garcia</t>
  </si>
  <si>
    <t>07-03-2020</t>
  </si>
  <si>
    <t>131500.00</t>
  </si>
  <si>
    <t>Mary Fox</t>
  </si>
  <si>
    <t>EMP1361</t>
  </si>
  <si>
    <t>Patrick Yang</t>
  </si>
  <si>
    <t>2013/06/11</t>
  </si>
  <si>
    <t>₹47,470</t>
  </si>
  <si>
    <t>Carla Benton</t>
  </si>
  <si>
    <t>10/20/2022</t>
  </si>
  <si>
    <t>EMP1049</t>
  </si>
  <si>
    <t>Cassandra Estes</t>
  </si>
  <si>
    <t>08/16/2015</t>
  </si>
  <si>
    <t>Jeffrey Chandler</t>
  </si>
  <si>
    <t>EMP1203</t>
  </si>
  <si>
    <t>Heidi Owen</t>
  </si>
  <si>
    <t>2021/10/19</t>
  </si>
  <si>
    <t>₹42,954</t>
  </si>
  <si>
    <t>Brenda Lawson</t>
  </si>
  <si>
    <t>EMP1331</t>
  </si>
  <si>
    <t>Ashley Wilson</t>
  </si>
  <si>
    <t>24-03-2023</t>
  </si>
  <si>
    <t>Holly Carson</t>
  </si>
  <si>
    <t>EMP1599</t>
  </si>
  <si>
    <t>Mark Williams</t>
  </si>
  <si>
    <t>25-08-2025</t>
  </si>
  <si>
    <t>Mark Gonzalez</t>
  </si>
  <si>
    <t>2026/03/06</t>
  </si>
  <si>
    <t>EMP1511</t>
  </si>
  <si>
    <t>Jessica Foster</t>
  </si>
  <si>
    <t>07/09/2021</t>
  </si>
  <si>
    <t>₹100,678</t>
  </si>
  <si>
    <t>Brandy Myers</t>
  </si>
  <si>
    <t>12/16/2023</t>
  </si>
  <si>
    <t>EMP1113</t>
  </si>
  <si>
    <t>Jessica Fox</t>
  </si>
  <si>
    <t>2018/06/24</t>
  </si>
  <si>
    <t>Jennifer Pena</t>
  </si>
  <si>
    <t>EMP1339</t>
  </si>
  <si>
    <t>Mark Beard</t>
  </si>
  <si>
    <t>01/19/2013</t>
  </si>
  <si>
    <t>Diana Mayer</t>
  </si>
  <si>
    <t>EMP1308</t>
  </si>
  <si>
    <t>Michael Henry</t>
  </si>
  <si>
    <t>04/02/2020</t>
  </si>
  <si>
    <t>James Velasquez</t>
  </si>
  <si>
    <t>EMP1790</t>
  </si>
  <si>
    <t>Erin Watkins</t>
  </si>
  <si>
    <t>22-01-2022</t>
  </si>
  <si>
    <t>Jill Torres</t>
  </si>
  <si>
    <t>EMP1423</t>
  </si>
  <si>
    <t>Lee Steele</t>
  </si>
  <si>
    <t>2012/03/29</t>
  </si>
  <si>
    <t>2025/01/26</t>
  </si>
  <si>
    <t>EMP1417</t>
  </si>
  <si>
    <t>Megan Oliver</t>
  </si>
  <si>
    <t>2013/06/16</t>
  </si>
  <si>
    <t>William Stanton</t>
  </si>
  <si>
    <t>2023/06/16</t>
  </si>
  <si>
    <t>EMP1952</t>
  </si>
  <si>
    <t>Brianna Martinez</t>
  </si>
  <si>
    <t>10 Apr 2022</t>
  </si>
  <si>
    <t>₹55,109</t>
  </si>
  <si>
    <t>Michael Boyer</t>
  </si>
  <si>
    <t>EMP1411</t>
  </si>
  <si>
    <t>Edward Stanley</t>
  </si>
  <si>
    <t>08/13/2020</t>
  </si>
  <si>
    <t>Christopher Carter</t>
  </si>
  <si>
    <t>28-10-2021</t>
  </si>
  <si>
    <t>EMP2080</t>
  </si>
  <si>
    <t>Eric Jenkins</t>
  </si>
  <si>
    <t>26 Sep 2024</t>
  </si>
  <si>
    <t>Ann Fields</t>
  </si>
  <si>
    <t>EMP1792</t>
  </si>
  <si>
    <t>Jesus Jackson</t>
  </si>
  <si>
    <t>13-06-2025</t>
  </si>
  <si>
    <t>William Franco</t>
  </si>
  <si>
    <t>04/25/2026</t>
  </si>
  <si>
    <t>EMP1856</t>
  </si>
  <si>
    <t>Kelly Diaz</t>
  </si>
  <si>
    <t>11/13/2013</t>
  </si>
  <si>
    <t>Michael Evans</t>
  </si>
  <si>
    <t>EMP1645</t>
  </si>
  <si>
    <t>Christian Prince</t>
  </si>
  <si>
    <t>18 Jun 2021</t>
  </si>
  <si>
    <t>James Yu</t>
  </si>
  <si>
    <t>EMP1396</t>
  </si>
  <si>
    <t>Sarah Morris</t>
  </si>
  <si>
    <t>28 Dec 2011</t>
  </si>
  <si>
    <t>Sylvia Schroeder</t>
  </si>
  <si>
    <t>EMP1668</t>
  </si>
  <si>
    <t>Stephen Young</t>
  </si>
  <si>
    <t>12-06-2020</t>
  </si>
  <si>
    <t>Bobby Greene</t>
  </si>
  <si>
    <t>05/28/2023</t>
  </si>
  <si>
    <t>EMP1460</t>
  </si>
  <si>
    <t>2021/09/06</t>
  </si>
  <si>
    <t>Sara Caldwell</t>
  </si>
  <si>
    <t>EMP1656</t>
  </si>
  <si>
    <t>Frederick Ellis II</t>
  </si>
  <si>
    <t>2017/09/14</t>
  </si>
  <si>
    <t>Nicolas James</t>
  </si>
  <si>
    <t>EMP1128</t>
  </si>
  <si>
    <t>Nicole Morgan</t>
  </si>
  <si>
    <t>19-05-2013</t>
  </si>
  <si>
    <t>Brenda Levy</t>
  </si>
  <si>
    <t>EMP2057</t>
  </si>
  <si>
    <t>Miss Megan Compton</t>
  </si>
  <si>
    <t>05-01-2022</t>
  </si>
  <si>
    <t>Mark Henson</t>
  </si>
  <si>
    <t>EMP2189</t>
  </si>
  <si>
    <t>Mark Smith</t>
  </si>
  <si>
    <t>29 Jan 2026</t>
  </si>
  <si>
    <t>₹118,013</t>
  </si>
  <si>
    <t>Ashley Fitzgerald</t>
  </si>
  <si>
    <t>EMP1774</t>
  </si>
  <si>
    <t>Abigail Baird</t>
  </si>
  <si>
    <t>04/05/2012</t>
  </si>
  <si>
    <t>82411.00</t>
  </si>
  <si>
    <t>15-01-2019</t>
  </si>
  <si>
    <t>EMP1450</t>
  </si>
  <si>
    <t>Cheryl Rhodes</t>
  </si>
  <si>
    <t>04 Jan 2021</t>
  </si>
  <si>
    <t>Michael Cooper</t>
  </si>
  <si>
    <t>EMP1238</t>
  </si>
  <si>
    <t>Melissa Bishop</t>
  </si>
  <si>
    <t>13-07-2014</t>
  </si>
  <si>
    <t>Justin Walker</t>
  </si>
  <si>
    <t>EMP1168</t>
  </si>
  <si>
    <t>Emily Hayes</t>
  </si>
  <si>
    <t>05-07-2012</t>
  </si>
  <si>
    <t>Angela Lin</t>
  </si>
  <si>
    <t>EMP1783</t>
  </si>
  <si>
    <t>Tina Clark</t>
  </si>
  <si>
    <t>11-10-2022</t>
  </si>
  <si>
    <t>Harold Adams</t>
  </si>
  <si>
    <t>EMP1636</t>
  </si>
  <si>
    <t>Tammy Melton</t>
  </si>
  <si>
    <t>24 Nov 2023</t>
  </si>
  <si>
    <t>Ashley Cole</t>
  </si>
  <si>
    <t>2023/12/07</t>
  </si>
  <si>
    <t>EMP1081</t>
  </si>
  <si>
    <t>Gina Beard</t>
  </si>
  <si>
    <t>2022/02/14</t>
  </si>
  <si>
    <t>Adam Vaughan</t>
  </si>
  <si>
    <t>EMP1415</t>
  </si>
  <si>
    <t>Leah Spencer</t>
  </si>
  <si>
    <t>03/16/2024</t>
  </si>
  <si>
    <t>Joseph Camacho</t>
  </si>
  <si>
    <t>03/20/2026</t>
  </si>
  <si>
    <t>EMP1670</t>
  </si>
  <si>
    <t>Amanda Nash</t>
  </si>
  <si>
    <t>08/12/2021</t>
  </si>
  <si>
    <t>Thomas Williams</t>
  </si>
  <si>
    <t>11/05/2025</t>
  </si>
  <si>
    <t>EMP1301</t>
  </si>
  <si>
    <t>Jerry Peters</t>
  </si>
  <si>
    <t>01 Oct 2017</t>
  </si>
  <si>
    <t>51460.00</t>
  </si>
  <si>
    <t>Hector Davis</t>
  </si>
  <si>
    <t>EMP1643</t>
  </si>
  <si>
    <t>Christopher Reed</t>
  </si>
  <si>
    <t>29-11-2016</t>
  </si>
  <si>
    <t>Cynthia Good</t>
  </si>
  <si>
    <t>EMP1325</t>
  </si>
  <si>
    <t>Lucas Miller</t>
  </si>
  <si>
    <t>29 Aug 2013</t>
  </si>
  <si>
    <t>Eric White</t>
  </si>
  <si>
    <t>EMP1936</t>
  </si>
  <si>
    <t>Jimmy Phelps</t>
  </si>
  <si>
    <t>2023/07/08</t>
  </si>
  <si>
    <t>Allen Thomas</t>
  </si>
  <si>
    <t>EMP1216</t>
  </si>
  <si>
    <t>Eric Ferguson</t>
  </si>
  <si>
    <t>MANUFACTURING TECHNICIAN</t>
  </si>
  <si>
    <t>2019/02/28</t>
  </si>
  <si>
    <t>Brittany Hopkins</t>
  </si>
  <si>
    <t>04-06-2020</t>
  </si>
  <si>
    <t>EMP1622</t>
  </si>
  <si>
    <t>Rodney Norris</t>
  </si>
  <si>
    <t>12 Oct 2015</t>
  </si>
  <si>
    <t>Tammy Moore</t>
  </si>
  <si>
    <t>21-10-2021</t>
  </si>
  <si>
    <t>EMP1031</t>
  </si>
  <si>
    <t>Lauren Daniels</t>
  </si>
  <si>
    <t>27-10-2022</t>
  </si>
  <si>
    <t>Kevin Shaw</t>
  </si>
  <si>
    <t>EMP1753</t>
  </si>
  <si>
    <t>Bianca Jackson</t>
  </si>
  <si>
    <t>2012/05/29</t>
  </si>
  <si>
    <t>₹51,723</t>
  </si>
  <si>
    <t>Riley Bryant</t>
  </si>
  <si>
    <t>EMP1243</t>
  </si>
  <si>
    <t>Laurie Sanchez</t>
  </si>
  <si>
    <t>08/27/2021</t>
  </si>
  <si>
    <t>₹118,463</t>
  </si>
  <si>
    <t>Margaret Williams</t>
  </si>
  <si>
    <t>EMP1730</t>
  </si>
  <si>
    <t>Seth Smith</t>
  </si>
  <si>
    <t>30 Jun 2025</t>
  </si>
  <si>
    <t>95297.00</t>
  </si>
  <si>
    <t>Tonya Vega</t>
  </si>
  <si>
    <t>01/07/2026</t>
  </si>
  <si>
    <t>EMP1641</t>
  </si>
  <si>
    <t>James Bray</t>
  </si>
  <si>
    <t>23-02-2013</t>
  </si>
  <si>
    <t>EMP1136</t>
  </si>
  <si>
    <t>James Lopez</t>
  </si>
  <si>
    <t>06/26/2013</t>
  </si>
  <si>
    <t>Jordan Bates</t>
  </si>
  <si>
    <t>EMP2054</t>
  </si>
  <si>
    <t>Christopher Morales</t>
  </si>
  <si>
    <t>2016/05/19</t>
  </si>
  <si>
    <t>Austin Briggs</t>
  </si>
  <si>
    <t>2020/05/19</t>
  </si>
  <si>
    <t>EMP1210</t>
  </si>
  <si>
    <t>Barbara Harris</t>
  </si>
  <si>
    <t>2013/09/25</t>
  </si>
  <si>
    <t>EMP1548</t>
  </si>
  <si>
    <t>Gregory Thornton</t>
  </si>
  <si>
    <t>2022/08/22</t>
  </si>
  <si>
    <t>Nicole Griffin</t>
  </si>
  <si>
    <t>29-01-2026</t>
  </si>
  <si>
    <t>EMP1436</t>
  </si>
  <si>
    <t>Jacqueline Holland</t>
  </si>
  <si>
    <t>2020/09/30</t>
  </si>
  <si>
    <t>₹95,237</t>
  </si>
  <si>
    <t>Brian Brown</t>
  </si>
  <si>
    <t>EMP2141</t>
  </si>
  <si>
    <t>Scott Meza</t>
  </si>
  <si>
    <t>09/23/2017</t>
  </si>
  <si>
    <t>Brandon Miller</t>
  </si>
  <si>
    <t>EMP2109</t>
  </si>
  <si>
    <t>Melody Williams</t>
  </si>
  <si>
    <t>28 Jul 2024</t>
  </si>
  <si>
    <t>John Myers</t>
  </si>
  <si>
    <t>EMP1404</t>
  </si>
  <si>
    <t>02-06-2017</t>
  </si>
  <si>
    <t>₹76,383</t>
  </si>
  <si>
    <t>Tracy Wilkerson</t>
  </si>
  <si>
    <t>EMP2084</t>
  </si>
  <si>
    <t>Anthony White</t>
  </si>
  <si>
    <t>27-12-2022</t>
  </si>
  <si>
    <t>Steven Ortiz</t>
  </si>
  <si>
    <t>EMP1363</t>
  </si>
  <si>
    <t>Alyssa Roman</t>
  </si>
  <si>
    <t>09/21/2015</t>
  </si>
  <si>
    <t>118998.00</t>
  </si>
  <si>
    <t>Michael Ray</t>
  </si>
  <si>
    <t>EMP1272</t>
  </si>
  <si>
    <t>Jon Compton</t>
  </si>
  <si>
    <t>2025/09/16</t>
  </si>
  <si>
    <t>Emma Butler</t>
  </si>
  <si>
    <t>05/08/2026</t>
  </si>
  <si>
    <t>EMP1467</t>
  </si>
  <si>
    <t>Catherine James</t>
  </si>
  <si>
    <t>05-01-2017</t>
  </si>
  <si>
    <t>Michael Roberson</t>
  </si>
  <si>
    <t>EMP1778</t>
  </si>
  <si>
    <t>Richard Wood</t>
  </si>
  <si>
    <t>08/03/2018</t>
  </si>
  <si>
    <t>₹92,517</t>
  </si>
  <si>
    <t>Andrea Barry</t>
  </si>
  <si>
    <t>2023/09/14</t>
  </si>
  <si>
    <t>EMP1278</t>
  </si>
  <si>
    <t>Mrs. Dana Munoz MD</t>
  </si>
  <si>
    <t>25-04-2025</t>
  </si>
  <si>
    <t>Jamie Ferguson</t>
  </si>
  <si>
    <t>01/22/2026</t>
  </si>
  <si>
    <t>EMP2082</t>
  </si>
  <si>
    <t>April Jones</t>
  </si>
  <si>
    <t>19-01-2022</t>
  </si>
  <si>
    <t>Mary Quinn</t>
  </si>
  <si>
    <t>EMP2158</t>
  </si>
  <si>
    <t>Jonathan Saunders</t>
  </si>
  <si>
    <t>11-03-2015</t>
  </si>
  <si>
    <t>Gloria Bray</t>
  </si>
  <si>
    <t>EMP2168</t>
  </si>
  <si>
    <t>Matthew Clark</t>
  </si>
  <si>
    <t>23-05-2017</t>
  </si>
  <si>
    <t>Patrick Martinez</t>
  </si>
  <si>
    <t>2025/08/13</t>
  </si>
  <si>
    <t>EMP1698</t>
  </si>
  <si>
    <t>Michael Mckinney</t>
  </si>
  <si>
    <t>09 Aug 2018</t>
  </si>
  <si>
    <t>Scott Jensen</t>
  </si>
  <si>
    <t>2020/06/21</t>
  </si>
  <si>
    <t>EMP1443</t>
  </si>
  <si>
    <t>Patrick Parker</t>
  </si>
  <si>
    <t>2023/06/03</t>
  </si>
  <si>
    <t>David Carter</t>
  </si>
  <si>
    <t>EMP1300</t>
  </si>
  <si>
    <t>2016/04/05</t>
  </si>
  <si>
    <t>Derrick Anderson</t>
  </si>
  <si>
    <t>EMP1376</t>
  </si>
  <si>
    <t>Ethan Owen</t>
  </si>
  <si>
    <t>12 Feb 2022</t>
  </si>
  <si>
    <t>₹132,775</t>
  </si>
  <si>
    <t>Emily Nelson</t>
  </si>
  <si>
    <t>EMP1664</t>
  </si>
  <si>
    <t>Jerry Cox</t>
  </si>
  <si>
    <t>2019/06/24</t>
  </si>
  <si>
    <t>Kayla Herring</t>
  </si>
  <si>
    <t>03/28/2022</t>
  </si>
  <si>
    <t>EMP2181</t>
  </si>
  <si>
    <t>Colleen Sanford</t>
  </si>
  <si>
    <t>20 Apr 2014</t>
  </si>
  <si>
    <t>Veronica Osborne</t>
  </si>
  <si>
    <t>2026/04/24</t>
  </si>
  <si>
    <t>EMP1612</t>
  </si>
  <si>
    <t>Dawn Diaz</t>
  </si>
  <si>
    <t>13 Sep 2020</t>
  </si>
  <si>
    <t>Timothy Clark</t>
  </si>
  <si>
    <t>EMP1473</t>
  </si>
  <si>
    <t>Mason Powell</t>
  </si>
  <si>
    <t>03/03/2015</t>
  </si>
  <si>
    <t>Robert West</t>
  </si>
  <si>
    <t>EMP1852</t>
  </si>
  <si>
    <t>Karen Clark</t>
  </si>
  <si>
    <t>14-07-2023</t>
  </si>
  <si>
    <t>Elizabeth Brock</t>
  </si>
  <si>
    <t>EMP2102</t>
  </si>
  <si>
    <t>Brandon Davis</t>
  </si>
  <si>
    <t>auditor</t>
  </si>
  <si>
    <t>17 Sep 2022</t>
  </si>
  <si>
    <t>Audrey Richardson</t>
  </si>
  <si>
    <t>06/01/2026</t>
  </si>
  <si>
    <t>EMP1389</t>
  </si>
  <si>
    <t>Dr. Jonathan Price</t>
  </si>
  <si>
    <t>05/06/2014</t>
  </si>
  <si>
    <t>Daniel Huang</t>
  </si>
  <si>
    <t>EMP1023</t>
  </si>
  <si>
    <t>Taylor Heath</t>
  </si>
  <si>
    <t>2012/09/20</t>
  </si>
  <si>
    <t>76954.00</t>
  </si>
  <si>
    <t>Michael Lewis</t>
  </si>
  <si>
    <t>EMP1701</t>
  </si>
  <si>
    <t>Brian Roth</t>
  </si>
  <si>
    <t>2023/07/20</t>
  </si>
  <si>
    <t>Matthew Sparks</t>
  </si>
  <si>
    <t>EMP1916</t>
  </si>
  <si>
    <t>Jessica Garrett</t>
  </si>
  <si>
    <t>2023/06/13</t>
  </si>
  <si>
    <t>Eric Ford</t>
  </si>
  <si>
    <t>EMP1424</t>
  </si>
  <si>
    <t>Stephanie Smith</t>
  </si>
  <si>
    <t>09 Nov 2023</t>
  </si>
  <si>
    <t>Douglas Vasquez</t>
  </si>
  <si>
    <t>EMP1991</t>
  </si>
  <si>
    <t>Mark Davis</t>
  </si>
  <si>
    <t>28 Oct 2018</t>
  </si>
  <si>
    <t>Leslie Sims</t>
  </si>
  <si>
    <t>EMP1744</t>
  </si>
  <si>
    <t>Jeffrey Anthony DDS</t>
  </si>
  <si>
    <t>05/19/2023</t>
  </si>
  <si>
    <t>April Finley</t>
  </si>
  <si>
    <t>EMP1956</t>
  </si>
  <si>
    <t>Robert Burns</t>
  </si>
  <si>
    <t>27 Jun 2013</t>
  </si>
  <si>
    <t>₹75,569</t>
  </si>
  <si>
    <t>Jennifer Berry</t>
  </si>
  <si>
    <t>2018/01/30</t>
  </si>
  <si>
    <t>EMP2093</t>
  </si>
  <si>
    <t>Erika Wallace</t>
  </si>
  <si>
    <t>18-09-2020</t>
  </si>
  <si>
    <t>Angela Patterson</t>
  </si>
  <si>
    <t>04-02-2023</t>
  </si>
  <si>
    <t>EMP1143</t>
  </si>
  <si>
    <t>James Parks</t>
  </si>
  <si>
    <t>12/23/2018</t>
  </si>
  <si>
    <t>₹50,738</t>
  </si>
  <si>
    <t>Angel Miller</t>
  </si>
  <si>
    <t>EMP1051</t>
  </si>
  <si>
    <t>Timothy Ryan</t>
  </si>
  <si>
    <t>05/25/2022</t>
  </si>
  <si>
    <t>81552.00</t>
  </si>
  <si>
    <t>Megan Diaz</t>
  </si>
  <si>
    <t>EMP1721</t>
  </si>
  <si>
    <t>Julie Hunt</t>
  </si>
  <si>
    <t>2018/08/30</t>
  </si>
  <si>
    <t>Jennifer Yu</t>
  </si>
  <si>
    <t>EMP1761</t>
  </si>
  <si>
    <t>Lori Patton</t>
  </si>
  <si>
    <t>11/07/2016</t>
  </si>
  <si>
    <t>David Wilson</t>
  </si>
  <si>
    <t>EMP1082</t>
  </si>
  <si>
    <t>Nathan Freeman</t>
  </si>
  <si>
    <t>22 Dec 2022</t>
  </si>
  <si>
    <t>₹83,638</t>
  </si>
  <si>
    <t>Katherine Mcguire</t>
  </si>
  <si>
    <t>2025/07/09</t>
  </si>
  <si>
    <t>EMP1483</t>
  </si>
  <si>
    <t>Cassandra Lane</t>
  </si>
  <si>
    <t>07/24/2022</t>
  </si>
  <si>
    <t>James Burke</t>
  </si>
  <si>
    <t>EMP2128</t>
  </si>
  <si>
    <t>Ronnie Bernard</t>
  </si>
  <si>
    <t>Ian Anderson</t>
  </si>
  <si>
    <t>EMP1719</t>
  </si>
  <si>
    <t>Julie Miller</t>
  </si>
  <si>
    <t>2024/12/09</t>
  </si>
  <si>
    <t>John Harmon</t>
  </si>
  <si>
    <t>EMP2161</t>
  </si>
  <si>
    <t>Meredith Shaw</t>
  </si>
  <si>
    <t>05/14/2014</t>
  </si>
  <si>
    <t>Leslie Walters MD</t>
  </si>
  <si>
    <t>EMP1067</t>
  </si>
  <si>
    <t>Kimberly Morrison</t>
  </si>
  <si>
    <t>14 Dec 2014</t>
  </si>
  <si>
    <t>Jeffrey Johnson</t>
  </si>
  <si>
    <t>EMP1960</t>
  </si>
  <si>
    <t>Michelle Armstrong</t>
  </si>
  <si>
    <t>07/17/2023</t>
  </si>
  <si>
    <t>94434.00</t>
  </si>
  <si>
    <t>Becky Hansen</t>
  </si>
  <si>
    <t>10/01/2025</t>
  </si>
  <si>
    <t>EMP1937</t>
  </si>
  <si>
    <t>Robert Acevedo</t>
  </si>
  <si>
    <t>04 Dec 2012</t>
  </si>
  <si>
    <t>William Martin</t>
  </si>
  <si>
    <t>EMP1772</t>
  </si>
  <si>
    <t>Katherine Forbes</t>
  </si>
  <si>
    <t>27-06-2020</t>
  </si>
  <si>
    <t>Diana Blair</t>
  </si>
  <si>
    <t>EMP1418</t>
  </si>
  <si>
    <t>Beth Henderson</t>
  </si>
  <si>
    <t>2026/05/29</t>
  </si>
  <si>
    <t>Lori Flowers MD</t>
  </si>
  <si>
    <t>08-07-2026</t>
  </si>
  <si>
    <t>EMP2167</t>
  </si>
  <si>
    <t>Shannon Rivera</t>
  </si>
  <si>
    <t>21 Sep 2022</t>
  </si>
  <si>
    <t>₹51,721</t>
  </si>
  <si>
    <t>Richard Rice</t>
  </si>
  <si>
    <t>EMP1065</t>
  </si>
  <si>
    <t>Daniel Fisher</t>
  </si>
  <si>
    <t>2025/02/28</t>
  </si>
  <si>
    <t>Shannon Cannon</t>
  </si>
  <si>
    <t>14-01-2026</t>
  </si>
  <si>
    <t>EMP1944</t>
  </si>
  <si>
    <t>Caitlin Johnson</t>
  </si>
  <si>
    <t>2023/07/19</t>
  </si>
  <si>
    <t>05/23/2025</t>
  </si>
  <si>
    <t>EMP1935</t>
  </si>
  <si>
    <t>Brittany Molina</t>
  </si>
  <si>
    <t>12/14/2017</t>
  </si>
  <si>
    <t>₹86,166</t>
  </si>
  <si>
    <t>Robert Gutierrez</t>
  </si>
  <si>
    <t>EMP2103</t>
  </si>
  <si>
    <t>Tiffany Ray</t>
  </si>
  <si>
    <t>09-09-2011</t>
  </si>
  <si>
    <t>Joseph Boone</t>
  </si>
  <si>
    <t>EMP1492</t>
  </si>
  <si>
    <t>Sharon Newton</t>
  </si>
  <si>
    <t>14 Jan 2020</t>
  </si>
  <si>
    <t>Richard Lindsey</t>
  </si>
  <si>
    <t>EMP1733</t>
  </si>
  <si>
    <t>Leah Lee</t>
  </si>
  <si>
    <t>09/11/2016</t>
  </si>
  <si>
    <t>₹66,302</t>
  </si>
  <si>
    <t>Catherine Kelley</t>
  </si>
  <si>
    <t>EMP1836</t>
  </si>
  <si>
    <t>Randy Rodriguez</t>
  </si>
  <si>
    <t>28-05-2015</t>
  </si>
  <si>
    <t>Mark Taylor Jr.</t>
  </si>
  <si>
    <t>EMP1066</t>
  </si>
  <si>
    <t>Aaron Bell</t>
  </si>
  <si>
    <t>2022/11/26</t>
  </si>
  <si>
    <t>Tiffany Barnes</t>
  </si>
  <si>
    <t>EMP2022</t>
  </si>
  <si>
    <t>Andrew Gonzalez</t>
  </si>
  <si>
    <t>08/06/2014</t>
  </si>
  <si>
    <t>Robert Sutton</t>
  </si>
  <si>
    <t>2018/07/27</t>
  </si>
  <si>
    <t>EMP1596</t>
  </si>
  <si>
    <t>Tiffany Brown</t>
  </si>
  <si>
    <t>27 Mar 2023</t>
  </si>
  <si>
    <t>John Lee</t>
  </si>
  <si>
    <t>EMP2012</t>
  </si>
  <si>
    <t>Thomas Norton</t>
  </si>
  <si>
    <t>10 Jul 2014</t>
  </si>
  <si>
    <t>James Greene</t>
  </si>
  <si>
    <t>EMP1297</t>
  </si>
  <si>
    <t>Tina Sanders</t>
  </si>
  <si>
    <t>03/16/2023</t>
  </si>
  <si>
    <t>Willie Henry</t>
  </si>
  <si>
    <t>2023/04/22</t>
  </si>
  <si>
    <t>EMP1420</t>
  </si>
  <si>
    <t>Shane Buchanan</t>
  </si>
  <si>
    <t>16 Dec 2020</t>
  </si>
  <si>
    <t>₹123,041</t>
  </si>
  <si>
    <t>Jason Hernandez</t>
  </si>
  <si>
    <t>12/10/2023</t>
  </si>
  <si>
    <t>EMP1439</t>
  </si>
  <si>
    <t>Mary Bright</t>
  </si>
  <si>
    <t>14 Jul 2015</t>
  </si>
  <si>
    <t>EMP1262</t>
  </si>
  <si>
    <t>Andrea Peck</t>
  </si>
  <si>
    <t>19 Feb 2012</t>
  </si>
  <si>
    <t>Randy Cannon</t>
  </si>
  <si>
    <t>EMP1726</t>
  </si>
  <si>
    <t>Kari Lloyd</t>
  </si>
  <si>
    <t>10-07-2024</t>
  </si>
  <si>
    <t>Bradley Thomas</t>
  </si>
  <si>
    <t>EMP1282</t>
  </si>
  <si>
    <t>Kathryn Pena</t>
  </si>
  <si>
    <t>17 Nov 2021</t>
  </si>
  <si>
    <t>53825.00</t>
  </si>
  <si>
    <t>Roberto Levy</t>
  </si>
  <si>
    <t>EMP1859</t>
  </si>
  <si>
    <t>Julie Castro</t>
  </si>
  <si>
    <t>03-03-2018</t>
  </si>
  <si>
    <t>Amanda Moore</t>
  </si>
  <si>
    <t>EMP1883</t>
  </si>
  <si>
    <t>Diane Byrd MD</t>
  </si>
  <si>
    <t>2017/10/04</t>
  </si>
  <si>
    <t>Dylan Green</t>
  </si>
  <si>
    <t>EMP1189</t>
  </si>
  <si>
    <t>David Conley</t>
  </si>
  <si>
    <t>11/07/2019</t>
  </si>
  <si>
    <t>Kelsey Rodriguez</t>
  </si>
  <si>
    <t>EMP1930</t>
  </si>
  <si>
    <t>Jessica Bryant</t>
  </si>
  <si>
    <t>2024/03/20</t>
  </si>
  <si>
    <t>₹51,584</t>
  </si>
  <si>
    <t>Brian Bishop</t>
  </si>
  <si>
    <t>EMP1252</t>
  </si>
  <si>
    <t>Charles Morris</t>
  </si>
  <si>
    <t>logistics manager</t>
  </si>
  <si>
    <t>13-05-2015</t>
  </si>
  <si>
    <t>David Molina</t>
  </si>
  <si>
    <t>EMP1784</t>
  </si>
  <si>
    <t>Destiny Brown</t>
  </si>
  <si>
    <t>24 Oct 2016</t>
  </si>
  <si>
    <t>Mr. Bryan Mckinney</t>
  </si>
  <si>
    <t>EMP2123</t>
  </si>
  <si>
    <t>Stephanie White</t>
  </si>
  <si>
    <t>08/07/2020</t>
  </si>
  <si>
    <t>Justin Mcbride</t>
  </si>
  <si>
    <t>EMP1515</t>
  </si>
  <si>
    <t>Matthew Hunt</t>
  </si>
  <si>
    <t>24 Jan 2014</t>
  </si>
  <si>
    <t>₹96,029</t>
  </si>
  <si>
    <t>Ruben Lee</t>
  </si>
  <si>
    <t>EMP1619</t>
  </si>
  <si>
    <t>Phillip Jordan</t>
  </si>
  <si>
    <t>06/29/2022</t>
  </si>
  <si>
    <t>71526.00</t>
  </si>
  <si>
    <t>EMP1488</t>
  </si>
  <si>
    <t>Brian Bell</t>
  </si>
  <si>
    <t>30 Oct 2018</t>
  </si>
  <si>
    <t>69244.00</t>
  </si>
  <si>
    <t>Mary Butler</t>
  </si>
  <si>
    <t>EMP1274</t>
  </si>
  <si>
    <t>Suzanne Hart</t>
  </si>
  <si>
    <t>06-02-2026</t>
  </si>
  <si>
    <t>₹106,390</t>
  </si>
  <si>
    <t>David Harris</t>
  </si>
  <si>
    <t>2026/05/31</t>
  </si>
  <si>
    <t>EMP1996</t>
  </si>
  <si>
    <t>James Davis</t>
  </si>
  <si>
    <t>2022/11/18</t>
  </si>
  <si>
    <t>Mary Smith</t>
  </si>
  <si>
    <t>2023/10/06</t>
  </si>
  <si>
    <t>EMP2096</t>
  </si>
  <si>
    <t>Michael Dunn</t>
  </si>
  <si>
    <t>17 Sep 2024</t>
  </si>
  <si>
    <t>₹65,676</t>
  </si>
  <si>
    <t>Brian Bates</t>
  </si>
  <si>
    <t>14-01-2025</t>
  </si>
  <si>
    <t>EMP1449</t>
  </si>
  <si>
    <t>Janet Johnson</t>
  </si>
  <si>
    <t>2014/08/21</t>
  </si>
  <si>
    <t>Adrian Morris</t>
  </si>
  <si>
    <t>EMP1412</t>
  </si>
  <si>
    <t>Ryan Parker</t>
  </si>
  <si>
    <t>08/04/2017</t>
  </si>
  <si>
    <t>99555.00</t>
  </si>
  <si>
    <t>Matthew Davis MD</t>
  </si>
  <si>
    <t>EMP1888</t>
  </si>
  <si>
    <t>Walter Hansen</t>
  </si>
  <si>
    <t>04/28/2020</t>
  </si>
  <si>
    <t>EMP1751</t>
  </si>
  <si>
    <t>Mary Ellis</t>
  </si>
  <si>
    <t>10/11/2021</t>
  </si>
  <si>
    <t>₹71,615</t>
  </si>
  <si>
    <t>Brittany Riley</t>
  </si>
  <si>
    <t>EMP1970</t>
  </si>
  <si>
    <t>Danielle Peters</t>
  </si>
  <si>
    <t>05/18/2023</t>
  </si>
  <si>
    <t>Jason Miller</t>
  </si>
  <si>
    <t>EMP1986</t>
  </si>
  <si>
    <t>Rachael Lee</t>
  </si>
  <si>
    <t>2021/10/11</t>
  </si>
  <si>
    <t>Melissa Patel MD</t>
  </si>
  <si>
    <t>EMP1150</t>
  </si>
  <si>
    <t>Heather Lane</t>
  </si>
  <si>
    <t>02-11-2014</t>
  </si>
  <si>
    <t>Courtney Rodriguez</t>
  </si>
  <si>
    <t>EMP1219</t>
  </si>
  <si>
    <t>Tyler Webb</t>
  </si>
  <si>
    <t>01 Sep 2023</t>
  </si>
  <si>
    <t>Elizabeth Jones</t>
  </si>
  <si>
    <t>EMP1240</t>
  </si>
  <si>
    <t>Denise Martinez</t>
  </si>
  <si>
    <t>03 Oct 2021</t>
  </si>
  <si>
    <t>William Cardenas</t>
  </si>
  <si>
    <t>EMP1752</t>
  </si>
  <si>
    <t>Amanda Thomas</t>
  </si>
  <si>
    <t>2021/06/01</t>
  </si>
  <si>
    <t>EMP1193</t>
  </si>
  <si>
    <t>Virginia Spencer</t>
  </si>
  <si>
    <t>27-06-2017</t>
  </si>
  <si>
    <t>Mark Zavala</t>
  </si>
  <si>
    <t>EMP1192</t>
  </si>
  <si>
    <t>Jason Beck</t>
  </si>
  <si>
    <t>2012/12/09</t>
  </si>
  <si>
    <t>Andrea Fox</t>
  </si>
  <si>
    <t>EMP2091</t>
  </si>
  <si>
    <t>Michael Briggs</t>
  </si>
  <si>
    <t>27 Feb 2017</t>
  </si>
  <si>
    <t>Mary Alvarez</t>
  </si>
  <si>
    <t>EMP1737</t>
  </si>
  <si>
    <t>Tracy Kemp</t>
  </si>
  <si>
    <t>01/15/2022</t>
  </si>
  <si>
    <t>₹60,522</t>
  </si>
  <si>
    <t>EMP1705</t>
  </si>
  <si>
    <t>Justin Short</t>
  </si>
  <si>
    <t>2014/04/16</t>
  </si>
  <si>
    <t>Andrea Rodriguez</t>
  </si>
  <si>
    <t>EMP1738</t>
  </si>
  <si>
    <t>Tammy Hill</t>
  </si>
  <si>
    <t>12-01-2018</t>
  </si>
  <si>
    <t>Patricia Morris</t>
  </si>
  <si>
    <t>EMP1624</t>
  </si>
  <si>
    <t>James Hardin</t>
  </si>
  <si>
    <t>14 Aug 2022</t>
  </si>
  <si>
    <t>Rebecca Thompson</t>
  </si>
  <si>
    <t>EMP1977</t>
  </si>
  <si>
    <t>Mrs. Julia Greene</t>
  </si>
  <si>
    <t>2011/11/25</t>
  </si>
  <si>
    <t>April Alvarez</t>
  </si>
  <si>
    <t>02/11/2022</t>
  </si>
  <si>
    <t>EMP1741</t>
  </si>
  <si>
    <t>Randy Robinson</t>
  </si>
  <si>
    <t>2021/04/05</t>
  </si>
  <si>
    <t>Michelle Garcia</t>
  </si>
  <si>
    <t>EMP1583</t>
  </si>
  <si>
    <t>Matthew Mcclure</t>
  </si>
  <si>
    <t>2016/04/11</t>
  </si>
  <si>
    <t>Mark Anderson</t>
  </si>
  <si>
    <t>05-11-2018</t>
  </si>
  <si>
    <t>EMP2131</t>
  </si>
  <si>
    <t>Cheryl Watson</t>
  </si>
  <si>
    <t>06/20/2021</t>
  </si>
  <si>
    <t>Lisa Barnes</t>
  </si>
  <si>
    <t>EMP1324</t>
  </si>
  <si>
    <t>Laurie Bailey</t>
  </si>
  <si>
    <t>2024/04/11</t>
  </si>
  <si>
    <t>Robin Mccarthy</t>
  </si>
  <si>
    <t>EMP1968</t>
  </si>
  <si>
    <t>Katherine Goodwin</t>
  </si>
  <si>
    <t>29-05-2017</t>
  </si>
  <si>
    <t>Antonio Marshall</t>
  </si>
  <si>
    <t>EMP1894</t>
  </si>
  <si>
    <t>Karina Vasquez</t>
  </si>
  <si>
    <t>04/12/2024</t>
  </si>
  <si>
    <t>Becky Davis</t>
  </si>
  <si>
    <t>EMP1688</t>
  </si>
  <si>
    <t>Kelly Rowe</t>
  </si>
  <si>
    <t>2013/10/19</t>
  </si>
  <si>
    <t>105952.00</t>
  </si>
  <si>
    <t>Samantha Hurley</t>
  </si>
  <si>
    <t>EMP1438</t>
  </si>
  <si>
    <t>Stephanie Trujillo</t>
  </si>
  <si>
    <t>20 Aug 2023</t>
  </si>
  <si>
    <t>115455.00</t>
  </si>
  <si>
    <t>Mary Becker</t>
  </si>
  <si>
    <t>EMP1807</t>
  </si>
  <si>
    <t>James Spencer</t>
  </si>
  <si>
    <t>04/17/2012</t>
  </si>
  <si>
    <t>Sandra Torres</t>
  </si>
  <si>
    <t>EMP1877</t>
  </si>
  <si>
    <t>John Moss</t>
  </si>
  <si>
    <t>21 Jul 2015</t>
  </si>
  <si>
    <t>62770.00</t>
  </si>
  <si>
    <t>Rebecca Gonzalez</t>
  </si>
  <si>
    <t>2023/03/11</t>
  </si>
  <si>
    <t>EMP1342</t>
  </si>
  <si>
    <t>Derrick Clayton</t>
  </si>
  <si>
    <t>13 Sep 2016</t>
  </si>
  <si>
    <t>Kylie Washington</t>
  </si>
  <si>
    <t>EMP1003</t>
  </si>
  <si>
    <t>Kevin Pacheco</t>
  </si>
  <si>
    <t>05-10-2011</t>
  </si>
  <si>
    <t>Gina Moore</t>
  </si>
  <si>
    <t>2023/10/08</t>
  </si>
  <si>
    <t>EMP1230</t>
  </si>
  <si>
    <t>Kaylee Murphy</t>
  </si>
  <si>
    <t>10/22/2020</t>
  </si>
  <si>
    <t>Nancy Evans MD</t>
  </si>
  <si>
    <t>2021/10/04</t>
  </si>
  <si>
    <t>EMP1740</t>
  </si>
  <si>
    <t>Jeremiah Vasquez</t>
  </si>
  <si>
    <t>2025/07/07</t>
  </si>
  <si>
    <t>Cassandra Vasquez</t>
  </si>
  <si>
    <t>EMP1684</t>
  </si>
  <si>
    <t>Andre Terrell</t>
  </si>
  <si>
    <t>2021/01/03</t>
  </si>
  <si>
    <t>Laura Price</t>
  </si>
  <si>
    <t>EMP1077</t>
  </si>
  <si>
    <t>Gloria Atkinson</t>
  </si>
  <si>
    <t>2023/12/06</t>
  </si>
  <si>
    <t>₹107,651</t>
  </si>
  <si>
    <t>Madison Poole</t>
  </si>
  <si>
    <t>03/20/2024</t>
  </si>
  <si>
    <t>EMP2126</t>
  </si>
  <si>
    <t>Kelly Patton</t>
  </si>
  <si>
    <t>30-06-2021</t>
  </si>
  <si>
    <t>Melissa Mills</t>
  </si>
  <si>
    <t>10/18/2023</t>
  </si>
  <si>
    <t>EMP1372</t>
  </si>
  <si>
    <t>Gregory Franco</t>
  </si>
  <si>
    <t>30 Sep 2024</t>
  </si>
  <si>
    <t>Matthew Sweeney</t>
  </si>
  <si>
    <t>2026/07/27</t>
  </si>
  <si>
    <t>EMP1181</t>
  </si>
  <si>
    <t>Michael Young</t>
  </si>
  <si>
    <t>16 Apr 2018</t>
  </si>
  <si>
    <t>Paul Cole</t>
  </si>
  <si>
    <t>EMP1745</t>
  </si>
  <si>
    <t>Karen Bradley</t>
  </si>
  <si>
    <t>2025/08/12</t>
  </si>
  <si>
    <t>Jennifer Chen</t>
  </si>
  <si>
    <t>2025/12/27</t>
  </si>
  <si>
    <t>EMP1578</t>
  </si>
  <si>
    <t>Gail Welch</t>
  </si>
  <si>
    <t>₹66,961</t>
  </si>
  <si>
    <t>Andrea Martin</t>
  </si>
  <si>
    <t>EMP1770</t>
  </si>
  <si>
    <t>Samuel Ellis</t>
  </si>
  <si>
    <t>20-03-2014</t>
  </si>
  <si>
    <t>₹49,190</t>
  </si>
  <si>
    <t>Stephen Munoz</t>
  </si>
  <si>
    <t>EMP1795</t>
  </si>
  <si>
    <t>Carla Turner</t>
  </si>
  <si>
    <t>24 May 2025</t>
  </si>
  <si>
    <t>Jonathan Thomas</t>
  </si>
  <si>
    <t>EMP2172</t>
  </si>
  <si>
    <t>Joan Love</t>
  </si>
  <si>
    <t>02 Apr 2025</t>
  </si>
  <si>
    <t>Timothy Gordon</t>
  </si>
  <si>
    <t>05/06/2025</t>
  </si>
  <si>
    <t>EMP2035</t>
  </si>
  <si>
    <t>Joshua Mendoza</t>
  </si>
  <si>
    <t>08-09-2012</t>
  </si>
  <si>
    <t>Sharon Anderson</t>
  </si>
  <si>
    <t>EMP1870</t>
  </si>
  <si>
    <t>Theodore Long</t>
  </si>
  <si>
    <t>03-04-2026</t>
  </si>
  <si>
    <t>₹45,570</t>
  </si>
  <si>
    <t>Brandon Carson</t>
  </si>
  <si>
    <t>EMP1590</t>
  </si>
  <si>
    <t>Jennifer Martin</t>
  </si>
  <si>
    <t>29 Aug 2022</t>
  </si>
  <si>
    <t>James Baker</t>
  </si>
  <si>
    <t>EMP2045</t>
  </si>
  <si>
    <t>Thomas Murphy</t>
  </si>
  <si>
    <t>31-10-2022</t>
  </si>
  <si>
    <t>Mr. Joshua Allen</t>
  </si>
  <si>
    <t>EMP1854</t>
  </si>
  <si>
    <t>Albert Warner</t>
  </si>
  <si>
    <t>07/13/2024</t>
  </si>
  <si>
    <t>Victor Harmon</t>
  </si>
  <si>
    <t>2025/10/05</t>
  </si>
  <si>
    <t>EMP2028</t>
  </si>
  <si>
    <t>Kenneth Anderson</t>
  </si>
  <si>
    <t>26-09-2025</t>
  </si>
  <si>
    <t>Sandra Morgan</t>
  </si>
  <si>
    <t>2025/09/29</t>
  </si>
  <si>
    <t>EMP1931</t>
  </si>
  <si>
    <t>Theresa Colon</t>
  </si>
  <si>
    <t>04/15/2012</t>
  </si>
  <si>
    <t>Mark Pitts</t>
  </si>
  <si>
    <t>EMP1038</t>
  </si>
  <si>
    <t>Teresa Taylor</t>
  </si>
  <si>
    <t>20-05-2013</t>
  </si>
  <si>
    <t>59013.00</t>
  </si>
  <si>
    <t>Denise Jacobs</t>
  </si>
  <si>
    <t>2014/10/21</t>
  </si>
  <si>
    <t>EMP1354</t>
  </si>
  <si>
    <t>Anthony Hurst</t>
  </si>
  <si>
    <t>11/27/2025</t>
  </si>
  <si>
    <t>Jonathan Wheeler</t>
  </si>
  <si>
    <t>13-04-2026</t>
  </si>
  <si>
    <t>EMP2118</t>
  </si>
  <si>
    <t>Marie Hill</t>
  </si>
  <si>
    <t>2021/05/29</t>
  </si>
  <si>
    <t>Bradley Burns</t>
  </si>
  <si>
    <t>05/04/2023</t>
  </si>
  <si>
    <t>EMP1237</t>
  </si>
  <si>
    <t>Emily Thompson</t>
  </si>
  <si>
    <t>2025/04/09</t>
  </si>
  <si>
    <t>Raymond Le</t>
  </si>
  <si>
    <t>30-09-2025</t>
  </si>
  <si>
    <t>EMP1979</t>
  </si>
  <si>
    <t>Angela Johnson</t>
  </si>
  <si>
    <t>01/29/2024</t>
  </si>
  <si>
    <t>Heather Hess</t>
  </si>
  <si>
    <t>24-10-2025</t>
  </si>
  <si>
    <t>EMP1500</t>
  </si>
  <si>
    <t>Jennifer Herrera</t>
  </si>
  <si>
    <t>13 Jan 2013</t>
  </si>
  <si>
    <t>Daniel Rivera</t>
  </si>
  <si>
    <t>EMP1554</t>
  </si>
  <si>
    <t>David Smith</t>
  </si>
  <si>
    <t>2014/01/04</t>
  </si>
  <si>
    <t>112409.00</t>
  </si>
  <si>
    <t>Penny Gomez MD</t>
  </si>
  <si>
    <t>EMP1056</t>
  </si>
  <si>
    <t>Carolyn Miller</t>
  </si>
  <si>
    <t>2019/05/09</t>
  </si>
  <si>
    <t>₹52,031</t>
  </si>
  <si>
    <t>Robert Potter</t>
  </si>
  <si>
    <t>24-12-2023</t>
  </si>
  <si>
    <t>EMP1303</t>
  </si>
  <si>
    <t>Vanessa Armstrong</t>
  </si>
  <si>
    <t>03/12/2014</t>
  </si>
  <si>
    <t>Charles Turner</t>
  </si>
  <si>
    <t>EMP1287</t>
  </si>
  <si>
    <t>Denise Madden</t>
  </si>
  <si>
    <t>02 Dec 2011</t>
  </si>
  <si>
    <t>Megan Drake</t>
  </si>
  <si>
    <t>EMP1994</t>
  </si>
  <si>
    <t>Antonio Johnson</t>
  </si>
  <si>
    <t>03 May 2016</t>
  </si>
  <si>
    <t>EMP1220</t>
  </si>
  <si>
    <t>Jeffrey Washington</t>
  </si>
  <si>
    <t>15 Sep 2014</t>
  </si>
  <si>
    <t>₹54,676</t>
  </si>
  <si>
    <t>Emily Higgins</t>
  </si>
  <si>
    <t>EMP1665</t>
  </si>
  <si>
    <t>James Tate</t>
  </si>
  <si>
    <t>09-04-2025</t>
  </si>
  <si>
    <t>Brittany Melton</t>
  </si>
  <si>
    <t>21-01-2026</t>
  </si>
  <si>
    <t>EMP1388</t>
  </si>
  <si>
    <t>Lydia Pham</t>
  </si>
  <si>
    <t>07/10/2023</t>
  </si>
  <si>
    <t>EMP1771</t>
  </si>
  <si>
    <t>Margaret Carr</t>
  </si>
  <si>
    <t>2014/03/13</t>
  </si>
  <si>
    <t>₹84,199</t>
  </si>
  <si>
    <t>EMP1391</t>
  </si>
  <si>
    <t>Matthew Adams</t>
  </si>
  <si>
    <t>03-11-2023</t>
  </si>
  <si>
    <t>₹50,997</t>
  </si>
  <si>
    <t>Zachary Robinson</t>
  </si>
  <si>
    <t>06/06/2026</t>
  </si>
  <si>
    <t>EMP1353</t>
  </si>
  <si>
    <t>Sarah Barrett</t>
  </si>
  <si>
    <t>40332.00</t>
  </si>
  <si>
    <t>Katrina Adkins</t>
  </si>
  <si>
    <t>EMP1194</t>
  </si>
  <si>
    <t>Alan Kramer</t>
  </si>
  <si>
    <t>21 Oct 2016</t>
  </si>
  <si>
    <t>₹95,358</t>
  </si>
  <si>
    <t>Patricia Moss</t>
  </si>
  <si>
    <t>01/12/2024</t>
  </si>
  <si>
    <t>EMP1236</t>
  </si>
  <si>
    <t>Nancy Brown</t>
  </si>
  <si>
    <t>21-09-2013</t>
  </si>
  <si>
    <t>Frederick Bates</t>
  </si>
  <si>
    <t>EMP2032</t>
  </si>
  <si>
    <t>Jocelyn Kline</t>
  </si>
  <si>
    <t>20-01-2013</t>
  </si>
  <si>
    <t>Juan Johnson</t>
  </si>
  <si>
    <t>EMP1568</t>
  </si>
  <si>
    <t>Kevin Nguyen</t>
  </si>
  <si>
    <t>2020/10/21</t>
  </si>
  <si>
    <t>Joshua Young</t>
  </si>
  <si>
    <t>EMP1117</t>
  </si>
  <si>
    <t>Shelia Wallace</t>
  </si>
  <si>
    <t>06 Jan 2022</t>
  </si>
  <si>
    <t>Robert Carter</t>
  </si>
  <si>
    <t>2026/03/20</t>
  </si>
  <si>
    <t>EMP1982</t>
  </si>
  <si>
    <t>Louis Turner</t>
  </si>
  <si>
    <t>16-05-2022</t>
  </si>
  <si>
    <t>Johnny Cox</t>
  </si>
  <si>
    <t>EMP1654</t>
  </si>
  <si>
    <t>25-01-2023</t>
  </si>
  <si>
    <t>Derrick Gutierrez</t>
  </si>
  <si>
    <t>EMP2011</t>
  </si>
  <si>
    <t>Teresa Rowland</t>
  </si>
  <si>
    <t>Sherry Jones</t>
  </si>
  <si>
    <t>EMP2129</t>
  </si>
  <si>
    <t>Angela Scott</t>
  </si>
  <si>
    <t>11-05-2017</t>
  </si>
  <si>
    <t>EMP1802</t>
  </si>
  <si>
    <t>Scott Wood</t>
  </si>
  <si>
    <t>23-03-2017</t>
  </si>
  <si>
    <t>Gregory Madden</t>
  </si>
  <si>
    <t>EMP1814</t>
  </si>
  <si>
    <t>31-12-2023</t>
  </si>
  <si>
    <t>Elizabeth Jennings</t>
  </si>
  <si>
    <t>EMP1121</t>
  </si>
  <si>
    <t>Margaret Coleman</t>
  </si>
  <si>
    <t>24-05-2015</t>
  </si>
  <si>
    <t>James Webb</t>
  </si>
  <si>
    <t>2024/12/02</t>
  </si>
  <si>
    <t>EMP1857</t>
  </si>
  <si>
    <t>Fernando Greer</t>
  </si>
  <si>
    <t>08/16/2012</t>
  </si>
  <si>
    <t>Jason Colon</t>
  </si>
  <si>
    <t>EMP2041</t>
  </si>
  <si>
    <t>Cynthia Harrell</t>
  </si>
  <si>
    <t xml:space="preserve">  HR Business Partner  </t>
  </si>
  <si>
    <t>09/30/2015</t>
  </si>
  <si>
    <t>88216.00</t>
  </si>
  <si>
    <t>Dorothy Hendricks</t>
  </si>
  <si>
    <t>EMP2154</t>
  </si>
  <si>
    <t>Jeffrey Howard</t>
  </si>
  <si>
    <t>2024/08/25</t>
  </si>
  <si>
    <t>₹53,675</t>
  </si>
  <si>
    <t>Colton Williams</t>
  </si>
  <si>
    <t>EMP1063</t>
  </si>
  <si>
    <t>Denise Jones</t>
  </si>
  <si>
    <t>12/04/2015</t>
  </si>
  <si>
    <t>105847.00</t>
  </si>
  <si>
    <t>Francisco Fernandez</t>
  </si>
  <si>
    <t>EMP1697</t>
  </si>
  <si>
    <t>Nicole Owens</t>
  </si>
  <si>
    <t>2013/08/18</t>
  </si>
  <si>
    <t>Tamara Mcdonald</t>
  </si>
  <si>
    <t>EMP1454</t>
  </si>
  <si>
    <t>Leah Jackson</t>
  </si>
  <si>
    <t>2017/02/17</t>
  </si>
  <si>
    <t>₹90,155</t>
  </si>
  <si>
    <t>Amanda Mcdowell</t>
  </si>
  <si>
    <t>EMP1516</t>
  </si>
  <si>
    <t>Robert Phelps</t>
  </si>
  <si>
    <t>13-05-2024</t>
  </si>
  <si>
    <t>₹54,387</t>
  </si>
  <si>
    <t>Wendy Murray</t>
  </si>
  <si>
    <t>EMP1571</t>
  </si>
  <si>
    <t>David Reynolds</t>
  </si>
  <si>
    <t>2017/05/06</t>
  </si>
  <si>
    <t>111961.00</t>
  </si>
  <si>
    <t>Tyler Hernandez</t>
  </si>
  <si>
    <t>EMP1224</t>
  </si>
  <si>
    <t>Mr. Jonathan Parker Jr.</t>
  </si>
  <si>
    <t>06-10-2025</t>
  </si>
  <si>
    <t>Tracy Lewis</t>
  </si>
  <si>
    <t>EMP1614</t>
  </si>
  <si>
    <t>Michael Colon</t>
  </si>
  <si>
    <t>sales manager</t>
  </si>
  <si>
    <t>18-08-2015</t>
  </si>
  <si>
    <t>71644.00</t>
  </si>
  <si>
    <t>Eric Blackburn</t>
  </si>
  <si>
    <t>2016/01/28</t>
  </si>
  <si>
    <t>EMP1222</t>
  </si>
  <si>
    <t>Derek Wright</t>
  </si>
  <si>
    <t>2013/02/08</t>
  </si>
  <si>
    <t>James Gilbert</t>
  </si>
  <si>
    <t>EMP1704</t>
  </si>
  <si>
    <t>Matthew Miller</t>
  </si>
  <si>
    <t>07/20/2025</t>
  </si>
  <si>
    <t>Katelyn Vargas</t>
  </si>
  <si>
    <t>EMP1831</t>
  </si>
  <si>
    <t>17 Oct 2021</t>
  </si>
  <si>
    <t>Zachary Vasquez</t>
  </si>
  <si>
    <t>EMP1466</t>
  </si>
  <si>
    <t>21 Sep 2025</t>
  </si>
  <si>
    <t>₹54,222</t>
  </si>
  <si>
    <t>Kevin Pham</t>
  </si>
  <si>
    <t>2025/11/14</t>
  </si>
  <si>
    <t>EMP1053</t>
  </si>
  <si>
    <t>Jason Powell</t>
  </si>
  <si>
    <t>28 Jan 2016</t>
  </si>
  <si>
    <t>Todd Byrd</t>
  </si>
  <si>
    <t>2017/06/03</t>
  </si>
  <si>
    <t>EMP2116</t>
  </si>
  <si>
    <t>Tracy Sims</t>
  </si>
  <si>
    <t>09-09-2017</t>
  </si>
  <si>
    <t>David Burns</t>
  </si>
  <si>
    <t>EMP1486</t>
  </si>
  <si>
    <t>Shannon Joseph</t>
  </si>
  <si>
    <t>08/14/2025</t>
  </si>
  <si>
    <t>Marcus Roberts</t>
  </si>
  <si>
    <t>04/12/2026</t>
  </si>
  <si>
    <t>EMP2163</t>
  </si>
  <si>
    <t>Jason Torres</t>
  </si>
  <si>
    <t>2021/02/09</t>
  </si>
  <si>
    <t>George Mendoza</t>
  </si>
  <si>
    <t>EMP1965</t>
  </si>
  <si>
    <t>Brett Jackson</t>
  </si>
  <si>
    <t>23-10-2013</t>
  </si>
  <si>
    <t>EMP1156</t>
  </si>
  <si>
    <t>Denise Stanley</t>
  </si>
  <si>
    <t>28-11-2018</t>
  </si>
  <si>
    <t>₹93,720</t>
  </si>
  <si>
    <t>Paul Wilson</t>
  </si>
  <si>
    <t>03-05-2022</t>
  </si>
  <si>
    <t>EMP1963</t>
  </si>
  <si>
    <t>09/13/2023</t>
  </si>
  <si>
    <t>Jennifer Williams</t>
  </si>
  <si>
    <t>EMP1601</t>
  </si>
  <si>
    <t>Bryan Mccormick</t>
  </si>
  <si>
    <t>18 Oct 2011</t>
  </si>
  <si>
    <t>Richard Alvarez</t>
  </si>
  <si>
    <t>EMP1921</t>
  </si>
  <si>
    <t>Arthur Orozco</t>
  </si>
  <si>
    <t>11/19/2017</t>
  </si>
  <si>
    <t>EMP1249</t>
  </si>
  <si>
    <t>William Daniels</t>
  </si>
  <si>
    <t>12 Jan 2019</t>
  </si>
  <si>
    <t>Julie Lee</t>
  </si>
  <si>
    <t>2026/03/12</t>
  </si>
  <si>
    <t>EMP1442</t>
  </si>
  <si>
    <t>David Stokes</t>
  </si>
  <si>
    <t>2023/01/17</t>
  </si>
  <si>
    <t>Gabriela Davis</t>
  </si>
  <si>
    <t>09/16/2023</t>
  </si>
  <si>
    <t>EMP2106</t>
  </si>
  <si>
    <t>Kyle Thomas</t>
  </si>
  <si>
    <t>2021/08/03</t>
  </si>
  <si>
    <t>Michele George</t>
  </si>
  <si>
    <t>EMP2119</t>
  </si>
  <si>
    <t>Katrina Johnson</t>
  </si>
  <si>
    <t>18 Mar 2020</t>
  </si>
  <si>
    <t>111935.00</t>
  </si>
  <si>
    <t>Patrick Bauer</t>
  </si>
  <si>
    <t>2023/11/27</t>
  </si>
  <si>
    <t>EMP1543</t>
  </si>
  <si>
    <t>Pam Horton</t>
  </si>
  <si>
    <t>John Hall</t>
  </si>
  <si>
    <t>EMP1702</t>
  </si>
  <si>
    <t>Jennifer Gutierrez</t>
  </si>
  <si>
    <t>04-12-2020</t>
  </si>
  <si>
    <t>₹97,354</t>
  </si>
  <si>
    <t>Valerie Reyes</t>
  </si>
  <si>
    <t>EMP1118</t>
  </si>
  <si>
    <t>Charles Schmidt</t>
  </si>
  <si>
    <t>02/08/2020</t>
  </si>
  <si>
    <t>Bob Pitts</t>
  </si>
  <si>
    <t>04/20/2025</t>
  </si>
  <si>
    <t>EMP1758</t>
  </si>
  <si>
    <t>Lisa Strickland</t>
  </si>
  <si>
    <t>11/24/2011</t>
  </si>
  <si>
    <t>Mr. Christopher Davis</t>
  </si>
  <si>
    <t>EMP1629</t>
  </si>
  <si>
    <t>Jenna Griffin</t>
  </si>
  <si>
    <t>07/16/2020</t>
  </si>
  <si>
    <t>95382.00</t>
  </si>
  <si>
    <t>Courtney Roberts</t>
  </si>
  <si>
    <t>EMP2182</t>
  </si>
  <si>
    <t>Ashley Reese</t>
  </si>
  <si>
    <t>2017/05/12</t>
  </si>
  <si>
    <t>Sheila Walters</t>
  </si>
  <si>
    <t>EMP1967</t>
  </si>
  <si>
    <t>Jason Nguyen</t>
  </si>
  <si>
    <t>04/07/2017</t>
  </si>
  <si>
    <t>74829.00</t>
  </si>
  <si>
    <t>EMP1292</t>
  </si>
  <si>
    <t>10/26/2014</t>
  </si>
  <si>
    <t>Stacy Alvarez</t>
  </si>
  <si>
    <t>EMP2063</t>
  </si>
  <si>
    <t>Alexander Bradford</t>
  </si>
  <si>
    <t>09 Aug 2016</t>
  </si>
  <si>
    <t>EMP1382</t>
  </si>
  <si>
    <t>Adam Greer</t>
  </si>
  <si>
    <t>28 Apr 2026</t>
  </si>
  <si>
    <t>₹48,052</t>
  </si>
  <si>
    <t>Jacqueline Mccoy</t>
  </si>
  <si>
    <t>EMP1908</t>
  </si>
  <si>
    <t>Elizabeth Williams</t>
  </si>
  <si>
    <t>10/21/2012</t>
  </si>
  <si>
    <t>Jeffery Davis</t>
  </si>
  <si>
    <t>06-06-2013</t>
  </si>
  <si>
    <t>EMP1954</t>
  </si>
  <si>
    <t>Jennifer Martinez</t>
  </si>
  <si>
    <t>2020/03/11</t>
  </si>
  <si>
    <t>Jacob Ritter</t>
  </si>
  <si>
    <t>2020/06/14</t>
  </si>
  <si>
    <t>EMP1201</t>
  </si>
  <si>
    <t>Matthew Parker</t>
  </si>
  <si>
    <t>08/26/2020</t>
  </si>
  <si>
    <t>19-03-2023</t>
  </si>
  <si>
    <t>EMP1597</t>
  </si>
  <si>
    <t>Ruth Clayton</t>
  </si>
  <si>
    <t>25-06-2013</t>
  </si>
  <si>
    <t>79431.00</t>
  </si>
  <si>
    <t>Ray Ramos</t>
  </si>
  <si>
    <t>10-08-2023</t>
  </si>
  <si>
    <t>EMP2026</t>
  </si>
  <si>
    <t>Jose Hartman</t>
  </si>
  <si>
    <t>19 Dec 2022</t>
  </si>
  <si>
    <t>Julia Conner</t>
  </si>
  <si>
    <t>EMP2160</t>
  </si>
  <si>
    <t>Randall Lin</t>
  </si>
  <si>
    <t>30 Jun 2026</t>
  </si>
  <si>
    <t>Christina Mccarthy</t>
  </si>
  <si>
    <t>2026/07/15</t>
  </si>
  <si>
    <t>EMP1900</t>
  </si>
  <si>
    <t>25 Oct 2014</t>
  </si>
  <si>
    <t>Mason Morris</t>
  </si>
  <si>
    <t>EMP1506</t>
  </si>
  <si>
    <t>Sharon Coleman</t>
  </si>
  <si>
    <t>19-03-2013</t>
  </si>
  <si>
    <t>Vanessa Rowe</t>
  </si>
  <si>
    <t>06/11/2020</t>
  </si>
  <si>
    <t>EMP1349</t>
  </si>
  <si>
    <t>Raymond Mullins</t>
  </si>
  <si>
    <t>08/25/2013</t>
  </si>
  <si>
    <t>Brenda Moreno MD</t>
  </si>
  <si>
    <t>EMP1969</t>
  </si>
  <si>
    <t>John Russell</t>
  </si>
  <si>
    <t>2015/02/24</t>
  </si>
  <si>
    <t>Debra Richmond</t>
  </si>
  <si>
    <t>EMP1341</t>
  </si>
  <si>
    <t>10-08-2012</t>
  </si>
  <si>
    <t>Claudia Jordan</t>
  </si>
  <si>
    <t>EMP1616</t>
  </si>
  <si>
    <t>Cassidy Curry</t>
  </si>
  <si>
    <t>2017/11/09</t>
  </si>
  <si>
    <t>Mark Howard</t>
  </si>
  <si>
    <t>EMP1155</t>
  </si>
  <si>
    <t>Paula Bradley</t>
  </si>
  <si>
    <t>2012/12/05</t>
  </si>
  <si>
    <t>₹109,129</t>
  </si>
  <si>
    <t>Christopher Williamson</t>
  </si>
  <si>
    <t>EMP2127</t>
  </si>
  <si>
    <t>Mrs. Kimberly Clark</t>
  </si>
  <si>
    <t>20-02-2013</t>
  </si>
  <si>
    <t>Cynthia Lopez</t>
  </si>
  <si>
    <t>EMP1799</t>
  </si>
  <si>
    <t>Jill Davis</t>
  </si>
  <si>
    <t>25 Jun 2012</t>
  </si>
  <si>
    <t>Lauren Walker</t>
  </si>
  <si>
    <t>EMP1078</t>
  </si>
  <si>
    <t>Jessica Gross</t>
  </si>
  <si>
    <t>24 Jan 2026</t>
  </si>
  <si>
    <t>Robert Medina</t>
  </si>
  <si>
    <t>EMP1288</t>
  </si>
  <si>
    <t>Ashley Davis</t>
  </si>
  <si>
    <t>19 Nov 2013</t>
  </si>
  <si>
    <t>Robin Adams</t>
  </si>
  <si>
    <t>05/02/2016</t>
  </si>
  <si>
    <t>EMP1323</t>
  </si>
  <si>
    <t>Jim Baker</t>
  </si>
  <si>
    <t>13 Jul 2024</t>
  </si>
  <si>
    <t>Margaret Harper</t>
  </si>
  <si>
    <t>EMP1861</t>
  </si>
  <si>
    <t>Mr. Scott Miller</t>
  </si>
  <si>
    <t>2020/08/21</t>
  </si>
  <si>
    <t>Stephanie Russell</t>
  </si>
  <si>
    <t>EMP1901</t>
  </si>
  <si>
    <t>Benjamin Crane</t>
  </si>
  <si>
    <t>09-05-2017</t>
  </si>
  <si>
    <t>Vincent Glenn</t>
  </si>
  <si>
    <t>2021/01/24</t>
  </si>
  <si>
    <t>EMP1834</t>
  </si>
  <si>
    <t>Ryan Hardy</t>
  </si>
  <si>
    <t>2015/10/26</t>
  </si>
  <si>
    <t>Lauren Nelson</t>
  </si>
  <si>
    <t>EMP1083</t>
  </si>
  <si>
    <t>Daniel Holt</t>
  </si>
  <si>
    <t>03/25/2016</t>
  </si>
  <si>
    <t>104759.00</t>
  </si>
  <si>
    <t>Kara Schmidt</t>
  </si>
  <si>
    <t>EMP1830</t>
  </si>
  <si>
    <t>William Wallace</t>
  </si>
  <si>
    <t>2019/12/05</t>
  </si>
  <si>
    <t>EMP1465</t>
  </si>
  <si>
    <t>Denise Cruz</t>
  </si>
  <si>
    <t>09 May 2024</t>
  </si>
  <si>
    <t>Mariah Robles</t>
  </si>
  <si>
    <t>EMP1884</t>
  </si>
  <si>
    <t>Susan Wood</t>
  </si>
  <si>
    <t>14-11-2021</t>
  </si>
  <si>
    <t>Adam Anderson</t>
  </si>
  <si>
    <t>EMP1793</t>
  </si>
  <si>
    <t>Mary Hernandez</t>
  </si>
  <si>
    <t>2015/03/19</t>
  </si>
  <si>
    <t>Eugene Martinez</t>
  </si>
  <si>
    <t>EMP2194</t>
  </si>
  <si>
    <t>Brian Garcia</t>
  </si>
  <si>
    <t>03 Dec 2025</t>
  </si>
  <si>
    <t>Bailey Mclean</t>
  </si>
  <si>
    <t>09-03-2026</t>
  </si>
  <si>
    <t>EMP1833</t>
  </si>
  <si>
    <t>Vanessa Brown</t>
  </si>
  <si>
    <t>18-03-2026</t>
  </si>
  <si>
    <t>Kurt Ewing</t>
  </si>
  <si>
    <t>EMP1334</t>
  </si>
  <si>
    <t>Heather Page</t>
  </si>
  <si>
    <t>06 Feb 2021</t>
  </si>
  <si>
    <t>Charles Clark</t>
  </si>
  <si>
    <t>EMP1011</t>
  </si>
  <si>
    <t>Judy Baker</t>
  </si>
  <si>
    <t>05 May 2015</t>
  </si>
  <si>
    <t>Deborah Richards</t>
  </si>
  <si>
    <t>EMP1739</t>
  </si>
  <si>
    <t>Benjamin Waters</t>
  </si>
  <si>
    <t>16 May 2017</t>
  </si>
  <si>
    <t>Anthony Sosa</t>
  </si>
  <si>
    <t>EMP1471</t>
  </si>
  <si>
    <t>Janice Combs</t>
  </si>
  <si>
    <t>2019/12/29</t>
  </si>
  <si>
    <t>Amy Schneider MD</t>
  </si>
  <si>
    <t>EMP1033</t>
  </si>
  <si>
    <t>Bryan Zamora</t>
  </si>
  <si>
    <t>03 May 2015</t>
  </si>
  <si>
    <t>EMP1819</t>
  </si>
  <si>
    <t>Linda Gallagher</t>
  </si>
  <si>
    <t>06-10-2016</t>
  </si>
  <si>
    <t>Alyssa Olsen</t>
  </si>
  <si>
    <t>EMP1414</t>
  </si>
  <si>
    <t>Antonio Goodwin</t>
  </si>
  <si>
    <t>08/15/2021</t>
  </si>
  <si>
    <t>Gregg Weaver</t>
  </si>
  <si>
    <t>EMP1581</t>
  </si>
  <si>
    <t>Teresa Haynes</t>
  </si>
  <si>
    <t>09 Nov 2012</t>
  </si>
  <si>
    <t>₹115,066</t>
  </si>
  <si>
    <t>EMP1383</t>
  </si>
  <si>
    <t>Lauren Green</t>
  </si>
  <si>
    <t>10/15/2023</t>
  </si>
  <si>
    <t>Austin Orr</t>
  </si>
  <si>
    <t>EMP1864</t>
  </si>
  <si>
    <t>Cynthia Martinez</t>
  </si>
  <si>
    <t>09/12/2023</t>
  </si>
  <si>
    <t>02-09-2024</t>
  </si>
  <si>
    <t>EMP1797</t>
  </si>
  <si>
    <t>Dylan Raymond</t>
  </si>
  <si>
    <t>2026/04/17</t>
  </si>
  <si>
    <t>Keith Meadows</t>
  </si>
  <si>
    <t>2026/07/04</t>
  </si>
  <si>
    <t>EMP2156</t>
  </si>
  <si>
    <t>Joshua Marsh</t>
  </si>
  <si>
    <t>Phillip Macias</t>
  </si>
  <si>
    <t>EMP1878</t>
  </si>
  <si>
    <t>Christopher Walter</t>
  </si>
  <si>
    <t>03-10-2025</t>
  </si>
  <si>
    <t>Courtney Vaughan</t>
  </si>
  <si>
    <t>EMP2191</t>
  </si>
  <si>
    <t>Christopher Brown</t>
  </si>
  <si>
    <t>26 Dec 2021</t>
  </si>
  <si>
    <t>Roger Garcia</t>
  </si>
  <si>
    <t>EMP1379</t>
  </si>
  <si>
    <t>Michael Mckenzie</t>
  </si>
  <si>
    <t>₹107,898</t>
  </si>
  <si>
    <t>Russell Murphy</t>
  </si>
  <si>
    <t>EMP1090</t>
  </si>
  <si>
    <t>Chase Hart</t>
  </si>
  <si>
    <t>03/12/2016</t>
  </si>
  <si>
    <t>Bailey Duran DDS</t>
  </si>
  <si>
    <t>EMP1829</t>
  </si>
  <si>
    <t>Kristin Williams</t>
  </si>
  <si>
    <t>22 Jul 2016</t>
  </si>
  <si>
    <t>Drew Burke</t>
  </si>
  <si>
    <t>EMP1602</t>
  </si>
  <si>
    <t>Jacqueline Davis</t>
  </si>
  <si>
    <t>06 Jan 2014</t>
  </si>
  <si>
    <t>Luke Galvan</t>
  </si>
  <si>
    <t>EMP1214</t>
  </si>
  <si>
    <t>Thomas Brown</t>
  </si>
  <si>
    <t>07/07/2013</t>
  </si>
  <si>
    <t>Christopher Morris</t>
  </si>
  <si>
    <t>EMP1333</t>
  </si>
  <si>
    <t>Mrs. Hannah Montoya MD</t>
  </si>
  <si>
    <t>29-06-2026</t>
  </si>
  <si>
    <t>Cynthia Cochran</t>
  </si>
  <si>
    <t>EMP1134</t>
  </si>
  <si>
    <t>Patrick Moore</t>
  </si>
  <si>
    <t>07-11-2017</t>
  </si>
  <si>
    <t>Jason Lynn Jr.</t>
  </si>
  <si>
    <t>2018/09/21</t>
  </si>
  <si>
    <t>EMP1347</t>
  </si>
  <si>
    <t>Casey Perez</t>
  </si>
  <si>
    <t>10/22/2021</t>
  </si>
  <si>
    <t>Michael Montoya</t>
  </si>
  <si>
    <t>EMP1899</t>
  </si>
  <si>
    <t>Abigail Booker</t>
  </si>
  <si>
    <t>14-06-2021</t>
  </si>
  <si>
    <t>Erika Dennis</t>
  </si>
  <si>
    <t>EMP1008</t>
  </si>
  <si>
    <t>Maria Lynch</t>
  </si>
  <si>
    <t>James Mayo</t>
  </si>
  <si>
    <t>EMP1882</t>
  </si>
  <si>
    <t>Scott Casey</t>
  </si>
  <si>
    <t>17 Dec 2015</t>
  </si>
  <si>
    <t>Scott Greene</t>
  </si>
  <si>
    <t>04/01/2021</t>
  </si>
  <si>
    <t>EMP1321</t>
  </si>
  <si>
    <t>Jessica Johnson</t>
  </si>
  <si>
    <t>28 Oct 2020</t>
  </si>
  <si>
    <t>Kevin Price</t>
  </si>
  <si>
    <t>EMP2066</t>
  </si>
  <si>
    <t>Brandon Watkins</t>
  </si>
  <si>
    <t>01/24/2024</t>
  </si>
  <si>
    <t>₹35,723</t>
  </si>
  <si>
    <t>Blake Hardy</t>
  </si>
  <si>
    <t>27-06-2026</t>
  </si>
  <si>
    <t>EMP1188</t>
  </si>
  <si>
    <t>Ronald Horton</t>
  </si>
  <si>
    <t>25 Sep 2013</t>
  </si>
  <si>
    <t>Joan Smith</t>
  </si>
  <si>
    <t>EMP1635</t>
  </si>
  <si>
    <t>Christina Brooks</t>
  </si>
  <si>
    <t>₹45,121</t>
  </si>
  <si>
    <t>Ashley Brown</t>
  </si>
  <si>
    <t>EMP1553</t>
  </si>
  <si>
    <t>Regina Mitchell</t>
  </si>
  <si>
    <t>03/01/2012</t>
  </si>
  <si>
    <t>152646.00</t>
  </si>
  <si>
    <t>Crystal Jackson</t>
  </si>
  <si>
    <t>09-11-2020</t>
  </si>
  <si>
    <t>EMP1305</t>
  </si>
  <si>
    <t>Linda Gonzalez</t>
  </si>
  <si>
    <t>04-04-2013</t>
  </si>
  <si>
    <t>Travis Cook</t>
  </si>
  <si>
    <t>EMP1032</t>
  </si>
  <si>
    <t>Brooke Yu</t>
  </si>
  <si>
    <t>09-11-2012</t>
  </si>
  <si>
    <t>EMP1876</t>
  </si>
  <si>
    <t>Tracy Rivas</t>
  </si>
  <si>
    <t>2023/01/18</t>
  </si>
  <si>
    <t>Melissa Sparks</t>
  </si>
  <si>
    <t>EMP1685</t>
  </si>
  <si>
    <t>Sharon Walton</t>
  </si>
  <si>
    <t>03/08/2022</t>
  </si>
  <si>
    <t>67087.00</t>
  </si>
  <si>
    <t>Andres Gutierrez</t>
  </si>
  <si>
    <t>EMP2088</t>
  </si>
  <si>
    <t>Dr. Tara Kennedy</t>
  </si>
  <si>
    <t>09-09-2016</t>
  </si>
  <si>
    <t>74606.00</t>
  </si>
  <si>
    <t>Jacob Wu</t>
  </si>
  <si>
    <t>EMP1241</t>
  </si>
  <si>
    <t>Regina Roberts</t>
  </si>
  <si>
    <t>2015/12/15</t>
  </si>
  <si>
    <t>₹48,562</t>
  </si>
  <si>
    <t>Hannah Ramos</t>
  </si>
  <si>
    <t>EMP1068</t>
  </si>
  <si>
    <t>02/15/2014</t>
  </si>
  <si>
    <t>Cameron Dean</t>
  </si>
  <si>
    <t>EMP1175</t>
  </si>
  <si>
    <t>Walter Hale</t>
  </si>
  <si>
    <t>07/05/2017</t>
  </si>
  <si>
    <t>Teresa Collins</t>
  </si>
  <si>
    <t>EMP1767</t>
  </si>
  <si>
    <t>Richard Nguyen</t>
  </si>
  <si>
    <t>2013/02/15</t>
  </si>
  <si>
    <t>Sheila Bennett</t>
  </si>
  <si>
    <t>EMP2193</t>
  </si>
  <si>
    <t>Matthew Perez</t>
  </si>
  <si>
    <t>10-10-2024</t>
  </si>
  <si>
    <t>Samantha Rodriguez</t>
  </si>
  <si>
    <t>07/02/2025</t>
  </si>
  <si>
    <t>EMP1246</t>
  </si>
  <si>
    <t>Susan Davis</t>
  </si>
  <si>
    <t>24 Mar 2020</t>
  </si>
  <si>
    <t>Miranda Zuniga</t>
  </si>
  <si>
    <t>EMP1057</t>
  </si>
  <si>
    <t>Courtney Gonzalez</t>
  </si>
  <si>
    <t>01/11/2012</t>
  </si>
  <si>
    <t>John Atkinson</t>
  </si>
  <si>
    <t>EMP1631</t>
  </si>
  <si>
    <t>Patricia Anderson</t>
  </si>
  <si>
    <t>03 Sep 2013</t>
  </si>
  <si>
    <t>Katherine Pearson</t>
  </si>
  <si>
    <t>EMP1584</t>
  </si>
  <si>
    <t>Alyssa Alvarado</t>
  </si>
  <si>
    <t>01-07-2024</t>
  </si>
  <si>
    <t>William Fernandez</t>
  </si>
  <si>
    <t>2025/03/15</t>
  </si>
  <si>
    <t>EMP2047</t>
  </si>
  <si>
    <t>Joseph Myers</t>
  </si>
  <si>
    <t>10/26/2012</t>
  </si>
  <si>
    <t>Megan Hernandez</t>
  </si>
  <si>
    <t>EMP1146</t>
  </si>
  <si>
    <t>Cindy Hayes</t>
  </si>
  <si>
    <t>2015/01/27</t>
  </si>
  <si>
    <t>Jason Davis</t>
  </si>
  <si>
    <t>01/01/2019</t>
  </si>
  <si>
    <t>EMP1091</t>
  </si>
  <si>
    <t>Courtney Mills</t>
  </si>
  <si>
    <t>20-05-2018</t>
  </si>
  <si>
    <t>₹104,837</t>
  </si>
  <si>
    <t>Wanda Torres</t>
  </si>
  <si>
    <t>2022/01/18</t>
  </si>
  <si>
    <t>EMP2199</t>
  </si>
  <si>
    <t>Kenneth Moyer</t>
  </si>
  <si>
    <t>HR BUSINESS PARTNER</t>
  </si>
  <si>
    <t>26 Oct 2015</t>
  </si>
  <si>
    <t>Zachary White</t>
  </si>
  <si>
    <t>EMP1393</t>
  </si>
  <si>
    <t>Melissa Sloan</t>
  </si>
  <si>
    <t>01/31/2012</t>
  </si>
  <si>
    <t>₹135,222</t>
  </si>
  <si>
    <t>Theresa Elliott</t>
  </si>
  <si>
    <t>EMP1893</t>
  </si>
  <si>
    <t>Andrew Green</t>
  </si>
  <si>
    <t>12 Mar 2022</t>
  </si>
  <si>
    <t>Tammy Williams MD</t>
  </si>
  <si>
    <t>2024/02/22</t>
  </si>
  <si>
    <t>EMP1683</t>
  </si>
  <si>
    <t>Christine Jennings</t>
  </si>
  <si>
    <t>08/04/2023</t>
  </si>
  <si>
    <t>₹86,196</t>
  </si>
  <si>
    <t>Heather Montes</t>
  </si>
  <si>
    <t>EMP1311</t>
  </si>
  <si>
    <t>Jennifer Porter</t>
  </si>
  <si>
    <t>02/10/2021</t>
  </si>
  <si>
    <t>Michelle Mccormick</t>
  </si>
  <si>
    <t>06/15/2022</t>
  </si>
  <si>
    <t>EMP1360</t>
  </si>
  <si>
    <t>Monica Mathis</t>
  </si>
  <si>
    <t>11-07-2012</t>
  </si>
  <si>
    <t>Jesse Lynch</t>
  </si>
  <si>
    <t>09/29/2013</t>
  </si>
  <si>
    <t>EMP1094</t>
  </si>
  <si>
    <t>Michele Gibson</t>
  </si>
  <si>
    <t>01-12-2021</t>
  </si>
  <si>
    <t>₹69,003</t>
  </si>
  <si>
    <t>Rachel Weber</t>
  </si>
  <si>
    <t>EMP2112</t>
  </si>
  <si>
    <t>Paul Carpenter</t>
  </si>
  <si>
    <t>03 Sep 2023</t>
  </si>
  <si>
    <t>Judith Martin</t>
  </si>
  <si>
    <t>19-03-2026</t>
  </si>
  <si>
    <t>EMP2046</t>
  </si>
  <si>
    <t>Brenda Hoover</t>
  </si>
  <si>
    <t>20 Mar 2024</t>
  </si>
  <si>
    <t>Albert Garcia</t>
  </si>
  <si>
    <t>EMP1377</t>
  </si>
  <si>
    <t>Dale Chan</t>
  </si>
  <si>
    <t>2020/05/21</t>
  </si>
  <si>
    <t>Christopher Owens</t>
  </si>
  <si>
    <t>EMP1244</t>
  </si>
  <si>
    <t>Mitchell Garcia</t>
  </si>
  <si>
    <t>28-02-2023</t>
  </si>
  <si>
    <t>Joshua Hickman</t>
  </si>
  <si>
    <t>EMP2099</t>
  </si>
  <si>
    <t>Barbara Taylor</t>
  </si>
  <si>
    <t>21-08-2019</t>
  </si>
  <si>
    <t>Ann Holt</t>
  </si>
  <si>
    <t>EMP1088</t>
  </si>
  <si>
    <t>Sean Henry</t>
  </si>
  <si>
    <t>06-09-2024</t>
  </si>
  <si>
    <t>Jeremiah Lopez</t>
  </si>
  <si>
    <t>10/26/2025</t>
  </si>
  <si>
    <t>EMP1215</t>
  </si>
  <si>
    <t>Hannah Everett</t>
  </si>
  <si>
    <t>05-01-2025</t>
  </si>
  <si>
    <t>80835.00</t>
  </si>
  <si>
    <t>Mark Pierce</t>
  </si>
  <si>
    <t>2026/05/30</t>
  </si>
  <si>
    <t>EMP1445</t>
  </si>
  <si>
    <t>Sharon James</t>
  </si>
  <si>
    <t>11 Feb 2016</t>
  </si>
  <si>
    <t>₹82,866</t>
  </si>
  <si>
    <t>Scott Taylor</t>
  </si>
  <si>
    <t>EMP1174</t>
  </si>
  <si>
    <t>Mary Escobar</t>
  </si>
  <si>
    <t>09 Sep 2024</t>
  </si>
  <si>
    <t>Kevin Thomas</t>
  </si>
  <si>
    <t>EMP1426</t>
  </si>
  <si>
    <t>Matthew Lopez</t>
  </si>
  <si>
    <t>25-10-2014</t>
  </si>
  <si>
    <t>Natalie Malone</t>
  </si>
  <si>
    <t>EMP2062</t>
  </si>
  <si>
    <t>Donald Schneider</t>
  </si>
  <si>
    <t>03-01-2023</t>
  </si>
  <si>
    <t>₹142,115</t>
  </si>
  <si>
    <t>Vanessa Wong</t>
  </si>
  <si>
    <t>EMP1119</t>
  </si>
  <si>
    <t>Cynthia Durham</t>
  </si>
  <si>
    <t>10/18/2013</t>
  </si>
  <si>
    <t>David Scott</t>
  </si>
  <si>
    <t>EMP1120</t>
  </si>
  <si>
    <t>Robert Santana</t>
  </si>
  <si>
    <t xml:space="preserve">  Finance Manager  </t>
  </si>
  <si>
    <t>09 Oct 2021</t>
  </si>
  <si>
    <t>Jeremy Reed</t>
  </si>
  <si>
    <t>EMP2095</t>
  </si>
  <si>
    <t>Joseph Armstrong</t>
  </si>
  <si>
    <t>11-06-2024</t>
  </si>
  <si>
    <t>₹74,274</t>
  </si>
  <si>
    <t>Bethany Robles</t>
  </si>
  <si>
    <t>EMP1001</t>
  </si>
  <si>
    <t>Allison Hill</t>
  </si>
  <si>
    <t>29 Dec 2014</t>
  </si>
  <si>
    <t>Stephanie Miller</t>
  </si>
  <si>
    <t>03-08-2023</t>
  </si>
  <si>
    <t>EMP1395</t>
  </si>
  <si>
    <t>Daniel Fox</t>
  </si>
  <si>
    <t>2011/09/03</t>
  </si>
  <si>
    <t>Carlos Love</t>
  </si>
  <si>
    <t>07-06-2025</t>
  </si>
  <si>
    <t>EMP1402</t>
  </si>
  <si>
    <t>Brenda Mcgee</t>
  </si>
  <si>
    <t>19 Mar 2015</t>
  </si>
  <si>
    <t>Mrs. Stacey Davis</t>
  </si>
  <si>
    <t>EMP1405</t>
  </si>
  <si>
    <t>James Payne Jr.</t>
  </si>
  <si>
    <t>10/25/2018</t>
  </si>
  <si>
    <t>Marilyn Mcdaniel</t>
  </si>
  <si>
    <t>EMP1880</t>
  </si>
  <si>
    <t>Jeffrey Green</t>
  </si>
  <si>
    <t>12/28/2012</t>
  </si>
  <si>
    <t>₹76,844</t>
  </si>
  <si>
    <t>Travis Wilson</t>
  </si>
  <si>
    <t>EMP1891</t>
  </si>
  <si>
    <t>Pam Baker</t>
  </si>
  <si>
    <t>01 May 2016</t>
  </si>
  <si>
    <t>Emily Vang</t>
  </si>
  <si>
    <t>EMP1163</t>
  </si>
  <si>
    <t>Jennifer Collins</t>
  </si>
  <si>
    <t>09/23/2016</t>
  </si>
  <si>
    <t>Christopher Dixon</t>
  </si>
  <si>
    <t>EMP1115</t>
  </si>
  <si>
    <t>Shannon James</t>
  </si>
  <si>
    <t>05/21/2016</t>
  </si>
  <si>
    <t>Olivia Brennan</t>
  </si>
  <si>
    <t>EMP1671</t>
  </si>
  <si>
    <t>Christopher Powers</t>
  </si>
  <si>
    <t>11-10-2020</t>
  </si>
  <si>
    <t>Linda Cobb</t>
  </si>
  <si>
    <t>EMP1151</t>
  </si>
  <si>
    <t>Holly Farmer</t>
  </si>
  <si>
    <t>Sarah Villegas</t>
  </si>
  <si>
    <t>EMP1842</t>
  </si>
  <si>
    <t>Michael Keller</t>
  </si>
  <si>
    <t>2021/11/20</t>
  </si>
  <si>
    <t>Karen Dickerson</t>
  </si>
  <si>
    <t>EMP1981</t>
  </si>
  <si>
    <t>Jill Walker</t>
  </si>
  <si>
    <t>12/16/2011</t>
  </si>
  <si>
    <t>Thomas Howard</t>
  </si>
  <si>
    <t>EMP1562</t>
  </si>
  <si>
    <t>02-01-2025</t>
  </si>
  <si>
    <t>Melanie Browning</t>
  </si>
  <si>
    <t>06/14/2025</t>
  </si>
  <si>
    <t>EMP1369</t>
  </si>
  <si>
    <t>John Campbell</t>
  </si>
  <si>
    <t>2024/04/07</t>
  </si>
  <si>
    <t>EMP1544</t>
  </si>
  <si>
    <t>Diane Mcdowell</t>
  </si>
  <si>
    <t>Michael Clarke</t>
  </si>
  <si>
    <t>EMP1478</t>
  </si>
  <si>
    <t>Ronald Brandt</t>
  </si>
  <si>
    <t>08 Jan 2016</t>
  </si>
  <si>
    <t>Michaela Williams</t>
  </si>
  <si>
    <t>EMP2151</t>
  </si>
  <si>
    <t>Charlotte Gomez</t>
  </si>
  <si>
    <t>05-03-2013</t>
  </si>
  <si>
    <t>Jose Hernandez</t>
  </si>
  <si>
    <t>10/24/2019</t>
  </si>
  <si>
    <t>EMP1533</t>
  </si>
  <si>
    <t>David Shepherd</t>
  </si>
  <si>
    <t>29-05-2022</t>
  </si>
  <si>
    <t>Mr. Daniel Martin</t>
  </si>
  <si>
    <t>EMP1626</t>
  </si>
  <si>
    <t>Angela Brown</t>
  </si>
  <si>
    <t>01-03-2023</t>
  </si>
  <si>
    <t>Robert Butler</t>
  </si>
  <si>
    <t>EMP2021</t>
  </si>
  <si>
    <t>Ryan Hunt</t>
  </si>
  <si>
    <t>Tammy Garcia</t>
  </si>
  <si>
    <t>EMP1513</t>
  </si>
  <si>
    <t>Jacqueline Herring</t>
  </si>
  <si>
    <t>2019/12/03</t>
  </si>
  <si>
    <t>Barbara Smith</t>
  </si>
  <si>
    <t>EMP1840</t>
  </si>
  <si>
    <t>Janet Edwards</t>
  </si>
  <si>
    <t>04/11/2017</t>
  </si>
  <si>
    <t>Andrew Hawkins</t>
  </si>
  <si>
    <t>EMP1073</t>
  </si>
  <si>
    <t>Claudia Lyons</t>
  </si>
  <si>
    <t>2023/02/07</t>
  </si>
  <si>
    <t>₹120,848</t>
  </si>
  <si>
    <t>Lawrence Adkins</t>
  </si>
  <si>
    <t>EMP1808</t>
  </si>
  <si>
    <t>Julie Johnson</t>
  </si>
  <si>
    <t>13-09-2011</t>
  </si>
  <si>
    <t>Tyler Flowers</t>
  </si>
  <si>
    <t>EMP1259</t>
  </si>
  <si>
    <t>Audrey Harris</t>
  </si>
  <si>
    <t>12 May 2020</t>
  </si>
  <si>
    <t>Jordan Stokes</t>
  </si>
  <si>
    <t>EMP1625</t>
  </si>
  <si>
    <t>Melissa Johnston</t>
  </si>
  <si>
    <t>Elizabeth Cross</t>
  </si>
  <si>
    <t>EMP1827</t>
  </si>
  <si>
    <t>Kevin Gonzales</t>
  </si>
  <si>
    <t>13-12-2025</t>
  </si>
  <si>
    <t>Henry Gray</t>
  </si>
  <si>
    <t>EMP1235</t>
  </si>
  <si>
    <t>Erik Hernandez</t>
  </si>
  <si>
    <t>18-12-2021</t>
  </si>
  <si>
    <t>Reginald Knapp</t>
  </si>
  <si>
    <t>EMP1617</t>
  </si>
  <si>
    <t>Maurice Andrade</t>
  </si>
  <si>
    <t>24-02-2014</t>
  </si>
  <si>
    <t>₹106,542</t>
  </si>
  <si>
    <t>EMP1517</t>
  </si>
  <si>
    <t>Donna Jones</t>
  </si>
  <si>
    <t>02/16/2013</t>
  </si>
  <si>
    <t>118809.00</t>
  </si>
  <si>
    <t>Mr. Carl Rios</t>
  </si>
  <si>
    <t>13-12-2022</t>
  </si>
  <si>
    <t>EMP2071</t>
  </si>
  <si>
    <t>James Obrien</t>
  </si>
  <si>
    <t>25-09-2012</t>
  </si>
  <si>
    <t>EMP1837</t>
  </si>
  <si>
    <t>Barry Gregory</t>
  </si>
  <si>
    <t>03/01/2026</t>
  </si>
  <si>
    <t>Brittany Howell</t>
  </si>
  <si>
    <t>05/10/2026</t>
  </si>
  <si>
    <t>EMP1843</t>
  </si>
  <si>
    <t>Jenna Simpson</t>
  </si>
  <si>
    <t>02/23/2026</t>
  </si>
  <si>
    <t>William Flores</t>
  </si>
  <si>
    <t>06/19/2026</t>
  </si>
  <si>
    <t>EMP1803</t>
  </si>
  <si>
    <t>Anita Luna</t>
  </si>
  <si>
    <t>Regina Roberts PhD</t>
  </si>
  <si>
    <t>EMP1810</t>
  </si>
  <si>
    <t>Zachary Jones</t>
  </si>
  <si>
    <t>14-10-2022</t>
  </si>
  <si>
    <t>Sheena Burton</t>
  </si>
  <si>
    <t>2025/01/14</t>
  </si>
  <si>
    <t>EMP1593</t>
  </si>
  <si>
    <t>Denise Dean</t>
  </si>
  <si>
    <t>19-06-2014</t>
  </si>
  <si>
    <t>Anthony Nichols</t>
  </si>
  <si>
    <t>EMP2078</t>
  </si>
  <si>
    <t>Ray Newman</t>
  </si>
  <si>
    <t>05 May 2025</t>
  </si>
  <si>
    <t>₹91,761</t>
  </si>
  <si>
    <t>Stephanie Stone</t>
  </si>
  <si>
    <t>13-11-2025</t>
  </si>
  <si>
    <t>EMP1502</t>
  </si>
  <si>
    <t>Jill Conway</t>
  </si>
  <si>
    <t>26 Oct 2020</t>
  </si>
  <si>
    <t>Tina Fleming</t>
  </si>
  <si>
    <t>EMP1539</t>
  </si>
  <si>
    <t>Dale Heath</t>
  </si>
  <si>
    <t>10-03-2019</t>
  </si>
  <si>
    <t>Chase Davis</t>
  </si>
  <si>
    <t>EMP1946</t>
  </si>
  <si>
    <t>Edward Doyle</t>
  </si>
  <si>
    <t>2018/06/04</t>
  </si>
  <si>
    <t>Dr. Virginia Cunningham</t>
  </si>
  <si>
    <t>EMP1729</t>
  </si>
  <si>
    <t>Paul Goodwin</t>
  </si>
  <si>
    <t>08/10/2019</t>
  </si>
  <si>
    <t>Michael Wells</t>
  </si>
  <si>
    <t>EMP1582</t>
  </si>
  <si>
    <t>Kimberly Johnson</t>
  </si>
  <si>
    <t>08/02/2017</t>
  </si>
  <si>
    <t>Angela Baker</t>
  </si>
  <si>
    <t>EMP1344</t>
  </si>
  <si>
    <t>Aaron Rubio</t>
  </si>
  <si>
    <t>06 Sep 2014</t>
  </si>
  <si>
    <t>113080.00</t>
  </si>
  <si>
    <t>Bonnie Santos</t>
  </si>
  <si>
    <t>EMP1976</t>
  </si>
  <si>
    <t>2015/07/25</t>
  </si>
  <si>
    <t>EMP1890</t>
  </si>
  <si>
    <t>Seth Davenport</t>
  </si>
  <si>
    <t>2022/10/26</t>
  </si>
  <si>
    <t>EMP1294</t>
  </si>
  <si>
    <t>Laurie Goodwin</t>
  </si>
  <si>
    <t>04/18/2022</t>
  </si>
  <si>
    <t>Christopher Allen</t>
  </si>
  <si>
    <t>13-01-2024</t>
  </si>
  <si>
    <t>EMP1365</t>
  </si>
  <si>
    <t>Kenneth Sharp</t>
  </si>
  <si>
    <t>01/26/2015</t>
  </si>
  <si>
    <t>₹104,147</t>
  </si>
  <si>
    <t>Amanda Roy</t>
  </si>
  <si>
    <t>EMP1898</t>
  </si>
  <si>
    <t>Brittany Miller</t>
  </si>
  <si>
    <t>21-01-2024</t>
  </si>
  <si>
    <t>Jordan Moses</t>
  </si>
  <si>
    <t>EMP1660</t>
  </si>
  <si>
    <t>Julia Henderson</t>
  </si>
  <si>
    <t>22-10-2020</t>
  </si>
  <si>
    <t>Jose Thomas</t>
  </si>
  <si>
    <t>EMP1015</t>
  </si>
  <si>
    <t>Ashley Graham</t>
  </si>
  <si>
    <t>2018/06/07</t>
  </si>
  <si>
    <t>Deborah Mason</t>
  </si>
  <si>
    <t>14-04-2026</t>
  </si>
  <si>
    <t>EMP1687</t>
  </si>
  <si>
    <t>Susan Wallace</t>
  </si>
  <si>
    <t>13 Jan 2012</t>
  </si>
  <si>
    <t>Cheryl Mclean</t>
  </si>
  <si>
    <t>04-02-2019</t>
  </si>
  <si>
    <t>EMP1087</t>
  </si>
  <si>
    <t>Adrian Ferguson</t>
  </si>
  <si>
    <t>2015/10/03</t>
  </si>
  <si>
    <t>Kristen Terry</t>
  </si>
  <si>
    <t>EMP1371</t>
  </si>
  <si>
    <t>Christie Mccullough</t>
  </si>
  <si>
    <t>01/03/2023</t>
  </si>
  <si>
    <t>Aaron Ortiz</t>
  </si>
  <si>
    <t>EMP1166</t>
  </si>
  <si>
    <t>Paul Wolf MD</t>
  </si>
  <si>
    <t>2025/06/13</t>
  </si>
  <si>
    <t>Lori Lin</t>
  </si>
  <si>
    <t>2026/02/18</t>
  </si>
  <si>
    <t>EMP1132</t>
  </si>
  <si>
    <t>Susan Turner</t>
  </si>
  <si>
    <t>02 Oct 2017</t>
  </si>
  <si>
    <t>Tracy Torres</t>
  </si>
  <si>
    <t>EMP1336</t>
  </si>
  <si>
    <t>Derek Hodge</t>
  </si>
  <si>
    <t>13 May 2026</t>
  </si>
  <si>
    <t>92580.00</t>
  </si>
  <si>
    <t>Anna Estes</t>
  </si>
  <si>
    <t>EMP1060</t>
  </si>
  <si>
    <t>David Charles</t>
  </si>
  <si>
    <t>2018/06/22</t>
  </si>
  <si>
    <t>Victoria Larson</t>
  </si>
  <si>
    <t>13-01-2025</t>
  </si>
  <si>
    <t>EMP1710</t>
  </si>
  <si>
    <t>Cameron Phillips</t>
  </si>
  <si>
    <t>03-03-2017</t>
  </si>
  <si>
    <t>Amy Warner</t>
  </si>
  <si>
    <t>EMP2180</t>
  </si>
  <si>
    <t>Miranda Ortiz</t>
  </si>
  <si>
    <t>10/13/2020</t>
  </si>
  <si>
    <t>Anthony Cabrera</t>
  </si>
  <si>
    <t>EMP1677</t>
  </si>
  <si>
    <t>April Johnson</t>
  </si>
  <si>
    <t>2020/12/29</t>
  </si>
  <si>
    <t>Ryan Marsh</t>
  </si>
  <si>
    <t>EMP1355</t>
  </si>
  <si>
    <t>Vanessa Hatfield</t>
  </si>
  <si>
    <t>2025/08/05</t>
  </si>
  <si>
    <t>₹66,896</t>
  </si>
  <si>
    <t>Laura Diaz</t>
  </si>
  <si>
    <t>EMP2013</t>
  </si>
  <si>
    <t>Dana Williams</t>
  </si>
  <si>
    <t>11/07/2020</t>
  </si>
  <si>
    <t>Rachel Murphy</t>
  </si>
  <si>
    <t>2021/12/13</t>
  </si>
  <si>
    <t>EMP1425</t>
  </si>
  <si>
    <t>Annette Melton</t>
  </si>
  <si>
    <t>01 Sep 2013</t>
  </si>
  <si>
    <t>Roger Adams</t>
  </si>
  <si>
    <t>04/30/2026</t>
  </si>
  <si>
    <t>EMP1293</t>
  </si>
  <si>
    <t>Benjamin Frost</t>
  </si>
  <si>
    <t>2025/01/29</t>
  </si>
  <si>
    <t>₹66,351</t>
  </si>
  <si>
    <t>Timothy Edwards</t>
  </si>
  <si>
    <t>21-12-2025</t>
  </si>
  <si>
    <t>EMP1042</t>
  </si>
  <si>
    <t>Lauren Hernandez</t>
  </si>
  <si>
    <t>2013/07/25</t>
  </si>
  <si>
    <t>Steven Flynn</t>
  </si>
  <si>
    <t>EMP2081</t>
  </si>
  <si>
    <t>Haley Thomas</t>
  </si>
  <si>
    <t>₹62,724</t>
  </si>
  <si>
    <t>Eric Benitez</t>
  </si>
  <si>
    <t>05/25/2026</t>
  </si>
  <si>
    <t>EMP1330</t>
  </si>
  <si>
    <t>Donald Medina</t>
  </si>
  <si>
    <t>04 Mar 2014</t>
  </si>
  <si>
    <t>₹74,798</t>
  </si>
  <si>
    <t>Patrick Cannon</t>
  </si>
  <si>
    <t>EMP1615</t>
  </si>
  <si>
    <t>Anne Hardy</t>
  </si>
  <si>
    <t>06 Aug 2019</t>
  </si>
  <si>
    <t>Joseph Wright</t>
  </si>
  <si>
    <t>EMP1430</t>
  </si>
  <si>
    <t>Kirk Thompson</t>
  </si>
  <si>
    <t>08/25/2024</t>
  </si>
  <si>
    <t>Hannah Martin</t>
  </si>
  <si>
    <t>EMP1080</t>
  </si>
  <si>
    <t>John Bishop</t>
  </si>
  <si>
    <t xml:space="preserve">  Digital Marketing Specialist  </t>
  </si>
  <si>
    <t>26 Apr 2017</t>
  </si>
  <si>
    <t>₹66,960</t>
  </si>
  <si>
    <t>Catherine Lewis</t>
  </si>
  <si>
    <t>2017/08/01</t>
  </si>
  <si>
    <t>EMP1694</t>
  </si>
  <si>
    <t>Louis Morgan</t>
  </si>
  <si>
    <t>2018/04/13</t>
  </si>
  <si>
    <t>John Lowe</t>
  </si>
  <si>
    <t>EMP1029</t>
  </si>
  <si>
    <t>James Brown</t>
  </si>
  <si>
    <t>26-04-2017</t>
  </si>
  <si>
    <t>Richard Gibson</t>
  </si>
  <si>
    <t>2026/07/11</t>
  </si>
  <si>
    <t>EMP1708</t>
  </si>
  <si>
    <t>Kenneth Gonzalez</t>
  </si>
  <si>
    <t>2021/10/30</t>
  </si>
  <si>
    <t>Kelly Gentry</t>
  </si>
  <si>
    <t>EMP2003</t>
  </si>
  <si>
    <t>Curtis Kerr</t>
  </si>
  <si>
    <t>18 May 2023</t>
  </si>
  <si>
    <t>Michael Neal</t>
  </si>
  <si>
    <t>EMP2186</t>
  </si>
  <si>
    <t>Christopher Long</t>
  </si>
  <si>
    <t>24-09-2020</t>
  </si>
  <si>
    <t>Benjamin Sanchez</t>
  </si>
  <si>
    <t>EMP1255</t>
  </si>
  <si>
    <t>Thomas Phillips</t>
  </si>
  <si>
    <t>31 Oct 2020</t>
  </si>
  <si>
    <t>Casey Hernandez</t>
  </si>
  <si>
    <t>EMP1161</t>
  </si>
  <si>
    <t>Michelle Butler</t>
  </si>
  <si>
    <t>2013/05/19</t>
  </si>
  <si>
    <t>Frederick Solis</t>
  </si>
  <si>
    <t>EMP1459</t>
  </si>
  <si>
    <t>Christina Warner</t>
  </si>
  <si>
    <t>26-01-2016</t>
  </si>
  <si>
    <t>Jon Clark</t>
  </si>
  <si>
    <t>EMP1384</t>
  </si>
  <si>
    <t>Carl Stein</t>
  </si>
  <si>
    <t>2024/01/14</t>
  </si>
  <si>
    <t>Andrew Murray</t>
  </si>
  <si>
    <t>EMP1314</t>
  </si>
  <si>
    <t>Matthew Williams</t>
  </si>
  <si>
    <t>03 May 2026</t>
  </si>
  <si>
    <t>Paul Sheppard</t>
  </si>
  <si>
    <t>2026/07/23</t>
  </si>
  <si>
    <t>EMP1085</t>
  </si>
  <si>
    <t>Bryan Herrera</t>
  </si>
  <si>
    <t>13-01-2023</t>
  </si>
  <si>
    <t>Daniel Washington</t>
  </si>
  <si>
    <t>EMP1575</t>
  </si>
  <si>
    <t>Deanna Smith</t>
  </si>
  <si>
    <t>21-06-2013</t>
  </si>
  <si>
    <t>Tracey Gonzalez</t>
  </si>
  <si>
    <t>EMP1763</t>
  </si>
  <si>
    <t>Destiny Lee</t>
  </si>
  <si>
    <t>19-07-2023</t>
  </si>
  <si>
    <t>Tracy Wells</t>
  </si>
  <si>
    <t>EMP1137</t>
  </si>
  <si>
    <t>05/27/2023</t>
  </si>
  <si>
    <t>Cameron Cunningham</t>
  </si>
  <si>
    <t>EMP1112</t>
  </si>
  <si>
    <t>Veronica Simpson</t>
  </si>
  <si>
    <t>2012/03/19</t>
  </si>
  <si>
    <t>Leslie Kane</t>
  </si>
  <si>
    <t>EMP1195</t>
  </si>
  <si>
    <t>Andrew Payne</t>
  </si>
  <si>
    <t>2023/10/19</t>
  </si>
  <si>
    <t>Richard Marshall</t>
  </si>
  <si>
    <t>EMP1853</t>
  </si>
  <si>
    <t>Joshua Gonzalez</t>
  </si>
  <si>
    <t>31-08-2017</t>
  </si>
  <si>
    <t>126537.00</t>
  </si>
  <si>
    <t>Jody Hines</t>
  </si>
  <si>
    <t>EMP1179</t>
  </si>
  <si>
    <t>Sandy Stephenson</t>
  </si>
  <si>
    <t>23 Mar 2012</t>
  </si>
  <si>
    <t>Ralph Anderson</t>
  </si>
  <si>
    <t>EMP1556</t>
  </si>
  <si>
    <t>Victor Hill</t>
  </si>
  <si>
    <t>09/16/2020</t>
  </si>
  <si>
    <t>₹140,752</t>
  </si>
  <si>
    <t>Timothy Andrews</t>
  </si>
  <si>
    <t>EMP1724</t>
  </si>
  <si>
    <t>Sarah Ramirez</t>
  </si>
  <si>
    <t>22-08-2013</t>
  </si>
  <si>
    <t>Scott Smith</t>
  </si>
  <si>
    <t>EMP1860</t>
  </si>
  <si>
    <t>David Lara</t>
  </si>
  <si>
    <t>06/28/2021</t>
  </si>
  <si>
    <t>Samuel Stuart</t>
  </si>
  <si>
    <t>EMP1497</t>
  </si>
  <si>
    <t>Justin Anderson</t>
  </si>
  <si>
    <t>05/17/2020</t>
  </si>
  <si>
    <t>Gary Mckinney</t>
  </si>
  <si>
    <t>EMP1904</t>
  </si>
  <si>
    <t>Katherine Mcclure</t>
  </si>
  <si>
    <t>10/09/2018</t>
  </si>
  <si>
    <t>₹133,552</t>
  </si>
  <si>
    <t>Jenny Avila</t>
  </si>
  <si>
    <t>EMP1806</t>
  </si>
  <si>
    <t>Thomas Perry</t>
  </si>
  <si>
    <t>15-12-2019</t>
  </si>
  <si>
    <t>Nicole Taylor</t>
  </si>
  <si>
    <t>EMP1130</t>
  </si>
  <si>
    <t>Jordan Chambers</t>
  </si>
  <si>
    <t>09/10/2021</t>
  </si>
  <si>
    <t>Samantha Bentley</t>
  </si>
  <si>
    <t>EMP1716</t>
  </si>
  <si>
    <t>Henry Lopez</t>
  </si>
  <si>
    <t>2020/09/06</t>
  </si>
  <si>
    <t>Sarah Young</t>
  </si>
  <si>
    <t>EMP1338</t>
  </si>
  <si>
    <t>Sandra Juarez</t>
  </si>
  <si>
    <t>01-10-2021</t>
  </si>
  <si>
    <t>₹49,979</t>
  </si>
  <si>
    <t>Kenneth Adams MD</t>
  </si>
  <si>
    <t>EMP1609</t>
  </si>
  <si>
    <t>Kimberly Hughes</t>
  </si>
  <si>
    <t>06/25/2019</t>
  </si>
  <si>
    <t>Lisa Morris</t>
  </si>
  <si>
    <t>EMP1125</t>
  </si>
  <si>
    <t>Mary Massey</t>
  </si>
  <si>
    <t>01/13/2021</t>
  </si>
  <si>
    <t>Maria Parker</t>
  </si>
  <si>
    <t>EMP1196</t>
  </si>
  <si>
    <t>Lynn Cain</t>
  </si>
  <si>
    <t>08 Aug 2012</t>
  </si>
  <si>
    <t>Edward Williams</t>
  </si>
  <si>
    <t>EMP1227</t>
  </si>
  <si>
    <t>Angel Gordon</t>
  </si>
  <si>
    <t>2023/01/25</t>
  </si>
  <si>
    <t>William Becker</t>
  </si>
  <si>
    <t>EMP1690</t>
  </si>
  <si>
    <t>Melissa Wheeler</t>
  </si>
  <si>
    <t>17-12-2012</t>
  </si>
  <si>
    <t>Joseph Hopkins</t>
  </si>
  <si>
    <t>2019/05/11</t>
  </si>
  <si>
    <t>EMP1269</t>
  </si>
  <si>
    <t>Scott Brown</t>
  </si>
  <si>
    <t>07 Mar 2019</t>
  </si>
  <si>
    <t>Robert Dennis</t>
  </si>
  <si>
    <t>EMP1153</t>
  </si>
  <si>
    <t>Ellen Morgan</t>
  </si>
  <si>
    <t>10/03/2011</t>
  </si>
  <si>
    <t>137873.00</t>
  </si>
  <si>
    <t>Jennifer Thomas</t>
  </si>
  <si>
    <t>09/21/2024</t>
  </si>
  <si>
    <t>EMP1910</t>
  </si>
  <si>
    <t>Clarence Long</t>
  </si>
  <si>
    <t>26-11-2012</t>
  </si>
  <si>
    <t>₹64,296</t>
  </si>
  <si>
    <t>Elizabeth Matthews</t>
  </si>
  <si>
    <t>EMP1585</t>
  </si>
  <si>
    <t>Jeremy Montes</t>
  </si>
  <si>
    <t>26-01-2022</t>
  </si>
  <si>
    <t>Kyle Welch</t>
  </si>
  <si>
    <t>EMP1951</t>
  </si>
  <si>
    <t>Jonathan Henderson</t>
  </si>
  <si>
    <t>24-03-2018</t>
  </si>
  <si>
    <t>Katherine Mcpherson</t>
  </si>
  <si>
    <t>EMP1104</t>
  </si>
  <si>
    <t>Christina Dunn</t>
  </si>
  <si>
    <t>2025/07/02</t>
  </si>
  <si>
    <t>Barbara Dudley</t>
  </si>
  <si>
    <t>01/04/2026</t>
  </si>
  <si>
    <t>EMP1594</t>
  </si>
  <si>
    <t>Brian Adams</t>
  </si>
  <si>
    <t>02 May 2022</t>
  </si>
  <si>
    <t>Chris Snyder</t>
  </si>
  <si>
    <t>25-06-2025</t>
  </si>
  <si>
    <t>EMP2120</t>
  </si>
  <si>
    <t>John Newman</t>
  </si>
  <si>
    <t>2018/02/17</t>
  </si>
  <si>
    <t>Ariana Brown</t>
  </si>
  <si>
    <t>EMP1787</t>
  </si>
  <si>
    <t>Donald Terry</t>
  </si>
  <si>
    <t>25 Jan 2019</t>
  </si>
  <si>
    <t>₹77,123</t>
  </si>
  <si>
    <t>Kelly Burton</t>
  </si>
  <si>
    <t>EMP2018</t>
  </si>
  <si>
    <t>Laura Walls</t>
  </si>
  <si>
    <t>03/30/2017</t>
  </si>
  <si>
    <t>Brandy Miller</t>
  </si>
  <si>
    <t>EMP1885</t>
  </si>
  <si>
    <t>Michael Mcdaniel</t>
  </si>
  <si>
    <t>2022/04/21</t>
  </si>
  <si>
    <t>Nancy Scott</t>
  </si>
  <si>
    <t>EMP1777</t>
  </si>
  <si>
    <t>Michael Hodge</t>
  </si>
  <si>
    <t>2022/10/23</t>
  </si>
  <si>
    <t>Raymond Sawyer</t>
  </si>
  <si>
    <t>26-11-2022</t>
  </si>
  <si>
    <t>EMP1949</t>
  </si>
  <si>
    <t>Heather Garcia</t>
  </si>
  <si>
    <t>04/12/2022</t>
  </si>
  <si>
    <t>EMP1850</t>
  </si>
  <si>
    <t>Sara Herrera</t>
  </si>
  <si>
    <t>13 Dec 2015</t>
  </si>
  <si>
    <t>Zachary Morales</t>
  </si>
  <si>
    <t>EMP1895</t>
  </si>
  <si>
    <t>Catherine Jackson</t>
  </si>
  <si>
    <t>03 Apr 2019</t>
  </si>
  <si>
    <t>Laurie Silva</t>
  </si>
  <si>
    <t>04/10/2021</t>
  </si>
  <si>
    <t>EMP1228</t>
  </si>
  <si>
    <t>William Long</t>
  </si>
  <si>
    <t>10 Jul 2023</t>
  </si>
  <si>
    <t>Nicole Gonzalez</t>
  </si>
  <si>
    <t>08/02/2024</t>
  </si>
  <si>
    <t>EMP2142</t>
  </si>
  <si>
    <t>Theresa Martin</t>
  </si>
  <si>
    <t>08 Jul 2012</t>
  </si>
  <si>
    <t>EMP1302</t>
  </si>
  <si>
    <t>Erika Cruz</t>
  </si>
  <si>
    <t>2016/01/07</t>
  </si>
  <si>
    <t>76798.00</t>
  </si>
  <si>
    <t>Bradley Santana</t>
  </si>
  <si>
    <t>EMP1855</t>
  </si>
  <si>
    <t>Timothy Patel</t>
  </si>
  <si>
    <t>29 Oct 2020</t>
  </si>
  <si>
    <t>98164.00</t>
  </si>
  <si>
    <t>Jessica Knight</t>
  </si>
  <si>
    <t>EMP1276</t>
  </si>
  <si>
    <t>Lindsey Russo</t>
  </si>
  <si>
    <t>21 Jun 2014</t>
  </si>
  <si>
    <t>Misty Hansen</t>
  </si>
  <si>
    <t>EMP1127</t>
  </si>
  <si>
    <t>Valerie Schmidt</t>
  </si>
  <si>
    <t>recruiter</t>
  </si>
  <si>
    <t>2025/04/16</t>
  </si>
  <si>
    <t>Roger Olson</t>
  </si>
  <si>
    <t>EMP1406</t>
  </si>
  <si>
    <t>Benjamin Singleton</t>
  </si>
  <si>
    <t>23 Jan 2016</t>
  </si>
  <si>
    <t>EMP1776</t>
  </si>
  <si>
    <t>Tiffany Anderson</t>
  </si>
  <si>
    <t>₹45,213</t>
  </si>
  <si>
    <t>Ann Castillo</t>
  </si>
  <si>
    <t>EMP1822</t>
  </si>
  <si>
    <t>Amy Wilson</t>
  </si>
  <si>
    <t>06/09/2015</t>
  </si>
  <si>
    <t>Michael Webster</t>
  </si>
  <si>
    <t>EMP1712</t>
  </si>
  <si>
    <t>James James</t>
  </si>
  <si>
    <t>18 Oct 2019</t>
  </si>
  <si>
    <t>₹71,661</t>
  </si>
  <si>
    <t>Karen Lopez</t>
  </si>
  <si>
    <t>EMP1766</t>
  </si>
  <si>
    <t>Steven Griffith</t>
  </si>
  <si>
    <t>07/03/2020</t>
  </si>
  <si>
    <t>EMP1750</t>
  </si>
  <si>
    <t>Zachary Johnson</t>
  </si>
  <si>
    <t>2012/07/01</t>
  </si>
  <si>
    <t>₹63,040</t>
  </si>
  <si>
    <t>Amanda Wilson</t>
  </si>
  <si>
    <t>EMP2145</t>
  </si>
  <si>
    <t>Patrick Tapia</t>
  </si>
  <si>
    <t>12/12/2023</t>
  </si>
  <si>
    <t>Kelsey Lynch</t>
  </si>
  <si>
    <t>EMP1037</t>
  </si>
  <si>
    <t>Michele Carr</t>
  </si>
  <si>
    <t>23 May 2026</t>
  </si>
  <si>
    <t>Robert Evans</t>
  </si>
  <si>
    <t>27-07-2026</t>
  </si>
  <si>
    <t>EMP1140</t>
  </si>
  <si>
    <t>Adrian Tyler</t>
  </si>
  <si>
    <t>EMP1304</t>
  </si>
  <si>
    <t>Arthur Hamilton MD</t>
  </si>
  <si>
    <t>20 Nov 2018</t>
  </si>
  <si>
    <t>David Wright</t>
  </si>
  <si>
    <t>EMP1268</t>
  </si>
  <si>
    <t>Kyle Warner</t>
  </si>
  <si>
    <t>05/22/2012</t>
  </si>
  <si>
    <t>₹58,124</t>
  </si>
  <si>
    <t>Jennifer Young</t>
  </si>
  <si>
    <t>EMP1835</t>
  </si>
  <si>
    <t>Maria Ross</t>
  </si>
  <si>
    <t>05-10-2018</t>
  </si>
  <si>
    <t>Jennifer Washington</t>
  </si>
  <si>
    <t>EMP1534</t>
  </si>
  <si>
    <t>Alison Williams</t>
  </si>
  <si>
    <t>03/20/2020</t>
  </si>
  <si>
    <t>104490.00</t>
  </si>
  <si>
    <t>EMP1546</t>
  </si>
  <si>
    <t>Matthew King</t>
  </si>
  <si>
    <t>2024/06/01</t>
  </si>
  <si>
    <t>77940.00</t>
  </si>
  <si>
    <t>Jacob Hill</t>
  </si>
  <si>
    <t>EMP1213</t>
  </si>
  <si>
    <t>Haley Humphrey</t>
  </si>
  <si>
    <t>2023/04/21</t>
  </si>
  <si>
    <t>Catherine Burch</t>
  </si>
  <si>
    <t>EMP1897</t>
  </si>
  <si>
    <t>Allison Maldonado</t>
  </si>
  <si>
    <t>25 Oct 2021</t>
  </si>
  <si>
    <t>72844.00</t>
  </si>
  <si>
    <t>Kevin Bean</t>
  </si>
  <si>
    <t>EMP1469</t>
  </si>
  <si>
    <t>Megan Saunders</t>
  </si>
  <si>
    <t>2020/04/07</t>
  </si>
  <si>
    <t>₹54,851</t>
  </si>
  <si>
    <t>Vanessa Santiago</t>
  </si>
  <si>
    <t>EMP1199</t>
  </si>
  <si>
    <t>Natalie Kline</t>
  </si>
  <si>
    <t>06 Jun 2017</t>
  </si>
  <si>
    <t>62811.00</t>
  </si>
  <si>
    <t>Jonathan Glass MD</t>
  </si>
  <si>
    <t>03-06-2026</t>
  </si>
  <si>
    <t>EMP2048</t>
  </si>
  <si>
    <t>Daniel Johnson</t>
  </si>
  <si>
    <t>09/25/2021</t>
  </si>
  <si>
    <t>Michael Copeland</t>
  </si>
  <si>
    <t>EMP1868</t>
  </si>
  <si>
    <t>Sarah Bates</t>
  </si>
  <si>
    <t>2025/09/12</t>
  </si>
  <si>
    <t>Cynthia Tran</t>
  </si>
  <si>
    <t>2026/05/13</t>
  </si>
  <si>
    <t>EMP1673</t>
  </si>
  <si>
    <t>Jeffery Pierce</t>
  </si>
  <si>
    <t>01/12/2016</t>
  </si>
  <si>
    <t>Michael Hill</t>
  </si>
  <si>
    <t>EMP1917</t>
  </si>
  <si>
    <t>Alex Martin</t>
  </si>
  <si>
    <t>08-12-2013</t>
  </si>
  <si>
    <t>Kaitlyn Heath</t>
  </si>
  <si>
    <t>17-11-2022</t>
  </si>
  <si>
    <t>EMP1528</t>
  </si>
  <si>
    <t>Terry Ward</t>
  </si>
  <si>
    <t>2018/09/02</t>
  </si>
  <si>
    <t>Anthony Hooper</t>
  </si>
  <si>
    <t>EMP1676</t>
  </si>
  <si>
    <t>Heather Anderson DDS</t>
  </si>
  <si>
    <t>Christopher Lynch DDS</t>
  </si>
  <si>
    <t>30-12-2023</t>
  </si>
  <si>
    <t>EMP2074</t>
  </si>
  <si>
    <t>Keith Lee</t>
  </si>
  <si>
    <t>04 Mar 2018</t>
  </si>
  <si>
    <t>₹115,629</t>
  </si>
  <si>
    <t>Thomas Bowen</t>
  </si>
  <si>
    <t>EMP1815</t>
  </si>
  <si>
    <t>Anne Carpenter</t>
  </si>
  <si>
    <t>2023/12/12</t>
  </si>
  <si>
    <t>Joseph Watson</t>
  </si>
  <si>
    <t>EMP1242</t>
  </si>
  <si>
    <t>John Harris</t>
  </si>
  <si>
    <t>2019/09/12</t>
  </si>
  <si>
    <t>₹141,955</t>
  </si>
  <si>
    <t>Melissa Taylor</t>
  </si>
  <si>
    <t>EMP1343</t>
  </si>
  <si>
    <t>Michael Williams</t>
  </si>
  <si>
    <t>09/29/2023</t>
  </si>
  <si>
    <t>EMP1550</t>
  </si>
  <si>
    <t>Caitlyn Oconnell</t>
  </si>
  <si>
    <t>2011/09/28</t>
  </si>
  <si>
    <t>Timothy Graham</t>
  </si>
  <si>
    <t>2013/02/05</t>
  </si>
  <si>
    <t>EMP1387</t>
  </si>
  <si>
    <t>02-11-2015</t>
  </si>
  <si>
    <t>Curtis Wilkerson</t>
  </si>
  <si>
    <t>EMP2124</t>
  </si>
  <si>
    <t>Carl Harris</t>
  </si>
  <si>
    <t>01/25/2014</t>
  </si>
  <si>
    <t>Sarah Johnson</t>
  </si>
  <si>
    <t>EMP1207</t>
  </si>
  <si>
    <t>Zachary Mitchell</t>
  </si>
  <si>
    <t>02 May 2025</t>
  </si>
  <si>
    <t>Bryan Farrell MD</t>
  </si>
  <si>
    <t>EMP1296</t>
  </si>
  <si>
    <t>Kathryn Mccann</t>
  </si>
  <si>
    <t>18-06-2012</t>
  </si>
  <si>
    <t>Ryan Peterson</t>
  </si>
  <si>
    <t>EMP1696</t>
  </si>
  <si>
    <t>Lisa Edwards</t>
  </si>
  <si>
    <t>Megan Ferguson</t>
  </si>
  <si>
    <t>EMP2059</t>
  </si>
  <si>
    <t>Crystal Matthews</t>
  </si>
  <si>
    <t>Luis Mosley</t>
  </si>
  <si>
    <t>EMP1074</t>
  </si>
  <si>
    <t>Robert Oconnell</t>
  </si>
  <si>
    <t>11-04-2013</t>
  </si>
  <si>
    <t>Michael Rubio</t>
  </si>
  <si>
    <t>08/14/2013</t>
  </si>
  <si>
    <t>EMP1606</t>
  </si>
  <si>
    <t>Gregory Oconnor</t>
  </si>
  <si>
    <t>FINANCE MANAGER</t>
  </si>
  <si>
    <t>09-10-2015</t>
  </si>
  <si>
    <t>132278.00</t>
  </si>
  <si>
    <t>Suzanne Spencer</t>
  </si>
  <si>
    <t>EMP1105</t>
  </si>
  <si>
    <t>Cynthia Moore</t>
  </si>
  <si>
    <t>18 Nov 2019</t>
  </si>
  <si>
    <t>Anna Gay</t>
  </si>
  <si>
    <t>EMP2051</t>
  </si>
  <si>
    <t>William Rogers</t>
  </si>
  <si>
    <t>₹124,782</t>
  </si>
  <si>
    <t>Connie Khan</t>
  </si>
  <si>
    <t>EMP2025</t>
  </si>
  <si>
    <t>Jose Juarez</t>
  </si>
  <si>
    <t>11/21/2013</t>
  </si>
  <si>
    <t>Darrell Curry</t>
  </si>
  <si>
    <t>EMP1017</t>
  </si>
  <si>
    <t>Kimberly Osborne</t>
  </si>
  <si>
    <t>29 Jul 2019</t>
  </si>
  <si>
    <t>112543.00</t>
  </si>
  <si>
    <t>Fred Smith</t>
  </si>
  <si>
    <t>EMP1440</t>
  </si>
  <si>
    <t>Laura Lee</t>
  </si>
  <si>
    <t>02-07-2022</t>
  </si>
  <si>
    <t>Rachel Knox</t>
  </si>
  <si>
    <t>05-06-2023</t>
  </si>
  <si>
    <t>EMP1092</t>
  </si>
  <si>
    <t>Lisa Singh</t>
  </si>
  <si>
    <t>19 Oct 2025</t>
  </si>
  <si>
    <t>₹116,986</t>
  </si>
  <si>
    <t>Daniel Guerrero</t>
  </si>
  <si>
    <t>EMP1089</t>
  </si>
  <si>
    <t>Todd Woods</t>
  </si>
  <si>
    <t>2023/12/05</t>
  </si>
  <si>
    <t>Benjamin Soto</t>
  </si>
  <si>
    <t>EMP2058</t>
  </si>
  <si>
    <t>Samuel Olson</t>
  </si>
  <si>
    <t>29 Aug 2016</t>
  </si>
  <si>
    <t>Lauren Reyes</t>
  </si>
  <si>
    <t>EMP1909</t>
  </si>
  <si>
    <t>Laura King</t>
  </si>
  <si>
    <t>06/19/2015</t>
  </si>
  <si>
    <t>Ashley Stanley</t>
  </si>
  <si>
    <t>05/18/2016</t>
  </si>
  <si>
    <t>EMP1451</t>
  </si>
  <si>
    <t>James Chapman</t>
  </si>
  <si>
    <t>26-02-2014</t>
  </si>
  <si>
    <t>₹80,563</t>
  </si>
  <si>
    <t>Elizabeth Carter</t>
  </si>
  <si>
    <t>EMP1718</t>
  </si>
  <si>
    <t>John Vaughn</t>
  </si>
  <si>
    <t>13 Oct 2013</t>
  </si>
  <si>
    <t>₹89,264</t>
  </si>
  <si>
    <t>Victoria Terrell</t>
  </si>
  <si>
    <t>EMP1103</t>
  </si>
  <si>
    <t>Mary Daniels MD</t>
  </si>
  <si>
    <t>18-06-2014</t>
  </si>
  <si>
    <t>61672.00</t>
  </si>
  <si>
    <t>Peter Garrett</t>
  </si>
  <si>
    <t>EMP1239</t>
  </si>
  <si>
    <t>Elizabeth Roberts</t>
  </si>
  <si>
    <t>03-10-2014</t>
  </si>
  <si>
    <t>Gregory Peck</t>
  </si>
  <si>
    <t>2023/02/24</t>
  </si>
  <si>
    <t>EMP1069</t>
  </si>
  <si>
    <t>James Elliott</t>
  </si>
  <si>
    <t>01/25/2012</t>
  </si>
  <si>
    <t>Brandy Murray</t>
  </si>
  <si>
    <t>EMP1943</t>
  </si>
  <si>
    <t>Beth Braun</t>
  </si>
  <si>
    <t>2015/11/25</t>
  </si>
  <si>
    <t>₹52,838</t>
  </si>
  <si>
    <t>Juan Boyd</t>
  </si>
  <si>
    <t>EMP1247</t>
  </si>
  <si>
    <t>Carrie Khan</t>
  </si>
  <si>
    <t>2014/04/14</t>
  </si>
  <si>
    <t>Jennifer Simpson DVM</t>
  </si>
  <si>
    <t>2025/09/01</t>
  </si>
  <si>
    <t>EMP1939</t>
  </si>
  <si>
    <t>Kelly Phillips</t>
  </si>
  <si>
    <t>29-08-2017</t>
  </si>
  <si>
    <t>Kristen Torres</t>
  </si>
  <si>
    <t>EMP2092</t>
  </si>
  <si>
    <t>Cole Andersen</t>
  </si>
  <si>
    <t>12/12/2025</t>
  </si>
  <si>
    <t>₹78,927</t>
  </si>
  <si>
    <t>Isaac Williams</t>
  </si>
  <si>
    <t>07/12/2026</t>
  </si>
  <si>
    <t>EMP1158</t>
  </si>
  <si>
    <t>Aimee Turner</t>
  </si>
  <si>
    <t>10/25/2014</t>
  </si>
  <si>
    <t>₹52,630</t>
  </si>
  <si>
    <t>David Murphy</t>
  </si>
  <si>
    <t>EMP1480</t>
  </si>
  <si>
    <t>Jenna Bryant</t>
  </si>
  <si>
    <t>2023/04/27</t>
  </si>
  <si>
    <t>₹106,137</t>
  </si>
  <si>
    <t>Ashley Perry</t>
  </si>
  <si>
    <t>EMP1839</t>
  </si>
  <si>
    <t>Dennis Cooper PhD</t>
  </si>
  <si>
    <t>26-10-2019</t>
  </si>
  <si>
    <t>EMP1646</t>
  </si>
  <si>
    <t>Lori Perez</t>
  </si>
  <si>
    <t>01 Apr 2015</t>
  </si>
  <si>
    <t>Wesley Browning</t>
  </si>
  <si>
    <t>EMP1006</t>
  </si>
  <si>
    <t>Laura Bush</t>
  </si>
  <si>
    <t>2012/05/06</t>
  </si>
  <si>
    <t>Dylan Miller</t>
  </si>
  <si>
    <t>EMP2098</t>
  </si>
  <si>
    <t>Timothy Orr</t>
  </si>
  <si>
    <t>04 Feb 2023</t>
  </si>
  <si>
    <t>David Alvarez</t>
  </si>
  <si>
    <t>EMP1872</t>
  </si>
  <si>
    <t>Andrew Delacruz</t>
  </si>
  <si>
    <t>12/11/2023</t>
  </si>
  <si>
    <t>₹83,472</t>
  </si>
  <si>
    <t>Kaitlin Gutierrez</t>
  </si>
  <si>
    <t>EMP1966</t>
  </si>
  <si>
    <t>Christopher Mendez</t>
  </si>
  <si>
    <t>07 Jul 2016</t>
  </si>
  <si>
    <t>Anthony Price</t>
  </si>
  <si>
    <t>EMP1019</t>
  </si>
  <si>
    <t>John Jones</t>
  </si>
  <si>
    <t>2023/01/04</t>
  </si>
  <si>
    <t>Betty Alvarez</t>
  </si>
  <si>
    <t>EMP2017</t>
  </si>
  <si>
    <t>Amanda Robinson</t>
  </si>
  <si>
    <t>10-09-2014</t>
  </si>
  <si>
    <t>Jennifer Torres</t>
  </si>
  <si>
    <t>EMP1122</t>
  </si>
  <si>
    <t>Kenneth Andrews</t>
  </si>
  <si>
    <t>DIGITAL MARKETING SPECIALIST</t>
  </si>
  <si>
    <t>22 Jun 2026</t>
  </si>
  <si>
    <t>Mary Hill</t>
  </si>
  <si>
    <t>12-07-2026</t>
  </si>
  <si>
    <t>EMP1947</t>
  </si>
  <si>
    <t>Lori Ferguson</t>
  </si>
  <si>
    <t>07/19/2020</t>
  </si>
  <si>
    <t>Dustin Glover</t>
  </si>
  <si>
    <t>EMP1662</t>
  </si>
  <si>
    <t>Jason Hayes</t>
  </si>
  <si>
    <t>01 May 2014</t>
  </si>
  <si>
    <t>Michelle Harris</t>
  </si>
  <si>
    <t>EMP2016</t>
  </si>
  <si>
    <t>Mr. Frank Brooks DDS</t>
  </si>
  <si>
    <t>2022/05/04</t>
  </si>
  <si>
    <t>Derrick Morales DVM</t>
  </si>
  <si>
    <t>EMP1275</t>
  </si>
  <si>
    <t>Tammy Boone</t>
  </si>
  <si>
    <t>15 Jan 2013</t>
  </si>
  <si>
    <t>Cheryl Adams</t>
  </si>
  <si>
    <t>EMP1434</t>
  </si>
  <si>
    <t>Elizabeth Rasmussen</t>
  </si>
  <si>
    <t>04/02/2021</t>
  </si>
  <si>
    <t>68827.00</t>
  </si>
  <si>
    <t>James Bailey</t>
  </si>
  <si>
    <t>EMP1812</t>
  </si>
  <si>
    <t>Shawn Taylor</t>
  </si>
  <si>
    <t>05-02-2014</t>
  </si>
  <si>
    <t>Thomas Kelly</t>
  </si>
  <si>
    <t>2017/07/10</t>
  </si>
  <si>
    <t>EMP2150</t>
  </si>
  <si>
    <t>Luke Freeman</t>
  </si>
  <si>
    <t>20-12-2016</t>
  </si>
  <si>
    <t>Hector Smith</t>
  </si>
  <si>
    <t>2022/12/08</t>
  </si>
  <si>
    <t>EMP1312</t>
  </si>
  <si>
    <t>William Mendoza</t>
  </si>
  <si>
    <t>2017/08/22</t>
  </si>
  <si>
    <t>Melissa Stephens</t>
  </si>
  <si>
    <t>2022/03/18</t>
  </si>
  <si>
    <t>EMP2134</t>
  </si>
  <si>
    <t>Adam Bennett</t>
  </si>
  <si>
    <t>11 Feb 2026</t>
  </si>
  <si>
    <t>Timothy Thompson</t>
  </si>
  <si>
    <t>EMP2146</t>
  </si>
  <si>
    <t>Traci Craig</t>
  </si>
  <si>
    <t>10/26/2024</t>
  </si>
  <si>
    <t>Courtney Jones</t>
  </si>
  <si>
    <t>EMP1781</t>
  </si>
  <si>
    <t>Ashley Diaz</t>
  </si>
  <si>
    <t>24 Nov 2020</t>
  </si>
  <si>
    <t>Christopher Hansen</t>
  </si>
  <si>
    <t>EMP1547</t>
  </si>
  <si>
    <t>Nicole Gutierrez</t>
  </si>
  <si>
    <t>05/10/2023</t>
  </si>
  <si>
    <t>Mr. Justin King</t>
  </si>
  <si>
    <t>EMP1182</t>
  </si>
  <si>
    <t>Emily Stokes</t>
  </si>
  <si>
    <t>29-08-2018</t>
  </si>
  <si>
    <t>Travis Joyce</t>
  </si>
  <si>
    <t>2025/05/05</t>
  </si>
  <si>
    <t>EMP1185</t>
  </si>
  <si>
    <t>Phillip Nelson</t>
  </si>
  <si>
    <t>2025/03/03</t>
  </si>
  <si>
    <t>Jeffrey Potts</t>
  </si>
  <si>
    <t>EMP1407</t>
  </si>
  <si>
    <t>James Dennis</t>
  </si>
  <si>
    <t>28 Oct 2019</t>
  </si>
  <si>
    <t>Anna Wheeler</t>
  </si>
  <si>
    <t>EMP1720</t>
  </si>
  <si>
    <t>Angela Schultz</t>
  </si>
  <si>
    <t>07/27/2023</t>
  </si>
  <si>
    <t>EMP2023</t>
  </si>
  <si>
    <t>Michael Bolton</t>
  </si>
  <si>
    <t>Nancy Gaines</t>
  </si>
  <si>
    <t>EMP1607</t>
  </si>
  <si>
    <t>Christopher Phillips</t>
  </si>
  <si>
    <t>04 Aug 2015</t>
  </si>
  <si>
    <t>Aaron Little</t>
  </si>
  <si>
    <t>EMP1693</t>
  </si>
  <si>
    <t>Gregory Flores</t>
  </si>
  <si>
    <t>10 Oct 2013</t>
  </si>
  <si>
    <t>Diane Sanchez</t>
  </si>
  <si>
    <t>EMP1521</t>
  </si>
  <si>
    <t>Eric Arnold</t>
  </si>
  <si>
    <t>04/14/2014</t>
  </si>
  <si>
    <t>Sarah Trevino</t>
  </si>
  <si>
    <t>EMP1866</t>
  </si>
  <si>
    <t>Katherine Brooks</t>
  </si>
  <si>
    <t>Michael Richmond</t>
  </si>
  <si>
    <t>2026/01/31</t>
  </si>
  <si>
    <t>EMP2004</t>
  </si>
  <si>
    <t>Ms. Erin Lane</t>
  </si>
  <si>
    <t>11 Jan 2026</t>
  </si>
  <si>
    <t>₹113,404</t>
  </si>
  <si>
    <t>EMP1381</t>
  </si>
  <si>
    <t>Jared Chavez</t>
  </si>
  <si>
    <t>28-10-2022</t>
  </si>
  <si>
    <t>EMP1428</t>
  </si>
  <si>
    <t>Alyssa Lee</t>
  </si>
  <si>
    <t>2024/02/02</t>
  </si>
  <si>
    <t>Danielle Bryant</t>
  </si>
  <si>
    <t>EMP1079</t>
  </si>
  <si>
    <t>Mr. Nicholas Adams</t>
  </si>
  <si>
    <t>05/14/2024</t>
  </si>
  <si>
    <t>EMP2010</t>
  </si>
  <si>
    <t>Jamie Cobb</t>
  </si>
  <si>
    <t>04/26/2013</t>
  </si>
  <si>
    <t>David Pacheco</t>
  </si>
  <si>
    <t>10/23/2025</t>
  </si>
  <si>
    <t>EMP2198</t>
  </si>
  <si>
    <t>Matthew Flores</t>
  </si>
  <si>
    <t>28-06-2017</t>
  </si>
  <si>
    <t>₹77,519</t>
  </si>
  <si>
    <t>Rachel Mendoza</t>
  </si>
  <si>
    <t>EMP1608</t>
  </si>
  <si>
    <t>Cody Smith</t>
  </si>
  <si>
    <t>11 Jun 2024</t>
  </si>
  <si>
    <t>Cynthia Le</t>
  </si>
  <si>
    <t>EMP2076</t>
  </si>
  <si>
    <t>Andrew Li</t>
  </si>
  <si>
    <t>28-01-2021</t>
  </si>
  <si>
    <t>Melissa Brewer</t>
  </si>
  <si>
    <t>EMP2104</t>
  </si>
  <si>
    <t>Emma Diaz</t>
  </si>
  <si>
    <t>18-10-2021</t>
  </si>
  <si>
    <t>Kelly Guzman</t>
  </si>
  <si>
    <t>EMP2064</t>
  </si>
  <si>
    <t>Danielle Mcdaniel</t>
  </si>
  <si>
    <t>25-05-2022</t>
  </si>
  <si>
    <t>Jane Morris</t>
  </si>
  <si>
    <t>EMP1959</t>
  </si>
  <si>
    <t>David Foster</t>
  </si>
  <si>
    <t>25 Sep 2019</t>
  </si>
  <si>
    <t>Nancy Brewer</t>
  </si>
  <si>
    <t>05/16/2026</t>
  </si>
  <si>
    <t>EMP1560</t>
  </si>
  <si>
    <t>Mark Gamble</t>
  </si>
  <si>
    <t>05 Oct 2021</t>
  </si>
  <si>
    <t>Tyler Black</t>
  </si>
  <si>
    <t>20-11-2022</t>
  </si>
  <si>
    <t>EMP1847</t>
  </si>
  <si>
    <t>Scott Bradley</t>
  </si>
  <si>
    <t>2025/02/09</t>
  </si>
  <si>
    <t>Michael Chapman</t>
  </si>
  <si>
    <t>EMP1691</t>
  </si>
  <si>
    <t>Kenneth Collins</t>
  </si>
  <si>
    <t>21 Dec 2024</t>
  </si>
  <si>
    <t>Corey Hill</t>
  </si>
  <si>
    <t>EMP2179</t>
  </si>
  <si>
    <t>April Bailey</t>
  </si>
  <si>
    <t>Bradley Thornton</t>
  </si>
  <si>
    <t>EMP2132</t>
  </si>
  <si>
    <t>Willie Hamilton</t>
  </si>
  <si>
    <t>19 Jan 2012</t>
  </si>
  <si>
    <t>Angela Martinez</t>
  </si>
  <si>
    <t>EMP1437</t>
  </si>
  <si>
    <t>Margaret Hensley MD</t>
  </si>
  <si>
    <t>09-04-2022</t>
  </si>
  <si>
    <t>Elizabeth Hernandez</t>
  </si>
  <si>
    <t>EMP1491</t>
  </si>
  <si>
    <t>Elizabeth Molina</t>
  </si>
  <si>
    <t>23 Feb 2012</t>
  </si>
  <si>
    <t>₹85,700</t>
  </si>
  <si>
    <t>Ashley Parrish</t>
  </si>
  <si>
    <t>EMP2113</t>
  </si>
  <si>
    <t>Michael Carter</t>
  </si>
  <si>
    <t>28-10-2013</t>
  </si>
  <si>
    <t>Paul Moss</t>
  </si>
  <si>
    <t>EMP1070</t>
  </si>
  <si>
    <t>James Lewis</t>
  </si>
  <si>
    <t>15 Jul 2016</t>
  </si>
  <si>
    <t>Jamie Walton</t>
  </si>
  <si>
    <t>EMP1809</t>
  </si>
  <si>
    <t>Matthew Stafford</t>
  </si>
  <si>
    <t>11/20/2017</t>
  </si>
  <si>
    <t>90332.00</t>
  </si>
  <si>
    <t>Michael Sanchez Jr.</t>
  </si>
  <si>
    <t>EMP1012</t>
  </si>
  <si>
    <t>Jennifer Robinson</t>
  </si>
  <si>
    <t>18 Jul 2026</t>
  </si>
  <si>
    <t>Anthony Rodriguez</t>
  </si>
  <si>
    <t>09-08-2026</t>
  </si>
  <si>
    <t>EMP1145</t>
  </si>
  <si>
    <t>Larry Garcia</t>
  </si>
  <si>
    <t>17 Feb 2022</t>
  </si>
  <si>
    <t>Marilyn Mack</t>
  </si>
  <si>
    <t>EMP1918</t>
  </si>
  <si>
    <t>Christina Hudson</t>
  </si>
  <si>
    <t>2024/02/07</t>
  </si>
  <si>
    <t>Mark Marquez</t>
  </si>
  <si>
    <t>EMP1640</t>
  </si>
  <si>
    <t>Samuel Keller</t>
  </si>
  <si>
    <t>22 Jul 2024</t>
  </si>
  <si>
    <t>87429.00</t>
  </si>
  <si>
    <t>Sean Banks</t>
  </si>
  <si>
    <t>EMP1177</t>
  </si>
  <si>
    <t>Maria Henderson</t>
  </si>
  <si>
    <t>2017/01/22</t>
  </si>
  <si>
    <t>Christopher Lewis</t>
  </si>
  <si>
    <t>EMP1995</t>
  </si>
  <si>
    <t>Jessica Turner</t>
  </si>
  <si>
    <t>02-01-2021</t>
  </si>
  <si>
    <t>Michael Hansen</t>
  </si>
  <si>
    <t>EMP1441</t>
  </si>
  <si>
    <t>Katie Bruce</t>
  </si>
  <si>
    <t>2024/03/15</t>
  </si>
  <si>
    <t>EMP1522</t>
  </si>
  <si>
    <t>Joshua Baker</t>
  </si>
  <si>
    <t>81951.00</t>
  </si>
  <si>
    <t>Albert Hunter</t>
  </si>
  <si>
    <t>2025/01/07</t>
  </si>
  <si>
    <t>EMP2005</t>
  </si>
  <si>
    <t>Richard Williams</t>
  </si>
  <si>
    <t>08 Dec 2014</t>
  </si>
  <si>
    <t>Daniel Hall</t>
  </si>
  <si>
    <t>EMP1144</t>
  </si>
  <si>
    <t>Ana Hill</t>
  </si>
  <si>
    <t>2021/02/08</t>
  </si>
  <si>
    <t>Zachary Schmidt</t>
  </si>
  <si>
    <t>2024/02/26</t>
  </si>
  <si>
    <t>EMP1754</t>
  </si>
  <si>
    <t>Kevin Meyers</t>
  </si>
  <si>
    <t>Robert Walker PhD</t>
  </si>
  <si>
    <t>EMP1520</t>
  </si>
  <si>
    <t>Jessica Larsen</t>
  </si>
  <si>
    <t>08/31/2013</t>
  </si>
  <si>
    <t>Sherry Ford</t>
  </si>
  <si>
    <t>EMP1823</t>
  </si>
  <si>
    <t>Tamara Harris</t>
  </si>
  <si>
    <t xml:space="preserve">  System Administrator  </t>
  </si>
  <si>
    <t>2025/02/08</t>
  </si>
  <si>
    <t>Brandon Singleton</t>
  </si>
  <si>
    <t>05/24/2025</t>
  </si>
  <si>
    <t>EMP1429</t>
  </si>
  <si>
    <t>Michele Hill</t>
  </si>
  <si>
    <t>12/13/2023</t>
  </si>
  <si>
    <t>51880.00</t>
  </si>
  <si>
    <t>Becky Johnson</t>
  </si>
  <si>
    <t>27-04-2025</t>
  </si>
  <si>
    <t>EMP1613</t>
  </si>
  <si>
    <t>Steve Miller PhD</t>
  </si>
  <si>
    <t>26-07-2012</t>
  </si>
  <si>
    <t>Teresa Perry</t>
  </si>
  <si>
    <t>EMP2033</t>
  </si>
  <si>
    <t>Katherine Lopez</t>
  </si>
  <si>
    <t>2012/09/12</t>
  </si>
  <si>
    <t>Diane Hall</t>
  </si>
  <si>
    <t>EMP1157</t>
  </si>
  <si>
    <t>Douglas Gregory</t>
  </si>
  <si>
    <t>2018/12/03</t>
  </si>
  <si>
    <t>Amber Foster</t>
  </si>
  <si>
    <t>EMP1540</t>
  </si>
  <si>
    <t>Lucas Williams</t>
  </si>
  <si>
    <t>11-05-2023</t>
  </si>
  <si>
    <t>John Anderson</t>
  </si>
  <si>
    <t>2025/01/08</t>
  </si>
  <si>
    <t>EMP1462</t>
  </si>
  <si>
    <t>04/08/2014</t>
  </si>
  <si>
    <t>Robert Edwards</t>
  </si>
  <si>
    <t>10/03/2014</t>
  </si>
  <si>
    <t>EMP1577</t>
  </si>
  <si>
    <t>Stacy James</t>
  </si>
  <si>
    <t>2015/12/09</t>
  </si>
  <si>
    <t>₹129,279</t>
  </si>
  <si>
    <t>Brianna Jackson</t>
  </si>
  <si>
    <t>EMP1256</t>
  </si>
  <si>
    <t>Lisa Perry</t>
  </si>
  <si>
    <t>09 Nov 2019</t>
  </si>
  <si>
    <t>₹70,845</t>
  </si>
  <si>
    <t>Joshua Beck</t>
  </si>
  <si>
    <t>EMP1980</t>
  </si>
  <si>
    <t>Heather Thompson</t>
  </si>
  <si>
    <t>02/13/2023</t>
  </si>
  <si>
    <t>₹59,269</t>
  </si>
  <si>
    <t>Alejandra Ford</t>
  </si>
  <si>
    <t>EMP2007</t>
  </si>
  <si>
    <t>William Cox</t>
  </si>
  <si>
    <t>2012/10/05</t>
  </si>
  <si>
    <t>Dylan Lee</t>
  </si>
  <si>
    <t>06-03-2013</t>
  </si>
  <si>
    <t>EMP1561</t>
  </si>
  <si>
    <t>Ronnie Wright</t>
  </si>
  <si>
    <t>₹84,194</t>
  </si>
  <si>
    <t>Samantha Jones</t>
  </si>
  <si>
    <t>EMP1209</t>
  </si>
  <si>
    <t>Stephanie York</t>
  </si>
  <si>
    <t>04/13/2022</t>
  </si>
  <si>
    <t>55841.00</t>
  </si>
  <si>
    <t>Marcia Leon</t>
  </si>
  <si>
    <t>EMP1911</t>
  </si>
  <si>
    <t>Michael Hanson</t>
  </si>
  <si>
    <t>2015/08/14</t>
  </si>
  <si>
    <t>Shelby Lopez</t>
  </si>
  <si>
    <t>EMP1002</t>
  </si>
  <si>
    <t>Allen Robinson</t>
  </si>
  <si>
    <t>03/15/2019</t>
  </si>
  <si>
    <t>Matthew Gardner</t>
  </si>
  <si>
    <t>2019/05/26</t>
  </si>
  <si>
    <t>EMP1270</t>
  </si>
  <si>
    <t>Kyle Chambers</t>
  </si>
  <si>
    <t>12 Jun 2016</t>
  </si>
  <si>
    <t>Charles Keller</t>
  </si>
  <si>
    <t>EMP1266</t>
  </si>
  <si>
    <t>Samantha Wright</t>
  </si>
  <si>
    <t>29-10-2016</t>
  </si>
  <si>
    <t>Timothy Hardy</t>
  </si>
  <si>
    <t>EMP1915</t>
  </si>
  <si>
    <t>02/21/2026</t>
  </si>
  <si>
    <t>₹113,670</t>
  </si>
  <si>
    <t>Christine Wong</t>
  </si>
  <si>
    <t>EMP1231</t>
  </si>
  <si>
    <t>Kim Erickson</t>
  </si>
  <si>
    <t>2016/02/19</t>
  </si>
  <si>
    <t>Isabella Nunez</t>
  </si>
  <si>
    <t>EMP1637</t>
  </si>
  <si>
    <t>Daniel Medina</t>
  </si>
  <si>
    <t>14 Sep 2014</t>
  </si>
  <si>
    <t>₹63,267</t>
  </si>
  <si>
    <t>Deanna Webb</t>
  </si>
  <si>
    <t>EMP2197</t>
  </si>
  <si>
    <t>Tasha Cochran</t>
  </si>
  <si>
    <t>04/10/2022</t>
  </si>
  <si>
    <t>Aaron Fitzpatrick</t>
  </si>
  <si>
    <t>EMP1865</t>
  </si>
  <si>
    <t>Jay Thomas</t>
  </si>
  <si>
    <t>operations executive</t>
  </si>
  <si>
    <t>11 Apr 2014</t>
  </si>
  <si>
    <t>Jessica King</t>
  </si>
  <si>
    <t>EMP2067</t>
  </si>
  <si>
    <t>Nathan Sanchez</t>
  </si>
  <si>
    <t>2014/04/18</t>
  </si>
  <si>
    <t>Jerome Reid</t>
  </si>
  <si>
    <t>05/16/2017</t>
  </si>
  <si>
    <t>EMP1874</t>
  </si>
  <si>
    <t>Robin Rojas</t>
  </si>
  <si>
    <t>Anthony May</t>
  </si>
  <si>
    <t>EMP2085</t>
  </si>
  <si>
    <t>Lori Oneill</t>
  </si>
  <si>
    <t>2014/02/21</t>
  </si>
  <si>
    <t>James Hill</t>
  </si>
  <si>
    <t>EMP1399</t>
  </si>
  <si>
    <t>Melissa Mcfarland</t>
  </si>
  <si>
    <t>2023/05/28</t>
  </si>
  <si>
    <t>Casey Parker</t>
  </si>
  <si>
    <t>02/17/2024</t>
  </si>
  <si>
    <t>EMP2107</t>
  </si>
  <si>
    <t>William Martinez</t>
  </si>
  <si>
    <t>14 Jul 2026</t>
  </si>
  <si>
    <t>Ronald Simpson</t>
  </si>
  <si>
    <t>08/16/2026</t>
  </si>
  <si>
    <t>EMP1046</t>
  </si>
  <si>
    <t>Ashley Brennan</t>
  </si>
  <si>
    <t>21-06-2024</t>
  </si>
  <si>
    <t>Robert Stevens</t>
  </si>
  <si>
    <t>EMP1162</t>
  </si>
  <si>
    <t>Sandra Gillespie</t>
  </si>
  <si>
    <t>23 Dec 2012</t>
  </si>
  <si>
    <t>Dana Chapman</t>
  </si>
  <si>
    <t>EMP1992</t>
  </si>
  <si>
    <t>David Rodriguez</t>
  </si>
  <si>
    <t>21-03-2015</t>
  </si>
  <si>
    <t>EMP1728</t>
  </si>
  <si>
    <t>Nicholas Reed</t>
  </si>
  <si>
    <t>30-03-2021</t>
  </si>
  <si>
    <t>Christopher Ross</t>
  </si>
  <si>
    <t>03-05-2025</t>
  </si>
  <si>
    <t>EMP1630</t>
  </si>
  <si>
    <t>09 Mar 2020</t>
  </si>
  <si>
    <t>James Miller</t>
  </si>
  <si>
    <t>EMP1289</t>
  </si>
  <si>
    <t>Jake Sullivan</t>
  </si>
  <si>
    <t>02/03/2020</t>
  </si>
  <si>
    <t>Courtney Sutton DVM</t>
  </si>
  <si>
    <t>EMP2060</t>
  </si>
  <si>
    <t>Oscar Todd</t>
  </si>
  <si>
    <t>11/28/2020</t>
  </si>
  <si>
    <t>James Phillips</t>
  </si>
  <si>
    <t>EMP2187</t>
  </si>
  <si>
    <t>Tracy Garcia</t>
  </si>
  <si>
    <t>10 Jul 2019</t>
  </si>
  <si>
    <t>Rhonda Morrison</t>
  </si>
  <si>
    <t>EMP1576</t>
  </si>
  <si>
    <t>Mariah Thompson</t>
  </si>
  <si>
    <t>₹68,161</t>
  </si>
  <si>
    <t>Michael Freeman</t>
  </si>
  <si>
    <t>EMP1851</t>
  </si>
  <si>
    <t>Patrick Davis</t>
  </si>
  <si>
    <t>03-04-2024</t>
  </si>
  <si>
    <t>George Jones</t>
  </si>
  <si>
    <t>EMP1912</t>
  </si>
  <si>
    <t>Paul Munoz</t>
  </si>
  <si>
    <t>2024/08/31</t>
  </si>
  <si>
    <t>Abigail Wilson</t>
  </si>
  <si>
    <t>2024/11/16</t>
  </si>
  <si>
    <t>EMP1933</t>
  </si>
  <si>
    <t>Chad Allison</t>
  </si>
  <si>
    <t>2018/03/19</t>
  </si>
  <si>
    <t>Randy Sanchez</t>
  </si>
  <si>
    <t>EMP1248</t>
  </si>
  <si>
    <t>Tammy Mcdowell</t>
  </si>
  <si>
    <t>10/20/2011</t>
  </si>
  <si>
    <t>₹43,176</t>
  </si>
  <si>
    <t>Ashley Bird</t>
  </si>
  <si>
    <t>EMP1477</t>
  </si>
  <si>
    <t>Lisa Kennedy</t>
  </si>
  <si>
    <t>19-06-2021</t>
  </si>
  <si>
    <t>Peter Walker</t>
  </si>
  <si>
    <t>2025/03/09</t>
  </si>
  <si>
    <t>EMP1086</t>
  </si>
  <si>
    <t>Vanessa Warren</t>
  </si>
  <si>
    <t>2015/11/20</t>
  </si>
  <si>
    <t>₹85,534</t>
  </si>
  <si>
    <t>Cory Perez</t>
  </si>
  <si>
    <t>EMP1470</t>
  </si>
  <si>
    <t>Joseph Haynes</t>
  </si>
  <si>
    <t>2013/01/30</t>
  </si>
  <si>
    <t>127856.00</t>
  </si>
  <si>
    <t>Danielle Reed</t>
  </si>
  <si>
    <t>EMP1226</t>
  </si>
  <si>
    <t>Stephen Luna</t>
  </si>
  <si>
    <t>01/22/2023</t>
  </si>
  <si>
    <t>Kelly Lee</t>
  </si>
  <si>
    <t>05/17/2024</t>
  </si>
  <si>
    <t>EMP1775</t>
  </si>
  <si>
    <t>Robert Nicholson</t>
  </si>
  <si>
    <t>31 May 2018</t>
  </si>
  <si>
    <t>Justin Smith</t>
  </si>
  <si>
    <t>EMP1332</t>
  </si>
  <si>
    <t>Nathan Payne</t>
  </si>
  <si>
    <t>06-06-2026</t>
  </si>
  <si>
    <t>68178.00</t>
  </si>
  <si>
    <t>EMP1234</t>
  </si>
  <si>
    <t>Sarah Hernandez</t>
  </si>
  <si>
    <t>2021/10/26</t>
  </si>
  <si>
    <t>Travis Rodriguez</t>
  </si>
  <si>
    <t>EMP1589</t>
  </si>
  <si>
    <t>Jeffrey Carter</t>
  </si>
  <si>
    <t>10 Feb 2015</t>
  </si>
  <si>
    <t>James Jenkins</t>
  </si>
  <si>
    <t>EMP1476</t>
  </si>
  <si>
    <t>Michael Clements</t>
  </si>
  <si>
    <t>110360.00</t>
  </si>
  <si>
    <t>Daniel Gibson</t>
  </si>
  <si>
    <t>EMP1600</t>
  </si>
  <si>
    <t>Sharon Robinson</t>
  </si>
  <si>
    <t>07 May 2013</t>
  </si>
  <si>
    <t>Erika Jackson</t>
  </si>
  <si>
    <t>EMP1422</t>
  </si>
  <si>
    <t>Hailey Jenkins</t>
  </si>
  <si>
    <t>₹104,392</t>
  </si>
  <si>
    <t>Amanda Hill</t>
  </si>
  <si>
    <t>20-11-2021</t>
  </si>
  <si>
    <t>EMP1183</t>
  </si>
  <si>
    <t>Douglas Reyes</t>
  </si>
  <si>
    <t>2019/07/14</t>
  </si>
  <si>
    <t>Ruth Solis</t>
  </si>
  <si>
    <t>EMP1989</t>
  </si>
  <si>
    <t>Donald Fisher</t>
  </si>
  <si>
    <t>11 May 2018</t>
  </si>
  <si>
    <t>Cory Miller</t>
  </si>
  <si>
    <t>EMP2001</t>
  </si>
  <si>
    <t>Patricia Hernandez</t>
  </si>
  <si>
    <t>07-04-2016</t>
  </si>
  <si>
    <t>Jacob Smith</t>
  </si>
  <si>
    <t>EMP1050</t>
  </si>
  <si>
    <t>Larry Dixon</t>
  </si>
  <si>
    <t>29 May 2017</t>
  </si>
  <si>
    <t>Dawn Fletcher</t>
  </si>
  <si>
    <t>EMP2139</t>
  </si>
  <si>
    <t>Vanessa Zimmerman</t>
  </si>
  <si>
    <t>2015/05/19</t>
  </si>
  <si>
    <t>Catherine Andersen</t>
  </si>
  <si>
    <t>04/01/2022</t>
  </si>
  <si>
    <t>EMP2030</t>
  </si>
  <si>
    <t>Tammy Hernandez</t>
  </si>
  <si>
    <t>15-11-2025</t>
  </si>
  <si>
    <t>Lindsey Franklin</t>
  </si>
  <si>
    <t>EMP1530</t>
  </si>
  <si>
    <t>Holly Valdez</t>
  </si>
  <si>
    <t>2024/02/16</t>
  </si>
  <si>
    <t>Jamie Solomon</t>
  </si>
  <si>
    <t>EMP1487</t>
  </si>
  <si>
    <t>Michael Zavala</t>
  </si>
  <si>
    <t>12-05-2021</t>
  </si>
  <si>
    <t>Kathy Benson</t>
  </si>
  <si>
    <t>EMP1498</t>
  </si>
  <si>
    <t>Christian Morris</t>
  </si>
  <si>
    <t>03 Jun 2012</t>
  </si>
  <si>
    <t>Lisa Stanley</t>
  </si>
  <si>
    <t>EMP1107</t>
  </si>
  <si>
    <t>Mrs. Kristen Reyes</t>
  </si>
  <si>
    <t>2025/06/01</t>
  </si>
  <si>
    <t>Sherry Shields</t>
  </si>
  <si>
    <t>EMP1444</t>
  </si>
  <si>
    <t>Julie Delacruz</t>
  </si>
  <si>
    <t>14-05-2020</t>
  </si>
  <si>
    <t>Andrea Preston</t>
  </si>
  <si>
    <t>EMP1647</t>
  </si>
  <si>
    <t>Joshua Clark</t>
  </si>
  <si>
    <t>24-09-2013</t>
  </si>
  <si>
    <t>Rebecca Huffman</t>
  </si>
  <si>
    <t>EMP2037</t>
  </si>
  <si>
    <t>Desiree Smith</t>
  </si>
  <si>
    <t>16-10-2013</t>
  </si>
  <si>
    <t>James Aguirre</t>
  </si>
  <si>
    <t>EMP1727</t>
  </si>
  <si>
    <t>Brittany Crawford</t>
  </si>
  <si>
    <t>06/27/2026</t>
  </si>
  <si>
    <t>Jeremiah Walsh</t>
  </si>
  <si>
    <t>EMP1283</t>
  </si>
  <si>
    <t>Katherine Jackson</t>
  </si>
  <si>
    <t>2023/07/10</t>
  </si>
  <si>
    <t>Katherine Stark</t>
  </si>
  <si>
    <t>20-01-2024</t>
  </si>
  <si>
    <t>EMP1030</t>
  </si>
  <si>
    <t>Tyler Cowan</t>
  </si>
  <si>
    <t>15 Dec 2019</t>
  </si>
  <si>
    <t>Brittney Phillips</t>
  </si>
  <si>
    <t>EMP1170</t>
  </si>
  <si>
    <t>Robert Pearson</t>
  </si>
  <si>
    <t>16-06-2016</t>
  </si>
  <si>
    <t>141820.00</t>
  </si>
  <si>
    <t>Chris Brown</t>
  </si>
  <si>
    <t>EMP2002</t>
  </si>
  <si>
    <t>Meghan Brown</t>
  </si>
  <si>
    <t>25 Mar 2019</t>
  </si>
  <si>
    <t>Shannon Henderson</t>
  </si>
  <si>
    <t>EMP1101</t>
  </si>
  <si>
    <t>04 Jan 2022</t>
  </si>
  <si>
    <t>Tony Cervantes</t>
  </si>
  <si>
    <t>EMP1198</t>
  </si>
  <si>
    <t>Howard Norman</t>
  </si>
  <si>
    <t>30-07-2024</t>
  </si>
  <si>
    <t>Caleb Richardson</t>
  </si>
  <si>
    <t>EMP1496</t>
  </si>
  <si>
    <t>Christopher Fleming</t>
  </si>
  <si>
    <t>06/14/2014</t>
  </si>
  <si>
    <t>Jose Bennett</t>
  </si>
  <si>
    <t>EMP1648</t>
  </si>
  <si>
    <t>Michael Mills</t>
  </si>
  <si>
    <t>05-09-2013</t>
  </si>
  <si>
    <t>Brianna Fitzpatrick</t>
  </si>
  <si>
    <t>08/10/2026</t>
  </si>
  <si>
    <t>EMP1988</t>
  </si>
  <si>
    <t>Zachary Hill</t>
  </si>
  <si>
    <t>23 Oct 2021</t>
  </si>
  <si>
    <t>Peter Stephenson</t>
  </si>
  <si>
    <t>28-01-2024</t>
  </si>
  <si>
    <t>EMP1045</t>
  </si>
  <si>
    <t>Norman Cook</t>
  </si>
  <si>
    <t>Rita Adams</t>
  </si>
  <si>
    <t>2026/06/11</t>
  </si>
  <si>
    <t>EMP1711</t>
  </si>
  <si>
    <t>Heather Callahan</t>
  </si>
  <si>
    <t>07/30/2024</t>
  </si>
  <si>
    <t>Michael Long</t>
  </si>
  <si>
    <t>EMP1374</t>
  </si>
  <si>
    <t>Thomas Merritt</t>
  </si>
  <si>
    <t>02 Jun 2019</t>
  </si>
  <si>
    <t>William Miller</t>
  </si>
  <si>
    <t>06/30/2024</t>
  </si>
  <si>
    <t>EMP1679</t>
  </si>
  <si>
    <t>Jonathon Nguyen</t>
  </si>
  <si>
    <t>03-10-2011</t>
  </si>
  <si>
    <t>Gloria Ramsey</t>
  </si>
  <si>
    <t>EMP1567</t>
  </si>
  <si>
    <t>25-03-2026</t>
  </si>
  <si>
    <t>14-07-2026</t>
  </si>
  <si>
    <t>EMP1848</t>
  </si>
  <si>
    <t>Mrs. Jeanette Armstrong</t>
  </si>
  <si>
    <t>21 Sep 2023</t>
  </si>
  <si>
    <t>Gabriella Shaw</t>
  </si>
  <si>
    <t>01/06/2024</t>
  </si>
  <si>
    <t>EMP1461</t>
  </si>
  <si>
    <t>Brandon Hunt</t>
  </si>
  <si>
    <t>16-06-2022</t>
  </si>
  <si>
    <t>David Hinton</t>
  </si>
  <si>
    <t>18-11-2022</t>
  </si>
  <si>
    <t>EMP1040</t>
  </si>
  <si>
    <t>Donald Smith</t>
  </si>
  <si>
    <t>Deborah Figueroa</t>
  </si>
  <si>
    <t>EMP1435</t>
  </si>
  <si>
    <t>John Byrd</t>
  </si>
  <si>
    <t>17 Dec 2023</t>
  </si>
  <si>
    <t>Jorge Bates</t>
  </si>
  <si>
    <t>01/12/2025</t>
  </si>
  <si>
    <t>EMP1974</t>
  </si>
  <si>
    <t>04-05-2012</t>
  </si>
  <si>
    <t>Kristine Turner</t>
  </si>
  <si>
    <t>EMP2008</t>
  </si>
  <si>
    <t>Pamela Williams</t>
  </si>
  <si>
    <t>02/08/2012</t>
  </si>
  <si>
    <t>96270.00</t>
  </si>
  <si>
    <t>Stephen Higgins</t>
  </si>
  <si>
    <t>2014/12/26</t>
  </si>
  <si>
    <t>EMP1457</t>
  </si>
  <si>
    <t>Mary Nelson</t>
  </si>
  <si>
    <t>2020/09/12</t>
  </si>
  <si>
    <t>Ronald Garcia</t>
  </si>
  <si>
    <t>EMP1261</t>
  </si>
  <si>
    <t>Robert Reese</t>
  </si>
  <si>
    <t>2020/04/16</t>
  </si>
  <si>
    <t>Arthur Mcknight</t>
  </si>
  <si>
    <t>30-07-2020</t>
  </si>
  <si>
    <t>EMP1036</t>
  </si>
  <si>
    <t>Angel Lewis MD</t>
  </si>
  <si>
    <t>2025/08/02</t>
  </si>
  <si>
    <t>07/15/2026</t>
  </si>
  <si>
    <t>EMP1828</t>
  </si>
  <si>
    <t>Darren Rodriguez</t>
  </si>
  <si>
    <t>09 May 2026</t>
  </si>
  <si>
    <t>38861.00</t>
  </si>
  <si>
    <t>Chad Farmer</t>
  </si>
  <si>
    <t>05/23/2026</t>
  </si>
  <si>
    <t>EMP1310</t>
  </si>
  <si>
    <t>Julia Erickson</t>
  </si>
  <si>
    <t>03/16/2018</t>
  </si>
  <si>
    <t>₹95,656</t>
  </si>
  <si>
    <t>Michael Fuentes</t>
  </si>
  <si>
    <t>EMP1277</t>
  </si>
  <si>
    <t>Sean Cook</t>
  </si>
  <si>
    <t>09 Dec 2025</t>
  </si>
  <si>
    <t>Tonya Wilson</t>
  </si>
  <si>
    <t>EMP1655</t>
  </si>
  <si>
    <t>Virginia Todd</t>
  </si>
  <si>
    <t>118540.00</t>
  </si>
  <si>
    <t>Victoria Camacho</t>
  </si>
  <si>
    <t>EMP1623</t>
  </si>
  <si>
    <t>Henry Taylor</t>
  </si>
  <si>
    <t>20-02-2017</t>
  </si>
  <si>
    <t>Crystal Shepherd</t>
  </si>
  <si>
    <t>EMP1845</t>
  </si>
  <si>
    <t>Brent Reed</t>
  </si>
  <si>
    <t>29-12-2016</t>
  </si>
  <si>
    <t>Matthew Wright</t>
  </si>
  <si>
    <t>EMP1394</t>
  </si>
  <si>
    <t>Chelsea Travis</t>
  </si>
  <si>
    <t>2024/10/24</t>
  </si>
  <si>
    <t>John Davis</t>
  </si>
  <si>
    <t>EMP1108</t>
  </si>
  <si>
    <t>Richard Perry</t>
  </si>
  <si>
    <t>2025/08/07</t>
  </si>
  <si>
    <t>₹127,472</t>
  </si>
  <si>
    <t>Diane Evans</t>
  </si>
  <si>
    <t>02/20/2026</t>
  </si>
  <si>
    <t>EMP1350</t>
  </si>
  <si>
    <t>Jessica Bowen</t>
  </si>
  <si>
    <t>12-01-2021</t>
  </si>
  <si>
    <t>Jason Parks</t>
  </si>
  <si>
    <t>EMP1525</t>
  </si>
  <si>
    <t>Jordan Sanders</t>
  </si>
  <si>
    <t>26-02-2019</t>
  </si>
  <si>
    <t>Sarah Drake</t>
  </si>
  <si>
    <t>EMP1785</t>
  </si>
  <si>
    <t>Kim Carter</t>
  </si>
  <si>
    <t>Theresa Lamb</t>
  </si>
  <si>
    <t>EMP1048</t>
  </si>
  <si>
    <t>Diana May</t>
  </si>
  <si>
    <t>16 Aug 2017</t>
  </si>
  <si>
    <t>Ms. Teresa Wilson</t>
  </si>
  <si>
    <t>EMP1204</t>
  </si>
  <si>
    <t>Amanda Jones</t>
  </si>
  <si>
    <t>121190.00</t>
  </si>
  <si>
    <t>James Bradley</t>
  </si>
  <si>
    <t>EMP1022</t>
  </si>
  <si>
    <t>George Chapman</t>
  </si>
  <si>
    <t>02/04/2015</t>
  </si>
  <si>
    <t>Benjamin Welch</t>
  </si>
  <si>
    <t>EMP1403</t>
  </si>
  <si>
    <t>Margaret Tanner</t>
  </si>
  <si>
    <t>04/29/2018</t>
  </si>
  <si>
    <t>₹87,698</t>
  </si>
  <si>
    <t>David Jones</t>
  </si>
  <si>
    <t>EMP2108</t>
  </si>
  <si>
    <t>Jamie Zavala</t>
  </si>
  <si>
    <t>19-08-2016</t>
  </si>
  <si>
    <t>₹92,459</t>
  </si>
  <si>
    <t>Christine Oconnor</t>
  </si>
  <si>
    <t>EMP2155</t>
  </si>
  <si>
    <t>Patrick Santana</t>
  </si>
  <si>
    <t>20-01-2014</t>
  </si>
  <si>
    <t>Maurice Baker</t>
  </si>
  <si>
    <t>24-07-2016</t>
  </si>
  <si>
    <t>EMP1990</t>
  </si>
  <si>
    <t>Allison Mclaughlin</t>
  </si>
  <si>
    <t>03 Apr 2026</t>
  </si>
  <si>
    <t>David Martin</t>
  </si>
  <si>
    <t>EMP1742</t>
  </si>
  <si>
    <t>Kenneth King</t>
  </si>
  <si>
    <t>25-04-2018</t>
  </si>
  <si>
    <t>Brittany Bowman</t>
  </si>
  <si>
    <t>EMP2148</t>
  </si>
  <si>
    <t>Joshua Miranda</t>
  </si>
  <si>
    <t>2013/06/03</t>
  </si>
  <si>
    <t>Edward Lewis</t>
  </si>
  <si>
    <t>EMP1034</t>
  </si>
  <si>
    <t>Kelly Donovan</t>
  </si>
  <si>
    <t>17 Sep 2014</t>
  </si>
  <si>
    <t>Cynthia Foster</t>
  </si>
  <si>
    <t>EMP1788</t>
  </si>
  <si>
    <t>Wayne Weaver</t>
  </si>
  <si>
    <t>08/19/2013</t>
  </si>
  <si>
    <t>Jeremy Newman</t>
  </si>
  <si>
    <t>EMP1924</t>
  </si>
  <si>
    <t>Toni Whitaker</t>
  </si>
  <si>
    <t>14-09-2021</t>
  </si>
  <si>
    <t>₹86,157</t>
  </si>
  <si>
    <t>Rebecca Marsh</t>
  </si>
  <si>
    <t>EMP2175</t>
  </si>
  <si>
    <t>Richard Morales</t>
  </si>
  <si>
    <t>18 Sep 2015</t>
  </si>
  <si>
    <t>Christopher Robinson</t>
  </si>
  <si>
    <t>EMP1580</t>
  </si>
  <si>
    <t>Heidi Matthews</t>
  </si>
  <si>
    <t>2026/01/25</t>
  </si>
  <si>
    <t>Alexander Luna</t>
  </si>
  <si>
    <t>2026/04/25</t>
  </si>
  <si>
    <t>EMP1482</t>
  </si>
  <si>
    <t>Jonathan Moreno</t>
  </si>
  <si>
    <t>2012/05/21</t>
  </si>
  <si>
    <t>Karen Romero</t>
  </si>
  <si>
    <t>09/27/2025</t>
  </si>
  <si>
    <t>EMP1932</t>
  </si>
  <si>
    <t>Brooke Carter</t>
  </si>
  <si>
    <t>04/01/2018</t>
  </si>
  <si>
    <t>Annette Holland</t>
  </si>
  <si>
    <t>07/04/2022</t>
  </si>
  <si>
    <t>EMP1357</t>
  </si>
  <si>
    <t>Antonio Mccormick</t>
  </si>
  <si>
    <t>2019/03/22</t>
  </si>
  <si>
    <t>Kathryn Perry</t>
  </si>
  <si>
    <t>EMP1760</t>
  </si>
  <si>
    <t>Kelly Jenkins</t>
  </si>
  <si>
    <t>28 Aug 2025</t>
  </si>
  <si>
    <t>Christopher Porter</t>
  </si>
  <si>
    <t>09-04-2026</t>
  </si>
  <si>
    <t>EMP1093</t>
  </si>
  <si>
    <t>Christopher Jones</t>
  </si>
  <si>
    <t>14-09-2011</t>
  </si>
  <si>
    <t>Doris Hall</t>
  </si>
  <si>
    <t>06/11/2018</t>
  </si>
  <si>
    <t>EMP2176</t>
  </si>
  <si>
    <t>Sherry Gibbs</t>
  </si>
  <si>
    <t>16-06-2018</t>
  </si>
  <si>
    <t>Elizabeth Robinson</t>
  </si>
  <si>
    <t>04/06/2024</t>
  </si>
  <si>
    <t>EMP1804</t>
  </si>
  <si>
    <t>Jessica Mosley</t>
  </si>
  <si>
    <t>2013/09/29</t>
  </si>
  <si>
    <t>₹137,905</t>
  </si>
  <si>
    <t>Angelica Clark</t>
  </si>
  <si>
    <t>EMP1746</t>
  </si>
  <si>
    <t>Ann Nichols</t>
  </si>
  <si>
    <t>31-12-2025</t>
  </si>
  <si>
    <t>Randall Holland</t>
  </si>
  <si>
    <t>19-01-2026</t>
  </si>
  <si>
    <t>EMP1280</t>
  </si>
  <si>
    <t>Suzanne Wood</t>
  </si>
  <si>
    <t>11/02/2017</t>
  </si>
  <si>
    <t>Connie Thomas</t>
  </si>
  <si>
    <t>EMP1765</t>
  </si>
  <si>
    <t>Olivia Williams</t>
  </si>
  <si>
    <t>16-09-2022</t>
  </si>
  <si>
    <t>Richard Washington</t>
  </si>
  <si>
    <t>05/14/2026</t>
  </si>
  <si>
    <t>EMP1605</t>
  </si>
  <si>
    <t>Steven Washington</t>
  </si>
  <si>
    <t>03/10/2018</t>
  </si>
  <si>
    <t>Michael Lopez</t>
  </si>
  <si>
    <t>EMP1401</t>
  </si>
  <si>
    <t>Amanda Guzman</t>
  </si>
  <si>
    <t>2025/05/27</t>
  </si>
  <si>
    <t>Connie Cunningham</t>
  </si>
  <si>
    <t>EMP1258</t>
  </si>
  <si>
    <t>Amy Kelley</t>
  </si>
  <si>
    <t>16-03-2019</t>
  </si>
  <si>
    <t>Brittany Murphy</t>
  </si>
  <si>
    <t>EMP1945</t>
  </si>
  <si>
    <t>Mrs. Amy Watson</t>
  </si>
  <si>
    <t>01/06/2021</t>
  </si>
  <si>
    <t>Anthony Curtis</t>
  </si>
  <si>
    <t>EMP2097</t>
  </si>
  <si>
    <t>Daniel Mullins</t>
  </si>
  <si>
    <t>2021/07/03</t>
  </si>
  <si>
    <t>Jeffrey Baldwin</t>
  </si>
  <si>
    <t>EMP2162</t>
  </si>
  <si>
    <t>Andrew Mooney</t>
  </si>
  <si>
    <t>2025/07/10</t>
  </si>
  <si>
    <t>Luis Davis</t>
  </si>
  <si>
    <t>EMP1495</t>
  </si>
  <si>
    <t>Maria Fischer</t>
  </si>
  <si>
    <t>2019/10/26</t>
  </si>
  <si>
    <t>Patty Brandt</t>
  </si>
  <si>
    <t>EMP1773</t>
  </si>
  <si>
    <t>Danielle Murphy</t>
  </si>
  <si>
    <t>2020/04/22</t>
  </si>
  <si>
    <t>Leslie Hernandez</t>
  </si>
  <si>
    <t>EMP1551</t>
  </si>
  <si>
    <t>Daniel Miller</t>
  </si>
  <si>
    <t>03/23/2012</t>
  </si>
  <si>
    <t>William Mendez</t>
  </si>
  <si>
    <t>EMP1202</t>
  </si>
  <si>
    <t>Heather Bolton</t>
  </si>
  <si>
    <t>2015/10/05</t>
  </si>
  <si>
    <t>45639.00</t>
  </si>
  <si>
    <t>Theresa Jones</t>
  </si>
  <si>
    <t>EMP1313</t>
  </si>
  <si>
    <t>Heather Woodard</t>
  </si>
  <si>
    <t>09/03/2019</t>
  </si>
  <si>
    <t>Randy Sandoval</t>
  </si>
  <si>
    <t>2024/02/18</t>
  </si>
  <si>
    <t>EMP1291</t>
  </si>
  <si>
    <t>19 Feb 2018</t>
  </si>
  <si>
    <t>Kylie Hodge</t>
  </si>
  <si>
    <t>EMP1764</t>
  </si>
  <si>
    <t>04/13/2021</t>
  </si>
  <si>
    <t>122533.00</t>
  </si>
  <si>
    <t>EMP2137</t>
  </si>
  <si>
    <t>Tracy Schmidt</t>
  </si>
  <si>
    <t>14-07-2020</t>
  </si>
  <si>
    <t>Karen Anderson</t>
  </si>
  <si>
    <t>EMP1950</t>
  </si>
  <si>
    <t>Karen Griffin</t>
  </si>
  <si>
    <t>03/04/2017</t>
  </si>
  <si>
    <t>Kelly Foster</t>
  </si>
  <si>
    <t>2022/03/02</t>
  </si>
  <si>
    <t>EMP1184</t>
  </si>
  <si>
    <t>David Davidson</t>
  </si>
  <si>
    <t>14 Sep 2024</t>
  </si>
  <si>
    <t>Ryan Rosales</t>
  </si>
  <si>
    <t>16-10-2025</t>
  </si>
  <si>
    <t>EMP2177</t>
  </si>
  <si>
    <t>Kristen Jackson</t>
  </si>
  <si>
    <t>2012/05/05</t>
  </si>
  <si>
    <t>EMP2069</t>
  </si>
  <si>
    <t>Paige Weiss</t>
  </si>
  <si>
    <t>2023/07/03</t>
  </si>
  <si>
    <t>James Dickerson</t>
  </si>
  <si>
    <t>EMP2031</t>
  </si>
  <si>
    <t>Veronica Harris</t>
  </si>
  <si>
    <t>28 Jun 2017</t>
  </si>
  <si>
    <t>Chelsea Rodriguez</t>
  </si>
  <si>
    <t>EMP1251</t>
  </si>
  <si>
    <t>Casey Chase</t>
  </si>
  <si>
    <t>01/16/2025</t>
  </si>
  <si>
    <t>Angie Caldwell</t>
  </si>
  <si>
    <t>2026/05/20</t>
  </si>
  <si>
    <t>EMP1824</t>
  </si>
  <si>
    <t>Tiffany Bailey</t>
  </si>
  <si>
    <t>21 Jan 2014</t>
  </si>
  <si>
    <t>Monica Allen</t>
  </si>
  <si>
    <t>EMP2100</t>
  </si>
  <si>
    <t>Tara Miranda</t>
  </si>
  <si>
    <t>08/16/2020</t>
  </si>
  <si>
    <t>Jamie Love</t>
  </si>
  <si>
    <t>EMP1941</t>
  </si>
  <si>
    <t>Daniel Stephens</t>
  </si>
  <si>
    <t>04 Jun 2023</t>
  </si>
  <si>
    <t>Melissa Barron</t>
  </si>
  <si>
    <t>EMP1392</t>
  </si>
  <si>
    <t>Rebecca Kelly</t>
  </si>
  <si>
    <t>Casey Watkins</t>
  </si>
  <si>
    <t>EMP2192</t>
  </si>
  <si>
    <t>Jorge Copeland</t>
  </si>
  <si>
    <t>2013/10/11</t>
  </si>
  <si>
    <t>Allison Simmons</t>
  </si>
  <si>
    <t>EMP1905</t>
  </si>
  <si>
    <t>Lisa Hamilton</t>
  </si>
  <si>
    <t>07 Jan 2018</t>
  </si>
  <si>
    <t>EMP1731</t>
  </si>
  <si>
    <t>Thomas Walsh</t>
  </si>
  <si>
    <t>05 Dec 2025</t>
  </si>
  <si>
    <t>₹120,602</t>
  </si>
  <si>
    <t>Thomas Garrison</t>
  </si>
  <si>
    <t>EMP1555</t>
  </si>
  <si>
    <t>Kelly Mclaughlin</t>
  </si>
  <si>
    <t>07-09-2012</t>
  </si>
  <si>
    <t>Ronald Herman</t>
  </si>
  <si>
    <t>11-12-2013</t>
  </si>
  <si>
    <t>EMP1367</t>
  </si>
  <si>
    <t>Natalie Barnes</t>
  </si>
  <si>
    <t>18-06-2016</t>
  </si>
  <si>
    <t>₹45,978</t>
  </si>
  <si>
    <t>Denise Miller</t>
  </si>
  <si>
    <t>2020/09/15</t>
  </si>
  <si>
    <t>EMP1346</t>
  </si>
  <si>
    <t>05 Feb 2022</t>
  </si>
  <si>
    <t>Michele Smith</t>
  </si>
  <si>
    <t>EMP1536</t>
  </si>
  <si>
    <t>Mary Campbell</t>
  </si>
  <si>
    <t>12/10/2012</t>
  </si>
  <si>
    <t>Willie Dillon</t>
  </si>
  <si>
    <t>EMP1920</t>
  </si>
  <si>
    <t>Lisa Gregory</t>
  </si>
  <si>
    <t>06 Nov 2023</t>
  </si>
  <si>
    <t>EMP1212</t>
  </si>
  <si>
    <t>Patricia Morrow</t>
  </si>
  <si>
    <t>05-10-2012</t>
  </si>
  <si>
    <t>Maria Cole</t>
  </si>
  <si>
    <t>EMP1503</t>
  </si>
  <si>
    <t>Thomas Landry</t>
  </si>
  <si>
    <t>02 Jun 2017</t>
  </si>
  <si>
    <t>Thomas Short</t>
  </si>
  <si>
    <t>05/31/2022</t>
  </si>
  <si>
    <t>EMP1176</t>
  </si>
  <si>
    <t>Rickey Li</t>
  </si>
  <si>
    <t>08/29/2021</t>
  </si>
  <si>
    <t>Nancy Jennings</t>
  </si>
  <si>
    <t>Not Specified</t>
  </si>
  <si>
    <t>Hr Executive</t>
  </si>
  <si>
    <t>It</t>
  </si>
  <si>
    <t>Hr Manager</t>
  </si>
  <si>
    <t>It Support</t>
  </si>
  <si>
    <t>Devops Engineer</t>
  </si>
  <si>
    <t>Hr Business Partner</t>
  </si>
  <si>
    <t>Tenure Years</t>
  </si>
  <si>
    <t>Age Band</t>
  </si>
  <si>
    <t>Salary Band</t>
  </si>
  <si>
    <t>Attrition Flag</t>
  </si>
  <si>
    <t>Tenure Band</t>
  </si>
  <si>
    <t>Satisfaction Score</t>
  </si>
  <si>
    <t>Satisfaction Level</t>
  </si>
  <si>
    <t>Row Labels</t>
  </si>
  <si>
    <t>Grand Total</t>
  </si>
  <si>
    <t>Count of Attrition</t>
  </si>
  <si>
    <t>Count of Attrition2</t>
  </si>
  <si>
    <t>Column Labels</t>
  </si>
  <si>
    <t>Total Count of Attrition</t>
  </si>
  <si>
    <t>Total Count of Attrition2</t>
  </si>
  <si>
    <t>25-34</t>
  </si>
  <si>
    <t>35-44</t>
  </si>
  <si>
    <t>45-54</t>
  </si>
  <si>
    <t>55+</t>
  </si>
  <si>
    <t>Under 25</t>
  </si>
  <si>
    <t>High</t>
  </si>
  <si>
    <t>Low</t>
  </si>
  <si>
    <t>Medium</t>
  </si>
  <si>
    <t>Very High</t>
  </si>
  <si>
    <t>HR Workforce KPI Metrics</t>
  </si>
  <si>
    <t>Total Employees</t>
  </si>
  <si>
    <t>Employees Left</t>
  </si>
  <si>
    <t>Active Employees</t>
  </si>
  <si>
    <t>Attrition Rate</t>
  </si>
  <si>
    <t>Average Tenure (Years)</t>
  </si>
  <si>
    <t>Average Monthly Income</t>
  </si>
  <si>
    <t>Average Satisfaction Score</t>
  </si>
  <si>
    <t>Replacement Cost (Months)</t>
  </si>
  <si>
    <t>Estimated Attrition Cost</t>
  </si>
  <si>
    <t>HR WORKFORCE ANALYTICS &amp; ATTRITION DASHBOARD</t>
  </si>
  <si>
    <t>Status</t>
  </si>
  <si>
    <t>Employee Count</t>
  </si>
  <si>
    <t>Active</t>
  </si>
  <si>
    <t>Left</t>
  </si>
  <si>
    <t>TOTAL EMPLOYEES</t>
  </si>
  <si>
    <t>ATTRITION RATE</t>
  </si>
  <si>
    <t>AVERAGE TENURE</t>
  </si>
  <si>
    <t>ESTIMATED ATTRITION COST (₹ CRORE)</t>
  </si>
  <si>
    <t>Replacement Months</t>
  </si>
  <si>
    <t>Project Documentation</t>
  </si>
  <si>
    <t>Project Objective</t>
  </si>
  <si>
    <t>Analyze employee attrition, identify major risk factors, and estimate its financial impact.</t>
  </si>
  <si>
    <t>Dataset Size</t>
  </si>
  <si>
    <t>Tools Used</t>
  </si>
  <si>
    <t>Power Query, Excel Tables, Advanced Formulas, PivotTables, Charts, Slicers, and What-If Analysis</t>
  </si>
  <si>
    <t>Main Outcome</t>
  </si>
  <si>
    <t>Identified the employee groups with the highest attrition risk and created an interactive HR dashboard.</t>
  </si>
  <si>
    <t>Key Insights</t>
  </si>
  <si>
    <t>Overall employee attrition rate is 29.33%.</t>
  </si>
  <si>
    <t>Employees working overtime have a 61.29% attrition rate, compared with 16.65% for employees without overtime.</t>
  </si>
  <si>
    <t>Low-satisfaction employees have a 55.86% attrition rate, while high-satisfaction employees have only 13.61%.</t>
  </si>
  <si>
    <t>Marketing has the highest department attrition rate at 37.00%.</t>
  </si>
  <si>
    <t>The 55+ age group has the highest rate at 40.00%, but the group contains only 10 employees, so the result should be interpreted carefully.</t>
  </si>
  <si>
    <t>How to Use the Dashboard</t>
  </si>
  <si>
    <t>Use the Gender and City slicers to filter all charts.</t>
  </si>
  <si>
    <t>Click the filter-clear icon in each slicer to return to the complete workforce view.</t>
  </si>
  <si>
    <t>Review both attrition percentage and employee count before drawing conclusions.</t>
  </si>
  <si>
    <t>Important Assumption</t>
  </si>
  <si>
    <t>Attrition Cost</t>
  </si>
  <si>
    <t>This assumption can be changed in cell B10 of the KPI sheet.</t>
  </si>
  <si>
    <t>Note: KPI cards show overall workforce metrics; charts respond to the Gender and City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</si>
</sst>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0" x14ac:knownFonts="1">
    <font>
      <sz val="11"/>
      <color theme="1"/>
      <name val="Calibri"/>
      <family val="2"/>
      <scheme val="minor"/>
    </font>
    <font>
      <b/>
      <sz val="20"/>
      <color theme="0"/>
      <name val="Calibri"/>
      <family val="2"/>
      <scheme val="minor"/>
    </font>
    <font>
      <b/>
      <sz val="11"/>
      <color theme="1"/>
      <name val="Calibri"/>
      <family val="2"/>
      <scheme val="minor"/>
    </font>
    <font>
      <b/>
      <sz val="20"/>
      <color theme="3" tint="-0.499984740745262"/>
      <name val="Calibri"/>
      <family val="2"/>
      <scheme val="minor"/>
    </font>
    <font>
      <b/>
      <sz val="18"/>
      <color theme="0"/>
      <name val="Calibri"/>
      <family val="2"/>
      <scheme val="minor"/>
    </font>
    <font>
      <b/>
      <sz val="14"/>
      <color theme="0"/>
      <name val="Calibri"/>
      <family val="2"/>
      <scheme val="minor"/>
    </font>
    <font>
      <sz val="11"/>
      <color theme="0" tint="-4.9989318521683403E-2"/>
      <name val="Calibri"/>
      <family val="2"/>
      <scheme val="minor"/>
    </font>
    <font>
      <b/>
      <sz val="11"/>
      <color theme="0" tint="-4.9989318521683403E-2"/>
      <name val="Calibri"/>
      <family val="2"/>
      <scheme val="minor"/>
    </font>
    <font>
      <i/>
      <sz val="11"/>
      <color theme="9" tint="-0.499984740745262"/>
      <name val="Calibri"/>
      <family val="2"/>
      <scheme val="minor"/>
    </font>
    <font>
      <sz val="11"/>
      <color theme="9" tint="-0.49998474074526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vertical="center"/>
    </xf>
    <xf numFmtId="0" fontId="0" fillId="2" borderId="0" xfId="0" applyFill="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6" fillId="5" borderId="0" xfId="0" applyFont="1" applyFill="1" applyAlignment="1">
      <alignment horizontal="center" vertical="center"/>
    </xf>
    <xf numFmtId="0" fontId="0" fillId="0" borderId="1"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164" fontId="0" fillId="0" borderId="5" xfId="0" applyNumberFormat="1" applyBorder="1" applyAlignment="1">
      <alignment horizontal="center" vertical="center"/>
    </xf>
    <xf numFmtId="164" fontId="0" fillId="0" borderId="8" xfId="0" applyNumberFormat="1" applyBorder="1" applyAlignment="1">
      <alignment horizontal="center" vertical="center"/>
    </xf>
    <xf numFmtId="0" fontId="0" fillId="0" borderId="0" xfId="0" applyAlignment="1">
      <alignment wrapText="1"/>
    </xf>
    <xf numFmtId="0" fontId="2" fillId="0" borderId="0" xfId="0" applyFont="1" applyAlignment="1">
      <alignment horizontal="center" vertical="center"/>
    </xf>
    <xf numFmtId="0" fontId="7" fillId="5" borderId="0" xfId="0" applyFont="1" applyFill="1" applyAlignment="1">
      <alignment horizontal="center" vertical="center"/>
    </xf>
    <xf numFmtId="0" fontId="7" fillId="5" borderId="0" xfId="0" applyFont="1" applyFill="1"/>
    <xf numFmtId="0" fontId="0" fillId="0" borderId="0" xfId="0" applyAlignment="1">
      <alignment horizontal="center" vertical="center" wrapText="1"/>
    </xf>
    <xf numFmtId="0" fontId="7" fillId="5" borderId="0" xfId="0" applyFont="1" applyFill="1" applyAlignment="1">
      <alignment horizontal="center" vertical="center" wrapText="1"/>
    </xf>
    <xf numFmtId="0" fontId="8" fillId="6" borderId="0" xfId="0" applyFont="1" applyFill="1" applyAlignment="1">
      <alignment horizontal="center" vertical="center"/>
    </xf>
    <xf numFmtId="0" fontId="9" fillId="6" borderId="0" xfId="0" applyFont="1" applyFill="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0" xfId="0" applyFont="1" applyFill="1" applyAlignment="1">
      <alignment horizontal="center"/>
    </xf>
    <xf numFmtId="0" fontId="1" fillId="3" borderId="5" xfId="0" applyFont="1" applyFill="1" applyBorder="1" applyAlignment="1">
      <alignment horizontal="center"/>
    </xf>
    <xf numFmtId="0" fontId="3" fillId="4" borderId="4" xfId="0" applyFont="1" applyFill="1" applyBorder="1" applyAlignment="1">
      <alignment horizontal="center" vertical="center"/>
    </xf>
    <xf numFmtId="0" fontId="3" fillId="4" borderId="0" xfId="0" applyFont="1" applyFill="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10" fontId="3" fillId="4" borderId="4"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2" fontId="3" fillId="4" borderId="4"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0" xfId="0" applyFont="1" applyFill="1" applyAlignment="1">
      <alignment horizontal="center" vertical="center"/>
    </xf>
    <xf numFmtId="0" fontId="5" fillId="3" borderId="5" xfId="0" applyFont="1" applyFill="1" applyBorder="1" applyAlignment="1">
      <alignment horizontal="center" vertical="center"/>
    </xf>
    <xf numFmtId="2" fontId="3" fillId="4" borderId="0" xfId="0" applyNumberFormat="1" applyFont="1" applyFill="1" applyAlignment="1">
      <alignment horizontal="center" vertical="center"/>
    </xf>
    <xf numFmtId="2" fontId="3" fillId="4" borderId="5" xfId="0" applyNumberFormat="1" applyFont="1" applyFill="1" applyBorder="1" applyAlignment="1">
      <alignment horizontal="center" vertical="center"/>
    </xf>
    <xf numFmtId="2" fontId="3" fillId="4" borderId="6" xfId="0" applyNumberFormat="1" applyFont="1" applyFill="1" applyBorder="1" applyAlignment="1">
      <alignment horizontal="center" vertical="center"/>
    </xf>
    <xf numFmtId="2" fontId="3" fillId="4" borderId="7" xfId="0" applyNumberFormat="1" applyFont="1" applyFill="1" applyBorder="1" applyAlignment="1">
      <alignment horizontal="center" vertical="center"/>
    </xf>
    <xf numFmtId="2" fontId="3" fillId="4" borderId="8" xfId="0" applyNumberFormat="1" applyFont="1" applyFill="1" applyBorder="1" applyAlignment="1">
      <alignment horizontal="center" vertic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Overall Workforce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Dashboard!$Q$2</c:f>
              <c:strCache>
                <c:ptCount val="1"/>
                <c:pt idx="0">
                  <c:v>Employee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6F-41D7-A25B-A5F6F4BC3C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6F-41D7-A25B-A5F6F4BC3C2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Dashboard!$P$3:$P$4</c:f>
              <c:strCache>
                <c:ptCount val="2"/>
                <c:pt idx="0">
                  <c:v>Active</c:v>
                </c:pt>
                <c:pt idx="1">
                  <c:v>Left</c:v>
                </c:pt>
              </c:strCache>
            </c:strRef>
          </c:cat>
          <c:val>
            <c:numRef>
              <c:f>Dashboard!$Q$3:$Q$4</c:f>
              <c:numCache>
                <c:formatCode>General</c:formatCode>
                <c:ptCount val="2"/>
                <c:pt idx="0">
                  <c:v>848</c:v>
                </c:pt>
                <c:pt idx="1">
                  <c:v>352</c:v>
                </c:pt>
              </c:numCache>
            </c:numRef>
          </c:val>
          <c:extLst>
            <c:ext xmlns:c16="http://schemas.microsoft.com/office/drawing/2014/chart" uri="{C3380CC4-5D6E-409C-BE32-E72D297353CC}">
              <c16:uniqueId val="{00000000-C1BD-4109-BD4D-910427CA58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Dashboard!$Q$7</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Dashboard!$P$8:$P$15</c:f>
              <c:strCache>
                <c:ptCount val="8"/>
                <c:pt idx="0">
                  <c:v>Finance</c:v>
                </c:pt>
                <c:pt idx="1">
                  <c:v>Human Resources</c:v>
                </c:pt>
                <c:pt idx="2">
                  <c:v>It</c:v>
                </c:pt>
                <c:pt idx="3">
                  <c:v>Marketing</c:v>
                </c:pt>
                <c:pt idx="4">
                  <c:v>Not Specified</c:v>
                </c:pt>
                <c:pt idx="5">
                  <c:v>Operations</c:v>
                </c:pt>
                <c:pt idx="6">
                  <c:v>Research &amp; Development</c:v>
                </c:pt>
                <c:pt idx="7">
                  <c:v>Sales</c:v>
                </c:pt>
              </c:strCache>
            </c:strRef>
          </c:cat>
          <c:val>
            <c:numRef>
              <c:f>Dashboard!$Q$8:$Q$15</c:f>
              <c:numCache>
                <c:formatCode>0.00%</c:formatCode>
                <c:ptCount val="8"/>
                <c:pt idx="0">
                  <c:v>0.30379746835443039</c:v>
                </c:pt>
                <c:pt idx="1">
                  <c:v>0.25842696629213485</c:v>
                </c:pt>
                <c:pt idx="2">
                  <c:v>0.27488151658767773</c:v>
                </c:pt>
                <c:pt idx="3">
                  <c:v>0.37</c:v>
                </c:pt>
                <c:pt idx="4">
                  <c:v>0.3125</c:v>
                </c:pt>
                <c:pt idx="5">
                  <c:v>0.35714285714285715</c:v>
                </c:pt>
                <c:pt idx="6">
                  <c:v>0.28525641025641024</c:v>
                </c:pt>
                <c:pt idx="7">
                  <c:v>0.28125</c:v>
                </c:pt>
              </c:numCache>
            </c:numRef>
          </c:val>
          <c:extLst>
            <c:ext xmlns:c16="http://schemas.microsoft.com/office/drawing/2014/chart" uri="{C3380CC4-5D6E-409C-BE32-E72D297353CC}">
              <c16:uniqueId val="{00000000-61A4-4EA9-93FB-E2507C17E6F0}"/>
            </c:ext>
          </c:extLst>
        </c:ser>
        <c:dLbls>
          <c:showLegendKey val="0"/>
          <c:showVal val="0"/>
          <c:showCatName val="0"/>
          <c:showSerName val="0"/>
          <c:showPercent val="0"/>
          <c:showBubbleSize val="0"/>
        </c:dLbls>
        <c:gapWidth val="219"/>
        <c:axId val="697770144"/>
        <c:axId val="699619280"/>
      </c:barChart>
      <c:catAx>
        <c:axId val="69777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19280"/>
        <c:crosses val="autoZero"/>
        <c:auto val="1"/>
        <c:lblAlgn val="ctr"/>
        <c:lblOffset val="100"/>
        <c:noMultiLvlLbl val="0"/>
      </c:catAx>
      <c:valAx>
        <c:axId val="6996192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7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Overtime</a:t>
            </a:r>
          </a:p>
        </c:rich>
      </c:tx>
      <c:layout>
        <c:manualLayout>
          <c:xMode val="edge"/>
          <c:yMode val="edge"/>
          <c:x val="0.300794492550960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53937007874016E-2"/>
          <c:y val="0.19486111111111112"/>
          <c:w val="0.85637029746281712"/>
          <c:h val="0.72088764946048411"/>
        </c:manualLayout>
      </c:layout>
      <c:barChart>
        <c:barDir val="bar"/>
        <c:grouping val="clustered"/>
        <c:varyColors val="0"/>
        <c:ser>
          <c:idx val="0"/>
          <c:order val="0"/>
          <c:tx>
            <c:strRef>
              <c:f>Dashboard!$T$2</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Dashboard!$S$3:$S$4</c:f>
              <c:strCache>
                <c:ptCount val="2"/>
                <c:pt idx="0">
                  <c:v>No</c:v>
                </c:pt>
                <c:pt idx="1">
                  <c:v>Yes</c:v>
                </c:pt>
              </c:strCache>
            </c:strRef>
          </c:cat>
          <c:val>
            <c:numRef>
              <c:f>Dashboard!$T$3:$T$4</c:f>
              <c:numCache>
                <c:formatCode>0.00%</c:formatCode>
                <c:ptCount val="2"/>
                <c:pt idx="0">
                  <c:v>0.16647264260768335</c:v>
                </c:pt>
                <c:pt idx="1">
                  <c:v>0.61290322580645162</c:v>
                </c:pt>
              </c:numCache>
            </c:numRef>
          </c:val>
          <c:extLst>
            <c:ext xmlns:c16="http://schemas.microsoft.com/office/drawing/2014/chart" uri="{C3380CC4-5D6E-409C-BE32-E72D297353CC}">
              <c16:uniqueId val="{00000000-5A36-46EF-89A2-D6BA63C596B0}"/>
            </c:ext>
          </c:extLst>
        </c:ser>
        <c:dLbls>
          <c:showLegendKey val="0"/>
          <c:showVal val="0"/>
          <c:showCatName val="0"/>
          <c:showSerName val="0"/>
          <c:showPercent val="0"/>
          <c:showBubbleSize val="0"/>
        </c:dLbls>
        <c:gapWidth val="182"/>
        <c:axId val="906708512"/>
        <c:axId val="699626000"/>
      </c:barChart>
      <c:catAx>
        <c:axId val="90670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26000"/>
        <c:crosses val="autoZero"/>
        <c:auto val="1"/>
        <c:lblAlgn val="ctr"/>
        <c:lblOffset val="100"/>
        <c:noMultiLvlLbl val="0"/>
      </c:catAx>
      <c:valAx>
        <c:axId val="699626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0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Attrition Rate by Satisfaction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1326484384893669"/>
          <c:y val="8.8979352822009306E-2"/>
          <c:w val="0.80218963254593167"/>
          <c:h val="0.82273950131233597"/>
        </c:manualLayout>
      </c:layout>
      <c:barChart>
        <c:barDir val="bar"/>
        <c:grouping val="clustered"/>
        <c:varyColors val="0"/>
        <c:ser>
          <c:idx val="0"/>
          <c:order val="0"/>
          <c:tx>
            <c:strRef>
              <c:f>Dashboard!$W$2</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Dashboard!$V$3:$V$5</c:f>
              <c:strCache>
                <c:ptCount val="3"/>
                <c:pt idx="0">
                  <c:v>High</c:v>
                </c:pt>
                <c:pt idx="1">
                  <c:v>Low</c:v>
                </c:pt>
                <c:pt idx="2">
                  <c:v>Medium</c:v>
                </c:pt>
              </c:strCache>
            </c:strRef>
          </c:cat>
          <c:val>
            <c:numRef>
              <c:f>Dashboard!$W$3:$W$5</c:f>
              <c:numCache>
                <c:formatCode>0.00%</c:formatCode>
                <c:ptCount val="3"/>
                <c:pt idx="0">
                  <c:v>0.13613861386138615</c:v>
                </c:pt>
                <c:pt idx="1">
                  <c:v>0.55862068965517242</c:v>
                </c:pt>
                <c:pt idx="2">
                  <c:v>0.33179723502304148</c:v>
                </c:pt>
              </c:numCache>
            </c:numRef>
          </c:val>
          <c:extLst>
            <c:ext xmlns:c16="http://schemas.microsoft.com/office/drawing/2014/chart" uri="{C3380CC4-5D6E-409C-BE32-E72D297353CC}">
              <c16:uniqueId val="{00000000-EF91-40E5-AC07-B19922BA0925}"/>
            </c:ext>
          </c:extLst>
        </c:ser>
        <c:dLbls>
          <c:showLegendKey val="0"/>
          <c:showVal val="0"/>
          <c:showCatName val="0"/>
          <c:showSerName val="0"/>
          <c:showPercent val="0"/>
          <c:showBubbleSize val="0"/>
        </c:dLbls>
        <c:gapWidth val="182"/>
        <c:axId val="906713152"/>
        <c:axId val="746088880"/>
      </c:barChart>
      <c:catAx>
        <c:axId val="9067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88880"/>
        <c:crosses val="autoZero"/>
        <c:auto val="1"/>
        <c:lblAlgn val="ctr"/>
        <c:lblOffset val="100"/>
        <c:noMultiLvlLbl val="0"/>
      </c:catAx>
      <c:valAx>
        <c:axId val="7460888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1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Dashboard!$Z$2</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Dashboard!$Y$3:$Y$7</c:f>
              <c:strCache>
                <c:ptCount val="5"/>
                <c:pt idx="0">
                  <c:v>25-34</c:v>
                </c:pt>
                <c:pt idx="1">
                  <c:v>35-44</c:v>
                </c:pt>
                <c:pt idx="2">
                  <c:v>45-54</c:v>
                </c:pt>
                <c:pt idx="3">
                  <c:v>55+</c:v>
                </c:pt>
                <c:pt idx="4">
                  <c:v>Under 25</c:v>
                </c:pt>
              </c:strCache>
            </c:strRef>
          </c:cat>
          <c:val>
            <c:numRef>
              <c:f>Dashboard!$Z$3:$Z$7</c:f>
              <c:numCache>
                <c:formatCode>0.00%</c:formatCode>
                <c:ptCount val="5"/>
                <c:pt idx="0">
                  <c:v>0.2982885085574572</c:v>
                </c:pt>
                <c:pt idx="1">
                  <c:v>0.27967806841046278</c:v>
                </c:pt>
                <c:pt idx="2">
                  <c:v>0.28289473684210525</c:v>
                </c:pt>
                <c:pt idx="3">
                  <c:v>0.4</c:v>
                </c:pt>
                <c:pt idx="4">
                  <c:v>0.33333333333333331</c:v>
                </c:pt>
              </c:numCache>
            </c:numRef>
          </c:val>
          <c:extLst>
            <c:ext xmlns:c16="http://schemas.microsoft.com/office/drawing/2014/chart" uri="{C3380CC4-5D6E-409C-BE32-E72D297353CC}">
              <c16:uniqueId val="{00000000-5635-4AC3-A374-83FD7F779A9C}"/>
            </c:ext>
          </c:extLst>
        </c:ser>
        <c:dLbls>
          <c:showLegendKey val="0"/>
          <c:showVal val="0"/>
          <c:showCatName val="0"/>
          <c:showSerName val="0"/>
          <c:showPercent val="0"/>
          <c:showBubbleSize val="0"/>
        </c:dLbls>
        <c:gapWidth val="182"/>
        <c:axId val="947983680"/>
        <c:axId val="699623120"/>
      </c:barChart>
      <c:catAx>
        <c:axId val="94798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23120"/>
        <c:crosses val="autoZero"/>
        <c:auto val="1"/>
        <c:lblAlgn val="ctr"/>
        <c:lblOffset val="100"/>
        <c:noMultiLvlLbl val="0"/>
      </c:catAx>
      <c:valAx>
        <c:axId val="6996231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Dashboard!$AC$2</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Dashboard!$AB$3:$AB$6</c:f>
              <c:strCache>
                <c:ptCount val="4"/>
                <c:pt idx="0">
                  <c:v>High</c:v>
                </c:pt>
                <c:pt idx="1">
                  <c:v>Low</c:v>
                </c:pt>
                <c:pt idx="2">
                  <c:v>Medium</c:v>
                </c:pt>
                <c:pt idx="3">
                  <c:v>Very High</c:v>
                </c:pt>
              </c:strCache>
            </c:strRef>
          </c:cat>
          <c:val>
            <c:numRef>
              <c:f>Dashboard!$AC$3:$AC$6</c:f>
              <c:numCache>
                <c:formatCode>0.00%</c:formatCode>
                <c:ptCount val="4"/>
                <c:pt idx="0">
                  <c:v>0.30166666666666669</c:v>
                </c:pt>
                <c:pt idx="1">
                  <c:v>0.5</c:v>
                </c:pt>
                <c:pt idx="2">
                  <c:v>0.30281690140845069</c:v>
                </c:pt>
                <c:pt idx="3">
                  <c:v>0.26751592356687898</c:v>
                </c:pt>
              </c:numCache>
            </c:numRef>
          </c:val>
          <c:extLst>
            <c:ext xmlns:c16="http://schemas.microsoft.com/office/drawing/2014/chart" uri="{C3380CC4-5D6E-409C-BE32-E72D297353CC}">
              <c16:uniqueId val="{00000000-1861-42D0-B82B-EE996ACC9D0B}"/>
            </c:ext>
          </c:extLst>
        </c:ser>
        <c:dLbls>
          <c:showLegendKey val="0"/>
          <c:showVal val="0"/>
          <c:showCatName val="0"/>
          <c:showSerName val="0"/>
          <c:showPercent val="0"/>
          <c:showBubbleSize val="0"/>
        </c:dLbls>
        <c:gapWidth val="182"/>
        <c:axId val="753683792"/>
        <c:axId val="446461488"/>
      </c:barChart>
      <c:catAx>
        <c:axId val="75368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61488"/>
        <c:crosses val="autoZero"/>
        <c:auto val="1"/>
        <c:lblAlgn val="ctr"/>
        <c:lblOffset val="100"/>
        <c:noMultiLvlLbl val="0"/>
      </c:catAx>
      <c:valAx>
        <c:axId val="446461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8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62427</xdr:colOff>
      <xdr:row>7</xdr:row>
      <xdr:rowOff>72295</xdr:rowOff>
    </xdr:from>
    <xdr:to>
      <xdr:col>3</xdr:col>
      <xdr:colOff>265677</xdr:colOff>
      <xdr:row>21</xdr:row>
      <xdr:rowOff>105295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450633</xdr:colOff>
      <xdr:row>7</xdr:row>
      <xdr:rowOff>72295</xdr:rowOff>
    </xdr:from>
    <xdr:to>
      <xdr:col>11</xdr:col>
      <xdr:colOff>177633</xdr:colOff>
      <xdr:row>21</xdr:row>
      <xdr:rowOff>105295</xdr:rowOff>
    </xdr:to>
    <xdr:graphicFrame macro="">
      <xdr:nvGraphicFramePr>
        <xdr:cNvPr id="3" name="Chart 2">
          <a:extLst>
            <a:ext uri="{FF2B5EF4-FFF2-40B4-BE49-F238E27FC236}">
              <a16:creationId xmlns:a16="http://schemas.microsoft.com/office/drawing/2014/main" id="{46F8AD44-9159-FC4C-6254-27FAD4631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62427</xdr:colOff>
      <xdr:row>22</xdr:row>
      <xdr:rowOff>51092</xdr:rowOff>
    </xdr:from>
    <xdr:to>
      <xdr:col>3</xdr:col>
      <xdr:colOff>265677</xdr:colOff>
      <xdr:row>36</xdr:row>
      <xdr:rowOff>84092</xdr:rowOff>
    </xdr:to>
    <xdr:graphicFrame macro="">
      <xdr:nvGraphicFramePr>
        <xdr:cNvPr id="4" name="Chart 3">
          <a:extLst>
            <a:ext uri="{FF2B5EF4-FFF2-40B4-BE49-F238E27FC236}">
              <a16:creationId xmlns:a16="http://schemas.microsoft.com/office/drawing/2014/main" id="{6F845445-10A3-5E48-032F-CB7EF9720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450633</xdr:colOff>
      <xdr:row>22</xdr:row>
      <xdr:rowOff>51092</xdr:rowOff>
    </xdr:from>
    <xdr:to>
      <xdr:col>11</xdr:col>
      <xdr:colOff>190622</xdr:colOff>
      <xdr:row>36</xdr:row>
      <xdr:rowOff>84092</xdr:rowOff>
    </xdr:to>
    <xdr:graphicFrame macro="">
      <xdr:nvGraphicFramePr>
        <xdr:cNvPr id="5" name="Chart 4">
          <a:extLst>
            <a:ext uri="{FF2B5EF4-FFF2-40B4-BE49-F238E27FC236}">
              <a16:creationId xmlns:a16="http://schemas.microsoft.com/office/drawing/2014/main" id="{2C0C9865-69D7-EC99-4245-16E99D2B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450633</xdr:colOff>
      <xdr:row>37</xdr:row>
      <xdr:rowOff>20566</xdr:rowOff>
    </xdr:from>
    <xdr:to>
      <xdr:col>11</xdr:col>
      <xdr:colOff>177633</xdr:colOff>
      <xdr:row>51</xdr:row>
      <xdr:rowOff>53567</xdr:rowOff>
    </xdr:to>
    <xdr:graphicFrame macro="">
      <xdr:nvGraphicFramePr>
        <xdr:cNvPr id="6" name="Chart 5">
          <a:extLst>
            <a:ext uri="{FF2B5EF4-FFF2-40B4-BE49-F238E27FC236}">
              <a16:creationId xmlns:a16="http://schemas.microsoft.com/office/drawing/2014/main" id="{4468190E-CFFB-E928-217A-CD72DC901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62427</xdr:colOff>
      <xdr:row>37</xdr:row>
      <xdr:rowOff>20566</xdr:rowOff>
    </xdr:from>
    <xdr:to>
      <xdr:col>3</xdr:col>
      <xdr:colOff>265677</xdr:colOff>
      <xdr:row>51</xdr:row>
      <xdr:rowOff>50680</xdr:rowOff>
    </xdr:to>
    <xdr:graphicFrame macro="">
      <xdr:nvGraphicFramePr>
        <xdr:cNvPr id="7" name="Chart 6">
          <a:extLst>
            <a:ext uri="{FF2B5EF4-FFF2-40B4-BE49-F238E27FC236}">
              <a16:creationId xmlns:a16="http://schemas.microsoft.com/office/drawing/2014/main" id="{26BF8396-D977-ED6C-BB72-E575014E4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250157</xdr:colOff>
      <xdr:row>7</xdr:row>
      <xdr:rowOff>120316</xdr:rowOff>
    </xdr:from>
    <xdr:to>
      <xdr:col>13</xdr:col>
      <xdr:colOff>190500</xdr:colOff>
      <xdr:row>20</xdr:row>
      <xdr:rowOff>93244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886732F-B4BD-421D-98D9-B203DFCC5BD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79907" y="1453816"/>
              <a:ext cx="1178593" cy="244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290761</xdr:colOff>
      <xdr:row>21</xdr:row>
      <xdr:rowOff>60158</xdr:rowOff>
    </xdr:from>
    <xdr:to>
      <xdr:col>13</xdr:col>
      <xdr:colOff>481262</xdr:colOff>
      <xdr:row>35</xdr:row>
      <xdr:rowOff>7522</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DB578827-A846-4227-9ED6-B59BA41E31D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20511" y="4060658"/>
              <a:ext cx="1428751" cy="2614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OW-PC" refreshedDate="46266.589851273151" createdVersion="6" refreshedVersion="6" minRefreshableVersion="3" recordCount="1200" xr:uid="{00000000-000A-0000-FFFF-FFFF0A000000}">
  <cacheSource type="worksheet">
    <worksheetSource name="EmployeeData"/>
  </cacheSource>
  <cacheFields count="31">
    <cacheField name="EmployeeID" numFmtId="0">
      <sharedItems/>
    </cacheField>
    <cacheField name="Name" numFmtId="0">
      <sharedItems/>
    </cacheField>
    <cacheField name="Gender" numFmtId="0">
      <sharedItems count="3">
        <s v="Male"/>
        <s v="Not Specified"/>
        <s v="Female"/>
      </sharedItems>
    </cacheField>
    <cacheField name="Age" numFmtId="0">
      <sharedItems containsSemiMixedTypes="0" containsString="0" containsNumber="1" containsInteger="1" minValue="19" maxValue="60"/>
    </cacheField>
    <cacheField name="Department" numFmtId="0">
      <sharedItems count="8">
        <s v="Research &amp; Development"/>
        <s v="Human Resources"/>
        <s v="It"/>
        <s v="Finance"/>
        <s v="Sales"/>
        <s v="Marketing"/>
        <s v="Not Specified"/>
        <s v="Operations"/>
      </sharedItems>
    </cacheField>
    <cacheField name="JobRole" numFmtId="0">
      <sharedItems/>
    </cacheField>
    <cacheField name="DateOfJoining" numFmtId="14">
      <sharedItems containsSemiMixedTypes="0" containsNonDate="0" containsDate="1" containsString="0" minDate="2011-09-01T00:00:00" maxDate="2026-07-24T00:00:00"/>
    </cacheField>
    <cacheField name="MonthlyIncome" numFmtId="0">
      <sharedItems containsSemiMixedTypes="0" containsString="0" containsNumber="1" containsInteger="1" minValue="29461" maxValue="152646"/>
    </cacheField>
    <cacheField name="MaritalStatus" numFmtId="0">
      <sharedItems/>
    </cacheField>
    <cacheField name="Education" numFmtId="0">
      <sharedItems/>
    </cacheField>
    <cacheField name="City" numFmtId="0">
      <sharedItems count="11">
        <s v="Pune"/>
        <s v="Mumbai"/>
        <s v="Noida"/>
        <s v="Bangalore"/>
        <s v="Gurgaon"/>
        <s v="Ahmedabad"/>
        <s v="Hyderabad"/>
        <s v="Delhi"/>
        <s v="Chennai"/>
        <s v="Kolkata"/>
        <s v="Not Specified"/>
      </sharedItems>
    </cacheField>
    <cacheField name="BusinessTravel" numFmtId="0">
      <sharedItems/>
    </cacheField>
    <cacheField name="DistanceFromHome_KM" numFmtId="0">
      <sharedItems containsSemiMixedTypes="0" containsString="0" containsNumber="1" containsInteger="1" minValue="1" maxValue="45"/>
    </cacheField>
    <cacheField name="OverTime" numFmtId="0">
      <sharedItems count="2">
        <s v="No"/>
        <s v="Yes"/>
      </sharedItems>
    </cacheField>
    <cacheField name="JobSatisfaction" numFmtId="0">
      <sharedItems containsSemiMixedTypes="0" containsString="0" containsNumber="1" containsInteger="1" minValue="1" maxValue="4" count="4">
        <n v="1"/>
        <n v="4"/>
        <n v="2"/>
        <n v="3"/>
      </sharedItems>
    </cacheField>
    <cacheField name="Environment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PerformanceRating" numFmtId="0">
      <sharedItems containsSemiMixedTypes="0" containsString="0" containsNumber="1" containsInteger="1" minValue="1" maxValue="5"/>
    </cacheField>
    <cacheField name="TrainingTimesLastYear" numFmtId="0">
      <sharedItems containsSemiMixedTypes="0" containsString="0" containsNumber="1" containsInteger="1" minValue="0" maxValue="6"/>
    </cacheField>
    <cacheField name="NumCompaniesWorked" numFmtId="0">
      <sharedItems containsSemiMixedTypes="0" containsString="0" containsNumber="1" containsInteger="1" minValue="0" maxValue="8"/>
    </cacheField>
    <cacheField name="PercentSalaryHike" numFmtId="0">
      <sharedItems containsSemiMixedTypes="0" containsString="0" containsNumber="1" containsInteger="1" minValue="11" maxValue="25"/>
    </cacheField>
    <cacheField name="ManagerName" numFmtId="0">
      <sharedItems/>
    </cacheField>
    <cacheField name="Attrition" numFmtId="0">
      <sharedItems count="2">
        <s v="No"/>
        <s v="Yes"/>
      </sharedItems>
    </cacheField>
    <cacheField name="LastWorkingDate" numFmtId="14">
      <sharedItems containsNonDate="0" containsDate="1" containsString="0" containsBlank="1" minDate="2012-01-20T00:00:00" maxDate="2026-08-30T00:00:00"/>
    </cacheField>
    <cacheField name="Age Band" numFmtId="2">
      <sharedItems count="5">
        <s v="35-44"/>
        <s v="25-34"/>
        <s v="Under 25"/>
        <s v="45-54"/>
        <s v="55+"/>
      </sharedItems>
    </cacheField>
    <cacheField name="Tenure Years" numFmtId="0">
      <sharedItems containsSemiMixedTypes="0" containsString="0" containsNumber="1" containsInteger="1" minValue="0" maxValue="15"/>
    </cacheField>
    <cacheField name="Salary Band" numFmtId="0">
      <sharedItems count="4">
        <s v="Very High"/>
        <s v="Medium"/>
        <s v="High"/>
        <s v="Low"/>
      </sharedItems>
    </cacheField>
    <cacheField name="Attrition Flag" numFmtId="0">
      <sharedItems containsSemiMixedTypes="0" containsString="0" containsNumber="1" containsInteger="1" minValue="0" maxValue="1"/>
    </cacheField>
    <cacheField name="Tenure Band" numFmtId="0">
      <sharedItems/>
    </cacheField>
    <cacheField name="Satisfaction Score" numFmtId="0">
      <sharedItems containsSemiMixedTypes="0" containsString="0" containsNumber="1" minValue="1" maxValue="4"/>
    </cacheField>
    <cacheField name="Satisfaction Level" numFmtId="0">
      <sharedItems count="3">
        <s v="Medium"/>
        <s v="High"/>
        <s v="Low"/>
      </sharedItems>
    </cacheField>
  </cacheFields>
  <extLst>
    <ext xmlns:x14="http://schemas.microsoft.com/office/spreadsheetml/2009/9/main" uri="{725AE2AE-9491-48be-B2B4-4EB974FC3084}">
      <x14:pivotCacheDefinition pivotCacheId="488471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EMP1052"/>
    <s v="Matthew Rivera"/>
    <x v="0"/>
    <n v="39"/>
    <x v="0"/>
    <s v="Research Director"/>
    <d v="2016-05-06T00:00:00"/>
    <n v="124035"/>
    <s v="Married"/>
    <s v="Master's"/>
    <x v="0"/>
    <s v="Travel_Frequently"/>
    <n v="11"/>
    <x v="0"/>
    <x v="0"/>
    <n v="4"/>
    <n v="3"/>
    <n v="4"/>
    <n v="0"/>
    <n v="4"/>
    <n v="16"/>
    <s v="Michelle Evans"/>
    <x v="0"/>
    <m/>
    <x v="0"/>
    <n v="10"/>
    <x v="0"/>
    <n v="0"/>
    <s v="6-10 Years"/>
    <n v="2.67"/>
    <x v="0"/>
  </r>
  <r>
    <s v="EMP1523"/>
    <s v="Kevin Sullivan"/>
    <x v="1"/>
    <n v="38"/>
    <x v="1"/>
    <s v="Hr Executive"/>
    <d v="2020-06-19T00:00:00"/>
    <n v="51334"/>
    <s v="Single"/>
    <s v="Master's"/>
    <x v="0"/>
    <s v="Travel_Rarely"/>
    <n v="27"/>
    <x v="0"/>
    <x v="0"/>
    <n v="3"/>
    <n v="2"/>
    <n v="3"/>
    <n v="6"/>
    <n v="2"/>
    <n v="13"/>
    <s v="Kimberly Lutz"/>
    <x v="1"/>
    <d v="2026-01-30T00:00:00"/>
    <x v="0"/>
    <n v="5"/>
    <x v="1"/>
    <n v="1"/>
    <s v="4-5 Years"/>
    <n v="2"/>
    <x v="0"/>
  </r>
  <r>
    <s v="EMP1180"/>
    <s v="Christopher Guerra"/>
    <x v="0"/>
    <n v="39"/>
    <x v="0"/>
    <s v="Research Scientist"/>
    <d v="2023-03-02T00:00:00"/>
    <n v="83084"/>
    <s v="Divorced"/>
    <s v="Diploma"/>
    <x v="1"/>
    <s v="Travel_Rarely"/>
    <n v="19"/>
    <x v="1"/>
    <x v="1"/>
    <n v="3"/>
    <n v="1"/>
    <n v="4"/>
    <n v="2"/>
    <n v="1"/>
    <n v="24"/>
    <s v="Carol Kim"/>
    <x v="0"/>
    <m/>
    <x v="0"/>
    <n v="3"/>
    <x v="2"/>
    <n v="0"/>
    <s v="1-3 Years"/>
    <n v="2.67"/>
    <x v="0"/>
  </r>
  <r>
    <s v="EMP2173"/>
    <s v="Kyle Horton"/>
    <x v="2"/>
    <n v="31"/>
    <x v="0"/>
    <s v="Lab Technician"/>
    <d v="2013-08-02T00:00:00"/>
    <n v="86840"/>
    <s v="Divorced"/>
    <s v="Bachelor's"/>
    <x v="0"/>
    <s v="Non-Travel"/>
    <n v="35"/>
    <x v="1"/>
    <x v="1"/>
    <n v="4"/>
    <n v="2"/>
    <n v="3"/>
    <n v="4"/>
    <n v="2"/>
    <n v="12"/>
    <s v="Rebecca Benson"/>
    <x v="1"/>
    <d v="2014-03-07T00:00:00"/>
    <x v="1"/>
    <n v="0"/>
    <x v="2"/>
    <n v="1"/>
    <s v="Less than 1 Year"/>
    <n v="3.33"/>
    <x v="1"/>
  </r>
  <r>
    <s v="EMP1938"/>
    <s v="Peter Keller"/>
    <x v="2"/>
    <n v="35"/>
    <x v="0"/>
    <s v="Lab Technician"/>
    <d v="2021-03-26T00:00:00"/>
    <n v="83084"/>
    <s v="Single"/>
    <s v="Bachelor's"/>
    <x v="1"/>
    <s v="Travel_Rarely"/>
    <n v="42"/>
    <x v="0"/>
    <x v="2"/>
    <n v="2"/>
    <n v="2"/>
    <n v="2"/>
    <n v="5"/>
    <n v="8"/>
    <n v="16"/>
    <s v="Mark Reeves"/>
    <x v="1"/>
    <d v="2026-02-18T00:00:00"/>
    <x v="0"/>
    <n v="4"/>
    <x v="2"/>
    <n v="1"/>
    <s v="4-5 Years"/>
    <n v="2"/>
    <x v="0"/>
  </r>
  <r>
    <s v="EMP2152"/>
    <s v="John Moore"/>
    <x v="0"/>
    <n v="32"/>
    <x v="0"/>
    <s v="Manufacturing Technician"/>
    <d v="2021-06-16T00:00:00"/>
    <n v="86510"/>
    <s v="Married"/>
    <s v="Master's"/>
    <x v="2"/>
    <s v="Non-Travel"/>
    <n v="29"/>
    <x v="1"/>
    <x v="3"/>
    <n v="1"/>
    <n v="3"/>
    <n v="1"/>
    <n v="3"/>
    <n v="6"/>
    <n v="17"/>
    <s v="James Evans"/>
    <x v="0"/>
    <m/>
    <x v="1"/>
    <n v="5"/>
    <x v="2"/>
    <n v="0"/>
    <s v="4-5 Years"/>
    <n v="2.33"/>
    <x v="0"/>
  </r>
  <r>
    <s v="EMP1206"/>
    <s v="Danielle Wilson"/>
    <x v="2"/>
    <n v="41"/>
    <x v="0"/>
    <s v="Lab Technician"/>
    <d v="2022-08-21T00:00:00"/>
    <n v="83084"/>
    <s v="Single"/>
    <s v="Master's"/>
    <x v="3"/>
    <s v="Travel_Rarely"/>
    <n v="24"/>
    <x v="0"/>
    <x v="1"/>
    <n v="4"/>
    <n v="1"/>
    <n v="3"/>
    <n v="5"/>
    <n v="0"/>
    <n v="18"/>
    <s v="Mr. Justin Green III"/>
    <x v="0"/>
    <m/>
    <x v="0"/>
    <n v="4"/>
    <x v="2"/>
    <n v="0"/>
    <s v="4-5 Years"/>
    <n v="3"/>
    <x v="1"/>
  </r>
  <r>
    <s v="EMP2090"/>
    <s v="Michael Hardy"/>
    <x v="0"/>
    <n v="27"/>
    <x v="2"/>
    <s v="System Administrator"/>
    <d v="2024-11-28T00:00:00"/>
    <n v="52459"/>
    <s v="Married"/>
    <s v="Bachelor's"/>
    <x v="0"/>
    <s v="Non-Travel"/>
    <n v="1"/>
    <x v="0"/>
    <x v="3"/>
    <n v="4"/>
    <n v="2"/>
    <n v="3"/>
    <n v="4"/>
    <n v="0"/>
    <n v="18"/>
    <s v="Lance Melton"/>
    <x v="0"/>
    <m/>
    <x v="1"/>
    <n v="1"/>
    <x v="1"/>
    <n v="0"/>
    <s v="1-3 Years"/>
    <n v="3"/>
    <x v="1"/>
  </r>
  <r>
    <s v="EMP1657"/>
    <s v="Logan Newton"/>
    <x v="2"/>
    <n v="30"/>
    <x v="3"/>
    <s v="Accountant"/>
    <d v="2020-07-09T00:00:00"/>
    <n v="62654"/>
    <s v="Divorced"/>
    <s v="PhD"/>
    <x v="4"/>
    <s v="Travel_Rarely"/>
    <n v="44"/>
    <x v="0"/>
    <x v="3"/>
    <n v="1"/>
    <n v="1"/>
    <n v="3"/>
    <n v="3"/>
    <n v="1"/>
    <n v="21"/>
    <s v="Sheri Buchanan"/>
    <x v="0"/>
    <m/>
    <x v="1"/>
    <n v="6"/>
    <x v="2"/>
    <n v="0"/>
    <s v="6-10 Years"/>
    <n v="1.67"/>
    <x v="2"/>
  </r>
  <r>
    <s v="EMP2114"/>
    <s v="Nicholas Johnston"/>
    <x v="2"/>
    <n v="39"/>
    <x v="4"/>
    <s v="Sales Executive"/>
    <d v="2021-10-13T00:00:00"/>
    <n v="41735"/>
    <s v="Single"/>
    <s v="Not Specified"/>
    <x v="5"/>
    <s v="Travel_Rarely"/>
    <n v="2"/>
    <x v="0"/>
    <x v="2"/>
    <n v="2"/>
    <n v="3"/>
    <n v="4"/>
    <n v="6"/>
    <n v="6"/>
    <n v="20"/>
    <s v="Brittany Clements MD"/>
    <x v="0"/>
    <m/>
    <x v="0"/>
    <n v="4"/>
    <x v="1"/>
    <n v="0"/>
    <s v="4-5 Years"/>
    <n v="2.33"/>
    <x v="0"/>
  </r>
  <r>
    <s v="EMP1035"/>
    <s v="Elizabeth Stewart"/>
    <x v="0"/>
    <n v="28"/>
    <x v="0"/>
    <s v="Research Scientist"/>
    <d v="2022-11-17T00:00:00"/>
    <n v="60333"/>
    <s v="Married"/>
    <s v="Bachelor's"/>
    <x v="6"/>
    <s v="Travel_Frequently"/>
    <n v="4"/>
    <x v="0"/>
    <x v="2"/>
    <n v="4"/>
    <n v="2"/>
    <n v="3"/>
    <n v="0"/>
    <n v="8"/>
    <n v="21"/>
    <s v="Jimmy Murillo"/>
    <x v="0"/>
    <m/>
    <x v="1"/>
    <n v="3"/>
    <x v="2"/>
    <n v="0"/>
    <s v="1-3 Years"/>
    <n v="2.67"/>
    <x v="0"/>
  </r>
  <r>
    <s v="EMP1736"/>
    <s v="Margaret Erickson"/>
    <x v="2"/>
    <n v="31"/>
    <x v="0"/>
    <s v="Research Scientist"/>
    <d v="2013-06-14T00:00:00"/>
    <n v="111457"/>
    <s v="Single"/>
    <s v="Diploma"/>
    <x v="2"/>
    <s v="Travel_Frequently"/>
    <n v="34"/>
    <x v="1"/>
    <x v="0"/>
    <n v="2"/>
    <n v="1"/>
    <n v="3"/>
    <n v="0"/>
    <n v="4"/>
    <n v="11"/>
    <s v="Matthew Yoder"/>
    <x v="1"/>
    <d v="2024-10-07T00:00:00"/>
    <x v="1"/>
    <n v="11"/>
    <x v="0"/>
    <n v="1"/>
    <s v="More than 10 Years"/>
    <n v="1.33"/>
    <x v="2"/>
  </r>
  <r>
    <s v="EMP1064"/>
    <s v="David Benson"/>
    <x v="2"/>
    <n v="40"/>
    <x v="4"/>
    <s v="Sales Manager"/>
    <d v="2022-03-15T00:00:00"/>
    <n v="57034"/>
    <s v="Married"/>
    <s v="Bachelor's"/>
    <x v="1"/>
    <s v="Travel_Rarely"/>
    <n v="22"/>
    <x v="0"/>
    <x v="3"/>
    <n v="1"/>
    <n v="4"/>
    <n v="2"/>
    <n v="1"/>
    <n v="8"/>
    <n v="22"/>
    <s v="Jason Daniels"/>
    <x v="0"/>
    <m/>
    <x v="0"/>
    <n v="4"/>
    <x v="1"/>
    <n v="0"/>
    <s v="4-5 Years"/>
    <n v="2.67"/>
    <x v="0"/>
  </r>
  <r>
    <s v="EMP1642"/>
    <s v="Jonathan Ellis"/>
    <x v="0"/>
    <n v="39"/>
    <x v="4"/>
    <s v="Sales Representative"/>
    <d v="2025-06-25T00:00:00"/>
    <n v="75286"/>
    <s v="Divorced"/>
    <s v="PhD"/>
    <x v="7"/>
    <s v="Non-Travel"/>
    <n v="39"/>
    <x v="0"/>
    <x v="2"/>
    <n v="4"/>
    <n v="3"/>
    <n v="4"/>
    <n v="2"/>
    <n v="4"/>
    <n v="19"/>
    <s v="Joseph Cook"/>
    <x v="1"/>
    <d v="2025-07-04T00:00:00"/>
    <x v="0"/>
    <n v="0"/>
    <x v="2"/>
    <n v="1"/>
    <s v="Less than 1 Year"/>
    <n v="3"/>
    <x v="1"/>
  </r>
  <r>
    <s v="EMP1762"/>
    <s v="Anna Cox"/>
    <x v="0"/>
    <n v="37"/>
    <x v="1"/>
    <s v="Hr Manager"/>
    <d v="2023-01-07T00:00:00"/>
    <n v="65329"/>
    <s v="Single"/>
    <s v="Bachelor's"/>
    <x v="3"/>
    <s v="Non-Travel"/>
    <n v="37"/>
    <x v="0"/>
    <x v="1"/>
    <n v="2"/>
    <n v="4"/>
    <n v="4"/>
    <n v="0"/>
    <n v="7"/>
    <n v="16"/>
    <s v="Colleen Townsend"/>
    <x v="0"/>
    <m/>
    <x v="0"/>
    <n v="3"/>
    <x v="2"/>
    <n v="0"/>
    <s v="1-3 Years"/>
    <n v="3.33"/>
    <x v="1"/>
  </r>
  <r>
    <s v="EMP1928"/>
    <s v="Luke Martinez"/>
    <x v="2"/>
    <n v="26"/>
    <x v="2"/>
    <s v="It Support"/>
    <d v="2015-01-03T00:00:00"/>
    <n v="96042"/>
    <s v="Single"/>
    <s v="High School"/>
    <x v="6"/>
    <s v="Non-Travel"/>
    <n v="16"/>
    <x v="1"/>
    <x v="1"/>
    <n v="1"/>
    <n v="3"/>
    <n v="3"/>
    <n v="2"/>
    <n v="5"/>
    <n v="21"/>
    <s v="Gerald Kelly"/>
    <x v="0"/>
    <m/>
    <x v="1"/>
    <n v="11"/>
    <x v="2"/>
    <n v="0"/>
    <s v="More than 10 Years"/>
    <n v="2.67"/>
    <x v="0"/>
  </r>
  <r>
    <s v="EMP1455"/>
    <s v="Joseph Williams"/>
    <x v="2"/>
    <n v="19"/>
    <x v="1"/>
    <s v="Hr Executive"/>
    <d v="2026-07-03T00:00:00"/>
    <n v="29667"/>
    <s v="Married"/>
    <s v="Master's"/>
    <x v="1"/>
    <s v="Non-Travel"/>
    <n v="32"/>
    <x v="0"/>
    <x v="1"/>
    <n v="1"/>
    <n v="2"/>
    <n v="3"/>
    <n v="4"/>
    <n v="8"/>
    <n v="13"/>
    <s v="Alicia Norris"/>
    <x v="1"/>
    <d v="2026-08-11T00:00:00"/>
    <x v="2"/>
    <n v="0"/>
    <x v="3"/>
    <n v="1"/>
    <s v="Less than 1 Year"/>
    <n v="2.33"/>
    <x v="0"/>
  </r>
  <r>
    <s v="EMP1356"/>
    <s v="Pamela Best"/>
    <x v="2"/>
    <n v="41"/>
    <x v="4"/>
    <s v="Not Specified"/>
    <d v="2023-02-26T00:00:00"/>
    <n v="86947"/>
    <s v="Divorced"/>
    <s v="Master's"/>
    <x v="1"/>
    <s v="Travel_Frequently"/>
    <n v="2"/>
    <x v="1"/>
    <x v="2"/>
    <n v="3"/>
    <n v="3"/>
    <n v="3"/>
    <n v="5"/>
    <n v="2"/>
    <n v="14"/>
    <s v="Not Specified"/>
    <x v="0"/>
    <m/>
    <x v="0"/>
    <n v="3"/>
    <x v="2"/>
    <n v="0"/>
    <s v="1-3 Years"/>
    <n v="2.67"/>
    <x v="0"/>
  </r>
  <r>
    <s v="EMP2073"/>
    <s v="John Davidson"/>
    <x v="2"/>
    <n v="30"/>
    <x v="3"/>
    <s v="Auditor"/>
    <d v="2020-06-09T00:00:00"/>
    <n v="134761"/>
    <s v="Single"/>
    <s v="PhD"/>
    <x v="6"/>
    <s v="Travel_Frequently"/>
    <n v="34"/>
    <x v="0"/>
    <x v="0"/>
    <n v="2"/>
    <n v="4"/>
    <n v="4"/>
    <n v="6"/>
    <n v="3"/>
    <n v="18"/>
    <s v="Andrew Dorsey"/>
    <x v="0"/>
    <m/>
    <x v="1"/>
    <n v="6"/>
    <x v="0"/>
    <n v="0"/>
    <s v="6-10 Years"/>
    <n v="2.33"/>
    <x v="0"/>
  </r>
  <r>
    <s v="EMP1446"/>
    <s v="Jason Hudson"/>
    <x v="2"/>
    <n v="38"/>
    <x v="2"/>
    <s v="Devops Engineer"/>
    <d v="2025-03-10T00:00:00"/>
    <n v="132335"/>
    <s v="Married"/>
    <s v="Bachelor's"/>
    <x v="8"/>
    <s v="Travel_Rarely"/>
    <n v="1"/>
    <x v="1"/>
    <x v="3"/>
    <n v="3"/>
    <n v="4"/>
    <n v="2"/>
    <n v="6"/>
    <n v="2"/>
    <n v="21"/>
    <s v="Mike Maxwell"/>
    <x v="1"/>
    <d v="2025-11-11T00:00:00"/>
    <x v="0"/>
    <n v="0"/>
    <x v="0"/>
    <n v="1"/>
    <s v="Less than 1 Year"/>
    <n v="3.33"/>
    <x v="1"/>
  </r>
  <r>
    <s v="EMP1351"/>
    <s v="Angelica Garcia"/>
    <x v="0"/>
    <n v="33"/>
    <x v="0"/>
    <s v="Lab Technician"/>
    <d v="2022-11-21T00:00:00"/>
    <n v="69167"/>
    <s v="Single"/>
    <s v="Bachelor's"/>
    <x v="8"/>
    <s v="Travel_Frequently"/>
    <n v="24"/>
    <x v="1"/>
    <x v="0"/>
    <n v="4"/>
    <n v="1"/>
    <n v="1"/>
    <n v="1"/>
    <n v="7"/>
    <n v="23"/>
    <s v="Not Specified"/>
    <x v="1"/>
    <d v="2025-02-11T00:00:00"/>
    <x v="1"/>
    <n v="2"/>
    <x v="2"/>
    <n v="1"/>
    <s v="1-3 Years"/>
    <n v="2"/>
    <x v="0"/>
  </r>
  <r>
    <s v="EMP1173"/>
    <s v="Kyle Mccormick"/>
    <x v="0"/>
    <n v="19"/>
    <x v="3"/>
    <s v="Accountant"/>
    <d v="2021-04-27T00:00:00"/>
    <n v="87597"/>
    <s v="Married"/>
    <s v="Master's"/>
    <x v="1"/>
    <s v="Travel_Rarely"/>
    <n v="4"/>
    <x v="0"/>
    <x v="0"/>
    <n v="4"/>
    <n v="1"/>
    <n v="5"/>
    <n v="2"/>
    <n v="1"/>
    <n v="17"/>
    <s v="Michael Mitchell"/>
    <x v="1"/>
    <d v="2021-09-02T00:00:00"/>
    <x v="2"/>
    <n v="0"/>
    <x v="2"/>
    <n v="1"/>
    <s v="Less than 1 Year"/>
    <n v="2"/>
    <x v="0"/>
  </r>
  <r>
    <s v="EMP1514"/>
    <s v="Kimberly Arroyo"/>
    <x v="2"/>
    <n v="32"/>
    <x v="0"/>
    <s v="Research Scientist"/>
    <d v="2016-03-17T00:00:00"/>
    <n v="83084"/>
    <s v="Single"/>
    <s v="Bachelor's"/>
    <x v="6"/>
    <s v="Non-Travel"/>
    <n v="23"/>
    <x v="0"/>
    <x v="2"/>
    <n v="4"/>
    <n v="4"/>
    <n v="3"/>
    <n v="5"/>
    <n v="5"/>
    <n v="22"/>
    <s v="Stephanie Cooper"/>
    <x v="0"/>
    <m/>
    <x v="1"/>
    <n v="10"/>
    <x v="2"/>
    <n v="0"/>
    <s v="6-10 Years"/>
    <n v="3.33"/>
    <x v="1"/>
  </r>
  <r>
    <s v="EMP1628"/>
    <s v="Andrew Fernandez"/>
    <x v="0"/>
    <n v="32"/>
    <x v="0"/>
    <s v="Research Director"/>
    <d v="2013-11-23T00:00:00"/>
    <n v="68416"/>
    <s v="Divorced"/>
    <s v="Bachelor's"/>
    <x v="6"/>
    <s v="Non-Travel"/>
    <n v="8"/>
    <x v="0"/>
    <x v="3"/>
    <n v="4"/>
    <n v="1"/>
    <n v="4"/>
    <n v="5"/>
    <n v="1"/>
    <n v="25"/>
    <s v="Connie Williams"/>
    <x v="0"/>
    <m/>
    <x v="1"/>
    <n v="12"/>
    <x v="2"/>
    <n v="0"/>
    <s v="More than 10 Years"/>
    <n v="2.67"/>
    <x v="0"/>
  </r>
  <r>
    <s v="EMP1569"/>
    <s v="Louis Diaz"/>
    <x v="2"/>
    <n v="41"/>
    <x v="2"/>
    <s v="System Administrator"/>
    <d v="2019-02-07T00:00:00"/>
    <n v="113587"/>
    <s v="Married"/>
    <s v="High School"/>
    <x v="1"/>
    <s v="Non-Travel"/>
    <n v="23"/>
    <x v="0"/>
    <x v="1"/>
    <n v="4"/>
    <n v="2"/>
    <n v="4"/>
    <n v="2"/>
    <n v="8"/>
    <n v="13"/>
    <s v="Michael Watson"/>
    <x v="0"/>
    <m/>
    <x v="0"/>
    <n v="7"/>
    <x v="0"/>
    <n v="0"/>
    <s v="6-10 Years"/>
    <n v="3.33"/>
    <x v="1"/>
  </r>
  <r>
    <s v="EMP1791"/>
    <s v="Richard Jackson"/>
    <x v="2"/>
    <n v="38"/>
    <x v="5"/>
    <s v="Marketing Executive"/>
    <d v="2015-07-17T00:00:00"/>
    <n v="77630"/>
    <s v="Single"/>
    <s v="Diploma"/>
    <x v="9"/>
    <s v="Non-Travel"/>
    <n v="32"/>
    <x v="0"/>
    <x v="2"/>
    <n v="3"/>
    <n v="2"/>
    <n v="3"/>
    <n v="2"/>
    <n v="4"/>
    <n v="21"/>
    <s v="Patricia Williams"/>
    <x v="1"/>
    <d v="2020-12-04T00:00:00"/>
    <x v="0"/>
    <n v="5"/>
    <x v="2"/>
    <n v="1"/>
    <s v="4-5 Years"/>
    <n v="2.33"/>
    <x v="0"/>
  </r>
  <r>
    <s v="EMP1373"/>
    <s v="Ashley Moreno"/>
    <x v="0"/>
    <n v="34"/>
    <x v="4"/>
    <s v="Sales Manager"/>
    <d v="2015-03-20T00:00:00"/>
    <n v="101011"/>
    <s v="Single"/>
    <s v="High School"/>
    <x v="7"/>
    <s v="Travel_Rarely"/>
    <n v="16"/>
    <x v="0"/>
    <x v="2"/>
    <n v="3"/>
    <n v="4"/>
    <n v="3"/>
    <n v="2"/>
    <n v="7"/>
    <n v="17"/>
    <s v="Anthony Shea DDS"/>
    <x v="0"/>
    <m/>
    <x v="1"/>
    <n v="11"/>
    <x v="0"/>
    <n v="0"/>
    <s v="More than 10 Years"/>
    <n v="3"/>
    <x v="1"/>
  </r>
  <r>
    <s v="EMP1254"/>
    <s v="Eric Sullivan"/>
    <x v="0"/>
    <n v="34"/>
    <x v="1"/>
    <s v="Hr Business Partner"/>
    <d v="2019-02-28T00:00:00"/>
    <n v="68838"/>
    <s v="Divorced"/>
    <s v="Master's"/>
    <x v="4"/>
    <s v="Travel_Rarely"/>
    <n v="7"/>
    <x v="0"/>
    <x v="3"/>
    <n v="3"/>
    <n v="4"/>
    <n v="2"/>
    <n v="1"/>
    <n v="3"/>
    <n v="22"/>
    <s v="Michele Collins"/>
    <x v="0"/>
    <m/>
    <x v="1"/>
    <n v="7"/>
    <x v="2"/>
    <n v="0"/>
    <s v="6-10 Years"/>
    <n v="3.33"/>
    <x v="1"/>
  </r>
  <r>
    <s v="EMP2038"/>
    <s v="Susan Suarez"/>
    <x v="0"/>
    <n v="41"/>
    <x v="2"/>
    <s v="It Support"/>
    <d v="2018-07-12T00:00:00"/>
    <n v="132487"/>
    <s v="Divorced"/>
    <s v="Bachelor's"/>
    <x v="6"/>
    <s v="Non-Travel"/>
    <n v="37"/>
    <x v="0"/>
    <x v="0"/>
    <n v="3"/>
    <n v="2"/>
    <n v="4"/>
    <n v="6"/>
    <n v="2"/>
    <n v="22"/>
    <s v="Donna Ibarra"/>
    <x v="1"/>
    <d v="2023-03-20T00:00:00"/>
    <x v="0"/>
    <n v="4"/>
    <x v="0"/>
    <n v="1"/>
    <s v="4-5 Years"/>
    <n v="2"/>
    <x v="0"/>
  </r>
  <r>
    <s v="EMP1632"/>
    <s v="Luis Fitzgerald"/>
    <x v="0"/>
    <n v="45"/>
    <x v="2"/>
    <s v="Data Analyst"/>
    <d v="2015-05-03T00:00:00"/>
    <n v="74430"/>
    <s v="Divorced"/>
    <s v="High School"/>
    <x v="5"/>
    <s v="Travel_Frequently"/>
    <n v="21"/>
    <x v="0"/>
    <x v="1"/>
    <n v="2"/>
    <n v="3"/>
    <n v="4"/>
    <n v="6"/>
    <n v="3"/>
    <n v="15"/>
    <s v="Ricardo Morris"/>
    <x v="0"/>
    <m/>
    <x v="3"/>
    <n v="11"/>
    <x v="2"/>
    <n v="0"/>
    <s v="More than 10 Years"/>
    <n v="3"/>
    <x v="1"/>
  </r>
  <r>
    <s v="EMP1453"/>
    <s v="Travis Hull"/>
    <x v="1"/>
    <n v="49"/>
    <x v="4"/>
    <s v="Account Manager"/>
    <d v="2017-09-06T00:00:00"/>
    <n v="80501"/>
    <s v="Single"/>
    <s v="Master's"/>
    <x v="2"/>
    <s v="Travel_Rarely"/>
    <n v="19"/>
    <x v="0"/>
    <x v="3"/>
    <n v="1"/>
    <n v="2"/>
    <n v="4"/>
    <n v="0"/>
    <n v="6"/>
    <n v="20"/>
    <s v="Nicholas Anderson"/>
    <x v="0"/>
    <m/>
    <x v="3"/>
    <n v="8"/>
    <x v="2"/>
    <n v="0"/>
    <s v="6-10 Years"/>
    <n v="2"/>
    <x v="0"/>
  </r>
  <r>
    <s v="EMP1545"/>
    <s v="Autumn Smith"/>
    <x v="2"/>
    <n v="22"/>
    <x v="4"/>
    <s v="Sales Manager"/>
    <d v="2021-06-05T00:00:00"/>
    <n v="71864"/>
    <s v="Single"/>
    <s v="Bachelor's"/>
    <x v="3"/>
    <s v="Not Specified"/>
    <n v="38"/>
    <x v="0"/>
    <x v="1"/>
    <n v="1"/>
    <n v="2"/>
    <n v="3"/>
    <n v="3"/>
    <n v="4"/>
    <n v="18"/>
    <s v="Emily Cox"/>
    <x v="0"/>
    <m/>
    <x v="2"/>
    <n v="5"/>
    <x v="2"/>
    <n v="0"/>
    <s v="4-5 Years"/>
    <n v="2.33"/>
    <x v="0"/>
  </r>
  <r>
    <s v="EMP1526"/>
    <s v="Carol Palmer"/>
    <x v="2"/>
    <n v="32"/>
    <x v="5"/>
    <s v="Marketing Executive"/>
    <d v="2018-04-27T00:00:00"/>
    <n v="77630"/>
    <s v="Not Specified"/>
    <s v="Bachelor's"/>
    <x v="9"/>
    <s v="Non-Travel"/>
    <n v="18"/>
    <x v="0"/>
    <x v="0"/>
    <n v="4"/>
    <n v="3"/>
    <n v="3"/>
    <n v="0"/>
    <n v="2"/>
    <n v="14"/>
    <s v="Travis Hopkins"/>
    <x v="0"/>
    <m/>
    <x v="1"/>
    <n v="8"/>
    <x v="2"/>
    <n v="0"/>
    <s v="6-10 Years"/>
    <n v="2.67"/>
    <x v="0"/>
  </r>
  <r>
    <s v="EMP1190"/>
    <s v="Eric Williams"/>
    <x v="0"/>
    <n v="37"/>
    <x v="0"/>
    <s v="Lab Technician"/>
    <d v="2017-12-04T00:00:00"/>
    <n v="54333"/>
    <s v="Divorced"/>
    <s v="Master's"/>
    <x v="1"/>
    <s v="Travel_Rarely"/>
    <n v="25"/>
    <x v="0"/>
    <x v="2"/>
    <n v="3"/>
    <n v="2"/>
    <n v="3"/>
    <n v="4"/>
    <n v="3"/>
    <n v="24"/>
    <s v="Joyce Rodriguez"/>
    <x v="0"/>
    <m/>
    <x v="0"/>
    <n v="8"/>
    <x v="1"/>
    <n v="0"/>
    <s v="6-10 Years"/>
    <n v="2.33"/>
    <x v="0"/>
  </r>
  <r>
    <s v="EMP1102"/>
    <s v="Jordan Edwards"/>
    <x v="2"/>
    <n v="41"/>
    <x v="0"/>
    <s v="Research Director"/>
    <d v="2016-06-26T00:00:00"/>
    <n v="87201"/>
    <s v="Married"/>
    <s v="PhD"/>
    <x v="7"/>
    <s v="Travel_Rarely"/>
    <n v="3"/>
    <x v="1"/>
    <x v="3"/>
    <n v="4"/>
    <n v="4"/>
    <n v="3"/>
    <n v="4"/>
    <n v="4"/>
    <n v="12"/>
    <s v="Jennifer Robertson"/>
    <x v="0"/>
    <m/>
    <x v="0"/>
    <n v="10"/>
    <x v="2"/>
    <n v="0"/>
    <s v="6-10 Years"/>
    <n v="3.67"/>
    <x v="1"/>
  </r>
  <r>
    <s v="EMP1735"/>
    <s v="Corey Johnson"/>
    <x v="2"/>
    <n v="34"/>
    <x v="2"/>
    <s v="Software Engineer"/>
    <d v="2013-01-12T00:00:00"/>
    <n v="72007"/>
    <s v="Divorced"/>
    <s v="Master's"/>
    <x v="0"/>
    <s v="Non-Travel"/>
    <n v="41"/>
    <x v="0"/>
    <x v="0"/>
    <n v="4"/>
    <n v="4"/>
    <n v="4"/>
    <n v="4"/>
    <n v="3"/>
    <n v="21"/>
    <s v="Mary Houston"/>
    <x v="0"/>
    <m/>
    <x v="1"/>
    <n v="13"/>
    <x v="2"/>
    <n v="0"/>
    <s v="More than 10 Years"/>
    <n v="3"/>
    <x v="1"/>
  </r>
  <r>
    <s v="EMP1335"/>
    <s v="Anthony Bell"/>
    <x v="0"/>
    <n v="47"/>
    <x v="6"/>
    <s v="Sales Executive"/>
    <d v="2015-11-09T00:00:00"/>
    <n v="87128"/>
    <s v="Divorced"/>
    <s v="High School"/>
    <x v="10"/>
    <s v="Non-Travel"/>
    <n v="44"/>
    <x v="0"/>
    <x v="1"/>
    <n v="2"/>
    <n v="3"/>
    <n v="4"/>
    <n v="3"/>
    <n v="2"/>
    <n v="25"/>
    <s v="Erica Padilla"/>
    <x v="0"/>
    <m/>
    <x v="3"/>
    <n v="10"/>
    <x v="2"/>
    <n v="0"/>
    <s v="6-10 Years"/>
    <n v="3"/>
    <x v="1"/>
  </r>
  <r>
    <s v="EMP1997"/>
    <s v="Robert Hobbs"/>
    <x v="2"/>
    <n v="58"/>
    <x v="2"/>
    <s v="Data Analyst"/>
    <d v="2020-11-25T00:00:00"/>
    <n v="111382"/>
    <s v="Married"/>
    <s v="Master's"/>
    <x v="2"/>
    <s v="Travel_Rarely"/>
    <n v="39"/>
    <x v="0"/>
    <x v="3"/>
    <n v="4"/>
    <n v="3"/>
    <n v="5"/>
    <n v="3"/>
    <n v="7"/>
    <n v="18"/>
    <s v="Timothy Logan"/>
    <x v="0"/>
    <m/>
    <x v="4"/>
    <n v="5"/>
    <x v="0"/>
    <n v="0"/>
    <s v="4-5 Years"/>
    <n v="3.33"/>
    <x v="1"/>
  </r>
  <r>
    <s v="EMP1447"/>
    <s v="Mr. Christopher Walters"/>
    <x v="2"/>
    <n v="45"/>
    <x v="3"/>
    <s v="Accountant"/>
    <d v="2011-09-25T00:00:00"/>
    <n v="126651"/>
    <s v="Divorced"/>
    <s v="Diploma"/>
    <x v="0"/>
    <s v="Travel_Rarely"/>
    <n v="3"/>
    <x v="0"/>
    <x v="3"/>
    <n v="3"/>
    <n v="1"/>
    <n v="3"/>
    <n v="5"/>
    <n v="5"/>
    <n v="15"/>
    <s v="Philip Jackson"/>
    <x v="0"/>
    <m/>
    <x v="3"/>
    <n v="14"/>
    <x v="0"/>
    <n v="0"/>
    <s v="More than 10 Years"/>
    <n v="2.33"/>
    <x v="0"/>
  </r>
  <r>
    <s v="EMP1171"/>
    <s v="Steven Cooper"/>
    <x v="2"/>
    <n v="48"/>
    <x v="4"/>
    <s v="Sales Representative"/>
    <d v="2022-04-27T00:00:00"/>
    <n v="61742"/>
    <s v="Married"/>
    <s v="High School"/>
    <x v="4"/>
    <s v="Travel_Rarely"/>
    <n v="19"/>
    <x v="0"/>
    <x v="1"/>
    <n v="1"/>
    <n v="2"/>
    <n v="3"/>
    <n v="6"/>
    <n v="3"/>
    <n v="20"/>
    <s v="Carrie Wright"/>
    <x v="0"/>
    <m/>
    <x v="3"/>
    <n v="4"/>
    <x v="2"/>
    <n v="0"/>
    <s v="4-5 Years"/>
    <n v="2.33"/>
    <x v="0"/>
  </r>
  <r>
    <s v="EMP1633"/>
    <s v="Ann Powers"/>
    <x v="2"/>
    <n v="43"/>
    <x v="4"/>
    <s v="Sales Representative"/>
    <d v="2017-12-24T00:00:00"/>
    <n v="77435"/>
    <s v="Divorced"/>
    <s v="Bachelor's"/>
    <x v="0"/>
    <s v="Travel_Rarely"/>
    <n v="42"/>
    <x v="0"/>
    <x v="0"/>
    <n v="2"/>
    <n v="2"/>
    <n v="3"/>
    <n v="4"/>
    <n v="2"/>
    <n v="23"/>
    <s v="Kirk Johnson"/>
    <x v="1"/>
    <d v="2021-01-01T00:00:00"/>
    <x v="0"/>
    <n v="3"/>
    <x v="2"/>
    <n v="1"/>
    <s v="1-3 Years"/>
    <n v="1.67"/>
    <x v="2"/>
  </r>
  <r>
    <s v="EMP1370"/>
    <s v="Justin Torres"/>
    <x v="2"/>
    <n v="29"/>
    <x v="0"/>
    <s v="Manufacturing Technician"/>
    <d v="2020-12-14T00:00:00"/>
    <n v="121515"/>
    <s v="Married"/>
    <s v="PhD"/>
    <x v="0"/>
    <s v="Travel_Rarely"/>
    <n v="18"/>
    <x v="0"/>
    <x v="0"/>
    <n v="3"/>
    <n v="2"/>
    <n v="3"/>
    <n v="1"/>
    <n v="2"/>
    <n v="14"/>
    <s v="Kevin Snyder"/>
    <x v="0"/>
    <m/>
    <x v="1"/>
    <n v="5"/>
    <x v="0"/>
    <n v="0"/>
    <s v="4-5 Years"/>
    <n v="2"/>
    <x v="0"/>
  </r>
  <r>
    <s v="EMP1286"/>
    <s v="Mary Jensen"/>
    <x v="0"/>
    <n v="26"/>
    <x v="2"/>
    <s v="Devops Engineer"/>
    <d v="2018-11-14T00:00:00"/>
    <n v="115249"/>
    <s v="Single"/>
    <s v="Not Specified"/>
    <x v="7"/>
    <s v="Non-Travel"/>
    <n v="19"/>
    <x v="1"/>
    <x v="1"/>
    <n v="1"/>
    <n v="2"/>
    <n v="4"/>
    <n v="2"/>
    <n v="1"/>
    <n v="18"/>
    <s v="Juan Smith"/>
    <x v="1"/>
    <d v="2022-09-02T00:00:00"/>
    <x v="1"/>
    <n v="3"/>
    <x v="0"/>
    <n v="1"/>
    <s v="1-3 Years"/>
    <n v="2.33"/>
    <x v="0"/>
  </r>
  <r>
    <s v="EMP2061"/>
    <s v="Dan Johnson"/>
    <x v="0"/>
    <n v="48"/>
    <x v="4"/>
    <s v="Account Manager"/>
    <d v="2025-06-09T00:00:00"/>
    <n v="89056"/>
    <s v="Married"/>
    <s v="Bachelor's"/>
    <x v="2"/>
    <s v="Travel_Frequently"/>
    <n v="24"/>
    <x v="0"/>
    <x v="3"/>
    <n v="3"/>
    <n v="3"/>
    <n v="2"/>
    <n v="3"/>
    <n v="7"/>
    <n v="18"/>
    <s v="Theresa Stevenson"/>
    <x v="0"/>
    <m/>
    <x v="3"/>
    <n v="1"/>
    <x v="2"/>
    <n v="0"/>
    <s v="1-3 Years"/>
    <n v="3"/>
    <x v="1"/>
  </r>
  <r>
    <s v="EMP1573"/>
    <s v="Elizabeth Hart"/>
    <x v="2"/>
    <n v="24"/>
    <x v="0"/>
    <s v="Research Scientist"/>
    <d v="2020-02-19T00:00:00"/>
    <n v="73043"/>
    <s v="Single"/>
    <s v="Bachelor's"/>
    <x v="1"/>
    <s v="Non-Travel"/>
    <n v="9"/>
    <x v="0"/>
    <x v="1"/>
    <n v="4"/>
    <n v="4"/>
    <n v="3"/>
    <n v="5"/>
    <n v="7"/>
    <n v="17"/>
    <s v="Michael Brown"/>
    <x v="0"/>
    <m/>
    <x v="2"/>
    <n v="6"/>
    <x v="2"/>
    <n v="0"/>
    <s v="6-10 Years"/>
    <n v="4"/>
    <x v="1"/>
  </r>
  <r>
    <s v="EMP1028"/>
    <s v="Zachary Huff"/>
    <x v="0"/>
    <n v="48"/>
    <x v="4"/>
    <s v="Sales Representative"/>
    <d v="2026-02-13T00:00:00"/>
    <n v="67220"/>
    <s v="Divorced"/>
    <s v="PhD"/>
    <x v="6"/>
    <s v="Non-Travel"/>
    <n v="44"/>
    <x v="1"/>
    <x v="1"/>
    <n v="3"/>
    <n v="1"/>
    <n v="5"/>
    <n v="3"/>
    <n v="4"/>
    <n v="14"/>
    <s v="Carol Tucker"/>
    <x v="1"/>
    <d v="2026-08-16T00:00:00"/>
    <x v="3"/>
    <n v="0"/>
    <x v="2"/>
    <n v="1"/>
    <s v="Less than 1 Year"/>
    <n v="2.67"/>
    <x v="0"/>
  </r>
  <r>
    <s v="EMP1427"/>
    <s v="Samantha Robertson"/>
    <x v="2"/>
    <n v="32"/>
    <x v="3"/>
    <s v="Finance Manager"/>
    <d v="2014-01-13T00:00:00"/>
    <n v="128079"/>
    <s v="Not Specified"/>
    <s v="Bachelor's"/>
    <x v="8"/>
    <s v="Travel_Frequently"/>
    <n v="2"/>
    <x v="1"/>
    <x v="1"/>
    <n v="3"/>
    <n v="2"/>
    <n v="5"/>
    <n v="0"/>
    <n v="5"/>
    <n v="12"/>
    <s v="Brandy York"/>
    <x v="1"/>
    <d v="2017-12-18T00:00:00"/>
    <x v="1"/>
    <n v="3"/>
    <x v="0"/>
    <n v="1"/>
    <s v="1-3 Years"/>
    <n v="3"/>
    <x v="1"/>
  </r>
  <r>
    <s v="EMP2136"/>
    <s v="Lisa Mosley"/>
    <x v="0"/>
    <n v="30"/>
    <x v="4"/>
    <s v="Account Manager"/>
    <d v="2014-03-18T00:00:00"/>
    <n v="91350"/>
    <s v="Single"/>
    <s v="Bachelor's"/>
    <x v="2"/>
    <s v="Travel_Rarely"/>
    <n v="43"/>
    <x v="0"/>
    <x v="3"/>
    <n v="1"/>
    <n v="2"/>
    <n v="3"/>
    <n v="5"/>
    <n v="6"/>
    <n v="18"/>
    <s v="Jean Reed"/>
    <x v="0"/>
    <m/>
    <x v="1"/>
    <n v="12"/>
    <x v="2"/>
    <n v="0"/>
    <s v="More than 10 Years"/>
    <n v="2"/>
    <x v="0"/>
  </r>
  <r>
    <s v="EMP1279"/>
    <s v="Dennis Hunt"/>
    <x v="2"/>
    <n v="34"/>
    <x v="3"/>
    <s v="Accountant"/>
    <d v="2019-01-30T00:00:00"/>
    <n v="128576"/>
    <s v="Divorced"/>
    <s v="Master's"/>
    <x v="3"/>
    <s v="Travel_Frequently"/>
    <n v="27"/>
    <x v="0"/>
    <x v="1"/>
    <n v="2"/>
    <n v="2"/>
    <n v="3"/>
    <n v="3"/>
    <n v="4"/>
    <n v="16"/>
    <s v="William Harrison"/>
    <x v="0"/>
    <m/>
    <x v="1"/>
    <n v="7"/>
    <x v="0"/>
    <n v="0"/>
    <s v="6-10 Years"/>
    <n v="2.67"/>
    <x v="0"/>
  </r>
  <r>
    <s v="EMP2110"/>
    <s v="Miss Sarah Ritter"/>
    <x v="2"/>
    <n v="39"/>
    <x v="5"/>
    <s v="Brand Manager"/>
    <d v="2019-11-02T00:00:00"/>
    <n v="54773"/>
    <s v="Divorced"/>
    <s v="Diploma"/>
    <x v="9"/>
    <s v="Non-Travel"/>
    <n v="23"/>
    <x v="1"/>
    <x v="3"/>
    <n v="3"/>
    <n v="3"/>
    <n v="3"/>
    <n v="5"/>
    <n v="0"/>
    <n v="17"/>
    <s v="Michael Mooney"/>
    <x v="0"/>
    <m/>
    <x v="0"/>
    <n v="6"/>
    <x v="1"/>
    <n v="0"/>
    <s v="6-10 Years"/>
    <n v="3"/>
    <x v="1"/>
  </r>
  <r>
    <s v="EMP1666"/>
    <s v="Michael Barnes"/>
    <x v="0"/>
    <n v="33"/>
    <x v="4"/>
    <s v="Sales Representative"/>
    <d v="2016-04-12T00:00:00"/>
    <n v="105741"/>
    <s v="Single"/>
    <s v="Master's"/>
    <x v="4"/>
    <s v="Travel_Frequently"/>
    <n v="37"/>
    <x v="0"/>
    <x v="2"/>
    <n v="1"/>
    <n v="1"/>
    <n v="3"/>
    <n v="4"/>
    <n v="0"/>
    <n v="18"/>
    <s v="Jill Sims"/>
    <x v="0"/>
    <m/>
    <x v="1"/>
    <n v="10"/>
    <x v="0"/>
    <n v="0"/>
    <s v="6-10 Years"/>
    <n v="1.33"/>
    <x v="2"/>
  </r>
  <r>
    <s v="EMP1962"/>
    <s v="Barbara Mayer"/>
    <x v="0"/>
    <n v="35"/>
    <x v="1"/>
    <s v="Recruiter"/>
    <d v="2014-05-06T00:00:00"/>
    <n v="80183"/>
    <s v="Single"/>
    <s v="High School"/>
    <x v="2"/>
    <s v="Travel_Rarely"/>
    <n v="13"/>
    <x v="0"/>
    <x v="2"/>
    <n v="1"/>
    <n v="4"/>
    <n v="3"/>
    <n v="3"/>
    <n v="0"/>
    <n v="12"/>
    <s v="Richard Sanchez"/>
    <x v="0"/>
    <m/>
    <x v="0"/>
    <n v="12"/>
    <x v="2"/>
    <n v="0"/>
    <s v="More than 10 Years"/>
    <n v="2.33"/>
    <x v="0"/>
  </r>
  <r>
    <s v="EMP1651"/>
    <s v="Denise Maxwell"/>
    <x v="2"/>
    <n v="35"/>
    <x v="3"/>
    <s v="Finance Manager"/>
    <d v="2013-04-03T00:00:00"/>
    <n v="61785"/>
    <s v="Married"/>
    <s v="Diploma"/>
    <x v="0"/>
    <s v="Travel_Frequently"/>
    <n v="14"/>
    <x v="0"/>
    <x v="1"/>
    <n v="4"/>
    <n v="4"/>
    <n v="3"/>
    <n v="2"/>
    <n v="3"/>
    <n v="13"/>
    <s v="Phillip Salazar"/>
    <x v="0"/>
    <m/>
    <x v="0"/>
    <n v="13"/>
    <x v="2"/>
    <n v="0"/>
    <s v="More than 10 Years"/>
    <n v="4"/>
    <x v="1"/>
  </r>
  <r>
    <s v="EMP1681"/>
    <s v="Maria Olson"/>
    <x v="2"/>
    <n v="43"/>
    <x v="2"/>
    <s v="It Support"/>
    <d v="2021-01-07T00:00:00"/>
    <n v="135716"/>
    <s v="Married"/>
    <s v="PhD"/>
    <x v="10"/>
    <s v="Travel_Frequently"/>
    <n v="29"/>
    <x v="0"/>
    <x v="0"/>
    <n v="3"/>
    <n v="3"/>
    <n v="3"/>
    <n v="6"/>
    <n v="6"/>
    <n v="19"/>
    <s v="Kimberly Rogers"/>
    <x v="0"/>
    <m/>
    <x v="0"/>
    <n v="5"/>
    <x v="0"/>
    <n v="0"/>
    <s v="4-5 Years"/>
    <n v="2.33"/>
    <x v="0"/>
  </r>
  <r>
    <s v="EMP1499"/>
    <s v="Kenneth Howard DDS"/>
    <x v="0"/>
    <n v="36"/>
    <x v="1"/>
    <s v="Hr Executive"/>
    <d v="2016-05-28T00:00:00"/>
    <n v="83128"/>
    <s v="Married"/>
    <s v="Bachelor's"/>
    <x v="9"/>
    <s v="Travel_Frequently"/>
    <n v="15"/>
    <x v="0"/>
    <x v="2"/>
    <n v="1"/>
    <n v="3"/>
    <n v="2"/>
    <n v="5"/>
    <n v="2"/>
    <n v="22"/>
    <s v="Clinton Jones"/>
    <x v="0"/>
    <m/>
    <x v="0"/>
    <n v="10"/>
    <x v="2"/>
    <n v="0"/>
    <s v="6-10 Years"/>
    <n v="2"/>
    <x v="0"/>
  </r>
  <r>
    <s v="EMP1114"/>
    <s v="John Costa"/>
    <x v="0"/>
    <n v="42"/>
    <x v="4"/>
    <s v="Sales Manager"/>
    <d v="2016-09-17T00:00:00"/>
    <n v="81915"/>
    <s v="Divorced"/>
    <s v="Diploma"/>
    <x v="5"/>
    <s v="Travel_Frequently"/>
    <n v="6"/>
    <x v="0"/>
    <x v="3"/>
    <n v="3"/>
    <n v="1"/>
    <n v="2"/>
    <n v="0"/>
    <n v="8"/>
    <n v="11"/>
    <s v="Marie Christian"/>
    <x v="0"/>
    <m/>
    <x v="0"/>
    <n v="9"/>
    <x v="2"/>
    <n v="0"/>
    <s v="6-10 Years"/>
    <n v="2.33"/>
    <x v="0"/>
  </r>
  <r>
    <s v="EMP1129"/>
    <s v="Misty Whitney"/>
    <x v="0"/>
    <n v="27"/>
    <x v="3"/>
    <s v="Financial Analyst"/>
    <d v="2026-02-03T00:00:00"/>
    <n v="55327"/>
    <s v="Divorced"/>
    <s v="Bachelor's"/>
    <x v="5"/>
    <s v="Travel_Frequently"/>
    <n v="13"/>
    <x v="0"/>
    <x v="0"/>
    <n v="1"/>
    <n v="3"/>
    <n v="3"/>
    <n v="3"/>
    <n v="1"/>
    <n v="17"/>
    <s v="Richard Smith"/>
    <x v="1"/>
    <d v="2026-07-21T00:00:00"/>
    <x v="1"/>
    <n v="0"/>
    <x v="1"/>
    <n v="1"/>
    <s v="Less than 1 Year"/>
    <n v="1.67"/>
    <x v="2"/>
  </r>
  <r>
    <s v="EMP1653"/>
    <s v="Jonathan Jacobs"/>
    <x v="0"/>
    <n v="49"/>
    <x v="3"/>
    <s v="Financial Analyst"/>
    <d v="2022-04-14T00:00:00"/>
    <n v="104107"/>
    <s v="Single"/>
    <s v="Bachelor's"/>
    <x v="1"/>
    <s v="Not Specified"/>
    <n v="20"/>
    <x v="1"/>
    <x v="3"/>
    <n v="2"/>
    <n v="1"/>
    <n v="1"/>
    <n v="3"/>
    <n v="4"/>
    <n v="23"/>
    <s v="Samuel Henry"/>
    <x v="0"/>
    <m/>
    <x v="3"/>
    <n v="4"/>
    <x v="0"/>
    <n v="0"/>
    <s v="4-5 Years"/>
    <n v="2"/>
    <x v="0"/>
  </r>
  <r>
    <s v="EMP1674"/>
    <s v="Kelly Dominguez"/>
    <x v="2"/>
    <n v="35"/>
    <x v="0"/>
    <s v="Manufacturing Technician"/>
    <d v="2020-10-17T00:00:00"/>
    <n v="44219"/>
    <s v="Married"/>
    <s v="Bachelor's"/>
    <x v="4"/>
    <s v="Travel_Frequently"/>
    <n v="23"/>
    <x v="1"/>
    <x v="3"/>
    <n v="4"/>
    <n v="4"/>
    <n v="5"/>
    <n v="4"/>
    <n v="4"/>
    <n v="18"/>
    <s v="Nicholas Fuller"/>
    <x v="0"/>
    <m/>
    <x v="0"/>
    <n v="5"/>
    <x v="1"/>
    <n v="0"/>
    <s v="4-5 Years"/>
    <n v="3.67"/>
    <x v="1"/>
  </r>
  <r>
    <s v="EMP1047"/>
    <s v="Robert Perez"/>
    <x v="0"/>
    <n v="40"/>
    <x v="4"/>
    <s v="Account Manager"/>
    <d v="2012-01-06T00:00:00"/>
    <n v="49314"/>
    <s v="Married"/>
    <s v="Bachelor's"/>
    <x v="2"/>
    <s v="Non-Travel"/>
    <n v="34"/>
    <x v="0"/>
    <x v="0"/>
    <n v="3"/>
    <n v="3"/>
    <n v="1"/>
    <n v="2"/>
    <n v="5"/>
    <n v="13"/>
    <s v="Garrett Lin"/>
    <x v="0"/>
    <m/>
    <x v="0"/>
    <n v="14"/>
    <x v="1"/>
    <n v="0"/>
    <s v="More than 10 Years"/>
    <n v="2.33"/>
    <x v="0"/>
  </r>
  <r>
    <s v="EMP2149"/>
    <s v="Laura Robinson"/>
    <x v="2"/>
    <n v="45"/>
    <x v="4"/>
    <s v="Account Manager"/>
    <d v="2016-03-17T00:00:00"/>
    <n v="58199"/>
    <s v="Married"/>
    <s v="High School"/>
    <x v="3"/>
    <s v="Travel_Frequently"/>
    <n v="15"/>
    <x v="1"/>
    <x v="0"/>
    <n v="3"/>
    <n v="2"/>
    <n v="3"/>
    <n v="6"/>
    <n v="0"/>
    <n v="17"/>
    <s v="Samantha Johnson"/>
    <x v="1"/>
    <d v="2025-12-18T00:00:00"/>
    <x v="3"/>
    <n v="9"/>
    <x v="1"/>
    <n v="1"/>
    <s v="6-10 Years"/>
    <n v="2"/>
    <x v="0"/>
  </r>
  <r>
    <s v="EMP2188"/>
    <s v="Alex Serrano"/>
    <x v="2"/>
    <n v="30"/>
    <x v="0"/>
    <s v="Manufacturing Technician"/>
    <d v="2023-01-20T00:00:00"/>
    <n v="87344"/>
    <s v="Divorced"/>
    <s v="High School"/>
    <x v="10"/>
    <s v="Non-Travel"/>
    <n v="23"/>
    <x v="1"/>
    <x v="2"/>
    <n v="1"/>
    <n v="2"/>
    <n v="3"/>
    <n v="3"/>
    <n v="8"/>
    <n v="12"/>
    <s v="David Miller"/>
    <x v="1"/>
    <d v="2025-05-19T00:00:00"/>
    <x v="1"/>
    <n v="2"/>
    <x v="2"/>
    <n v="1"/>
    <s v="1-3 Years"/>
    <n v="1.67"/>
    <x v="2"/>
  </r>
  <r>
    <s v="EMP1397"/>
    <s v="Shannon Yu"/>
    <x v="2"/>
    <n v="41"/>
    <x v="2"/>
    <s v="Devops Engineer"/>
    <d v="2017-03-27T00:00:00"/>
    <n v="122666"/>
    <s v="Married"/>
    <s v="Master's"/>
    <x v="2"/>
    <s v="Travel_Frequently"/>
    <n v="23"/>
    <x v="0"/>
    <x v="0"/>
    <n v="1"/>
    <n v="2"/>
    <n v="4"/>
    <n v="2"/>
    <n v="4"/>
    <n v="15"/>
    <s v="Brian Turner"/>
    <x v="1"/>
    <d v="2026-02-11T00:00:00"/>
    <x v="0"/>
    <n v="8"/>
    <x v="0"/>
    <n v="1"/>
    <s v="6-10 Years"/>
    <n v="1.33"/>
    <x v="2"/>
  </r>
  <r>
    <s v="EMP1510"/>
    <s v="Angel Reilly"/>
    <x v="2"/>
    <n v="34"/>
    <x v="1"/>
    <s v="Hr Manager"/>
    <d v="2013-03-31T00:00:00"/>
    <n v="46686"/>
    <s v="Married"/>
    <s v="Bachelor's"/>
    <x v="0"/>
    <s v="Travel_Frequently"/>
    <n v="35"/>
    <x v="0"/>
    <x v="0"/>
    <n v="2"/>
    <n v="4"/>
    <n v="3"/>
    <n v="3"/>
    <n v="2"/>
    <n v="16"/>
    <s v="Elizabeth Miller"/>
    <x v="0"/>
    <m/>
    <x v="1"/>
    <n v="13"/>
    <x v="1"/>
    <n v="0"/>
    <s v="More than 10 Years"/>
    <n v="2.33"/>
    <x v="0"/>
  </r>
  <r>
    <s v="EMP1798"/>
    <s v="Michael Dennis"/>
    <x v="0"/>
    <n v="32"/>
    <x v="4"/>
    <s v="Account Manager"/>
    <d v="2025-02-03T00:00:00"/>
    <n v="89640"/>
    <s v="Divorced"/>
    <s v="Master's"/>
    <x v="8"/>
    <s v="Travel_Frequently"/>
    <n v="34"/>
    <x v="1"/>
    <x v="0"/>
    <n v="2"/>
    <n v="4"/>
    <n v="3"/>
    <n v="5"/>
    <n v="6"/>
    <n v="23"/>
    <s v="Elizabeth Morales"/>
    <x v="1"/>
    <d v="2025-04-24T00:00:00"/>
    <x v="1"/>
    <n v="0"/>
    <x v="2"/>
    <n v="1"/>
    <s v="Less than 1 Year"/>
    <n v="2.33"/>
    <x v="0"/>
  </r>
  <r>
    <s v="EMP1456"/>
    <s v="James Kelley"/>
    <x v="0"/>
    <n v="55"/>
    <x v="0"/>
    <s v="Lab Technician"/>
    <d v="2018-09-27T00:00:00"/>
    <n v="76207"/>
    <s v="Divorced"/>
    <s v="High School"/>
    <x v="9"/>
    <s v="Non-Travel"/>
    <n v="1"/>
    <x v="0"/>
    <x v="2"/>
    <n v="3"/>
    <n v="4"/>
    <n v="2"/>
    <n v="5"/>
    <n v="6"/>
    <n v="14"/>
    <s v="Lorraine Turner"/>
    <x v="1"/>
    <d v="2019-12-14T00:00:00"/>
    <x v="4"/>
    <n v="1"/>
    <x v="2"/>
    <n v="1"/>
    <s v="1-3 Years"/>
    <n v="3"/>
    <x v="1"/>
  </r>
  <r>
    <s v="EMP1987"/>
    <s v="Jordan Pace"/>
    <x v="0"/>
    <n v="22"/>
    <x v="0"/>
    <s v="Research Director"/>
    <d v="2021-03-23T00:00:00"/>
    <n v="60965"/>
    <s v="Married"/>
    <s v="Bachelor's"/>
    <x v="6"/>
    <s v="Travel_Frequently"/>
    <n v="18"/>
    <x v="0"/>
    <x v="0"/>
    <n v="4"/>
    <n v="3"/>
    <n v="2"/>
    <n v="1"/>
    <n v="4"/>
    <n v="12"/>
    <s v="Amber Mcmillan"/>
    <x v="0"/>
    <m/>
    <x v="2"/>
    <n v="5"/>
    <x v="2"/>
    <n v="0"/>
    <s v="4-5 Years"/>
    <n v="2.67"/>
    <x v="0"/>
  </r>
  <r>
    <s v="EMP1644"/>
    <s v="Robin Garrett"/>
    <x v="2"/>
    <n v="43"/>
    <x v="7"/>
    <s v="Supply Chain Analyst"/>
    <d v="2024-10-08T00:00:00"/>
    <n v="66180"/>
    <s v="Single"/>
    <s v="Master's"/>
    <x v="4"/>
    <s v="Non-Travel"/>
    <n v="6"/>
    <x v="0"/>
    <x v="2"/>
    <n v="2"/>
    <n v="1"/>
    <n v="3"/>
    <n v="4"/>
    <n v="3"/>
    <n v="12"/>
    <s v="Alyssa Peters"/>
    <x v="1"/>
    <d v="2026-06-16T00:00:00"/>
    <x v="0"/>
    <n v="1"/>
    <x v="2"/>
    <n v="1"/>
    <s v="1-3 Years"/>
    <n v="1.67"/>
    <x v="2"/>
  </r>
  <r>
    <s v="EMP1661"/>
    <s v="Jocelyn Sharp"/>
    <x v="0"/>
    <n v="39"/>
    <x v="2"/>
    <s v="Devops Engineer"/>
    <d v="2013-05-08T00:00:00"/>
    <n v="141093"/>
    <s v="Divorced"/>
    <s v="Bachelor's"/>
    <x v="1"/>
    <s v="Travel_Frequently"/>
    <n v="1"/>
    <x v="0"/>
    <x v="3"/>
    <n v="2"/>
    <n v="4"/>
    <n v="2"/>
    <n v="6"/>
    <n v="1"/>
    <n v="20"/>
    <s v="Teresa Horton"/>
    <x v="0"/>
    <m/>
    <x v="0"/>
    <n v="13"/>
    <x v="0"/>
    <n v="0"/>
    <s v="More than 10 Years"/>
    <n v="3"/>
    <x v="1"/>
  </r>
  <r>
    <s v="EMP1725"/>
    <s v="Christopher Vargas"/>
    <x v="0"/>
    <n v="44"/>
    <x v="4"/>
    <s v="Sales Manager"/>
    <d v="2013-12-01T00:00:00"/>
    <n v="66980"/>
    <s v="Married"/>
    <s v="Not Specified"/>
    <x v="4"/>
    <s v="Travel_Frequently"/>
    <n v="31"/>
    <x v="0"/>
    <x v="0"/>
    <n v="2"/>
    <n v="3"/>
    <n v="4"/>
    <n v="2"/>
    <n v="3"/>
    <n v="22"/>
    <s v="Robert Green"/>
    <x v="0"/>
    <m/>
    <x v="0"/>
    <n v="12"/>
    <x v="2"/>
    <n v="0"/>
    <s v="More than 10 Years"/>
    <n v="2"/>
    <x v="0"/>
  </r>
  <r>
    <s v="EMP1925"/>
    <s v="Lisa Campbell"/>
    <x v="2"/>
    <n v="26"/>
    <x v="0"/>
    <s v="Manufacturing Technician"/>
    <d v="2022-11-03T00:00:00"/>
    <n v="77201"/>
    <s v="Married"/>
    <s v="Master's"/>
    <x v="9"/>
    <s v="Non-Travel"/>
    <n v="41"/>
    <x v="1"/>
    <x v="1"/>
    <n v="2"/>
    <n v="2"/>
    <n v="5"/>
    <n v="5"/>
    <n v="4"/>
    <n v="11"/>
    <s v="Curtis Obrien"/>
    <x v="1"/>
    <d v="2025-05-22T00:00:00"/>
    <x v="1"/>
    <n v="2"/>
    <x v="2"/>
    <n v="1"/>
    <s v="1-3 Years"/>
    <n v="2.67"/>
    <x v="0"/>
  </r>
  <r>
    <s v="EMP1621"/>
    <s v="Kelly Holder"/>
    <x v="2"/>
    <n v="38"/>
    <x v="5"/>
    <s v="Brand Manager"/>
    <d v="2016-03-01T00:00:00"/>
    <n v="75285"/>
    <s v="Divorced"/>
    <s v="Master's"/>
    <x v="3"/>
    <s v="Not Specified"/>
    <n v="11"/>
    <x v="0"/>
    <x v="3"/>
    <n v="4"/>
    <n v="2"/>
    <n v="2"/>
    <n v="6"/>
    <n v="6"/>
    <n v="15"/>
    <s v="Daniel Foley"/>
    <x v="0"/>
    <m/>
    <x v="0"/>
    <n v="10"/>
    <x v="2"/>
    <n v="0"/>
    <s v="6-10 Years"/>
    <n v="3"/>
    <x v="1"/>
  </r>
  <r>
    <s v="EMP1221"/>
    <s v="Shannon Hester"/>
    <x v="2"/>
    <n v="38"/>
    <x v="1"/>
    <s v="Hr Manager"/>
    <d v="2013-08-12T00:00:00"/>
    <n v="78352"/>
    <s v="Divorced"/>
    <s v="Master's"/>
    <x v="8"/>
    <s v="Travel_Rarely"/>
    <n v="4"/>
    <x v="0"/>
    <x v="1"/>
    <n v="1"/>
    <n v="3"/>
    <n v="3"/>
    <n v="2"/>
    <n v="5"/>
    <n v="23"/>
    <s v="Justin Flores"/>
    <x v="0"/>
    <m/>
    <x v="0"/>
    <n v="13"/>
    <x v="2"/>
    <n v="0"/>
    <s v="More than 10 Years"/>
    <n v="2.67"/>
    <x v="0"/>
  </r>
  <r>
    <s v="EMP1409"/>
    <s v="Daniel Lee"/>
    <x v="0"/>
    <n v="23"/>
    <x v="0"/>
    <s v="Research Director"/>
    <d v="2022-01-24T00:00:00"/>
    <n v="123660"/>
    <s v="Married"/>
    <s v="Master's"/>
    <x v="9"/>
    <s v="Non-Travel"/>
    <n v="23"/>
    <x v="0"/>
    <x v="3"/>
    <n v="1"/>
    <n v="1"/>
    <n v="3"/>
    <n v="5"/>
    <n v="8"/>
    <n v="17"/>
    <s v="Monica Baker"/>
    <x v="0"/>
    <m/>
    <x v="2"/>
    <n v="4"/>
    <x v="0"/>
    <n v="0"/>
    <s v="4-5 Years"/>
    <n v="1.67"/>
    <x v="2"/>
  </r>
  <r>
    <s v="EMP1922"/>
    <s v="Michael Smith"/>
    <x v="2"/>
    <n v="46"/>
    <x v="5"/>
    <s v="Brand Manager"/>
    <d v="2015-12-17T00:00:00"/>
    <n v="110164"/>
    <s v="Single"/>
    <s v="Master's"/>
    <x v="2"/>
    <s v="Non-Travel"/>
    <n v="37"/>
    <x v="1"/>
    <x v="1"/>
    <n v="2"/>
    <n v="2"/>
    <n v="3"/>
    <n v="1"/>
    <n v="0"/>
    <n v="16"/>
    <s v="David Robinson"/>
    <x v="1"/>
    <d v="2018-01-06T00:00:00"/>
    <x v="3"/>
    <n v="2"/>
    <x v="0"/>
    <n v="1"/>
    <s v="1-3 Years"/>
    <n v="2.67"/>
    <x v="0"/>
  </r>
  <r>
    <s v="EMP1285"/>
    <s v="Ryan Hall"/>
    <x v="2"/>
    <n v="36"/>
    <x v="0"/>
    <s v="Research Scientist"/>
    <d v="2022-03-19T00:00:00"/>
    <n v="64670"/>
    <s v="Single"/>
    <s v="Diploma"/>
    <x v="4"/>
    <s v="Travel_Frequently"/>
    <n v="41"/>
    <x v="0"/>
    <x v="1"/>
    <n v="2"/>
    <n v="2"/>
    <n v="3"/>
    <n v="2"/>
    <n v="2"/>
    <n v="20"/>
    <s v="Not Specified"/>
    <x v="0"/>
    <m/>
    <x v="0"/>
    <n v="4"/>
    <x v="2"/>
    <n v="0"/>
    <s v="4-5 Years"/>
    <n v="2.67"/>
    <x v="0"/>
  </r>
  <r>
    <s v="EMP1879"/>
    <s v="Maria Sims"/>
    <x v="2"/>
    <n v="19"/>
    <x v="0"/>
    <s v="Manufacturing Technician"/>
    <d v="2025-03-11T00:00:00"/>
    <n v="106575"/>
    <s v="Single"/>
    <s v="Master's"/>
    <x v="5"/>
    <s v="Non-Travel"/>
    <n v="39"/>
    <x v="0"/>
    <x v="0"/>
    <n v="3"/>
    <n v="3"/>
    <n v="3"/>
    <n v="5"/>
    <n v="5"/>
    <n v="15"/>
    <s v="Michael Jackson"/>
    <x v="1"/>
    <d v="2026-08-17T00:00:00"/>
    <x v="2"/>
    <n v="1"/>
    <x v="0"/>
    <n v="1"/>
    <s v="1-3 Years"/>
    <n v="2.33"/>
    <x v="0"/>
  </r>
  <r>
    <s v="EMP1368"/>
    <s v="Jonathan Winters"/>
    <x v="2"/>
    <n v="19"/>
    <x v="4"/>
    <s v="Sales Representative"/>
    <d v="2014-05-04T00:00:00"/>
    <n v="88184"/>
    <s v="Divorced"/>
    <s v="Not Specified"/>
    <x v="3"/>
    <s v="Non-Travel"/>
    <n v="35"/>
    <x v="0"/>
    <x v="2"/>
    <n v="4"/>
    <n v="2"/>
    <n v="4"/>
    <n v="4"/>
    <n v="4"/>
    <n v="23"/>
    <s v="Vicki Finley"/>
    <x v="0"/>
    <m/>
    <x v="2"/>
    <n v="12"/>
    <x v="2"/>
    <n v="0"/>
    <s v="More than 10 Years"/>
    <n v="2.67"/>
    <x v="0"/>
  </r>
  <r>
    <s v="EMP2174"/>
    <s v="Jennifer Cohen"/>
    <x v="0"/>
    <n v="45"/>
    <x v="2"/>
    <s v="Software Engineer"/>
    <d v="2024-08-24T00:00:00"/>
    <n v="138038"/>
    <s v="Single"/>
    <s v="Master's"/>
    <x v="3"/>
    <s v="Travel_Rarely"/>
    <n v="11"/>
    <x v="0"/>
    <x v="3"/>
    <n v="3"/>
    <n v="3"/>
    <n v="2"/>
    <n v="6"/>
    <n v="5"/>
    <n v="17"/>
    <s v="Carol Christensen"/>
    <x v="0"/>
    <m/>
    <x v="3"/>
    <n v="2"/>
    <x v="0"/>
    <n v="0"/>
    <s v="1-3 Years"/>
    <n v="3"/>
    <x v="1"/>
  </r>
  <r>
    <s v="EMP1431"/>
    <s v="Nicole Barker"/>
    <x v="1"/>
    <n v="41"/>
    <x v="0"/>
    <s v="Research Scientist"/>
    <d v="2015-12-01T00:00:00"/>
    <n v="73181"/>
    <s v="Married"/>
    <s v="Bachelor's"/>
    <x v="3"/>
    <s v="Travel_Frequently"/>
    <n v="22"/>
    <x v="0"/>
    <x v="2"/>
    <n v="3"/>
    <n v="1"/>
    <n v="2"/>
    <n v="5"/>
    <n v="0"/>
    <n v="14"/>
    <s v="Christopher Armstrong"/>
    <x v="0"/>
    <m/>
    <x v="0"/>
    <n v="10"/>
    <x v="2"/>
    <n v="0"/>
    <s v="6-10 Years"/>
    <n v="2"/>
    <x v="0"/>
  </r>
  <r>
    <s v="EMP1759"/>
    <s v="Stacie Butler"/>
    <x v="0"/>
    <n v="29"/>
    <x v="4"/>
    <s v="Sales Manager"/>
    <d v="2023-09-16T00:00:00"/>
    <n v="68376"/>
    <s v="Divorced"/>
    <s v="Master's"/>
    <x v="6"/>
    <s v="Non-Travel"/>
    <n v="27"/>
    <x v="0"/>
    <x v="3"/>
    <n v="2"/>
    <n v="2"/>
    <n v="3"/>
    <n v="4"/>
    <n v="5"/>
    <n v="21"/>
    <s v="Melissa Harris"/>
    <x v="0"/>
    <m/>
    <x v="1"/>
    <n v="2"/>
    <x v="2"/>
    <n v="0"/>
    <s v="1-3 Years"/>
    <n v="2.33"/>
    <x v="0"/>
  </r>
  <r>
    <s v="EMP1061"/>
    <s v="Stephanie Salazar"/>
    <x v="0"/>
    <n v="37"/>
    <x v="2"/>
    <s v="Software Engineer"/>
    <d v="2022-05-24T00:00:00"/>
    <n v="49410"/>
    <s v="Single"/>
    <s v="High School"/>
    <x v="0"/>
    <s v="Not Specified"/>
    <n v="21"/>
    <x v="1"/>
    <x v="2"/>
    <n v="2"/>
    <n v="4"/>
    <n v="3"/>
    <n v="2"/>
    <n v="4"/>
    <n v="12"/>
    <s v="Kimberly Merritt"/>
    <x v="1"/>
    <d v="2024-07-19T00:00:00"/>
    <x v="0"/>
    <n v="2"/>
    <x v="1"/>
    <n v="1"/>
    <s v="1-3 Years"/>
    <n v="2.67"/>
    <x v="0"/>
  </r>
  <r>
    <s v="EMP1229"/>
    <s v="Kathryn Williams"/>
    <x v="2"/>
    <n v="38"/>
    <x v="2"/>
    <s v="Software Engineer"/>
    <d v="2013-09-15T00:00:00"/>
    <n v="116323"/>
    <s v="Divorced"/>
    <s v="Master's"/>
    <x v="2"/>
    <s v="Travel_Frequently"/>
    <n v="32"/>
    <x v="0"/>
    <x v="1"/>
    <n v="2"/>
    <n v="4"/>
    <n v="4"/>
    <n v="0"/>
    <n v="6"/>
    <n v="11"/>
    <s v="John Bryant"/>
    <x v="0"/>
    <m/>
    <x v="0"/>
    <n v="12"/>
    <x v="0"/>
    <n v="0"/>
    <s v="More than 10 Years"/>
    <n v="3.33"/>
    <x v="1"/>
  </r>
  <r>
    <s v="EMP1826"/>
    <s v="Kimberly Beltran"/>
    <x v="2"/>
    <n v="40"/>
    <x v="1"/>
    <s v="Hr Executive"/>
    <d v="2013-02-18T00:00:00"/>
    <n v="39877"/>
    <s v="Divorced"/>
    <s v="Diploma"/>
    <x v="1"/>
    <s v="Non-Travel"/>
    <n v="17"/>
    <x v="0"/>
    <x v="0"/>
    <n v="2"/>
    <n v="4"/>
    <n v="3"/>
    <n v="5"/>
    <n v="6"/>
    <n v="22"/>
    <s v="Jonathan Zimmerman"/>
    <x v="0"/>
    <m/>
    <x v="0"/>
    <n v="13"/>
    <x v="1"/>
    <n v="0"/>
    <s v="More than 10 Years"/>
    <n v="2.33"/>
    <x v="0"/>
  </r>
  <r>
    <s v="EMP1362"/>
    <s v="Rachel Le"/>
    <x v="2"/>
    <n v="21"/>
    <x v="4"/>
    <s v="Sales Manager"/>
    <d v="2014-02-25T00:00:00"/>
    <n v="107220"/>
    <s v="Divorced"/>
    <s v="PhD"/>
    <x v="6"/>
    <s v="Travel_Frequently"/>
    <n v="2"/>
    <x v="1"/>
    <x v="0"/>
    <n v="3"/>
    <n v="4"/>
    <n v="3"/>
    <n v="4"/>
    <n v="1"/>
    <n v="17"/>
    <s v="Debra Tanner"/>
    <x v="1"/>
    <d v="2015-09-28T00:00:00"/>
    <x v="2"/>
    <n v="1"/>
    <x v="0"/>
    <n v="1"/>
    <s v="1-3 Years"/>
    <n v="2.67"/>
    <x v="0"/>
  </r>
  <r>
    <s v="EMP1650"/>
    <s v="Sheryl Gutierrez"/>
    <x v="0"/>
    <n v="29"/>
    <x v="7"/>
    <s v="Logistics Manager"/>
    <d v="2017-10-18T00:00:00"/>
    <n v="57612"/>
    <s v="Married"/>
    <s v="Diploma"/>
    <x v="4"/>
    <s v="Travel_Rarely"/>
    <n v="20"/>
    <x v="0"/>
    <x v="1"/>
    <n v="1"/>
    <n v="3"/>
    <n v="4"/>
    <n v="3"/>
    <n v="7"/>
    <n v="15"/>
    <s v="Timothy Shannon"/>
    <x v="0"/>
    <m/>
    <x v="1"/>
    <n v="8"/>
    <x v="1"/>
    <n v="0"/>
    <s v="6-10 Years"/>
    <n v="2.67"/>
    <x v="0"/>
  </r>
  <r>
    <s v="EMP1542"/>
    <s v="Joseph Perez"/>
    <x v="0"/>
    <n v="28"/>
    <x v="0"/>
    <s v="Manufacturing Technician"/>
    <d v="2023-08-19T00:00:00"/>
    <n v="83185"/>
    <s v="Divorced"/>
    <s v="Master's"/>
    <x v="9"/>
    <s v="Travel_Rarely"/>
    <n v="36"/>
    <x v="0"/>
    <x v="1"/>
    <n v="4"/>
    <n v="2"/>
    <n v="5"/>
    <n v="3"/>
    <n v="6"/>
    <n v="15"/>
    <s v="Jane Chapman"/>
    <x v="0"/>
    <m/>
    <x v="1"/>
    <n v="3"/>
    <x v="2"/>
    <n v="0"/>
    <s v="1-3 Years"/>
    <n v="3.33"/>
    <x v="1"/>
  </r>
  <r>
    <s v="EMP2178"/>
    <s v="Tammy Nelson"/>
    <x v="2"/>
    <n v="26"/>
    <x v="0"/>
    <s v="Manufacturing Technician"/>
    <d v="2023-06-17T00:00:00"/>
    <n v="100031"/>
    <s v="Divorced"/>
    <s v="Diploma"/>
    <x v="3"/>
    <s v="Travel_Rarely"/>
    <n v="5"/>
    <x v="0"/>
    <x v="0"/>
    <n v="3"/>
    <n v="2"/>
    <n v="3"/>
    <n v="1"/>
    <n v="6"/>
    <n v="15"/>
    <s v="Danielle Colon"/>
    <x v="0"/>
    <m/>
    <x v="1"/>
    <n v="3"/>
    <x v="0"/>
    <n v="0"/>
    <s v="1-3 Years"/>
    <n v="2"/>
    <x v="0"/>
  </r>
  <r>
    <s v="EMP2105"/>
    <s v="James Medina"/>
    <x v="2"/>
    <n v="30"/>
    <x v="4"/>
    <s v="Sales Representative"/>
    <d v="2018-07-14T00:00:00"/>
    <n v="100585"/>
    <s v="Single"/>
    <s v="Master's"/>
    <x v="1"/>
    <s v="Not Specified"/>
    <n v="39"/>
    <x v="1"/>
    <x v="0"/>
    <n v="1"/>
    <n v="4"/>
    <n v="1"/>
    <n v="3"/>
    <n v="2"/>
    <n v="13"/>
    <s v="Sara Porter"/>
    <x v="1"/>
    <d v="2019-09-16T00:00:00"/>
    <x v="1"/>
    <n v="1"/>
    <x v="0"/>
    <n v="1"/>
    <s v="1-3 Years"/>
    <n v="2"/>
    <x v="0"/>
  </r>
  <r>
    <s v="EMP1111"/>
    <s v="Amanda Garner"/>
    <x v="0"/>
    <n v="37"/>
    <x v="1"/>
    <s v="Hr Business Partner"/>
    <d v="2022-03-08T00:00:00"/>
    <n v="35856"/>
    <s v="Single"/>
    <s v="Not Specified"/>
    <x v="6"/>
    <s v="Travel_Frequently"/>
    <n v="7"/>
    <x v="0"/>
    <x v="0"/>
    <n v="4"/>
    <n v="2"/>
    <n v="4"/>
    <n v="4"/>
    <n v="0"/>
    <n v="13"/>
    <s v="Jasmin Alvarado"/>
    <x v="0"/>
    <m/>
    <x v="0"/>
    <n v="4"/>
    <x v="1"/>
    <n v="0"/>
    <s v="4-5 Years"/>
    <n v="2.33"/>
    <x v="0"/>
  </r>
  <r>
    <s v="EMP1529"/>
    <s v="Michael Boyd"/>
    <x v="0"/>
    <n v="21"/>
    <x v="4"/>
    <s v="Sales Manager"/>
    <d v="2024-01-15T00:00:00"/>
    <n v="34418"/>
    <s v="Single"/>
    <s v="Master's"/>
    <x v="4"/>
    <s v="Travel_Rarely"/>
    <n v="9"/>
    <x v="1"/>
    <x v="0"/>
    <n v="1"/>
    <n v="3"/>
    <n v="4"/>
    <n v="0"/>
    <n v="2"/>
    <n v="25"/>
    <s v="Joshua Thompson"/>
    <x v="1"/>
    <d v="2026-03-25T00:00:00"/>
    <x v="2"/>
    <n v="2"/>
    <x v="1"/>
    <n v="1"/>
    <s v="1-3 Years"/>
    <n v="1.67"/>
    <x v="2"/>
  </r>
  <r>
    <s v="EMP1627"/>
    <s v="Sheila Perez"/>
    <x v="2"/>
    <n v="37"/>
    <x v="6"/>
    <s v="Financial Analyst"/>
    <d v="2021-05-26T00:00:00"/>
    <n v="125374"/>
    <s v="Single"/>
    <s v="Bachelor's"/>
    <x v="10"/>
    <s v="Travel_Rarely"/>
    <n v="7"/>
    <x v="1"/>
    <x v="0"/>
    <n v="3"/>
    <n v="4"/>
    <n v="2"/>
    <n v="5"/>
    <n v="4"/>
    <n v="22"/>
    <s v="Richard Reyes"/>
    <x v="1"/>
    <d v="2024-07-27T00:00:00"/>
    <x v="0"/>
    <n v="3"/>
    <x v="0"/>
    <n v="1"/>
    <s v="1-3 Years"/>
    <n v="2.67"/>
    <x v="0"/>
  </r>
  <r>
    <s v="EMP1464"/>
    <s v="Marco Johns"/>
    <x v="2"/>
    <n v="47"/>
    <x v="3"/>
    <s v="Finance Manager"/>
    <d v="2013-01-18T00:00:00"/>
    <n v="117345"/>
    <s v="Married"/>
    <s v="Bachelor's"/>
    <x v="3"/>
    <s v="Travel_Rarely"/>
    <n v="26"/>
    <x v="0"/>
    <x v="3"/>
    <n v="1"/>
    <n v="1"/>
    <n v="4"/>
    <n v="2"/>
    <n v="0"/>
    <n v="14"/>
    <s v="Not Specified"/>
    <x v="0"/>
    <m/>
    <x v="3"/>
    <n v="13"/>
    <x v="0"/>
    <n v="0"/>
    <s v="More than 10 Years"/>
    <n v="1.67"/>
    <x v="2"/>
  </r>
  <r>
    <s v="EMP2169"/>
    <s v="Susan Pena"/>
    <x v="2"/>
    <n v="34"/>
    <x v="6"/>
    <s v="Hr Manager"/>
    <d v="2014-07-03T00:00:00"/>
    <n v="58778"/>
    <s v="Married"/>
    <s v="Master's"/>
    <x v="10"/>
    <s v="Non-Travel"/>
    <n v="23"/>
    <x v="0"/>
    <x v="2"/>
    <n v="4"/>
    <n v="3"/>
    <n v="3"/>
    <n v="3"/>
    <n v="5"/>
    <n v="22"/>
    <s v="Tammy Jones"/>
    <x v="0"/>
    <m/>
    <x v="1"/>
    <n v="12"/>
    <x v="1"/>
    <n v="0"/>
    <s v="More than 10 Years"/>
    <n v="3"/>
    <x v="1"/>
  </r>
  <r>
    <s v="EMP1290"/>
    <s v="Shannon Malone"/>
    <x v="2"/>
    <n v="23"/>
    <x v="0"/>
    <s v="Research Scientist"/>
    <d v="2013-01-21T00:00:00"/>
    <n v="63104"/>
    <s v="Single"/>
    <s v="PhD"/>
    <x v="0"/>
    <s v="Travel_Rarely"/>
    <n v="41"/>
    <x v="0"/>
    <x v="2"/>
    <n v="2"/>
    <n v="3"/>
    <n v="2"/>
    <n v="6"/>
    <n v="6"/>
    <n v="20"/>
    <s v="Juan Brown"/>
    <x v="0"/>
    <m/>
    <x v="2"/>
    <n v="13"/>
    <x v="2"/>
    <n v="0"/>
    <s v="More than 10 Years"/>
    <n v="2.33"/>
    <x v="0"/>
  </r>
  <r>
    <s v="EMP1010"/>
    <s v="Derek Clark"/>
    <x v="0"/>
    <n v="22"/>
    <x v="2"/>
    <s v="Data Analyst"/>
    <d v="2025-09-23T00:00:00"/>
    <n v="105484"/>
    <s v="Not Specified"/>
    <s v="Bachelor's"/>
    <x v="7"/>
    <s v="Non-Travel"/>
    <n v="15"/>
    <x v="1"/>
    <x v="0"/>
    <n v="1"/>
    <n v="4"/>
    <n v="3"/>
    <n v="0"/>
    <n v="3"/>
    <n v="17"/>
    <s v="Matthew Foster"/>
    <x v="1"/>
    <d v="2026-07-19T00:00:00"/>
    <x v="2"/>
    <n v="0"/>
    <x v="0"/>
    <n v="1"/>
    <s v="Less than 1 Year"/>
    <n v="2"/>
    <x v="0"/>
  </r>
  <r>
    <s v="EMP1817"/>
    <s v="Sandra Fox"/>
    <x v="0"/>
    <n v="30"/>
    <x v="0"/>
    <s v="Research Scientist"/>
    <d v="2019-08-08T00:00:00"/>
    <n v="53350"/>
    <s v="Married"/>
    <s v="High School"/>
    <x v="10"/>
    <s v="Travel_Rarely"/>
    <n v="44"/>
    <x v="1"/>
    <x v="3"/>
    <n v="4"/>
    <n v="4"/>
    <n v="3"/>
    <n v="6"/>
    <n v="7"/>
    <n v="13"/>
    <s v="Nicole Wilson"/>
    <x v="0"/>
    <m/>
    <x v="1"/>
    <n v="7"/>
    <x v="1"/>
    <n v="0"/>
    <s v="6-10 Years"/>
    <n v="3.67"/>
    <x v="1"/>
  </r>
  <r>
    <s v="EMP1054"/>
    <s v="Lisa Turner"/>
    <x v="2"/>
    <n v="32"/>
    <x v="2"/>
    <s v="System Administrator"/>
    <d v="2019-11-02T00:00:00"/>
    <n v="76111"/>
    <s v="Divorced"/>
    <s v="Bachelor's"/>
    <x v="3"/>
    <s v="Travel_Frequently"/>
    <n v="12"/>
    <x v="0"/>
    <x v="2"/>
    <n v="3"/>
    <n v="1"/>
    <n v="4"/>
    <n v="1"/>
    <n v="0"/>
    <n v="23"/>
    <s v="Dustin Jordan"/>
    <x v="0"/>
    <m/>
    <x v="1"/>
    <n v="6"/>
    <x v="2"/>
    <n v="0"/>
    <s v="6-10 Years"/>
    <n v="2"/>
    <x v="0"/>
  </r>
  <r>
    <s v="EMP2015"/>
    <s v="John Alvarado"/>
    <x v="0"/>
    <n v="39"/>
    <x v="5"/>
    <s v="Digital Marketing Specialist"/>
    <d v="2012-08-18T00:00:00"/>
    <n v="101128"/>
    <s v="Divorced"/>
    <s v="Master's"/>
    <x v="0"/>
    <s v="Travel_Rarely"/>
    <n v="32"/>
    <x v="1"/>
    <x v="2"/>
    <n v="4"/>
    <n v="1"/>
    <n v="3"/>
    <n v="2"/>
    <n v="4"/>
    <n v="11"/>
    <s v="Maria Hicks"/>
    <x v="1"/>
    <d v="2019-10-08T00:00:00"/>
    <x v="0"/>
    <n v="7"/>
    <x v="0"/>
    <n v="1"/>
    <s v="6-10 Years"/>
    <n v="2.33"/>
    <x v="0"/>
  </r>
  <r>
    <s v="EMP1768"/>
    <s v="John Washington"/>
    <x v="2"/>
    <n v="43"/>
    <x v="2"/>
    <s v="Devops Engineer"/>
    <d v="2024-12-12T00:00:00"/>
    <n v="76064"/>
    <s v="Divorced"/>
    <s v="Bachelor's"/>
    <x v="5"/>
    <s v="Travel_Frequently"/>
    <n v="24"/>
    <x v="1"/>
    <x v="0"/>
    <n v="2"/>
    <n v="4"/>
    <n v="1"/>
    <n v="5"/>
    <n v="5"/>
    <n v="18"/>
    <s v="Jordan Hughes"/>
    <x v="1"/>
    <d v="2025-03-12T00:00:00"/>
    <x v="0"/>
    <n v="0"/>
    <x v="2"/>
    <n v="1"/>
    <s v="Less than 1 Year"/>
    <n v="2.33"/>
    <x v="0"/>
  </r>
  <r>
    <s v="EMP1398"/>
    <s v="Christopher Fry"/>
    <x v="2"/>
    <n v="38"/>
    <x v="4"/>
    <s v="Sales Representative"/>
    <d v="2023-06-23T00:00:00"/>
    <n v="56964"/>
    <s v="Single"/>
    <s v="Master's"/>
    <x v="2"/>
    <s v="Non-Travel"/>
    <n v="27"/>
    <x v="0"/>
    <x v="3"/>
    <n v="1"/>
    <n v="2"/>
    <n v="3"/>
    <n v="2"/>
    <n v="5"/>
    <n v="21"/>
    <s v="Marie Thompson"/>
    <x v="0"/>
    <m/>
    <x v="0"/>
    <n v="3"/>
    <x v="1"/>
    <n v="0"/>
    <s v="1-3 Years"/>
    <n v="2"/>
    <x v="0"/>
  </r>
  <r>
    <s v="EMP2125"/>
    <s v="Katie Cox"/>
    <x v="0"/>
    <n v="29"/>
    <x v="1"/>
    <s v="Hr Business Partner"/>
    <d v="2019-10-14T00:00:00"/>
    <n v="70003"/>
    <s v="Married"/>
    <s v="PhD"/>
    <x v="9"/>
    <s v="Travel_Rarely"/>
    <n v="40"/>
    <x v="0"/>
    <x v="0"/>
    <n v="4"/>
    <n v="1"/>
    <n v="1"/>
    <n v="6"/>
    <n v="8"/>
    <n v="14"/>
    <s v="April Turner"/>
    <x v="1"/>
    <d v="2022-09-11T00:00:00"/>
    <x v="1"/>
    <n v="2"/>
    <x v="2"/>
    <n v="1"/>
    <s v="1-3 Years"/>
    <n v="2"/>
    <x v="0"/>
  </r>
  <r>
    <s v="EMP1263"/>
    <s v="Maria Fisher"/>
    <x v="2"/>
    <n v="22"/>
    <x v="0"/>
    <s v="Research Scientist"/>
    <d v="2026-06-23T00:00:00"/>
    <n v="91781"/>
    <s v="Not Specified"/>
    <s v="Bachelor's"/>
    <x v="5"/>
    <s v="Travel_Rarely"/>
    <n v="40"/>
    <x v="0"/>
    <x v="2"/>
    <n v="2"/>
    <n v="3"/>
    <n v="3"/>
    <n v="0"/>
    <n v="4"/>
    <n v="11"/>
    <s v="Susan Bennett"/>
    <x v="1"/>
    <d v="2026-07-19T00:00:00"/>
    <x v="2"/>
    <n v="0"/>
    <x v="2"/>
    <n v="1"/>
    <s v="Less than 1 Year"/>
    <n v="2.33"/>
    <x v="0"/>
  </r>
  <r>
    <s v="EMP1041"/>
    <s v="Jessica Smith"/>
    <x v="2"/>
    <n v="19"/>
    <x v="0"/>
    <s v="Research Director"/>
    <d v="2012-10-14T00:00:00"/>
    <n v="73101"/>
    <s v="Single"/>
    <s v="High School"/>
    <x v="0"/>
    <s v="Travel_Rarely"/>
    <n v="21"/>
    <x v="0"/>
    <x v="1"/>
    <n v="2"/>
    <n v="3"/>
    <n v="3"/>
    <n v="3"/>
    <n v="6"/>
    <n v="13"/>
    <s v="Stephanie Gardner"/>
    <x v="0"/>
    <m/>
    <x v="2"/>
    <n v="13"/>
    <x v="2"/>
    <n v="0"/>
    <s v="More than 10 Years"/>
    <n v="3"/>
    <x v="1"/>
  </r>
  <r>
    <s v="EMP1110"/>
    <s v="Not Specified"/>
    <x v="0"/>
    <n v="23"/>
    <x v="0"/>
    <s v="Research Scientist"/>
    <d v="2014-06-23T00:00:00"/>
    <n v="125921"/>
    <s v="Divorced"/>
    <s v="PhD"/>
    <x v="8"/>
    <s v="Travel_Rarely"/>
    <n v="19"/>
    <x v="0"/>
    <x v="3"/>
    <n v="2"/>
    <n v="1"/>
    <n v="3"/>
    <n v="1"/>
    <n v="0"/>
    <n v="22"/>
    <s v="Laura Hall"/>
    <x v="0"/>
    <m/>
    <x v="2"/>
    <n v="12"/>
    <x v="0"/>
    <n v="0"/>
    <s v="More than 10 Years"/>
    <n v="2"/>
    <x v="0"/>
  </r>
  <r>
    <s v="EMP1610"/>
    <s v="Ashley Mills"/>
    <x v="0"/>
    <n v="42"/>
    <x v="3"/>
    <s v="Finance Manager"/>
    <d v="2012-08-28T00:00:00"/>
    <n v="55169"/>
    <s v="Married"/>
    <s v="Master's"/>
    <x v="8"/>
    <s v="Travel_Rarely"/>
    <n v="6"/>
    <x v="1"/>
    <x v="1"/>
    <n v="3"/>
    <n v="4"/>
    <n v="4"/>
    <n v="2"/>
    <n v="5"/>
    <n v="20"/>
    <s v="Beverly Russo"/>
    <x v="0"/>
    <m/>
    <x v="0"/>
    <n v="14"/>
    <x v="1"/>
    <n v="0"/>
    <s v="More than 10 Years"/>
    <n v="3.67"/>
    <x v="1"/>
  </r>
  <r>
    <s v="EMP1846"/>
    <s v="Leslie Lozano"/>
    <x v="2"/>
    <n v="35"/>
    <x v="0"/>
    <s v="Research Scientist"/>
    <d v="2012-08-21T00:00:00"/>
    <n v="116295"/>
    <s v="Married"/>
    <s v="Bachelor's"/>
    <x v="8"/>
    <s v="Travel_Rarely"/>
    <n v="19"/>
    <x v="1"/>
    <x v="2"/>
    <n v="4"/>
    <n v="4"/>
    <n v="4"/>
    <n v="2"/>
    <n v="0"/>
    <n v="15"/>
    <s v="Alejandro Nguyen"/>
    <x v="1"/>
    <d v="2016-11-30T00:00:00"/>
    <x v="0"/>
    <n v="4"/>
    <x v="0"/>
    <n v="1"/>
    <s v="4-5 Years"/>
    <n v="3.33"/>
    <x v="1"/>
  </r>
  <r>
    <s v="EMP2065"/>
    <s v="Aaron Kane"/>
    <x v="0"/>
    <n v="50"/>
    <x v="0"/>
    <s v="Lab Technician"/>
    <d v="2012-09-15T00:00:00"/>
    <n v="83084"/>
    <s v="Married"/>
    <s v="Not Specified"/>
    <x v="7"/>
    <s v="Non-Travel"/>
    <n v="41"/>
    <x v="0"/>
    <x v="0"/>
    <n v="4"/>
    <n v="1"/>
    <n v="3"/>
    <n v="2"/>
    <n v="7"/>
    <n v="11"/>
    <s v="Mark Thomas"/>
    <x v="0"/>
    <m/>
    <x v="3"/>
    <n v="13"/>
    <x v="2"/>
    <n v="0"/>
    <s v="More than 10 Years"/>
    <n v="2"/>
    <x v="0"/>
  </r>
  <r>
    <s v="EMP2083"/>
    <s v="James Padilla"/>
    <x v="0"/>
    <n v="40"/>
    <x v="6"/>
    <s v="Lab Technician"/>
    <d v="2014-08-14T00:00:00"/>
    <n v="60258"/>
    <s v="Divorced"/>
    <s v="Bachelor's"/>
    <x v="5"/>
    <s v="Travel_Frequently"/>
    <n v="36"/>
    <x v="1"/>
    <x v="0"/>
    <n v="3"/>
    <n v="4"/>
    <n v="3"/>
    <n v="3"/>
    <n v="0"/>
    <n v="18"/>
    <s v="Joanne Olsen"/>
    <x v="1"/>
    <d v="2016-10-22T00:00:00"/>
    <x v="0"/>
    <n v="2"/>
    <x v="2"/>
    <n v="1"/>
    <s v="1-3 Years"/>
    <n v="2.67"/>
    <x v="0"/>
  </r>
  <r>
    <s v="EMP1084"/>
    <s v="Patrick Rivera"/>
    <x v="0"/>
    <n v="45"/>
    <x v="4"/>
    <s v="Account Manager"/>
    <d v="2022-02-23T00:00:00"/>
    <n v="95189"/>
    <s v="Single"/>
    <s v="Master's"/>
    <x v="4"/>
    <s v="Non-Travel"/>
    <n v="17"/>
    <x v="0"/>
    <x v="1"/>
    <n v="3"/>
    <n v="4"/>
    <n v="1"/>
    <n v="1"/>
    <n v="1"/>
    <n v="12"/>
    <s v="David Martinez"/>
    <x v="0"/>
    <m/>
    <x v="3"/>
    <n v="4"/>
    <x v="2"/>
    <n v="0"/>
    <s v="4-5 Years"/>
    <n v="3.67"/>
    <x v="1"/>
  </r>
  <r>
    <s v="EMP1565"/>
    <s v="Mr. Johnathan Galloway"/>
    <x v="2"/>
    <n v="38"/>
    <x v="2"/>
    <s v="Software Engineer"/>
    <d v="2025-01-16T00:00:00"/>
    <n v="126530"/>
    <s v="Married"/>
    <s v="Master's"/>
    <x v="1"/>
    <s v="Non-Travel"/>
    <n v="42"/>
    <x v="0"/>
    <x v="0"/>
    <n v="3"/>
    <n v="2"/>
    <n v="3"/>
    <n v="3"/>
    <n v="8"/>
    <n v="11"/>
    <s v="William Moon IV"/>
    <x v="1"/>
    <d v="2026-06-14T00:00:00"/>
    <x v="0"/>
    <n v="1"/>
    <x v="0"/>
    <n v="1"/>
    <s v="1-3 Years"/>
    <n v="2"/>
    <x v="0"/>
  </r>
  <r>
    <s v="EMP1867"/>
    <s v="Taylor Cox"/>
    <x v="2"/>
    <n v="28"/>
    <x v="3"/>
    <s v="Auditor"/>
    <d v="2022-05-04T00:00:00"/>
    <n v="96227"/>
    <s v="Single"/>
    <s v="Bachelor's"/>
    <x v="4"/>
    <s v="Non-Travel"/>
    <n v="38"/>
    <x v="0"/>
    <x v="0"/>
    <n v="2"/>
    <n v="3"/>
    <n v="3"/>
    <n v="5"/>
    <n v="1"/>
    <n v="21"/>
    <s v="Alisha Rasmussen"/>
    <x v="0"/>
    <m/>
    <x v="1"/>
    <n v="4"/>
    <x v="2"/>
    <n v="0"/>
    <s v="4-5 Years"/>
    <n v="2"/>
    <x v="0"/>
  </r>
  <r>
    <s v="EMP1408"/>
    <s v="Karen Johnson"/>
    <x v="0"/>
    <n v="19"/>
    <x v="2"/>
    <s v="It Support"/>
    <d v="2025-09-21T00:00:00"/>
    <n v="118667"/>
    <s v="Not Specified"/>
    <s v="Master's"/>
    <x v="3"/>
    <s v="Travel_Rarely"/>
    <n v="2"/>
    <x v="0"/>
    <x v="0"/>
    <n v="4"/>
    <n v="3"/>
    <n v="5"/>
    <n v="4"/>
    <n v="5"/>
    <n v="19"/>
    <s v="Steve Moore"/>
    <x v="0"/>
    <m/>
    <x v="2"/>
    <n v="0"/>
    <x v="0"/>
    <n v="0"/>
    <s v="Less than 1 Year"/>
    <n v="2.67"/>
    <x v="0"/>
  </r>
  <r>
    <s v="EMP1099"/>
    <s v="Debra Williams"/>
    <x v="2"/>
    <n v="54"/>
    <x v="4"/>
    <s v="Sales Representative"/>
    <d v="2022-12-11T00:00:00"/>
    <n v="62799"/>
    <s v="Married"/>
    <s v="Master's"/>
    <x v="4"/>
    <s v="Travel_Frequently"/>
    <n v="8"/>
    <x v="0"/>
    <x v="2"/>
    <n v="2"/>
    <n v="3"/>
    <n v="5"/>
    <n v="5"/>
    <n v="6"/>
    <n v="21"/>
    <s v="Matthew Moon"/>
    <x v="0"/>
    <m/>
    <x v="3"/>
    <n v="3"/>
    <x v="2"/>
    <n v="0"/>
    <s v="1-3 Years"/>
    <n v="2.33"/>
    <x v="0"/>
  </r>
  <r>
    <s v="EMP1634"/>
    <s v="William Jensen"/>
    <x v="0"/>
    <n v="28"/>
    <x v="4"/>
    <s v="Sales Executive"/>
    <d v="2026-06-08T00:00:00"/>
    <n v="85543"/>
    <s v="Married"/>
    <s v="Master's"/>
    <x v="2"/>
    <s v="Not Specified"/>
    <n v="25"/>
    <x v="0"/>
    <x v="3"/>
    <n v="3"/>
    <n v="2"/>
    <n v="3"/>
    <n v="1"/>
    <n v="3"/>
    <n v="17"/>
    <s v="Charles Williams"/>
    <x v="0"/>
    <m/>
    <x v="1"/>
    <n v="0"/>
    <x v="2"/>
    <n v="0"/>
    <s v="Less than 1 Year"/>
    <n v="2.67"/>
    <x v="0"/>
  </r>
  <r>
    <s v="EMP2190"/>
    <s v="Michael Harris"/>
    <x v="0"/>
    <n v="35"/>
    <x v="2"/>
    <s v="Devops Engineer"/>
    <d v="2018-10-30T00:00:00"/>
    <n v="138171"/>
    <s v="Single"/>
    <s v="PhD"/>
    <x v="1"/>
    <s v="Travel_Frequently"/>
    <n v="23"/>
    <x v="0"/>
    <x v="2"/>
    <n v="4"/>
    <n v="3"/>
    <n v="4"/>
    <n v="0"/>
    <n v="2"/>
    <n v="14"/>
    <s v="Jill Martin"/>
    <x v="0"/>
    <m/>
    <x v="0"/>
    <n v="7"/>
    <x v="0"/>
    <n v="0"/>
    <s v="6-10 Years"/>
    <n v="3"/>
    <x v="1"/>
  </r>
  <r>
    <s v="EMP1375"/>
    <s v="Casey Wilkins"/>
    <x v="2"/>
    <n v="23"/>
    <x v="4"/>
    <s v="Account Manager"/>
    <d v="2012-10-11T00:00:00"/>
    <n v="100953"/>
    <s v="Married"/>
    <s v="Master's"/>
    <x v="8"/>
    <s v="Non-Travel"/>
    <n v="9"/>
    <x v="1"/>
    <x v="2"/>
    <n v="3"/>
    <n v="1"/>
    <n v="1"/>
    <n v="3"/>
    <n v="8"/>
    <n v="20"/>
    <s v="Victor Young"/>
    <x v="1"/>
    <d v="2020-08-29T00:00:00"/>
    <x v="2"/>
    <n v="7"/>
    <x v="0"/>
    <n v="1"/>
    <s v="6-10 Years"/>
    <n v="2"/>
    <x v="0"/>
  </r>
  <r>
    <s v="EMP1271"/>
    <s v="Eric Brown"/>
    <x v="0"/>
    <n v="40"/>
    <x v="1"/>
    <s v="Hr Executive"/>
    <d v="2025-10-24T00:00:00"/>
    <n v="29461"/>
    <s v="Married"/>
    <s v="Not Specified"/>
    <x v="9"/>
    <s v="Non-Travel"/>
    <n v="27"/>
    <x v="0"/>
    <x v="3"/>
    <n v="1"/>
    <n v="3"/>
    <n v="4"/>
    <n v="1"/>
    <n v="4"/>
    <n v="24"/>
    <s v="Susan Garrett"/>
    <x v="0"/>
    <m/>
    <x v="0"/>
    <n v="0"/>
    <x v="3"/>
    <n v="0"/>
    <s v="Less than 1 Year"/>
    <n v="2.33"/>
    <x v="0"/>
  </r>
  <r>
    <s v="EMP1337"/>
    <s v="Tamara Riddle"/>
    <x v="2"/>
    <n v="36"/>
    <x v="0"/>
    <s v="Lab Technician"/>
    <d v="2024-08-06T00:00:00"/>
    <n v="89071"/>
    <s v="Single"/>
    <s v="Bachelor's"/>
    <x v="9"/>
    <s v="Travel_Rarely"/>
    <n v="31"/>
    <x v="0"/>
    <x v="1"/>
    <n v="1"/>
    <n v="4"/>
    <n v="3"/>
    <n v="1"/>
    <n v="1"/>
    <n v="23"/>
    <s v="Sean Wright"/>
    <x v="0"/>
    <m/>
    <x v="0"/>
    <n v="2"/>
    <x v="2"/>
    <n v="0"/>
    <s v="1-3 Years"/>
    <n v="3"/>
    <x v="1"/>
  </r>
  <r>
    <s v="EMP1998"/>
    <s v="Garrett Lee"/>
    <x v="0"/>
    <n v="24"/>
    <x v="0"/>
    <s v="Lab Technician"/>
    <d v="2013-03-12T00:00:00"/>
    <n v="70171"/>
    <s v="Married"/>
    <s v="Master's"/>
    <x v="2"/>
    <s v="Travel_Rarely"/>
    <n v="16"/>
    <x v="0"/>
    <x v="3"/>
    <n v="2"/>
    <n v="1"/>
    <n v="3"/>
    <n v="0"/>
    <n v="5"/>
    <n v="18"/>
    <s v="Andrea Clarke"/>
    <x v="0"/>
    <m/>
    <x v="2"/>
    <n v="13"/>
    <x v="2"/>
    <n v="0"/>
    <s v="More than 10 Years"/>
    <n v="2"/>
    <x v="0"/>
  </r>
  <r>
    <s v="EMP1152"/>
    <s v="Lisa Day"/>
    <x v="2"/>
    <n v="29"/>
    <x v="0"/>
    <s v="Lab Technician"/>
    <d v="2012-01-21T00:00:00"/>
    <n v="125338"/>
    <s v="Divorced"/>
    <s v="Master's"/>
    <x v="6"/>
    <s v="Non-Travel"/>
    <n v="8"/>
    <x v="0"/>
    <x v="2"/>
    <n v="3"/>
    <n v="3"/>
    <n v="3"/>
    <n v="6"/>
    <n v="0"/>
    <n v="20"/>
    <s v="Debra White"/>
    <x v="1"/>
    <d v="2025-08-17T00:00:00"/>
    <x v="1"/>
    <n v="13"/>
    <x v="0"/>
    <n v="1"/>
    <s v="More than 10 Years"/>
    <n v="2.67"/>
    <x v="0"/>
  </r>
  <r>
    <s v="EMP1512"/>
    <s v="Kimberly Choi"/>
    <x v="0"/>
    <n v="42"/>
    <x v="0"/>
    <s v="Research Director"/>
    <d v="2013-10-24T00:00:00"/>
    <n v="63205"/>
    <s v="Married"/>
    <s v="Master's"/>
    <x v="5"/>
    <s v="Travel_Rarely"/>
    <n v="36"/>
    <x v="0"/>
    <x v="1"/>
    <n v="4"/>
    <n v="2"/>
    <n v="3"/>
    <n v="5"/>
    <n v="4"/>
    <n v="23"/>
    <s v="Suzanne Norton"/>
    <x v="0"/>
    <m/>
    <x v="0"/>
    <n v="12"/>
    <x v="2"/>
    <n v="0"/>
    <s v="More than 10 Years"/>
    <n v="3.33"/>
    <x v="1"/>
  </r>
  <r>
    <s v="EMP1929"/>
    <s v="Shawn Adams"/>
    <x v="0"/>
    <n v="21"/>
    <x v="5"/>
    <s v="Brand Manager"/>
    <d v="2013-12-01T00:00:00"/>
    <n v="58581"/>
    <s v="Single"/>
    <s v="Bachelor's"/>
    <x v="4"/>
    <s v="Travel_Rarely"/>
    <n v="23"/>
    <x v="1"/>
    <x v="0"/>
    <n v="1"/>
    <n v="3"/>
    <n v="3"/>
    <n v="0"/>
    <n v="0"/>
    <n v="18"/>
    <s v="Maureen Mccarthy"/>
    <x v="1"/>
    <d v="2022-09-18T00:00:00"/>
    <x v="2"/>
    <n v="8"/>
    <x v="1"/>
    <n v="1"/>
    <s v="6-10 Years"/>
    <n v="1.67"/>
    <x v="2"/>
  </r>
  <r>
    <s v="EMP1620"/>
    <s v="Tammy King"/>
    <x v="0"/>
    <n v="31"/>
    <x v="6"/>
    <s v="Research Scientist"/>
    <d v="2026-01-04T00:00:00"/>
    <n v="76833"/>
    <s v="Single"/>
    <s v="Bachelor's"/>
    <x v="1"/>
    <s v="Non-Travel"/>
    <n v="31"/>
    <x v="0"/>
    <x v="0"/>
    <n v="2"/>
    <n v="1"/>
    <n v="3"/>
    <n v="2"/>
    <n v="2"/>
    <n v="13"/>
    <s v="Nicholas Bird"/>
    <x v="1"/>
    <d v="2026-04-20T00:00:00"/>
    <x v="1"/>
    <n v="0"/>
    <x v="2"/>
    <n v="1"/>
    <s v="Less than 1 Year"/>
    <n v="1.33"/>
    <x v="2"/>
  </r>
  <r>
    <s v="EMP1319"/>
    <s v="Robert Wilson"/>
    <x v="0"/>
    <n v="35"/>
    <x v="4"/>
    <s v="Account Manager"/>
    <d v="2024-05-01T00:00:00"/>
    <n v="96753"/>
    <s v="Divorced"/>
    <s v="Bachelor's"/>
    <x v="3"/>
    <s v="Travel_Rarely"/>
    <n v="24"/>
    <x v="0"/>
    <x v="0"/>
    <n v="3"/>
    <n v="3"/>
    <n v="3"/>
    <n v="1"/>
    <n v="2"/>
    <n v="25"/>
    <s v="Megan Martin"/>
    <x v="0"/>
    <m/>
    <x v="0"/>
    <n v="2"/>
    <x v="2"/>
    <n v="0"/>
    <s v="1-3 Years"/>
    <n v="2.33"/>
    <x v="0"/>
  </r>
  <r>
    <s v="EMP1232"/>
    <s v="Lauren Robles"/>
    <x v="0"/>
    <n v="27"/>
    <x v="4"/>
    <s v="Sales Executive"/>
    <d v="2022-06-26T00:00:00"/>
    <n v="37107"/>
    <s v="Divorced"/>
    <s v="Master's"/>
    <x v="8"/>
    <s v="Travel_Frequently"/>
    <n v="4"/>
    <x v="0"/>
    <x v="2"/>
    <n v="1"/>
    <n v="2"/>
    <n v="2"/>
    <n v="5"/>
    <n v="0"/>
    <n v="17"/>
    <s v="Alyssa Wells"/>
    <x v="0"/>
    <m/>
    <x v="1"/>
    <n v="4"/>
    <x v="1"/>
    <n v="0"/>
    <s v="4-5 Years"/>
    <n v="1.67"/>
    <x v="2"/>
  </r>
  <r>
    <s v="EMP1253"/>
    <s v="Elizabeth Sharp"/>
    <x v="2"/>
    <n v="19"/>
    <x v="3"/>
    <s v="Auditor"/>
    <d v="2011-11-01T00:00:00"/>
    <n v="136200"/>
    <s v="Married"/>
    <s v="Diploma"/>
    <x v="5"/>
    <s v="Travel_Frequently"/>
    <n v="8"/>
    <x v="0"/>
    <x v="2"/>
    <n v="2"/>
    <n v="1"/>
    <n v="3"/>
    <n v="4"/>
    <n v="8"/>
    <n v="11"/>
    <s v="Melissa Brown"/>
    <x v="0"/>
    <m/>
    <x v="2"/>
    <n v="14"/>
    <x v="0"/>
    <n v="0"/>
    <s v="More than 10 Years"/>
    <n v="1.67"/>
    <x v="2"/>
  </r>
  <r>
    <s v="EMP1858"/>
    <s v="Dawn Burke"/>
    <x v="0"/>
    <n v="34"/>
    <x v="3"/>
    <s v="Financial Analyst"/>
    <d v="2017-09-19T00:00:00"/>
    <n v="132515"/>
    <s v="Single"/>
    <s v="PhD"/>
    <x v="3"/>
    <s v="Travel_Rarely"/>
    <n v="4"/>
    <x v="0"/>
    <x v="0"/>
    <n v="1"/>
    <n v="4"/>
    <n v="4"/>
    <n v="5"/>
    <n v="6"/>
    <n v="21"/>
    <s v="Corey Sanchez"/>
    <x v="0"/>
    <m/>
    <x v="1"/>
    <n v="8"/>
    <x v="0"/>
    <n v="0"/>
    <s v="6-10 Years"/>
    <n v="2"/>
    <x v="0"/>
  </r>
  <r>
    <s v="EMP2121"/>
    <s v="Rebecca Lopez"/>
    <x v="0"/>
    <n v="36"/>
    <x v="2"/>
    <s v="Devops Engineer"/>
    <d v="2023-10-16T00:00:00"/>
    <n v="107774"/>
    <s v="Married"/>
    <s v="Master's"/>
    <x v="3"/>
    <s v="Non-Travel"/>
    <n v="16"/>
    <x v="1"/>
    <x v="3"/>
    <n v="2"/>
    <n v="3"/>
    <n v="3"/>
    <n v="6"/>
    <n v="2"/>
    <n v="11"/>
    <s v="Justin Herrera"/>
    <x v="0"/>
    <m/>
    <x v="0"/>
    <n v="2"/>
    <x v="0"/>
    <n v="0"/>
    <s v="1-3 Years"/>
    <n v="2.67"/>
    <x v="0"/>
  </r>
  <r>
    <s v="EMP1055"/>
    <s v="Mary Marshall"/>
    <x v="2"/>
    <n v="37"/>
    <x v="2"/>
    <s v="System Administrator"/>
    <d v="2018-04-05T00:00:00"/>
    <n v="103865"/>
    <s v="Married"/>
    <s v="Bachelor's"/>
    <x v="4"/>
    <s v="Travel_Rarely"/>
    <n v="33"/>
    <x v="0"/>
    <x v="2"/>
    <n v="1"/>
    <n v="2"/>
    <n v="4"/>
    <n v="4"/>
    <n v="5"/>
    <n v="14"/>
    <s v="John Santana"/>
    <x v="0"/>
    <m/>
    <x v="0"/>
    <n v="8"/>
    <x v="0"/>
    <n v="0"/>
    <s v="6-10 Years"/>
    <n v="1.67"/>
    <x v="2"/>
  </r>
  <r>
    <s v="EMP1380"/>
    <s v="David Kelly"/>
    <x v="0"/>
    <n v="41"/>
    <x v="4"/>
    <s v="Sales Executive"/>
    <d v="2019-04-28T00:00:00"/>
    <n v="45292"/>
    <s v="Married"/>
    <s v="Master's"/>
    <x v="6"/>
    <s v="Travel_Rarely"/>
    <n v="43"/>
    <x v="1"/>
    <x v="3"/>
    <n v="4"/>
    <n v="4"/>
    <n v="3"/>
    <n v="3"/>
    <n v="4"/>
    <n v="22"/>
    <s v="Debbie Ewing"/>
    <x v="0"/>
    <m/>
    <x v="0"/>
    <n v="7"/>
    <x v="1"/>
    <n v="0"/>
    <s v="6-10 Years"/>
    <n v="3.67"/>
    <x v="1"/>
  </r>
  <r>
    <s v="EMP1432"/>
    <s v="Shannon Holland"/>
    <x v="0"/>
    <n v="34"/>
    <x v="2"/>
    <s v="It Support"/>
    <d v="2021-10-09T00:00:00"/>
    <n v="53467"/>
    <s v="Single"/>
    <s v="High School"/>
    <x v="9"/>
    <s v="Travel_Frequently"/>
    <n v="33"/>
    <x v="0"/>
    <x v="0"/>
    <n v="1"/>
    <n v="1"/>
    <n v="2"/>
    <n v="6"/>
    <n v="6"/>
    <n v="19"/>
    <s v="Jason Smith"/>
    <x v="0"/>
    <m/>
    <x v="1"/>
    <n v="4"/>
    <x v="1"/>
    <n v="0"/>
    <s v="4-5 Years"/>
    <n v="1"/>
    <x v="2"/>
  </r>
  <r>
    <s v="EMP1142"/>
    <s v="Amanda Logan"/>
    <x v="0"/>
    <n v="31"/>
    <x v="2"/>
    <s v="System Administrator"/>
    <d v="2024-08-06T00:00:00"/>
    <n v="48338"/>
    <s v="Single"/>
    <s v="Master's"/>
    <x v="4"/>
    <s v="Travel_Rarely"/>
    <n v="43"/>
    <x v="0"/>
    <x v="3"/>
    <n v="3"/>
    <n v="2"/>
    <n v="3"/>
    <n v="0"/>
    <n v="7"/>
    <n v="16"/>
    <s v="Victor Brown"/>
    <x v="1"/>
    <d v="2025-09-03T00:00:00"/>
    <x v="1"/>
    <n v="1"/>
    <x v="1"/>
    <n v="1"/>
    <s v="1-3 Years"/>
    <n v="2.67"/>
    <x v="0"/>
  </r>
  <r>
    <s v="EMP1811"/>
    <s v="Michael Wilson"/>
    <x v="2"/>
    <n v="40"/>
    <x v="6"/>
    <s v="Not Specified"/>
    <d v="2019-04-23T00:00:00"/>
    <n v="90390"/>
    <s v="Single"/>
    <s v="Master's"/>
    <x v="4"/>
    <s v="Non-Travel"/>
    <n v="23"/>
    <x v="1"/>
    <x v="1"/>
    <n v="3"/>
    <n v="1"/>
    <n v="3"/>
    <n v="6"/>
    <n v="6"/>
    <n v="19"/>
    <s v="Carla Brown"/>
    <x v="1"/>
    <d v="2023-07-16T00:00:00"/>
    <x v="0"/>
    <n v="4"/>
    <x v="2"/>
    <n v="1"/>
    <s v="4-5 Years"/>
    <n v="2.67"/>
    <x v="0"/>
  </r>
  <r>
    <s v="EMP1098"/>
    <s v="David Davis"/>
    <x v="2"/>
    <n v="38"/>
    <x v="3"/>
    <s v="Accountant"/>
    <d v="2026-01-05T00:00:00"/>
    <n v="128459"/>
    <s v="Divorced"/>
    <s v="Master's"/>
    <x v="3"/>
    <s v="Travel_Frequently"/>
    <n v="38"/>
    <x v="0"/>
    <x v="0"/>
    <n v="1"/>
    <n v="4"/>
    <n v="3"/>
    <n v="4"/>
    <n v="2"/>
    <n v="22"/>
    <s v="Tiffany Key"/>
    <x v="1"/>
    <d v="2026-07-22T00:00:00"/>
    <x v="0"/>
    <n v="0"/>
    <x v="0"/>
    <n v="1"/>
    <s v="Less than 1 Year"/>
    <n v="2"/>
    <x v="0"/>
  </r>
  <r>
    <s v="EMP1757"/>
    <s v="Michael Tran"/>
    <x v="0"/>
    <n v="45"/>
    <x v="2"/>
    <s v="It Support"/>
    <d v="2018-03-17T00:00:00"/>
    <n v="109667"/>
    <s v="Single"/>
    <s v="Bachelor's"/>
    <x v="4"/>
    <s v="Non-Travel"/>
    <n v="8"/>
    <x v="0"/>
    <x v="3"/>
    <n v="3"/>
    <n v="3"/>
    <n v="4"/>
    <n v="5"/>
    <n v="6"/>
    <n v="13"/>
    <s v="Amanda Garcia"/>
    <x v="0"/>
    <m/>
    <x v="3"/>
    <n v="8"/>
    <x v="0"/>
    <n v="0"/>
    <s v="6-10 Years"/>
    <n v="3"/>
    <x v="1"/>
  </r>
  <r>
    <s v="EMP1984"/>
    <s v="Laura Snyder"/>
    <x v="0"/>
    <n v="43"/>
    <x v="0"/>
    <s v="Research Scientist"/>
    <d v="2019-11-23T00:00:00"/>
    <n v="50809"/>
    <s v="Married"/>
    <s v="Bachelor's"/>
    <x v="1"/>
    <s v="Travel_Rarely"/>
    <n v="44"/>
    <x v="0"/>
    <x v="3"/>
    <n v="3"/>
    <n v="4"/>
    <n v="4"/>
    <n v="3"/>
    <n v="5"/>
    <n v="18"/>
    <s v="Not Specified"/>
    <x v="0"/>
    <m/>
    <x v="0"/>
    <n v="6"/>
    <x v="1"/>
    <n v="0"/>
    <s v="6-10 Years"/>
    <n v="3.33"/>
    <x v="1"/>
  </r>
  <r>
    <s v="EMP1572"/>
    <s v="Cassandra Porter"/>
    <x v="0"/>
    <n v="27"/>
    <x v="0"/>
    <s v="Research Scientist"/>
    <d v="2026-07-07T00:00:00"/>
    <n v="84414"/>
    <s v="Single"/>
    <s v="High School"/>
    <x v="5"/>
    <s v="Travel_Rarely"/>
    <n v="7"/>
    <x v="0"/>
    <x v="1"/>
    <n v="3"/>
    <n v="3"/>
    <n v="4"/>
    <n v="1"/>
    <n v="2"/>
    <n v="12"/>
    <s v="Kelly Le"/>
    <x v="0"/>
    <m/>
    <x v="1"/>
    <n v="0"/>
    <x v="2"/>
    <n v="0"/>
    <s v="Less than 1 Year"/>
    <n v="3.33"/>
    <x v="1"/>
  </r>
  <r>
    <s v="EMP1433"/>
    <s v="Patricia Smith"/>
    <x v="2"/>
    <n v="43"/>
    <x v="2"/>
    <s v="It Support"/>
    <d v="2025-04-05T00:00:00"/>
    <n v="90960"/>
    <s v="Not Specified"/>
    <s v="Bachelor's"/>
    <x v="10"/>
    <s v="Non-Travel"/>
    <n v="34"/>
    <x v="1"/>
    <x v="0"/>
    <n v="3"/>
    <n v="3"/>
    <n v="4"/>
    <n v="0"/>
    <n v="3"/>
    <n v="11"/>
    <s v="Alejandra King"/>
    <x v="1"/>
    <d v="2026-03-03T00:00:00"/>
    <x v="0"/>
    <n v="0"/>
    <x v="2"/>
    <n v="1"/>
    <s v="Less than 1 Year"/>
    <n v="2.33"/>
    <x v="0"/>
  </r>
  <r>
    <s v="EMP1524"/>
    <s v="Reginald Diaz"/>
    <x v="2"/>
    <n v="45"/>
    <x v="0"/>
    <s v="Lab Technician"/>
    <d v="2014-12-29T00:00:00"/>
    <n v="91318"/>
    <s v="Single"/>
    <s v="Diploma"/>
    <x v="3"/>
    <s v="Travel_Rarely"/>
    <n v="36"/>
    <x v="0"/>
    <x v="1"/>
    <n v="4"/>
    <n v="3"/>
    <n v="3"/>
    <n v="2"/>
    <n v="5"/>
    <n v="20"/>
    <s v="Morgan Carter"/>
    <x v="0"/>
    <m/>
    <x v="3"/>
    <n v="11"/>
    <x v="2"/>
    <n v="0"/>
    <s v="More than 10 Years"/>
    <n v="3.67"/>
    <x v="1"/>
  </r>
  <r>
    <s v="EMP1013"/>
    <s v="Rebecca Henderson"/>
    <x v="2"/>
    <n v="42"/>
    <x v="5"/>
    <s v="Brand Manager"/>
    <d v="2012-08-11T00:00:00"/>
    <n v="67285"/>
    <s v="Married"/>
    <s v="Bachelor's"/>
    <x v="7"/>
    <s v="Travel_Frequently"/>
    <n v="31"/>
    <x v="0"/>
    <x v="1"/>
    <n v="4"/>
    <n v="2"/>
    <n v="4"/>
    <n v="2"/>
    <n v="8"/>
    <n v="18"/>
    <s v="Zachary Rice"/>
    <x v="0"/>
    <m/>
    <x v="0"/>
    <n v="14"/>
    <x v="2"/>
    <n v="0"/>
    <s v="More than 10 Years"/>
    <n v="3.33"/>
    <x v="1"/>
  </r>
  <r>
    <s v="EMP1686"/>
    <s v="David Hayes DVM"/>
    <x v="2"/>
    <n v="46"/>
    <x v="0"/>
    <s v="Manufacturing Technician"/>
    <d v="2014-11-20T00:00:00"/>
    <n v="67510"/>
    <s v="Single"/>
    <s v="Master's"/>
    <x v="3"/>
    <s v="Travel_Frequently"/>
    <n v="20"/>
    <x v="0"/>
    <x v="1"/>
    <n v="3"/>
    <n v="3"/>
    <n v="3"/>
    <n v="4"/>
    <n v="1"/>
    <n v="13"/>
    <s v="Brian Glover"/>
    <x v="0"/>
    <m/>
    <x v="3"/>
    <n v="11"/>
    <x v="2"/>
    <n v="0"/>
    <s v="More than 10 Years"/>
    <n v="3.33"/>
    <x v="1"/>
  </r>
  <r>
    <s v="EMP1818"/>
    <s v="Billy Fuentes"/>
    <x v="2"/>
    <n v="33"/>
    <x v="5"/>
    <s v="Marketing Executive"/>
    <d v="2025-06-09T00:00:00"/>
    <n v="53847"/>
    <s v="Single"/>
    <s v="Bachelor's"/>
    <x v="4"/>
    <s v="Non-Travel"/>
    <n v="24"/>
    <x v="0"/>
    <x v="0"/>
    <n v="1"/>
    <n v="3"/>
    <n v="2"/>
    <n v="2"/>
    <n v="2"/>
    <n v="14"/>
    <s v="Jack Montoya"/>
    <x v="1"/>
    <d v="2026-01-09T00:00:00"/>
    <x v="1"/>
    <n v="0"/>
    <x v="1"/>
    <n v="1"/>
    <s v="Less than 1 Year"/>
    <n v="1.67"/>
    <x v="2"/>
  </r>
  <r>
    <s v="EMP1147"/>
    <s v="Maurice Brooks"/>
    <x v="2"/>
    <n v="54"/>
    <x v="0"/>
    <s v="Manufacturing Technician"/>
    <d v="2013-12-09T00:00:00"/>
    <n v="71564"/>
    <s v="Married"/>
    <s v="Bachelor's"/>
    <x v="6"/>
    <s v="Travel_Frequently"/>
    <n v="19"/>
    <x v="0"/>
    <x v="2"/>
    <n v="4"/>
    <n v="1"/>
    <n v="3"/>
    <n v="5"/>
    <n v="0"/>
    <n v="18"/>
    <s v="Andrea Decker"/>
    <x v="0"/>
    <m/>
    <x v="3"/>
    <n v="12"/>
    <x v="2"/>
    <n v="0"/>
    <s v="More than 10 Years"/>
    <n v="2.33"/>
    <x v="0"/>
  </r>
  <r>
    <s v="EMP1680"/>
    <s v="Alyssa Thompson"/>
    <x v="2"/>
    <n v="45"/>
    <x v="1"/>
    <s v="Recruiter"/>
    <d v="2016-08-04T00:00:00"/>
    <n v="71996"/>
    <s v="Divorced"/>
    <s v="Bachelor's"/>
    <x v="8"/>
    <s v="Travel_Rarely"/>
    <n v="13"/>
    <x v="0"/>
    <x v="1"/>
    <n v="3"/>
    <n v="2"/>
    <n v="3"/>
    <n v="0"/>
    <n v="0"/>
    <n v="24"/>
    <s v="Michael Hendricks"/>
    <x v="0"/>
    <m/>
    <x v="3"/>
    <n v="10"/>
    <x v="2"/>
    <n v="0"/>
    <s v="6-10 Years"/>
    <n v="3"/>
    <x v="1"/>
  </r>
  <r>
    <s v="EMP2135"/>
    <s v="Elizabeth Nicholson"/>
    <x v="0"/>
    <n v="42"/>
    <x v="0"/>
    <s v="Lab Technician"/>
    <d v="2018-12-19T00:00:00"/>
    <n v="122799"/>
    <s v="Married"/>
    <s v="PhD"/>
    <x v="9"/>
    <s v="Non-Travel"/>
    <n v="40"/>
    <x v="0"/>
    <x v="2"/>
    <n v="3"/>
    <n v="4"/>
    <n v="3"/>
    <n v="4"/>
    <n v="4"/>
    <n v="15"/>
    <s v="Melody Grimes"/>
    <x v="0"/>
    <m/>
    <x v="0"/>
    <n v="7"/>
    <x v="0"/>
    <n v="0"/>
    <s v="6-10 Years"/>
    <n v="3"/>
    <x v="1"/>
  </r>
  <r>
    <s v="EMP1014"/>
    <s v="Shannon Smith"/>
    <x v="0"/>
    <n v="24"/>
    <x v="5"/>
    <s v="Brand Manager"/>
    <d v="2022-06-01T00:00:00"/>
    <n v="76362"/>
    <s v="Married"/>
    <s v="Bachelor's"/>
    <x v="9"/>
    <s v="Travel_Rarely"/>
    <n v="15"/>
    <x v="0"/>
    <x v="1"/>
    <n v="2"/>
    <n v="4"/>
    <n v="3"/>
    <n v="2"/>
    <n v="6"/>
    <n v="22"/>
    <s v="Kimberly Adams"/>
    <x v="0"/>
    <m/>
    <x v="2"/>
    <n v="4"/>
    <x v="2"/>
    <n v="0"/>
    <s v="4-5 Years"/>
    <n v="3.33"/>
    <x v="1"/>
  </r>
  <r>
    <s v="EMP1618"/>
    <s v="Zachary Ramos"/>
    <x v="2"/>
    <n v="45"/>
    <x v="0"/>
    <s v="Research Director"/>
    <d v="2016-12-01T00:00:00"/>
    <n v="117258"/>
    <s v="Married"/>
    <s v="Master's"/>
    <x v="1"/>
    <s v="Non-Travel"/>
    <n v="42"/>
    <x v="0"/>
    <x v="3"/>
    <n v="3"/>
    <n v="2"/>
    <n v="2"/>
    <n v="1"/>
    <n v="5"/>
    <n v="15"/>
    <s v="William Nguyen"/>
    <x v="0"/>
    <m/>
    <x v="3"/>
    <n v="9"/>
    <x v="0"/>
    <n v="0"/>
    <s v="6-10 Years"/>
    <n v="2.67"/>
    <x v="0"/>
  </r>
  <r>
    <s v="EMP1552"/>
    <s v="Michelle Harper"/>
    <x v="0"/>
    <n v="40"/>
    <x v="3"/>
    <s v="Finance Manager"/>
    <d v="2025-10-09T00:00:00"/>
    <n v="46489"/>
    <s v="Married"/>
    <s v="High School"/>
    <x v="5"/>
    <s v="Travel_Frequently"/>
    <n v="35"/>
    <x v="0"/>
    <x v="0"/>
    <n v="1"/>
    <n v="3"/>
    <n v="3"/>
    <n v="3"/>
    <n v="3"/>
    <n v="14"/>
    <s v="Jessica Harris"/>
    <x v="1"/>
    <d v="2026-07-03T00:00:00"/>
    <x v="0"/>
    <n v="0"/>
    <x v="1"/>
    <n v="1"/>
    <s v="Less than 1 Year"/>
    <n v="1.67"/>
    <x v="2"/>
  </r>
  <r>
    <s v="EMP1889"/>
    <s v="Bonnie Stewart"/>
    <x v="2"/>
    <n v="45"/>
    <x v="3"/>
    <s v="Accountant"/>
    <d v="2019-07-30T00:00:00"/>
    <n v="121180"/>
    <s v="Married"/>
    <s v="Master's"/>
    <x v="0"/>
    <s v="Non-Travel"/>
    <n v="27"/>
    <x v="0"/>
    <x v="2"/>
    <n v="1"/>
    <n v="4"/>
    <n v="3"/>
    <n v="2"/>
    <n v="6"/>
    <n v="16"/>
    <s v="Bruce Williams"/>
    <x v="0"/>
    <m/>
    <x v="3"/>
    <n v="7"/>
    <x v="0"/>
    <n v="0"/>
    <s v="6-10 Years"/>
    <n v="2.33"/>
    <x v="0"/>
  </r>
  <r>
    <s v="EMP1699"/>
    <s v="Jenna Lyons"/>
    <x v="2"/>
    <n v="44"/>
    <x v="0"/>
    <s v="Manufacturing Technician"/>
    <d v="2021-08-02T00:00:00"/>
    <n v="83280"/>
    <s v="Divorced"/>
    <s v="Master's"/>
    <x v="3"/>
    <s v="Non-Travel"/>
    <n v="14"/>
    <x v="0"/>
    <x v="1"/>
    <n v="3"/>
    <n v="4"/>
    <n v="3"/>
    <n v="6"/>
    <n v="2"/>
    <n v="19"/>
    <s v="Sonya Chavez"/>
    <x v="0"/>
    <m/>
    <x v="0"/>
    <n v="5"/>
    <x v="2"/>
    <n v="0"/>
    <s v="4-5 Years"/>
    <n v="3.67"/>
    <x v="1"/>
  </r>
  <r>
    <s v="EMP1021"/>
    <s v="Eric Carney"/>
    <x v="2"/>
    <n v="44"/>
    <x v="7"/>
    <s v="Supply Chain Analyst"/>
    <d v="2021-05-11T00:00:00"/>
    <n v="62285"/>
    <s v="Married"/>
    <s v="Master's"/>
    <x v="0"/>
    <s v="Travel_Frequently"/>
    <n v="22"/>
    <x v="0"/>
    <x v="3"/>
    <n v="1"/>
    <n v="2"/>
    <n v="3"/>
    <n v="3"/>
    <n v="8"/>
    <n v="11"/>
    <s v="Not Specified"/>
    <x v="0"/>
    <m/>
    <x v="0"/>
    <n v="5"/>
    <x v="2"/>
    <n v="0"/>
    <s v="4-5 Years"/>
    <n v="2"/>
    <x v="0"/>
  </r>
  <r>
    <s v="EMP1896"/>
    <s v="Kelly Duncan"/>
    <x v="0"/>
    <n v="21"/>
    <x v="0"/>
    <s v="Manufacturing Technician"/>
    <d v="2017-11-16T00:00:00"/>
    <n v="108148"/>
    <s v="Married"/>
    <s v="Master's"/>
    <x v="3"/>
    <s v="Travel_Rarely"/>
    <n v="24"/>
    <x v="0"/>
    <x v="2"/>
    <n v="1"/>
    <n v="3"/>
    <n v="3"/>
    <n v="5"/>
    <n v="2"/>
    <n v="23"/>
    <s v="Randy Rhodes"/>
    <x v="0"/>
    <m/>
    <x v="2"/>
    <n v="8"/>
    <x v="0"/>
    <n v="0"/>
    <s v="6-10 Years"/>
    <n v="2"/>
    <x v="0"/>
  </r>
  <r>
    <s v="EMP1352"/>
    <s v="Donald Miller"/>
    <x v="0"/>
    <n v="36"/>
    <x v="0"/>
    <s v="Research Scientist"/>
    <d v="2019-12-02T00:00:00"/>
    <n v="57159"/>
    <s v="Single"/>
    <s v="Bachelor's"/>
    <x v="1"/>
    <s v="Travel_Frequently"/>
    <n v="5"/>
    <x v="0"/>
    <x v="0"/>
    <n v="2"/>
    <n v="4"/>
    <n v="4"/>
    <n v="1"/>
    <n v="3"/>
    <n v="12"/>
    <s v="Lisa Maxwell"/>
    <x v="0"/>
    <m/>
    <x v="0"/>
    <n v="6"/>
    <x v="1"/>
    <n v="0"/>
    <s v="6-10 Years"/>
    <n v="2.33"/>
    <x v="0"/>
  </r>
  <r>
    <s v="EMP1875"/>
    <s v="Rachel Taylor"/>
    <x v="2"/>
    <n v="35"/>
    <x v="4"/>
    <s v="Sales Representative"/>
    <d v="2017-08-22T00:00:00"/>
    <n v="91393"/>
    <s v="Not Specified"/>
    <s v="Bachelor's"/>
    <x v="7"/>
    <s v="Non-Travel"/>
    <n v="35"/>
    <x v="0"/>
    <x v="2"/>
    <n v="1"/>
    <n v="1"/>
    <n v="3"/>
    <n v="6"/>
    <n v="4"/>
    <n v="22"/>
    <s v="Not Specified"/>
    <x v="1"/>
    <d v="2023-04-23T00:00:00"/>
    <x v="0"/>
    <n v="5"/>
    <x v="2"/>
    <n v="1"/>
    <s v="4-5 Years"/>
    <n v="1.33"/>
    <x v="2"/>
  </r>
  <r>
    <s v="EMP1307"/>
    <s v="Frank Valentine"/>
    <x v="2"/>
    <n v="38"/>
    <x v="2"/>
    <s v="Devops Engineer"/>
    <d v="2014-08-29T00:00:00"/>
    <n v="72710"/>
    <s v="Divorced"/>
    <s v="Master's"/>
    <x v="6"/>
    <s v="Travel_Rarely"/>
    <n v="26"/>
    <x v="0"/>
    <x v="0"/>
    <n v="1"/>
    <n v="3"/>
    <n v="3"/>
    <n v="5"/>
    <n v="8"/>
    <n v="21"/>
    <s v="Vincent Novak"/>
    <x v="0"/>
    <m/>
    <x v="0"/>
    <n v="12"/>
    <x v="2"/>
    <n v="0"/>
    <s v="More than 10 Years"/>
    <n v="1.67"/>
    <x v="2"/>
  </r>
  <r>
    <s v="EMP1825"/>
    <s v="Annette Lane"/>
    <x v="2"/>
    <n v="41"/>
    <x v="4"/>
    <s v="Sales Executive"/>
    <d v="2011-11-15T00:00:00"/>
    <n v="51448"/>
    <s v="Single"/>
    <s v="PhD"/>
    <x v="8"/>
    <s v="Travel_Frequently"/>
    <n v="43"/>
    <x v="0"/>
    <x v="3"/>
    <n v="4"/>
    <n v="2"/>
    <n v="3"/>
    <n v="3"/>
    <n v="0"/>
    <n v="25"/>
    <s v="Corey Campbell"/>
    <x v="0"/>
    <m/>
    <x v="0"/>
    <n v="14"/>
    <x v="1"/>
    <n v="0"/>
    <s v="More than 10 Years"/>
    <n v="3"/>
    <x v="1"/>
  </r>
  <r>
    <s v="EMP1400"/>
    <s v="Bethany Daniel"/>
    <x v="0"/>
    <n v="36"/>
    <x v="4"/>
    <s v="Sales Representative"/>
    <d v="2025-10-25T00:00:00"/>
    <n v="67711"/>
    <s v="Divorced"/>
    <s v="Bachelor's"/>
    <x v="6"/>
    <s v="Travel_Rarely"/>
    <n v="19"/>
    <x v="0"/>
    <x v="3"/>
    <n v="1"/>
    <n v="4"/>
    <n v="2"/>
    <n v="3"/>
    <n v="4"/>
    <n v="24"/>
    <s v="Jenna Gamble"/>
    <x v="0"/>
    <m/>
    <x v="0"/>
    <n v="0"/>
    <x v="2"/>
    <n v="0"/>
    <s v="Less than 1 Year"/>
    <n v="2.67"/>
    <x v="0"/>
  </r>
  <r>
    <s v="EMP1205"/>
    <s v="Meghan Rush"/>
    <x v="2"/>
    <n v="29"/>
    <x v="2"/>
    <s v="Data Analyst"/>
    <d v="2017-03-19T00:00:00"/>
    <n v="69722"/>
    <s v="Married"/>
    <s v="Bachelor's"/>
    <x v="0"/>
    <s v="Non-Travel"/>
    <n v="13"/>
    <x v="1"/>
    <x v="0"/>
    <n v="2"/>
    <n v="3"/>
    <n v="3"/>
    <n v="5"/>
    <n v="2"/>
    <n v="24"/>
    <s v="Kendra Sanders"/>
    <x v="1"/>
    <d v="2024-06-04T00:00:00"/>
    <x v="1"/>
    <n v="7"/>
    <x v="2"/>
    <n v="1"/>
    <s v="6-10 Years"/>
    <n v="2"/>
    <x v="0"/>
  </r>
  <r>
    <s v="EMP2171"/>
    <s v="Joshua King"/>
    <x v="1"/>
    <n v="21"/>
    <x v="4"/>
    <s v="Sales Manager"/>
    <d v="2024-09-30T00:00:00"/>
    <n v="71864"/>
    <s v="Divorced"/>
    <s v="Master's"/>
    <x v="0"/>
    <s v="Travel_Rarely"/>
    <n v="1"/>
    <x v="1"/>
    <x v="1"/>
    <n v="1"/>
    <n v="3"/>
    <n v="4"/>
    <n v="2"/>
    <n v="2"/>
    <n v="13"/>
    <s v="Susan Hester"/>
    <x v="0"/>
    <m/>
    <x v="2"/>
    <n v="1"/>
    <x v="2"/>
    <n v="0"/>
    <s v="1-3 Years"/>
    <n v="2.67"/>
    <x v="0"/>
  </r>
  <r>
    <s v="EMP1678"/>
    <s v="Mrs. Felicia Castro DDS"/>
    <x v="0"/>
    <n v="50"/>
    <x v="0"/>
    <s v="Lab Technician"/>
    <d v="2011-10-31T00:00:00"/>
    <n v="56881"/>
    <s v="Married"/>
    <s v="Bachelor's"/>
    <x v="8"/>
    <s v="Non-Travel"/>
    <n v="30"/>
    <x v="0"/>
    <x v="1"/>
    <n v="3"/>
    <n v="4"/>
    <n v="3"/>
    <n v="3"/>
    <n v="3"/>
    <n v="17"/>
    <s v="Douglas Tyler"/>
    <x v="0"/>
    <m/>
    <x v="3"/>
    <n v="14"/>
    <x v="1"/>
    <n v="0"/>
    <s v="More than 10 Years"/>
    <n v="3.67"/>
    <x v="1"/>
  </r>
  <r>
    <s v="EMP2195"/>
    <s v="Stephanie Munoz"/>
    <x v="0"/>
    <n v="45"/>
    <x v="2"/>
    <s v="Data Analyst"/>
    <d v="2014-04-27T00:00:00"/>
    <n v="97427"/>
    <s v="Divorced"/>
    <s v="Bachelor's"/>
    <x v="0"/>
    <s v="Not Specified"/>
    <n v="33"/>
    <x v="0"/>
    <x v="1"/>
    <n v="1"/>
    <n v="3"/>
    <n v="3"/>
    <n v="1"/>
    <n v="6"/>
    <n v="15"/>
    <s v="Linda Shelton"/>
    <x v="0"/>
    <m/>
    <x v="3"/>
    <n v="12"/>
    <x v="2"/>
    <n v="0"/>
    <s v="More than 10 Years"/>
    <n v="2.67"/>
    <x v="0"/>
  </r>
  <r>
    <s v="EMP1018"/>
    <s v="Sherry Decker"/>
    <x v="0"/>
    <n v="28"/>
    <x v="2"/>
    <s v="Devops Engineer"/>
    <d v="2016-04-01T00:00:00"/>
    <n v="81222"/>
    <s v="Single"/>
    <s v="Bachelor's"/>
    <x v="2"/>
    <s v="Non-Travel"/>
    <n v="24"/>
    <x v="0"/>
    <x v="0"/>
    <n v="3"/>
    <n v="2"/>
    <n v="4"/>
    <n v="2"/>
    <n v="0"/>
    <n v="11"/>
    <s v="Shawn Arroyo"/>
    <x v="0"/>
    <m/>
    <x v="1"/>
    <n v="10"/>
    <x v="2"/>
    <n v="0"/>
    <s v="6-10 Years"/>
    <n v="2"/>
    <x v="0"/>
  </r>
  <r>
    <s v="EMP1390"/>
    <s v="Amy Frey"/>
    <x v="0"/>
    <n v="42"/>
    <x v="4"/>
    <s v="Sales Executive"/>
    <d v="2019-07-24T00:00:00"/>
    <n v="59219"/>
    <s v="Married"/>
    <s v="Bachelor's"/>
    <x v="10"/>
    <s v="Non-Travel"/>
    <n v="10"/>
    <x v="0"/>
    <x v="3"/>
    <n v="1"/>
    <n v="3"/>
    <n v="3"/>
    <n v="3"/>
    <n v="8"/>
    <n v="12"/>
    <s v="Yvonne Dickson"/>
    <x v="0"/>
    <m/>
    <x v="0"/>
    <n v="7"/>
    <x v="1"/>
    <n v="0"/>
    <s v="6-10 Years"/>
    <n v="2.33"/>
    <x v="0"/>
  </r>
  <r>
    <s v="EMP1881"/>
    <s v="Jessica Mora"/>
    <x v="1"/>
    <n v="41"/>
    <x v="5"/>
    <s v="Marketing Executive"/>
    <d v="2018-06-07T00:00:00"/>
    <n v="51101"/>
    <s v="Divorced"/>
    <s v="Bachelor's"/>
    <x v="2"/>
    <s v="Travel_Rarely"/>
    <n v="4"/>
    <x v="0"/>
    <x v="2"/>
    <n v="3"/>
    <n v="4"/>
    <n v="4"/>
    <n v="3"/>
    <n v="1"/>
    <n v="12"/>
    <s v="Bailey Reeves"/>
    <x v="0"/>
    <m/>
    <x v="0"/>
    <n v="8"/>
    <x v="1"/>
    <n v="0"/>
    <s v="6-10 Years"/>
    <n v="3"/>
    <x v="1"/>
  </r>
  <r>
    <s v="EMP1504"/>
    <s v="Robert Griffin"/>
    <x v="0"/>
    <n v="19"/>
    <x v="6"/>
    <s v="Research Scientist"/>
    <d v="2012-04-25T00:00:00"/>
    <n v="125829"/>
    <s v="Married"/>
    <s v="Diploma"/>
    <x v="1"/>
    <s v="Non-Travel"/>
    <n v="1"/>
    <x v="1"/>
    <x v="3"/>
    <n v="2"/>
    <n v="4"/>
    <n v="1"/>
    <n v="1"/>
    <n v="6"/>
    <n v="13"/>
    <s v="Cheryl Palmer"/>
    <x v="0"/>
    <m/>
    <x v="2"/>
    <n v="14"/>
    <x v="0"/>
    <n v="0"/>
    <s v="More than 10 Years"/>
    <n v="3"/>
    <x v="1"/>
  </r>
  <r>
    <s v="EMP1535"/>
    <s v="Amy Scott"/>
    <x v="2"/>
    <n v="22"/>
    <x v="2"/>
    <s v="Devops Engineer"/>
    <d v="2014-05-08T00:00:00"/>
    <n v="100147"/>
    <s v="Married"/>
    <s v="Master's"/>
    <x v="4"/>
    <s v="Travel_Frequently"/>
    <n v="7"/>
    <x v="0"/>
    <x v="0"/>
    <n v="1"/>
    <n v="2"/>
    <n v="3"/>
    <n v="4"/>
    <n v="0"/>
    <n v="12"/>
    <s v="Kristy Smith"/>
    <x v="1"/>
    <d v="2026-02-24T00:00:00"/>
    <x v="2"/>
    <n v="11"/>
    <x v="0"/>
    <n v="1"/>
    <s v="More than 10 Years"/>
    <n v="1.33"/>
    <x v="2"/>
  </r>
  <r>
    <s v="EMP1273"/>
    <s v="James Webster"/>
    <x v="0"/>
    <n v="37"/>
    <x v="0"/>
    <s v="Research Director"/>
    <d v="2018-09-23T00:00:00"/>
    <n v="79617"/>
    <s v="Divorced"/>
    <s v="Bachelor's"/>
    <x v="1"/>
    <s v="Travel_Frequently"/>
    <n v="9"/>
    <x v="1"/>
    <x v="3"/>
    <n v="2"/>
    <n v="3"/>
    <n v="3"/>
    <n v="0"/>
    <n v="1"/>
    <n v="15"/>
    <s v="Elizabeth Zimmerman"/>
    <x v="0"/>
    <m/>
    <x v="0"/>
    <n v="7"/>
    <x v="2"/>
    <n v="0"/>
    <s v="6-10 Years"/>
    <n v="2.67"/>
    <x v="0"/>
  </r>
  <r>
    <s v="EMP1116"/>
    <s v="Barry Welch"/>
    <x v="2"/>
    <n v="40"/>
    <x v="2"/>
    <s v="It Support"/>
    <d v="2025-05-27T00:00:00"/>
    <n v="119694"/>
    <s v="Married"/>
    <s v="Master's"/>
    <x v="1"/>
    <s v="Travel_Rarely"/>
    <n v="14"/>
    <x v="1"/>
    <x v="0"/>
    <n v="2"/>
    <n v="1"/>
    <n v="3"/>
    <n v="5"/>
    <n v="5"/>
    <n v="15"/>
    <s v="Jessica Garcia"/>
    <x v="1"/>
    <d v="2026-08-29T00:00:00"/>
    <x v="0"/>
    <n v="1"/>
    <x v="0"/>
    <n v="1"/>
    <s v="1-3 Years"/>
    <n v="1.33"/>
    <x v="2"/>
  </r>
  <r>
    <s v="EMP1208"/>
    <s v="Jill Miller"/>
    <x v="0"/>
    <n v="39"/>
    <x v="3"/>
    <s v="Auditor"/>
    <d v="2021-11-01T00:00:00"/>
    <n v="74994"/>
    <s v="Single"/>
    <s v="Master's"/>
    <x v="4"/>
    <s v="Travel_Rarely"/>
    <n v="26"/>
    <x v="1"/>
    <x v="0"/>
    <n v="4"/>
    <n v="1"/>
    <n v="5"/>
    <n v="3"/>
    <n v="7"/>
    <n v="20"/>
    <s v="Gregory Brown"/>
    <x v="1"/>
    <d v="2025-12-01T00:00:00"/>
    <x v="0"/>
    <n v="4"/>
    <x v="2"/>
    <n v="1"/>
    <s v="4-5 Years"/>
    <n v="2"/>
    <x v="0"/>
  </r>
  <r>
    <s v="EMP1493"/>
    <s v="Matthew House"/>
    <x v="0"/>
    <n v="36"/>
    <x v="4"/>
    <s v="Sales Executive"/>
    <d v="2017-06-11T00:00:00"/>
    <n v="45402"/>
    <s v="Divorced"/>
    <s v="Master's"/>
    <x v="4"/>
    <s v="Non-Travel"/>
    <n v="45"/>
    <x v="1"/>
    <x v="1"/>
    <n v="1"/>
    <n v="2"/>
    <n v="5"/>
    <n v="5"/>
    <n v="1"/>
    <n v="18"/>
    <s v="Emily Arnold"/>
    <x v="1"/>
    <d v="2026-04-07T00:00:00"/>
    <x v="0"/>
    <n v="8"/>
    <x v="1"/>
    <n v="1"/>
    <s v="6-10 Years"/>
    <n v="2.33"/>
    <x v="0"/>
  </r>
  <r>
    <s v="EMP1717"/>
    <s v="Jennifer Payne"/>
    <x v="2"/>
    <n v="30"/>
    <x v="3"/>
    <s v="Financial Analyst"/>
    <d v="2017-02-19T00:00:00"/>
    <n v="60692"/>
    <s v="Divorced"/>
    <s v="Master's"/>
    <x v="1"/>
    <s v="Travel_Rarely"/>
    <n v="21"/>
    <x v="1"/>
    <x v="3"/>
    <n v="2"/>
    <n v="4"/>
    <n v="3"/>
    <n v="1"/>
    <n v="6"/>
    <n v="18"/>
    <s v="Not Specified"/>
    <x v="0"/>
    <m/>
    <x v="1"/>
    <n v="9"/>
    <x v="2"/>
    <n v="0"/>
    <s v="6-10 Years"/>
    <n v="3"/>
    <x v="1"/>
  </r>
  <r>
    <s v="EMP2087"/>
    <s v="Kevin Huerta"/>
    <x v="0"/>
    <n v="36"/>
    <x v="3"/>
    <s v="Accountant"/>
    <d v="2013-02-08T00:00:00"/>
    <n v="65813"/>
    <s v="Married"/>
    <s v="Master's"/>
    <x v="1"/>
    <s v="Travel_Rarely"/>
    <n v="21"/>
    <x v="0"/>
    <x v="2"/>
    <n v="1"/>
    <n v="4"/>
    <n v="4"/>
    <n v="6"/>
    <n v="4"/>
    <n v="15"/>
    <s v="Adrienne Morrison"/>
    <x v="0"/>
    <m/>
    <x v="0"/>
    <n v="13"/>
    <x v="2"/>
    <n v="0"/>
    <s v="More than 10 Years"/>
    <n v="2.33"/>
    <x v="0"/>
  </r>
  <r>
    <s v="EMP1975"/>
    <s v="Bryce Taylor"/>
    <x v="2"/>
    <n v="35"/>
    <x v="2"/>
    <s v="It Support"/>
    <d v="2019-12-19T00:00:00"/>
    <n v="142618"/>
    <s v="Divorced"/>
    <s v="Bachelor's"/>
    <x v="6"/>
    <s v="Non-Travel"/>
    <n v="37"/>
    <x v="1"/>
    <x v="2"/>
    <n v="3"/>
    <n v="4"/>
    <n v="4"/>
    <n v="6"/>
    <n v="7"/>
    <n v="22"/>
    <s v="Leroy Bernard"/>
    <x v="1"/>
    <d v="2021-11-01T00:00:00"/>
    <x v="0"/>
    <n v="1"/>
    <x v="0"/>
    <n v="1"/>
    <s v="1-3 Years"/>
    <n v="3"/>
    <x v="1"/>
  </r>
  <r>
    <s v="EMP1141"/>
    <s v="Kelly Reese"/>
    <x v="2"/>
    <n v="41"/>
    <x v="0"/>
    <s v="Lab Technician"/>
    <d v="2018-10-08T00:00:00"/>
    <n v="63263"/>
    <s v="Married"/>
    <s v="Master's"/>
    <x v="6"/>
    <s v="Travel_Rarely"/>
    <n v="45"/>
    <x v="1"/>
    <x v="3"/>
    <n v="4"/>
    <n v="2"/>
    <n v="5"/>
    <n v="3"/>
    <n v="0"/>
    <n v="12"/>
    <s v="Ashley Gordon"/>
    <x v="1"/>
    <d v="2024-11-28T00:00:00"/>
    <x v="0"/>
    <n v="6"/>
    <x v="2"/>
    <n v="1"/>
    <s v="6-10 Years"/>
    <n v="3"/>
    <x v="1"/>
  </r>
  <r>
    <s v="EMP1887"/>
    <s v="Linda Goodman"/>
    <x v="0"/>
    <n v="41"/>
    <x v="4"/>
    <s v="Sales Representative"/>
    <d v="2012-05-04T00:00:00"/>
    <n v="93037"/>
    <s v="Married"/>
    <s v="High School"/>
    <x v="8"/>
    <s v="Non-Travel"/>
    <n v="13"/>
    <x v="1"/>
    <x v="2"/>
    <n v="3"/>
    <n v="3"/>
    <n v="4"/>
    <n v="4"/>
    <n v="3"/>
    <n v="13"/>
    <s v="Elizabeth Foster"/>
    <x v="1"/>
    <d v="2015-12-22T00:00:00"/>
    <x v="0"/>
    <n v="3"/>
    <x v="2"/>
    <n v="1"/>
    <s v="1-3 Years"/>
    <n v="2.67"/>
    <x v="0"/>
  </r>
  <r>
    <s v="EMP1264"/>
    <s v="Mary Ryan"/>
    <x v="2"/>
    <n v="27"/>
    <x v="4"/>
    <s v="Sales Representative"/>
    <d v="2021-05-31T00:00:00"/>
    <n v="37414"/>
    <s v="Divorced"/>
    <s v="Bachelor's"/>
    <x v="4"/>
    <s v="Travel_Rarely"/>
    <n v="20"/>
    <x v="1"/>
    <x v="1"/>
    <n v="1"/>
    <n v="3"/>
    <n v="3"/>
    <n v="5"/>
    <n v="5"/>
    <n v="23"/>
    <s v="Not Specified"/>
    <x v="0"/>
    <m/>
    <x v="1"/>
    <n v="5"/>
    <x v="1"/>
    <n v="0"/>
    <s v="4-5 Years"/>
    <n v="2.67"/>
    <x v="0"/>
  </r>
  <r>
    <s v="EMP2159"/>
    <s v="Jessica Roberts"/>
    <x v="0"/>
    <n v="33"/>
    <x v="7"/>
    <s v="Operations Executive"/>
    <d v="2018-11-29T00:00:00"/>
    <n v="71944"/>
    <s v="Married"/>
    <s v="PhD"/>
    <x v="6"/>
    <s v="Not Specified"/>
    <n v="37"/>
    <x v="0"/>
    <x v="0"/>
    <n v="1"/>
    <n v="1"/>
    <n v="3"/>
    <n v="2"/>
    <n v="2"/>
    <n v="21"/>
    <s v="Christian Dixon"/>
    <x v="1"/>
    <d v="2024-10-22T00:00:00"/>
    <x v="1"/>
    <n v="5"/>
    <x v="2"/>
    <n v="1"/>
    <s v="4-5 Years"/>
    <n v="1"/>
    <x v="2"/>
  </r>
  <r>
    <s v="EMP1419"/>
    <s v="Suzanne Jones"/>
    <x v="2"/>
    <n v="45"/>
    <x v="5"/>
    <s v="Marketing Executive"/>
    <d v="2017-06-14T00:00:00"/>
    <n v="52744"/>
    <s v="Single"/>
    <s v="Bachelor's"/>
    <x v="9"/>
    <s v="Non-Travel"/>
    <n v="38"/>
    <x v="0"/>
    <x v="1"/>
    <n v="2"/>
    <n v="3"/>
    <n v="2"/>
    <n v="6"/>
    <n v="5"/>
    <n v="14"/>
    <s v="Gabriel Hill"/>
    <x v="0"/>
    <m/>
    <x v="3"/>
    <n v="9"/>
    <x v="1"/>
    <n v="0"/>
    <s v="6-10 Years"/>
    <n v="3"/>
    <x v="1"/>
  </r>
  <r>
    <s v="EMP1566"/>
    <s v="Kenneth Brown"/>
    <x v="1"/>
    <n v="29"/>
    <x v="2"/>
    <s v="System Administrator"/>
    <d v="2023-08-03T00:00:00"/>
    <n v="97282"/>
    <s v="Single"/>
    <s v="Bachelor's"/>
    <x v="0"/>
    <s v="Travel_Frequently"/>
    <n v="1"/>
    <x v="0"/>
    <x v="2"/>
    <n v="3"/>
    <n v="4"/>
    <n v="3"/>
    <n v="3"/>
    <n v="2"/>
    <n v="15"/>
    <s v="Joshua Shaw"/>
    <x v="0"/>
    <m/>
    <x v="1"/>
    <n v="3"/>
    <x v="2"/>
    <n v="0"/>
    <s v="1-3 Years"/>
    <n v="3"/>
    <x v="1"/>
  </r>
  <r>
    <s v="EMP1485"/>
    <s v="Tracy Chavez"/>
    <x v="0"/>
    <n v="29"/>
    <x v="4"/>
    <s v="Sales Representative"/>
    <d v="2013-08-26T00:00:00"/>
    <n v="57209"/>
    <s v="Single"/>
    <s v="PhD"/>
    <x v="4"/>
    <s v="Travel_Rarely"/>
    <n v="20"/>
    <x v="1"/>
    <x v="2"/>
    <n v="2"/>
    <n v="4"/>
    <n v="3"/>
    <n v="4"/>
    <n v="8"/>
    <n v="24"/>
    <s v="Nicole Evans"/>
    <x v="1"/>
    <d v="2019-01-08T00:00:00"/>
    <x v="1"/>
    <n v="5"/>
    <x v="1"/>
    <n v="1"/>
    <s v="4-5 Years"/>
    <n v="2.67"/>
    <x v="0"/>
  </r>
  <r>
    <s v="EMP2170"/>
    <s v="Grace Swanson"/>
    <x v="2"/>
    <n v="46"/>
    <x v="1"/>
    <s v="Hr Executive"/>
    <d v="2026-06-05T00:00:00"/>
    <n v="76533"/>
    <s v="Single"/>
    <s v="Bachelor's"/>
    <x v="0"/>
    <s v="Non-Travel"/>
    <n v="9"/>
    <x v="0"/>
    <x v="3"/>
    <n v="4"/>
    <n v="4"/>
    <n v="3"/>
    <n v="0"/>
    <n v="4"/>
    <n v="14"/>
    <s v="Nathan Williams"/>
    <x v="0"/>
    <m/>
    <x v="3"/>
    <n v="0"/>
    <x v="2"/>
    <n v="0"/>
    <s v="Less than 1 Year"/>
    <n v="3.67"/>
    <x v="1"/>
  </r>
  <r>
    <s v="EMP1557"/>
    <s v="Jason Rodriguez"/>
    <x v="2"/>
    <n v="25"/>
    <x v="1"/>
    <s v="Hr Business Partner"/>
    <d v="2012-09-28T00:00:00"/>
    <n v="65501"/>
    <s v="Divorced"/>
    <s v="Bachelor's"/>
    <x v="3"/>
    <s v="Travel_Rarely"/>
    <n v="23"/>
    <x v="1"/>
    <x v="0"/>
    <n v="4"/>
    <n v="2"/>
    <n v="4"/>
    <n v="4"/>
    <n v="3"/>
    <n v="18"/>
    <s v="Regina Frye"/>
    <x v="1"/>
    <d v="2016-11-02T00:00:00"/>
    <x v="1"/>
    <n v="4"/>
    <x v="2"/>
    <n v="1"/>
    <s v="4-5 Years"/>
    <n v="2.33"/>
    <x v="0"/>
  </r>
  <r>
    <s v="EMP1748"/>
    <s v="Bradley Chen"/>
    <x v="2"/>
    <n v="37"/>
    <x v="6"/>
    <s v="Auditor"/>
    <d v="2022-08-19T00:00:00"/>
    <n v="89227"/>
    <s v="Married"/>
    <s v="Diploma"/>
    <x v="5"/>
    <s v="Travel_Rarely"/>
    <n v="23"/>
    <x v="0"/>
    <x v="1"/>
    <n v="4"/>
    <n v="2"/>
    <n v="1"/>
    <n v="0"/>
    <n v="1"/>
    <n v="13"/>
    <s v="Not Specified"/>
    <x v="0"/>
    <m/>
    <x v="0"/>
    <n v="4"/>
    <x v="2"/>
    <n v="0"/>
    <s v="4-5 Years"/>
    <n v="3.33"/>
    <x v="1"/>
  </r>
  <r>
    <s v="EMP1359"/>
    <s v="Kimberly Myers"/>
    <x v="2"/>
    <n v="30"/>
    <x v="2"/>
    <s v="Devops Engineer"/>
    <d v="2021-02-15T00:00:00"/>
    <n v="79274"/>
    <s v="Married"/>
    <s v="Bachelor's"/>
    <x v="7"/>
    <s v="Travel_Frequently"/>
    <n v="16"/>
    <x v="0"/>
    <x v="1"/>
    <n v="1"/>
    <n v="3"/>
    <n v="2"/>
    <n v="5"/>
    <n v="1"/>
    <n v="24"/>
    <s v="Melanie Jones"/>
    <x v="0"/>
    <m/>
    <x v="1"/>
    <n v="5"/>
    <x v="2"/>
    <n v="0"/>
    <s v="4-5 Years"/>
    <n v="2.67"/>
    <x v="0"/>
  </r>
  <r>
    <s v="EMP1109"/>
    <s v="Yvonne Burns"/>
    <x v="0"/>
    <n v="49"/>
    <x v="3"/>
    <s v="Finance Manager"/>
    <d v="2013-11-17T00:00:00"/>
    <n v="93471"/>
    <s v="Married"/>
    <s v="Bachelor's"/>
    <x v="9"/>
    <s v="Non-Travel"/>
    <n v="23"/>
    <x v="1"/>
    <x v="3"/>
    <n v="1"/>
    <n v="2"/>
    <n v="5"/>
    <n v="4"/>
    <n v="8"/>
    <n v="21"/>
    <s v="Haley Arnold"/>
    <x v="0"/>
    <m/>
    <x v="3"/>
    <n v="12"/>
    <x v="2"/>
    <n v="0"/>
    <s v="More than 10 Years"/>
    <n v="2"/>
    <x v="0"/>
  </r>
  <r>
    <s v="EMP1672"/>
    <s v="Jesse Riley"/>
    <x v="2"/>
    <n v="44"/>
    <x v="1"/>
    <s v="Hr Executive"/>
    <d v="2025-07-23T00:00:00"/>
    <n v="81250"/>
    <s v="Married"/>
    <s v="Master's"/>
    <x v="3"/>
    <s v="Travel_Rarely"/>
    <n v="20"/>
    <x v="0"/>
    <x v="2"/>
    <n v="1"/>
    <n v="2"/>
    <n v="3"/>
    <n v="0"/>
    <n v="6"/>
    <n v="17"/>
    <s v="Jacob Gray"/>
    <x v="1"/>
    <d v="2025-08-29T00:00:00"/>
    <x v="0"/>
    <n v="0"/>
    <x v="2"/>
    <n v="1"/>
    <s v="Less than 1 Year"/>
    <n v="1.67"/>
    <x v="2"/>
  </r>
  <r>
    <s v="EMP2115"/>
    <s v="Tammy Davis"/>
    <x v="2"/>
    <n v="26"/>
    <x v="2"/>
    <s v="System Administrator"/>
    <d v="2026-03-13T00:00:00"/>
    <n v="69093"/>
    <s v="Married"/>
    <s v="Master's"/>
    <x v="4"/>
    <s v="Travel_Rarely"/>
    <n v="27"/>
    <x v="1"/>
    <x v="3"/>
    <n v="3"/>
    <n v="3"/>
    <n v="3"/>
    <n v="4"/>
    <n v="2"/>
    <n v="20"/>
    <s v="William Santos"/>
    <x v="1"/>
    <d v="2026-04-12T00:00:00"/>
    <x v="1"/>
    <n v="0"/>
    <x v="2"/>
    <n v="1"/>
    <s v="Less than 1 Year"/>
    <n v="3"/>
    <x v="1"/>
  </r>
  <r>
    <s v="EMP2000"/>
    <s v="Amy Collins"/>
    <x v="0"/>
    <n v="50"/>
    <x v="1"/>
    <s v="Hr Executive"/>
    <d v="2018-03-01T00:00:00"/>
    <n v="85400"/>
    <s v="Divorced"/>
    <s v="Master's"/>
    <x v="2"/>
    <s v="Non-Travel"/>
    <n v="2"/>
    <x v="0"/>
    <x v="1"/>
    <n v="3"/>
    <n v="3"/>
    <n v="3"/>
    <n v="5"/>
    <n v="0"/>
    <n v="16"/>
    <s v="Nicole Collins"/>
    <x v="0"/>
    <m/>
    <x v="3"/>
    <n v="8"/>
    <x v="2"/>
    <n v="0"/>
    <s v="6-10 Years"/>
    <n v="3.33"/>
    <x v="1"/>
  </r>
  <r>
    <s v="EMP1100"/>
    <s v="Kevin Walters"/>
    <x v="0"/>
    <n v="44"/>
    <x v="0"/>
    <s v="Research Director"/>
    <d v="2018-12-31T00:00:00"/>
    <n v="74000"/>
    <s v="Married"/>
    <s v="Diploma"/>
    <x v="9"/>
    <s v="Non-Travel"/>
    <n v="44"/>
    <x v="0"/>
    <x v="0"/>
    <n v="4"/>
    <n v="4"/>
    <n v="5"/>
    <n v="5"/>
    <n v="4"/>
    <n v="14"/>
    <s v="Gregory Cook"/>
    <x v="0"/>
    <m/>
    <x v="0"/>
    <n v="7"/>
    <x v="2"/>
    <n v="0"/>
    <s v="6-10 Years"/>
    <n v="3"/>
    <x v="1"/>
  </r>
  <r>
    <s v="EMP1217"/>
    <s v="Lisa Kirby"/>
    <x v="2"/>
    <n v="38"/>
    <x v="4"/>
    <s v="Sales Executive"/>
    <d v="2020-01-27T00:00:00"/>
    <n v="100112"/>
    <s v="Single"/>
    <s v="Bachelor's"/>
    <x v="3"/>
    <s v="Non-Travel"/>
    <n v="11"/>
    <x v="0"/>
    <x v="1"/>
    <n v="3"/>
    <n v="4"/>
    <n v="3"/>
    <n v="3"/>
    <n v="2"/>
    <n v="19"/>
    <s v="Alyssa Williams"/>
    <x v="0"/>
    <m/>
    <x v="0"/>
    <n v="6"/>
    <x v="0"/>
    <n v="0"/>
    <s v="6-10 Years"/>
    <n v="3.67"/>
    <x v="1"/>
  </r>
  <r>
    <s v="EMP1586"/>
    <s v="Kristy Mills"/>
    <x v="2"/>
    <n v="40"/>
    <x v="0"/>
    <s v="Manufacturing Technician"/>
    <d v="2021-03-15T00:00:00"/>
    <n v="83975"/>
    <s v="Single"/>
    <s v="Bachelor's"/>
    <x v="9"/>
    <s v="Travel_Rarely"/>
    <n v="27"/>
    <x v="0"/>
    <x v="3"/>
    <n v="4"/>
    <n v="4"/>
    <n v="3"/>
    <n v="6"/>
    <n v="2"/>
    <n v="11"/>
    <s v="Gregory Fernandez"/>
    <x v="0"/>
    <m/>
    <x v="0"/>
    <n v="5"/>
    <x v="2"/>
    <n v="0"/>
    <s v="4-5 Years"/>
    <n v="3.67"/>
    <x v="1"/>
  </r>
  <r>
    <s v="EMP1386"/>
    <s v="Cody Ramirez"/>
    <x v="0"/>
    <n v="19"/>
    <x v="3"/>
    <s v="Auditor"/>
    <d v="2024-11-03T00:00:00"/>
    <n v="106007"/>
    <s v="Single"/>
    <s v="Bachelor's"/>
    <x v="0"/>
    <s v="Travel_Rarely"/>
    <n v="34"/>
    <x v="0"/>
    <x v="3"/>
    <n v="4"/>
    <n v="1"/>
    <n v="3"/>
    <n v="0"/>
    <n v="0"/>
    <n v="15"/>
    <s v="Danielle Phillips"/>
    <x v="1"/>
    <d v="2024-11-26T00:00:00"/>
    <x v="2"/>
    <n v="0"/>
    <x v="0"/>
    <n v="1"/>
    <s v="Less than 1 Year"/>
    <n v="2.67"/>
    <x v="0"/>
  </r>
  <r>
    <s v="EMP1421"/>
    <s v="Olivia Ayers"/>
    <x v="0"/>
    <n v="23"/>
    <x v="0"/>
    <s v="Research Director"/>
    <d v="2025-06-17T00:00:00"/>
    <n v="103275"/>
    <s v="Married"/>
    <s v="Not Specified"/>
    <x v="4"/>
    <s v="Travel_Rarely"/>
    <n v="24"/>
    <x v="0"/>
    <x v="3"/>
    <n v="3"/>
    <n v="4"/>
    <n v="3"/>
    <n v="1"/>
    <n v="8"/>
    <n v="13"/>
    <s v="Ashlee Mitchell"/>
    <x v="0"/>
    <m/>
    <x v="2"/>
    <n v="1"/>
    <x v="0"/>
    <n v="0"/>
    <s v="1-3 Years"/>
    <n v="3.33"/>
    <x v="1"/>
  </r>
  <r>
    <s v="EMP1413"/>
    <s v="Stephen Wood"/>
    <x v="0"/>
    <n v="40"/>
    <x v="4"/>
    <s v="Sales Representative"/>
    <d v="2018-04-25T00:00:00"/>
    <n v="99764"/>
    <s v="Single"/>
    <s v="PhD"/>
    <x v="2"/>
    <s v="Non-Travel"/>
    <n v="28"/>
    <x v="0"/>
    <x v="1"/>
    <n v="4"/>
    <n v="2"/>
    <n v="4"/>
    <n v="0"/>
    <n v="8"/>
    <n v="18"/>
    <s v="John Perez"/>
    <x v="0"/>
    <m/>
    <x v="0"/>
    <n v="8"/>
    <x v="2"/>
    <n v="0"/>
    <s v="6-10 Years"/>
    <n v="3.33"/>
    <x v="1"/>
  </r>
  <r>
    <s v="EMP1707"/>
    <s v="Stephanie Fields"/>
    <x v="0"/>
    <n v="32"/>
    <x v="2"/>
    <s v="Devops Engineer"/>
    <d v="2011-09-01T00:00:00"/>
    <n v="101981"/>
    <s v="Married"/>
    <s v="Master's"/>
    <x v="10"/>
    <s v="Travel_Frequently"/>
    <n v="9"/>
    <x v="1"/>
    <x v="1"/>
    <n v="2"/>
    <n v="3"/>
    <n v="3"/>
    <n v="4"/>
    <n v="7"/>
    <n v="21"/>
    <s v="Chase Schmidt"/>
    <x v="0"/>
    <m/>
    <x v="1"/>
    <n v="15"/>
    <x v="0"/>
    <n v="0"/>
    <s v="More than 10 Years"/>
    <n v="3"/>
    <x v="1"/>
  </r>
  <r>
    <s v="EMP1942"/>
    <s v="Jennifer Gonzalez"/>
    <x v="0"/>
    <n v="34"/>
    <x v="2"/>
    <s v="System Administrator"/>
    <d v="2016-02-29T00:00:00"/>
    <n v="97801"/>
    <s v="Married"/>
    <s v="Master's"/>
    <x v="2"/>
    <s v="Non-Travel"/>
    <n v="28"/>
    <x v="0"/>
    <x v="3"/>
    <n v="3"/>
    <n v="1"/>
    <n v="5"/>
    <n v="2"/>
    <n v="5"/>
    <n v="22"/>
    <s v="George Hardy"/>
    <x v="0"/>
    <m/>
    <x v="1"/>
    <n v="10"/>
    <x v="2"/>
    <n v="0"/>
    <s v="6-10 Years"/>
    <n v="2.33"/>
    <x v="0"/>
  </r>
  <r>
    <s v="EMP1558"/>
    <s v="Robin Andrews"/>
    <x v="2"/>
    <n v="19"/>
    <x v="6"/>
    <s v="Account Manager"/>
    <d v="2022-01-07T00:00:00"/>
    <n v="98874"/>
    <s v="Married"/>
    <s v="Bachelor's"/>
    <x v="6"/>
    <s v="Travel_Frequently"/>
    <n v="39"/>
    <x v="0"/>
    <x v="3"/>
    <n v="1"/>
    <n v="1"/>
    <n v="2"/>
    <n v="2"/>
    <n v="7"/>
    <n v="22"/>
    <s v="Kristine Carrillo"/>
    <x v="0"/>
    <m/>
    <x v="2"/>
    <n v="4"/>
    <x v="2"/>
    <n v="0"/>
    <s v="4-5 Years"/>
    <n v="1.67"/>
    <x v="2"/>
  </r>
  <r>
    <s v="EMP1794"/>
    <s v="Cody Hart"/>
    <x v="0"/>
    <n v="36"/>
    <x v="6"/>
    <s v="Finance Manager"/>
    <d v="2012-03-07T00:00:00"/>
    <n v="53598"/>
    <s v="Divorced"/>
    <s v="Bachelor's"/>
    <x v="3"/>
    <s v="Travel_Rarely"/>
    <n v="14"/>
    <x v="0"/>
    <x v="2"/>
    <n v="1"/>
    <n v="4"/>
    <n v="3"/>
    <n v="2"/>
    <n v="8"/>
    <n v="20"/>
    <s v="Gregg Watson"/>
    <x v="0"/>
    <m/>
    <x v="0"/>
    <n v="14"/>
    <x v="1"/>
    <n v="0"/>
    <s v="More than 10 Years"/>
    <n v="2.33"/>
    <x v="0"/>
  </r>
  <r>
    <s v="EMP1306"/>
    <s v="Regina Rivera"/>
    <x v="2"/>
    <n v="44"/>
    <x v="2"/>
    <s v="Data Analyst"/>
    <d v="2016-08-27T00:00:00"/>
    <n v="77850"/>
    <s v="Married"/>
    <s v="High School"/>
    <x v="9"/>
    <s v="Non-Travel"/>
    <n v="9"/>
    <x v="0"/>
    <x v="2"/>
    <n v="2"/>
    <n v="3"/>
    <n v="2"/>
    <n v="4"/>
    <n v="7"/>
    <n v="18"/>
    <s v="Shannon Mccann"/>
    <x v="0"/>
    <m/>
    <x v="0"/>
    <n v="10"/>
    <x v="2"/>
    <n v="0"/>
    <s v="6-10 Years"/>
    <n v="2.33"/>
    <x v="0"/>
  </r>
  <r>
    <s v="EMP1914"/>
    <s v="Heather Nunez"/>
    <x v="0"/>
    <n v="31"/>
    <x v="0"/>
    <s v="Research Director"/>
    <d v="2021-12-17T00:00:00"/>
    <n v="62926"/>
    <s v="Divorced"/>
    <s v="Bachelor's"/>
    <x v="3"/>
    <s v="Travel_Frequently"/>
    <n v="14"/>
    <x v="0"/>
    <x v="2"/>
    <n v="1"/>
    <n v="3"/>
    <n v="3"/>
    <n v="5"/>
    <n v="5"/>
    <n v="25"/>
    <s v="Eric Martinez"/>
    <x v="0"/>
    <m/>
    <x v="1"/>
    <n v="4"/>
    <x v="2"/>
    <n v="0"/>
    <s v="4-5 Years"/>
    <n v="2"/>
    <x v="0"/>
  </r>
  <r>
    <s v="EMP1663"/>
    <s v="David Holt"/>
    <x v="0"/>
    <n v="38"/>
    <x v="4"/>
    <s v="Sales Executive"/>
    <d v="2025-03-13T00:00:00"/>
    <n v="77948"/>
    <s v="Divorced"/>
    <s v="Bachelor's"/>
    <x v="10"/>
    <s v="Travel_Rarely"/>
    <n v="35"/>
    <x v="0"/>
    <x v="3"/>
    <n v="1"/>
    <n v="4"/>
    <n v="3"/>
    <n v="3"/>
    <n v="0"/>
    <n v="24"/>
    <s v="Michelle Martinez"/>
    <x v="0"/>
    <m/>
    <x v="0"/>
    <n v="1"/>
    <x v="2"/>
    <n v="0"/>
    <s v="1-3 Years"/>
    <n v="2.67"/>
    <x v="0"/>
  </r>
  <r>
    <s v="EMP2166"/>
    <s v="Ashlee Lopez"/>
    <x v="0"/>
    <n v="27"/>
    <x v="0"/>
    <s v="Lab Technician"/>
    <d v="2025-10-23T00:00:00"/>
    <n v="96274"/>
    <s v="Married"/>
    <s v="Master's"/>
    <x v="1"/>
    <s v="Non-Travel"/>
    <n v="19"/>
    <x v="1"/>
    <x v="3"/>
    <n v="1"/>
    <n v="2"/>
    <n v="3"/>
    <n v="6"/>
    <n v="6"/>
    <n v="13"/>
    <s v="Brent Smith"/>
    <x v="1"/>
    <d v="2026-02-13T00:00:00"/>
    <x v="1"/>
    <n v="0"/>
    <x v="2"/>
    <n v="1"/>
    <s v="Less than 1 Year"/>
    <n v="2"/>
    <x v="0"/>
  </r>
  <r>
    <s v="EMP1364"/>
    <s v="Jesse Ward"/>
    <x v="0"/>
    <n v="38"/>
    <x v="0"/>
    <s v="Manufacturing Technician"/>
    <d v="2019-02-12T00:00:00"/>
    <n v="46363"/>
    <s v="Married"/>
    <s v="High School"/>
    <x v="6"/>
    <s v="Travel_Rarely"/>
    <n v="4"/>
    <x v="0"/>
    <x v="3"/>
    <n v="3"/>
    <n v="4"/>
    <n v="5"/>
    <n v="0"/>
    <n v="3"/>
    <n v="21"/>
    <s v="Holly Scott"/>
    <x v="0"/>
    <m/>
    <x v="0"/>
    <n v="7"/>
    <x v="1"/>
    <n v="0"/>
    <s v="6-10 Years"/>
    <n v="3.33"/>
    <x v="1"/>
  </r>
  <r>
    <s v="EMP1024"/>
    <s v="Timothy Duncan"/>
    <x v="2"/>
    <n v="43"/>
    <x v="3"/>
    <s v="Auditor"/>
    <d v="2018-09-18T00:00:00"/>
    <n v="76348"/>
    <s v="Divorced"/>
    <s v="High School"/>
    <x v="1"/>
    <s v="Travel_Frequently"/>
    <n v="15"/>
    <x v="0"/>
    <x v="0"/>
    <n v="2"/>
    <n v="3"/>
    <n v="3"/>
    <n v="5"/>
    <n v="1"/>
    <n v="18"/>
    <s v="Rhonda Lee"/>
    <x v="0"/>
    <m/>
    <x v="0"/>
    <n v="7"/>
    <x v="2"/>
    <n v="0"/>
    <s v="6-10 Years"/>
    <n v="2"/>
    <x v="0"/>
  </r>
  <r>
    <s v="EMP2039"/>
    <s v="Michael Dawson"/>
    <x v="0"/>
    <n v="39"/>
    <x v="4"/>
    <s v="Not Specified"/>
    <d v="2016-02-06T00:00:00"/>
    <n v="44492"/>
    <s v="Married"/>
    <s v="Master's"/>
    <x v="9"/>
    <s v="Travel_Frequently"/>
    <n v="38"/>
    <x v="1"/>
    <x v="0"/>
    <n v="1"/>
    <n v="1"/>
    <n v="4"/>
    <n v="1"/>
    <n v="7"/>
    <n v="14"/>
    <s v="Casey Wright"/>
    <x v="1"/>
    <d v="2022-07-29T00:00:00"/>
    <x v="0"/>
    <n v="6"/>
    <x v="1"/>
    <n v="1"/>
    <s v="6-10 Years"/>
    <n v="1"/>
    <x v="2"/>
  </r>
  <r>
    <s v="EMP1265"/>
    <s v="Monica Walker"/>
    <x v="0"/>
    <n v="43"/>
    <x v="5"/>
    <s v="Brand Manager"/>
    <d v="2011-09-18T00:00:00"/>
    <n v="47512"/>
    <s v="Married"/>
    <s v="Bachelor's"/>
    <x v="2"/>
    <s v="Travel_Frequently"/>
    <n v="38"/>
    <x v="1"/>
    <x v="2"/>
    <n v="3"/>
    <n v="2"/>
    <n v="3"/>
    <n v="2"/>
    <n v="0"/>
    <n v="23"/>
    <s v="Michael Stephens"/>
    <x v="1"/>
    <d v="2012-01-20T00:00:00"/>
    <x v="0"/>
    <n v="0"/>
    <x v="1"/>
    <n v="1"/>
    <s v="Less than 1 Year"/>
    <n v="2.33"/>
    <x v="0"/>
  </r>
  <r>
    <s v="EMP1756"/>
    <s v="Russell Mcguire"/>
    <x v="0"/>
    <n v="31"/>
    <x v="0"/>
    <s v="Research Director"/>
    <d v="2023-01-24T00:00:00"/>
    <n v="79550"/>
    <s v="Married"/>
    <s v="Master's"/>
    <x v="2"/>
    <s v="Travel_Frequently"/>
    <n v="34"/>
    <x v="0"/>
    <x v="0"/>
    <n v="2"/>
    <n v="2"/>
    <n v="5"/>
    <n v="2"/>
    <n v="2"/>
    <n v="19"/>
    <s v="Bryan Thomas"/>
    <x v="1"/>
    <d v="2025-03-13T00:00:00"/>
    <x v="1"/>
    <n v="2"/>
    <x v="2"/>
    <n v="1"/>
    <s v="1-3 Years"/>
    <n v="1.67"/>
    <x v="2"/>
  </r>
  <r>
    <s v="EMP2036"/>
    <s v="Jeffrey Mckinney"/>
    <x v="0"/>
    <n v="20"/>
    <x v="2"/>
    <s v="Software Engineer"/>
    <d v="2018-09-30T00:00:00"/>
    <n v="83329"/>
    <s v="Single"/>
    <s v="Master's"/>
    <x v="7"/>
    <s v="Travel_Frequently"/>
    <n v="15"/>
    <x v="1"/>
    <x v="2"/>
    <n v="2"/>
    <n v="2"/>
    <n v="4"/>
    <n v="6"/>
    <n v="5"/>
    <n v="25"/>
    <s v="Laurie Shaw"/>
    <x v="1"/>
    <d v="2023-07-11T00:00:00"/>
    <x v="2"/>
    <n v="4"/>
    <x v="2"/>
    <n v="1"/>
    <s v="4-5 Years"/>
    <n v="2"/>
    <x v="0"/>
  </r>
  <r>
    <s v="EMP1187"/>
    <s v="Alfred Galvan"/>
    <x v="2"/>
    <n v="21"/>
    <x v="7"/>
    <s v="Logistics Manager"/>
    <d v="2024-03-07T00:00:00"/>
    <n v="60526"/>
    <s v="Divorced"/>
    <s v="Bachelor's"/>
    <x v="10"/>
    <s v="Travel_Rarely"/>
    <n v="11"/>
    <x v="0"/>
    <x v="0"/>
    <n v="1"/>
    <n v="1"/>
    <n v="4"/>
    <n v="1"/>
    <n v="4"/>
    <n v="22"/>
    <s v="Raven Taylor"/>
    <x v="0"/>
    <m/>
    <x v="2"/>
    <n v="2"/>
    <x v="2"/>
    <n v="0"/>
    <s v="1-3 Years"/>
    <n v="1"/>
    <x v="2"/>
  </r>
  <r>
    <s v="EMP1563"/>
    <s v="Mr. Nicolas Salas II"/>
    <x v="2"/>
    <n v="40"/>
    <x v="2"/>
    <s v="Devops Engineer"/>
    <d v="2014-09-08T00:00:00"/>
    <n v="72381"/>
    <s v="Divorced"/>
    <s v="Bachelor's"/>
    <x v="2"/>
    <s v="Travel_Rarely"/>
    <n v="5"/>
    <x v="0"/>
    <x v="1"/>
    <n v="4"/>
    <n v="2"/>
    <n v="1"/>
    <n v="1"/>
    <n v="0"/>
    <n v="16"/>
    <s v="Luke Moore"/>
    <x v="0"/>
    <m/>
    <x v="0"/>
    <n v="11"/>
    <x v="2"/>
    <n v="0"/>
    <s v="More than 10 Years"/>
    <n v="3.33"/>
    <x v="1"/>
  </r>
  <r>
    <s v="EMP1863"/>
    <s v="Tasha Boyd"/>
    <x v="0"/>
    <n v="41"/>
    <x v="1"/>
    <s v="Hr Manager"/>
    <d v="2024-01-12T00:00:00"/>
    <n v="89702"/>
    <s v="Divorced"/>
    <s v="Bachelor's"/>
    <x v="7"/>
    <s v="Travel_Frequently"/>
    <n v="12"/>
    <x v="0"/>
    <x v="3"/>
    <n v="3"/>
    <n v="4"/>
    <n v="3"/>
    <n v="0"/>
    <n v="6"/>
    <n v="19"/>
    <s v="Tara King"/>
    <x v="0"/>
    <m/>
    <x v="0"/>
    <n v="2"/>
    <x v="2"/>
    <n v="0"/>
    <s v="1-3 Years"/>
    <n v="3.33"/>
    <x v="1"/>
  </r>
  <r>
    <s v="EMP1948"/>
    <s v="Megan Klein"/>
    <x v="2"/>
    <n v="20"/>
    <x v="4"/>
    <s v="Account Manager"/>
    <d v="2019-06-01T00:00:00"/>
    <n v="77088"/>
    <s v="Married"/>
    <s v="Bachelor's"/>
    <x v="4"/>
    <s v="Travel_Frequently"/>
    <n v="33"/>
    <x v="0"/>
    <x v="3"/>
    <n v="3"/>
    <n v="1"/>
    <n v="4"/>
    <n v="1"/>
    <n v="8"/>
    <n v="19"/>
    <s v="Garrett Aguilar"/>
    <x v="0"/>
    <m/>
    <x v="2"/>
    <n v="7"/>
    <x v="2"/>
    <n v="0"/>
    <s v="6-10 Years"/>
    <n v="2.33"/>
    <x v="0"/>
  </r>
  <r>
    <s v="EMP1124"/>
    <s v="Robert Lawson"/>
    <x v="2"/>
    <n v="33"/>
    <x v="3"/>
    <s v="Financial Analyst"/>
    <d v="2016-12-01T00:00:00"/>
    <n v="106662"/>
    <s v="Divorced"/>
    <s v="Bachelor's"/>
    <x v="9"/>
    <s v="Travel_Frequently"/>
    <n v="4"/>
    <x v="0"/>
    <x v="0"/>
    <n v="4"/>
    <n v="3"/>
    <n v="3"/>
    <n v="0"/>
    <n v="4"/>
    <n v="12"/>
    <s v="Lisa Byrd"/>
    <x v="0"/>
    <m/>
    <x v="1"/>
    <n v="9"/>
    <x v="0"/>
    <n v="0"/>
    <s v="6-10 Years"/>
    <n v="2.67"/>
    <x v="0"/>
  </r>
  <r>
    <s v="EMP1639"/>
    <s v="Duane Mccormick"/>
    <x v="2"/>
    <n v="53"/>
    <x v="5"/>
    <s v="Brand Manager"/>
    <d v="2020-11-18T00:00:00"/>
    <n v="44235"/>
    <s v="Divorced"/>
    <s v="PhD"/>
    <x v="3"/>
    <s v="Travel_Frequently"/>
    <n v="1"/>
    <x v="1"/>
    <x v="2"/>
    <n v="4"/>
    <n v="2"/>
    <n v="1"/>
    <n v="6"/>
    <n v="0"/>
    <n v="21"/>
    <s v="Alejandra Price"/>
    <x v="1"/>
    <d v="2021-03-10T00:00:00"/>
    <x v="3"/>
    <n v="0"/>
    <x v="1"/>
    <n v="1"/>
    <s v="Less than 1 Year"/>
    <n v="2.67"/>
    <x v="0"/>
  </r>
  <r>
    <s v="EMP1903"/>
    <s v="Jeffrey Drake MD"/>
    <x v="2"/>
    <n v="38"/>
    <x v="0"/>
    <s v="Manufacturing Technician"/>
    <d v="2021-11-18T00:00:00"/>
    <n v="102308"/>
    <s v="Married"/>
    <s v="Diploma"/>
    <x v="2"/>
    <s v="Non-Travel"/>
    <n v="5"/>
    <x v="0"/>
    <x v="3"/>
    <n v="2"/>
    <n v="3"/>
    <n v="3"/>
    <n v="5"/>
    <n v="8"/>
    <n v="18"/>
    <s v="Not Specified"/>
    <x v="0"/>
    <m/>
    <x v="0"/>
    <n v="4"/>
    <x v="0"/>
    <n v="0"/>
    <s v="4-5 Years"/>
    <n v="2.67"/>
    <x v="0"/>
  </r>
  <r>
    <s v="EMP2050"/>
    <s v="Raymond Wang"/>
    <x v="0"/>
    <n v="35"/>
    <x v="0"/>
    <s v="Research Scientist"/>
    <d v="2025-07-09T00:00:00"/>
    <n v="97775"/>
    <s v="Single"/>
    <s v="Diploma"/>
    <x v="8"/>
    <s v="Travel_Frequently"/>
    <n v="25"/>
    <x v="0"/>
    <x v="3"/>
    <n v="1"/>
    <n v="1"/>
    <n v="3"/>
    <n v="2"/>
    <n v="4"/>
    <n v="24"/>
    <s v="David Davis"/>
    <x v="0"/>
    <m/>
    <x v="0"/>
    <n v="1"/>
    <x v="2"/>
    <n v="0"/>
    <s v="1-3 Years"/>
    <n v="1.67"/>
    <x v="2"/>
  </r>
  <r>
    <s v="EMP1769"/>
    <s v="Nathan Chen"/>
    <x v="2"/>
    <n v="29"/>
    <x v="4"/>
    <s v="Sales Manager"/>
    <d v="2026-03-20T00:00:00"/>
    <n v="46081"/>
    <s v="Divorced"/>
    <s v="Bachelor's"/>
    <x v="2"/>
    <s v="Non-Travel"/>
    <n v="37"/>
    <x v="1"/>
    <x v="3"/>
    <n v="4"/>
    <n v="4"/>
    <n v="4"/>
    <n v="5"/>
    <n v="6"/>
    <n v="23"/>
    <s v="Michael Brown"/>
    <x v="1"/>
    <d v="2026-04-22T00:00:00"/>
    <x v="1"/>
    <n v="0"/>
    <x v="1"/>
    <n v="1"/>
    <s v="Less than 1 Year"/>
    <n v="3.67"/>
    <x v="1"/>
  </r>
  <r>
    <s v="EMP1587"/>
    <s v="Jessica Diaz"/>
    <x v="0"/>
    <n v="33"/>
    <x v="2"/>
    <s v="Devops Engineer"/>
    <d v="2015-07-16T00:00:00"/>
    <n v="130928"/>
    <s v="Divorced"/>
    <s v="Master's"/>
    <x v="6"/>
    <s v="Travel_Rarely"/>
    <n v="38"/>
    <x v="0"/>
    <x v="3"/>
    <n v="4"/>
    <n v="1"/>
    <n v="3"/>
    <n v="0"/>
    <n v="4"/>
    <n v="20"/>
    <s v="Aaron Ochoa"/>
    <x v="0"/>
    <m/>
    <x v="1"/>
    <n v="11"/>
    <x v="0"/>
    <n v="0"/>
    <s v="More than 10 Years"/>
    <n v="2.67"/>
    <x v="0"/>
  </r>
  <r>
    <s v="EMP2138"/>
    <s v="Jose Moore"/>
    <x v="1"/>
    <n v="48"/>
    <x v="2"/>
    <s v="System Administrator"/>
    <d v="2013-07-19T00:00:00"/>
    <n v="89140"/>
    <s v="Single"/>
    <s v="Bachelor's"/>
    <x v="0"/>
    <s v="Travel_Rarely"/>
    <n v="15"/>
    <x v="1"/>
    <x v="1"/>
    <n v="2"/>
    <n v="3"/>
    <n v="2"/>
    <n v="2"/>
    <n v="3"/>
    <n v="23"/>
    <s v="Nicolas Brown"/>
    <x v="0"/>
    <m/>
    <x v="3"/>
    <n v="13"/>
    <x v="2"/>
    <n v="0"/>
    <s v="More than 10 Years"/>
    <n v="3"/>
    <x v="1"/>
  </r>
  <r>
    <s v="EMP2075"/>
    <s v="Katherine Barker"/>
    <x v="2"/>
    <n v="33"/>
    <x v="3"/>
    <s v="Finance Manager"/>
    <d v="2022-01-19T00:00:00"/>
    <n v="52083"/>
    <s v="Single"/>
    <s v="Master's"/>
    <x v="4"/>
    <s v="Travel_Frequently"/>
    <n v="30"/>
    <x v="1"/>
    <x v="3"/>
    <n v="4"/>
    <n v="4"/>
    <n v="3"/>
    <n v="0"/>
    <n v="7"/>
    <n v="13"/>
    <s v="Tammy Fitzgerald"/>
    <x v="0"/>
    <m/>
    <x v="1"/>
    <n v="4"/>
    <x v="1"/>
    <n v="0"/>
    <s v="4-5 Years"/>
    <n v="3.67"/>
    <x v="1"/>
  </r>
  <r>
    <s v="EMP1148"/>
    <s v="Brent Rodgers"/>
    <x v="2"/>
    <n v="27"/>
    <x v="3"/>
    <s v="Finance Manager"/>
    <d v="2023-10-10T00:00:00"/>
    <n v="86045"/>
    <s v="Single"/>
    <s v="Diploma"/>
    <x v="7"/>
    <s v="Travel_Frequently"/>
    <n v="40"/>
    <x v="1"/>
    <x v="3"/>
    <n v="1"/>
    <n v="1"/>
    <n v="3"/>
    <n v="5"/>
    <n v="1"/>
    <n v="22"/>
    <s v="Kristina Rivera"/>
    <x v="1"/>
    <d v="2025-05-19T00:00:00"/>
    <x v="1"/>
    <n v="1"/>
    <x v="2"/>
    <n v="1"/>
    <s v="1-3 Years"/>
    <n v="1.67"/>
    <x v="2"/>
  </r>
  <r>
    <s v="EMP1934"/>
    <s v="Gloria Wagner"/>
    <x v="2"/>
    <n v="32"/>
    <x v="5"/>
    <s v="Brand Manager"/>
    <d v="2012-12-07T00:00:00"/>
    <n v="91276"/>
    <s v="Single"/>
    <s v="Bachelor's"/>
    <x v="6"/>
    <s v="Travel_Frequently"/>
    <n v="22"/>
    <x v="0"/>
    <x v="3"/>
    <n v="3"/>
    <n v="2"/>
    <n v="3"/>
    <n v="4"/>
    <n v="4"/>
    <n v="17"/>
    <s v="Paul Ward"/>
    <x v="0"/>
    <m/>
    <x v="1"/>
    <n v="13"/>
    <x v="2"/>
    <n v="0"/>
    <s v="More than 10 Years"/>
    <n v="2.67"/>
    <x v="0"/>
  </r>
  <r>
    <s v="EMP1494"/>
    <s v="Not Specified"/>
    <x v="0"/>
    <n v="22"/>
    <x v="4"/>
    <s v="Sales Representative"/>
    <d v="2023-04-25T00:00:00"/>
    <n v="85221"/>
    <s v="Divorced"/>
    <s v="Not Specified"/>
    <x v="0"/>
    <s v="Travel_Frequently"/>
    <n v="25"/>
    <x v="0"/>
    <x v="2"/>
    <n v="4"/>
    <n v="3"/>
    <n v="2"/>
    <n v="5"/>
    <n v="6"/>
    <n v="24"/>
    <s v="Sandra Pruitt"/>
    <x v="0"/>
    <m/>
    <x v="2"/>
    <n v="3"/>
    <x v="2"/>
    <n v="0"/>
    <s v="1-3 Years"/>
    <n v="3"/>
    <x v="1"/>
  </r>
  <r>
    <s v="EMP1225"/>
    <s v="Anthony Simpson"/>
    <x v="2"/>
    <n v="35"/>
    <x v="2"/>
    <s v="Data Analyst"/>
    <d v="2024-10-28T00:00:00"/>
    <n v="69612"/>
    <s v="Not Specified"/>
    <s v="Bachelor's"/>
    <x v="3"/>
    <s v="Travel_Frequently"/>
    <n v="36"/>
    <x v="0"/>
    <x v="0"/>
    <n v="2"/>
    <n v="1"/>
    <n v="2"/>
    <n v="1"/>
    <n v="2"/>
    <n v="12"/>
    <s v="Joshua Boone"/>
    <x v="1"/>
    <d v="2026-01-10T00:00:00"/>
    <x v="0"/>
    <n v="1"/>
    <x v="2"/>
    <n v="1"/>
    <s v="1-3 Years"/>
    <n v="1.33"/>
    <x v="2"/>
  </r>
  <r>
    <s v="EMP1832"/>
    <s v="Jeffrey Barrett"/>
    <x v="1"/>
    <n v="48"/>
    <x v="5"/>
    <s v="Digital Marketing Specialist"/>
    <d v="2012-12-06T00:00:00"/>
    <n v="49316"/>
    <s v="Divorced"/>
    <s v="PhD"/>
    <x v="9"/>
    <s v="Travel_Rarely"/>
    <n v="34"/>
    <x v="1"/>
    <x v="0"/>
    <n v="4"/>
    <n v="3"/>
    <n v="3"/>
    <n v="1"/>
    <n v="7"/>
    <n v="14"/>
    <s v="Kevin Garcia"/>
    <x v="1"/>
    <d v="2014-11-25T00:00:00"/>
    <x v="3"/>
    <n v="1"/>
    <x v="1"/>
    <n v="1"/>
    <s v="1-3 Years"/>
    <n v="2.67"/>
    <x v="0"/>
  </r>
  <r>
    <s v="EMP1071"/>
    <s v="Darlene Miller"/>
    <x v="0"/>
    <n v="25"/>
    <x v="4"/>
    <s v="Sales Manager"/>
    <d v="2011-12-14T00:00:00"/>
    <n v="106751"/>
    <s v="Divorced"/>
    <s v="Bachelor's"/>
    <x v="3"/>
    <s v="Travel_Rarely"/>
    <n v="29"/>
    <x v="0"/>
    <x v="2"/>
    <n v="1"/>
    <n v="2"/>
    <n v="2"/>
    <n v="4"/>
    <n v="7"/>
    <n v="24"/>
    <s v="Mrs. Marie Harrington DDS"/>
    <x v="1"/>
    <d v="2019-11-20T00:00:00"/>
    <x v="1"/>
    <n v="7"/>
    <x v="0"/>
    <n v="1"/>
    <s v="6-10 Years"/>
    <n v="1.67"/>
    <x v="2"/>
  </r>
  <r>
    <s v="EMP1692"/>
    <s v="Jeremy Wilson"/>
    <x v="2"/>
    <n v="34"/>
    <x v="1"/>
    <s v="Hr Manager"/>
    <d v="2013-11-21T00:00:00"/>
    <n v="96511"/>
    <s v="Married"/>
    <s v="Master's"/>
    <x v="8"/>
    <s v="Travel_Rarely"/>
    <n v="35"/>
    <x v="1"/>
    <x v="2"/>
    <n v="3"/>
    <n v="4"/>
    <n v="1"/>
    <n v="3"/>
    <n v="7"/>
    <n v="19"/>
    <s v="Marcus Palmer"/>
    <x v="1"/>
    <d v="2017-05-20T00:00:00"/>
    <x v="1"/>
    <n v="3"/>
    <x v="2"/>
    <n v="1"/>
    <s v="1-3 Years"/>
    <n v="3"/>
    <x v="1"/>
  </r>
  <r>
    <s v="EMP1281"/>
    <s v="Timothy Riley"/>
    <x v="2"/>
    <n v="37"/>
    <x v="0"/>
    <s v="Research Director"/>
    <d v="2017-11-22T00:00:00"/>
    <n v="97779"/>
    <s v="Single"/>
    <s v="High School"/>
    <x v="7"/>
    <s v="Travel_Rarely"/>
    <n v="12"/>
    <x v="1"/>
    <x v="1"/>
    <n v="4"/>
    <n v="3"/>
    <n v="3"/>
    <n v="4"/>
    <n v="4"/>
    <n v="20"/>
    <s v="Gary James"/>
    <x v="0"/>
    <m/>
    <x v="0"/>
    <n v="8"/>
    <x v="2"/>
    <n v="0"/>
    <s v="6-10 Years"/>
    <n v="3.67"/>
    <x v="1"/>
  </r>
  <r>
    <s v="EMP1172"/>
    <s v="Jeffrey Mills"/>
    <x v="0"/>
    <n v="35"/>
    <x v="1"/>
    <s v="Hr Manager"/>
    <d v="2014-01-12T00:00:00"/>
    <n v="89847"/>
    <s v="Single"/>
    <s v="Bachelor's"/>
    <x v="3"/>
    <s v="Non-Travel"/>
    <n v="23"/>
    <x v="0"/>
    <x v="1"/>
    <n v="4"/>
    <n v="1"/>
    <n v="3"/>
    <n v="1"/>
    <n v="4"/>
    <n v="24"/>
    <s v="Not Specified"/>
    <x v="0"/>
    <m/>
    <x v="0"/>
    <n v="12"/>
    <x v="2"/>
    <n v="0"/>
    <s v="More than 10 Years"/>
    <n v="3"/>
    <x v="1"/>
  </r>
  <r>
    <s v="EMP1749"/>
    <s v="Katherine Brown"/>
    <x v="2"/>
    <n v="44"/>
    <x v="3"/>
    <s v="Accountant"/>
    <d v="2019-09-23T00:00:00"/>
    <n v="103409"/>
    <s v="Divorced"/>
    <s v="Bachelor's"/>
    <x v="3"/>
    <s v="Non-Travel"/>
    <n v="19"/>
    <x v="1"/>
    <x v="1"/>
    <n v="4"/>
    <n v="3"/>
    <n v="3"/>
    <n v="3"/>
    <n v="4"/>
    <n v="11"/>
    <s v="Joseph Flowers"/>
    <x v="0"/>
    <m/>
    <x v="0"/>
    <n v="6"/>
    <x v="0"/>
    <n v="0"/>
    <s v="6-10 Years"/>
    <n v="3.67"/>
    <x v="1"/>
  </r>
  <r>
    <s v="EMP1169"/>
    <s v="Lisa Hunter"/>
    <x v="2"/>
    <n v="44"/>
    <x v="0"/>
    <s v="Research Director"/>
    <d v="2018-07-26T00:00:00"/>
    <n v="77338"/>
    <s v="Divorced"/>
    <s v="PhD"/>
    <x v="0"/>
    <s v="Travel_Frequently"/>
    <n v="36"/>
    <x v="0"/>
    <x v="1"/>
    <n v="1"/>
    <n v="2"/>
    <n v="3"/>
    <n v="1"/>
    <n v="7"/>
    <n v="17"/>
    <s v="Rebecca Huang"/>
    <x v="0"/>
    <m/>
    <x v="0"/>
    <n v="8"/>
    <x v="2"/>
    <n v="0"/>
    <s v="6-10 Years"/>
    <n v="2.33"/>
    <x v="0"/>
  </r>
  <r>
    <s v="EMP1892"/>
    <s v="Brittany Farrell"/>
    <x v="2"/>
    <n v="47"/>
    <x v="3"/>
    <s v="Financial Analyst"/>
    <d v="2021-06-21T00:00:00"/>
    <n v="53215"/>
    <s v="Single"/>
    <s v="Bachelor's"/>
    <x v="3"/>
    <s v="Non-Travel"/>
    <n v="39"/>
    <x v="0"/>
    <x v="1"/>
    <n v="1"/>
    <n v="1"/>
    <n v="3"/>
    <n v="4"/>
    <n v="7"/>
    <n v="12"/>
    <s v="Amy Hernandez"/>
    <x v="0"/>
    <m/>
    <x v="3"/>
    <n v="5"/>
    <x v="1"/>
    <n v="0"/>
    <s v="4-5 Years"/>
    <n v="2"/>
    <x v="0"/>
  </r>
  <r>
    <s v="EMP1284"/>
    <s v="Maria Brown"/>
    <x v="0"/>
    <n v="38"/>
    <x v="3"/>
    <s v="Auditor"/>
    <d v="2012-03-02T00:00:00"/>
    <n v="55252"/>
    <s v="Not Specified"/>
    <s v="Master's"/>
    <x v="1"/>
    <s v="Non-Travel"/>
    <n v="29"/>
    <x v="1"/>
    <x v="2"/>
    <n v="3"/>
    <n v="4"/>
    <n v="2"/>
    <n v="3"/>
    <n v="5"/>
    <n v="21"/>
    <s v="Mary Duran"/>
    <x v="1"/>
    <d v="2024-06-10T00:00:00"/>
    <x v="0"/>
    <n v="12"/>
    <x v="1"/>
    <n v="1"/>
    <s v="More than 10 Years"/>
    <n v="3"/>
    <x v="1"/>
  </r>
  <r>
    <s v="EMP2052"/>
    <s v="Sandra Jackson"/>
    <x v="0"/>
    <n v="22"/>
    <x v="7"/>
    <s v="Logistics Manager"/>
    <d v="2014-02-26T00:00:00"/>
    <n v="60947"/>
    <s v="Divorced"/>
    <s v="Diploma"/>
    <x v="0"/>
    <s v="Non-Travel"/>
    <n v="14"/>
    <x v="0"/>
    <x v="3"/>
    <n v="3"/>
    <n v="2"/>
    <n v="4"/>
    <n v="4"/>
    <n v="3"/>
    <n v="22"/>
    <s v="Brian Murphy"/>
    <x v="0"/>
    <m/>
    <x v="2"/>
    <n v="12"/>
    <x v="2"/>
    <n v="0"/>
    <s v="More than 10 Years"/>
    <n v="2.67"/>
    <x v="0"/>
  </r>
  <r>
    <s v="EMP1126"/>
    <s v="Kevin Oconnor"/>
    <x v="0"/>
    <n v="24"/>
    <x v="4"/>
    <s v="Sales Representative"/>
    <d v="2013-01-03T00:00:00"/>
    <n v="95856"/>
    <s v="Divorced"/>
    <s v="PhD"/>
    <x v="1"/>
    <s v="Travel_Frequently"/>
    <n v="37"/>
    <x v="0"/>
    <x v="2"/>
    <n v="3"/>
    <n v="1"/>
    <n v="3"/>
    <n v="2"/>
    <n v="4"/>
    <n v="13"/>
    <s v="Casey Anderson"/>
    <x v="1"/>
    <d v="2017-01-14T00:00:00"/>
    <x v="2"/>
    <n v="4"/>
    <x v="2"/>
    <n v="1"/>
    <s v="4-5 Years"/>
    <n v="2"/>
    <x v="0"/>
  </r>
  <r>
    <s v="EMP2165"/>
    <s v="Anthony Williams"/>
    <x v="0"/>
    <n v="19"/>
    <x v="2"/>
    <s v="Data Analyst"/>
    <d v="2012-06-10T00:00:00"/>
    <n v="61787"/>
    <s v="Divorced"/>
    <s v="Master's"/>
    <x v="0"/>
    <s v="Non-Travel"/>
    <n v="21"/>
    <x v="0"/>
    <x v="2"/>
    <n v="1"/>
    <n v="3"/>
    <n v="5"/>
    <n v="1"/>
    <n v="8"/>
    <n v="23"/>
    <s v="Christy Kennedy"/>
    <x v="0"/>
    <m/>
    <x v="2"/>
    <n v="14"/>
    <x v="2"/>
    <n v="0"/>
    <s v="More than 10 Years"/>
    <n v="2"/>
    <x v="0"/>
  </r>
  <r>
    <s v="EMP2196"/>
    <s v="Michael Turner"/>
    <x v="2"/>
    <n v="36"/>
    <x v="5"/>
    <s v="Digital Marketing Specialist"/>
    <d v="2023-11-10T00:00:00"/>
    <n v="101729"/>
    <s v="Not Specified"/>
    <s v="Bachelor's"/>
    <x v="5"/>
    <s v="Travel_Rarely"/>
    <n v="41"/>
    <x v="0"/>
    <x v="1"/>
    <n v="4"/>
    <n v="2"/>
    <n v="4"/>
    <n v="2"/>
    <n v="4"/>
    <n v="11"/>
    <s v="Brian Hendricks"/>
    <x v="0"/>
    <m/>
    <x v="0"/>
    <n v="2"/>
    <x v="0"/>
    <n v="0"/>
    <s v="1-3 Years"/>
    <n v="3.33"/>
    <x v="1"/>
  </r>
  <r>
    <s v="EMP1165"/>
    <s v="Charles Gonzalez"/>
    <x v="0"/>
    <n v="45"/>
    <x v="4"/>
    <s v="Sales Executive"/>
    <d v="2020-08-25T00:00:00"/>
    <n v="73565"/>
    <s v="Single"/>
    <s v="Bachelor's"/>
    <x v="1"/>
    <s v="Non-Travel"/>
    <n v="14"/>
    <x v="1"/>
    <x v="2"/>
    <n v="3"/>
    <n v="2"/>
    <n v="4"/>
    <n v="0"/>
    <n v="7"/>
    <n v="23"/>
    <s v="Cassandra Mejia"/>
    <x v="1"/>
    <d v="2025-03-22T00:00:00"/>
    <x v="3"/>
    <n v="4"/>
    <x v="2"/>
    <n v="1"/>
    <s v="4-5 Years"/>
    <n v="2.33"/>
    <x v="0"/>
  </r>
  <r>
    <s v="EMP2009"/>
    <s v="Julian White"/>
    <x v="2"/>
    <n v="29"/>
    <x v="0"/>
    <s v="Research Scientist"/>
    <d v="2011-12-26T00:00:00"/>
    <n v="80978"/>
    <s v="Married"/>
    <s v="High School"/>
    <x v="6"/>
    <s v="Travel_Frequently"/>
    <n v="1"/>
    <x v="0"/>
    <x v="1"/>
    <n v="3"/>
    <n v="3"/>
    <n v="3"/>
    <n v="6"/>
    <n v="8"/>
    <n v="21"/>
    <s v="Susan Smith"/>
    <x v="0"/>
    <m/>
    <x v="1"/>
    <n v="14"/>
    <x v="2"/>
    <n v="0"/>
    <s v="More than 10 Years"/>
    <n v="3.33"/>
    <x v="1"/>
  </r>
  <r>
    <s v="EMP2153"/>
    <s v="Clarence Cain"/>
    <x v="2"/>
    <n v="19"/>
    <x v="2"/>
    <s v="Data Analyst"/>
    <d v="2013-04-14T00:00:00"/>
    <n v="114321"/>
    <s v="Single"/>
    <s v="Master's"/>
    <x v="1"/>
    <s v="Non-Travel"/>
    <n v="27"/>
    <x v="0"/>
    <x v="1"/>
    <n v="3"/>
    <n v="3"/>
    <n v="3"/>
    <n v="5"/>
    <n v="1"/>
    <n v="11"/>
    <s v="Ryan Martin"/>
    <x v="0"/>
    <m/>
    <x v="2"/>
    <n v="13"/>
    <x v="0"/>
    <n v="0"/>
    <s v="More than 10 Years"/>
    <n v="3.33"/>
    <x v="1"/>
  </r>
  <r>
    <s v="EMP1532"/>
    <s v="Billy Schneider"/>
    <x v="2"/>
    <n v="40"/>
    <x v="2"/>
    <s v="Data Analyst"/>
    <d v="2014-10-26T00:00:00"/>
    <n v="99279"/>
    <s v="Divorced"/>
    <s v="Master's"/>
    <x v="6"/>
    <s v="Travel_Frequently"/>
    <n v="27"/>
    <x v="0"/>
    <x v="2"/>
    <n v="1"/>
    <n v="3"/>
    <n v="3"/>
    <n v="6"/>
    <n v="6"/>
    <n v="13"/>
    <s v="Jack Love"/>
    <x v="0"/>
    <m/>
    <x v="0"/>
    <n v="11"/>
    <x v="2"/>
    <n v="0"/>
    <s v="More than 10 Years"/>
    <n v="2"/>
    <x v="0"/>
  </r>
  <r>
    <s v="EMP1841"/>
    <s v="Elizabeth Mccarthy"/>
    <x v="2"/>
    <n v="32"/>
    <x v="2"/>
    <s v="Devops Engineer"/>
    <d v="2018-12-30T00:00:00"/>
    <n v="97458"/>
    <s v="Married"/>
    <s v="Bachelor's"/>
    <x v="5"/>
    <s v="Travel_Frequently"/>
    <n v="22"/>
    <x v="0"/>
    <x v="2"/>
    <n v="4"/>
    <n v="4"/>
    <n v="4"/>
    <n v="3"/>
    <n v="7"/>
    <n v="15"/>
    <s v="Mike Freeman"/>
    <x v="0"/>
    <m/>
    <x v="1"/>
    <n v="7"/>
    <x v="2"/>
    <n v="0"/>
    <s v="6-10 Years"/>
    <n v="3.33"/>
    <x v="1"/>
  </r>
  <r>
    <s v="EMP1043"/>
    <s v="Stephanie Clark"/>
    <x v="0"/>
    <n v="33"/>
    <x v="2"/>
    <s v="Data Analyst"/>
    <d v="2015-05-21T00:00:00"/>
    <n v="68651"/>
    <s v="Married"/>
    <s v="High School"/>
    <x v="2"/>
    <s v="Travel_Frequently"/>
    <n v="16"/>
    <x v="0"/>
    <x v="2"/>
    <n v="2"/>
    <n v="2"/>
    <n v="2"/>
    <n v="2"/>
    <n v="7"/>
    <n v="23"/>
    <s v="Richard Henson"/>
    <x v="0"/>
    <m/>
    <x v="1"/>
    <n v="11"/>
    <x v="2"/>
    <n v="0"/>
    <s v="More than 10 Years"/>
    <n v="2"/>
    <x v="0"/>
  </r>
  <r>
    <s v="EMP1782"/>
    <s v="Michael Harris"/>
    <x v="2"/>
    <n v="28"/>
    <x v="4"/>
    <s v="Sales Executive"/>
    <d v="2026-04-20T00:00:00"/>
    <n v="86026"/>
    <s v="Single"/>
    <s v="PhD"/>
    <x v="4"/>
    <s v="Travel_Frequently"/>
    <n v="42"/>
    <x v="0"/>
    <x v="2"/>
    <n v="1"/>
    <n v="4"/>
    <n v="4"/>
    <n v="5"/>
    <n v="2"/>
    <n v="12"/>
    <s v="John Crosby"/>
    <x v="1"/>
    <d v="2026-05-21T00:00:00"/>
    <x v="1"/>
    <n v="0"/>
    <x v="2"/>
    <n v="1"/>
    <s v="Less than 1 Year"/>
    <n v="2.33"/>
    <x v="0"/>
  </r>
  <r>
    <s v="EMP1919"/>
    <s v="Sarah Mclaughlin"/>
    <x v="0"/>
    <n v="29"/>
    <x v="5"/>
    <s v="Brand Manager"/>
    <d v="2020-07-20T00:00:00"/>
    <n v="43412"/>
    <s v="Divorced"/>
    <s v="Master's"/>
    <x v="1"/>
    <s v="Non-Travel"/>
    <n v="19"/>
    <x v="1"/>
    <x v="2"/>
    <n v="1"/>
    <n v="2"/>
    <n v="4"/>
    <n v="6"/>
    <n v="3"/>
    <n v="13"/>
    <s v="John Tucker"/>
    <x v="1"/>
    <d v="2023-12-09T00:00:00"/>
    <x v="1"/>
    <n v="3"/>
    <x v="1"/>
    <n v="1"/>
    <s v="1-3 Years"/>
    <n v="1.67"/>
    <x v="2"/>
  </r>
  <r>
    <s v="EMP1689"/>
    <s v="Brandi Hardy"/>
    <x v="0"/>
    <n v="35"/>
    <x v="5"/>
    <s v="Brand Manager"/>
    <d v="2018-07-08T00:00:00"/>
    <n v="85773"/>
    <s v="Single"/>
    <s v="Bachelor's"/>
    <x v="1"/>
    <s v="Travel_Frequently"/>
    <n v="38"/>
    <x v="0"/>
    <x v="1"/>
    <n v="3"/>
    <n v="1"/>
    <n v="4"/>
    <n v="4"/>
    <n v="8"/>
    <n v="16"/>
    <s v="Kelly Smith"/>
    <x v="0"/>
    <m/>
    <x v="0"/>
    <n v="8"/>
    <x v="2"/>
    <n v="0"/>
    <s v="6-10 Years"/>
    <n v="2.67"/>
    <x v="0"/>
  </r>
  <r>
    <s v="EMP1579"/>
    <s v="Evan Carter"/>
    <x v="0"/>
    <n v="37"/>
    <x v="4"/>
    <s v="Sales Representative"/>
    <d v="2015-08-27T00:00:00"/>
    <n v="66737"/>
    <s v="Married"/>
    <s v="Master's"/>
    <x v="6"/>
    <s v="Non-Travel"/>
    <n v="37"/>
    <x v="0"/>
    <x v="2"/>
    <n v="3"/>
    <n v="3"/>
    <n v="4"/>
    <n v="6"/>
    <n v="1"/>
    <n v="20"/>
    <s v="Denise Wallace"/>
    <x v="0"/>
    <m/>
    <x v="0"/>
    <n v="11"/>
    <x v="2"/>
    <n v="0"/>
    <s v="More than 10 Years"/>
    <n v="2.67"/>
    <x v="0"/>
  </r>
  <r>
    <s v="EMP1133"/>
    <s v="Brent Clay Jr."/>
    <x v="0"/>
    <n v="21"/>
    <x v="4"/>
    <s v="Account Manager"/>
    <d v="2018-06-06T00:00:00"/>
    <n v="92952"/>
    <s v="Married"/>
    <s v="Not Specified"/>
    <x v="9"/>
    <s v="Travel_Frequently"/>
    <n v="11"/>
    <x v="0"/>
    <x v="3"/>
    <n v="3"/>
    <n v="4"/>
    <n v="4"/>
    <n v="4"/>
    <n v="2"/>
    <n v="18"/>
    <s v="Natalie Bautista"/>
    <x v="0"/>
    <m/>
    <x v="2"/>
    <n v="8"/>
    <x v="2"/>
    <n v="0"/>
    <s v="6-10 Years"/>
    <n v="3.33"/>
    <x v="1"/>
  </r>
  <r>
    <s v="EMP2014"/>
    <s v="Robert Salas"/>
    <x v="0"/>
    <n v="34"/>
    <x v="2"/>
    <s v="It Support"/>
    <d v="2024-05-13T00:00:00"/>
    <n v="100810"/>
    <s v="Married"/>
    <s v="Bachelor's"/>
    <x v="0"/>
    <s v="Travel_Rarely"/>
    <n v="7"/>
    <x v="0"/>
    <x v="1"/>
    <n v="3"/>
    <n v="3"/>
    <n v="3"/>
    <n v="2"/>
    <n v="8"/>
    <n v="22"/>
    <s v="Stacey Clark"/>
    <x v="0"/>
    <m/>
    <x v="1"/>
    <n v="2"/>
    <x v="0"/>
    <n v="0"/>
    <s v="1-3 Years"/>
    <n v="3.33"/>
    <x v="1"/>
  </r>
  <r>
    <s v="EMP1468"/>
    <s v="Bianca Knapp"/>
    <x v="2"/>
    <n v="37"/>
    <x v="4"/>
    <s v="Sales Executive"/>
    <d v="2013-05-07T00:00:00"/>
    <n v="107151"/>
    <s v="Single"/>
    <s v="High School"/>
    <x v="1"/>
    <s v="Travel_Rarely"/>
    <n v="9"/>
    <x v="1"/>
    <x v="2"/>
    <n v="2"/>
    <n v="2"/>
    <n v="3"/>
    <n v="2"/>
    <n v="7"/>
    <n v="15"/>
    <s v="Dennis Edwards"/>
    <x v="1"/>
    <d v="2018-10-28T00:00:00"/>
    <x v="0"/>
    <n v="5"/>
    <x v="0"/>
    <n v="1"/>
    <s v="4-5 Years"/>
    <n v="2"/>
    <x v="0"/>
  </r>
  <r>
    <s v="EMP1039"/>
    <s v="Christina Walters"/>
    <x v="0"/>
    <n v="33"/>
    <x v="4"/>
    <s v="Sales Manager"/>
    <d v="2015-08-08T00:00:00"/>
    <n v="75369"/>
    <s v="Divorced"/>
    <s v="Master's"/>
    <x v="3"/>
    <s v="Travel_Rarely"/>
    <n v="41"/>
    <x v="0"/>
    <x v="1"/>
    <n v="3"/>
    <n v="1"/>
    <n v="2"/>
    <n v="3"/>
    <n v="0"/>
    <n v="20"/>
    <s v="Taylor Mathis Jr."/>
    <x v="0"/>
    <m/>
    <x v="1"/>
    <n v="11"/>
    <x v="2"/>
    <n v="0"/>
    <s v="More than 10 Years"/>
    <n v="2.67"/>
    <x v="0"/>
  </r>
  <r>
    <s v="EMP1964"/>
    <s v="Allison Kim"/>
    <x v="0"/>
    <n v="35"/>
    <x v="5"/>
    <s v="Brand Manager"/>
    <d v="2017-11-07T00:00:00"/>
    <n v="100032"/>
    <s v="Divorced"/>
    <s v="Bachelor's"/>
    <x v="2"/>
    <s v="Travel_Frequently"/>
    <n v="40"/>
    <x v="0"/>
    <x v="0"/>
    <n v="4"/>
    <n v="3"/>
    <n v="3"/>
    <n v="4"/>
    <n v="1"/>
    <n v="25"/>
    <s v="Emily Scott"/>
    <x v="0"/>
    <m/>
    <x v="0"/>
    <n v="8"/>
    <x v="0"/>
    <n v="0"/>
    <s v="6-10 Years"/>
    <n v="2.67"/>
    <x v="0"/>
  </r>
  <r>
    <s v="EMP2006"/>
    <s v="Cynthia Navarro"/>
    <x v="2"/>
    <n v="19"/>
    <x v="3"/>
    <s v="Auditor"/>
    <d v="2025-11-15T00:00:00"/>
    <n v="100981"/>
    <s v="Married"/>
    <s v="Master's"/>
    <x v="3"/>
    <s v="Travel_Frequently"/>
    <n v="2"/>
    <x v="0"/>
    <x v="1"/>
    <n v="1"/>
    <n v="1"/>
    <n v="2"/>
    <n v="1"/>
    <n v="6"/>
    <n v="16"/>
    <s v="Patrick Harris"/>
    <x v="0"/>
    <m/>
    <x v="2"/>
    <n v="0"/>
    <x v="0"/>
    <n v="0"/>
    <s v="Less than 1 Year"/>
    <n v="2"/>
    <x v="0"/>
  </r>
  <r>
    <s v="EMP2042"/>
    <s v="Miranda Robinson"/>
    <x v="0"/>
    <n v="40"/>
    <x v="4"/>
    <s v="Not Specified"/>
    <d v="2019-01-10T00:00:00"/>
    <n v="53911"/>
    <s v="Divorced"/>
    <s v="High School"/>
    <x v="5"/>
    <s v="Non-Travel"/>
    <n v="41"/>
    <x v="0"/>
    <x v="0"/>
    <n v="1"/>
    <n v="3"/>
    <n v="3"/>
    <n v="4"/>
    <n v="1"/>
    <n v="24"/>
    <s v="Kristen Carney MD"/>
    <x v="0"/>
    <m/>
    <x v="0"/>
    <n v="7"/>
    <x v="1"/>
    <n v="0"/>
    <s v="6-10 Years"/>
    <n v="1.67"/>
    <x v="2"/>
  </r>
  <r>
    <s v="EMP1509"/>
    <s v="Alan Nunez"/>
    <x v="2"/>
    <n v="35"/>
    <x v="0"/>
    <s v="Manufacturing Technician"/>
    <d v="2019-08-23T00:00:00"/>
    <n v="96998"/>
    <s v="Divorced"/>
    <s v="Master's"/>
    <x v="0"/>
    <s v="Non-Travel"/>
    <n v="20"/>
    <x v="1"/>
    <x v="3"/>
    <n v="3"/>
    <n v="2"/>
    <n v="3"/>
    <n v="6"/>
    <n v="7"/>
    <n v="12"/>
    <s v="Nicole Richards"/>
    <x v="1"/>
    <d v="2024-02-23T00:00:00"/>
    <x v="0"/>
    <n v="4"/>
    <x v="2"/>
    <n v="1"/>
    <s v="4-5 Years"/>
    <n v="2.67"/>
    <x v="0"/>
  </r>
  <r>
    <s v="EMP1167"/>
    <s v="Brittany Jones"/>
    <x v="0"/>
    <n v="40"/>
    <x v="0"/>
    <s v="Research Director"/>
    <d v="2018-04-05T00:00:00"/>
    <n v="103310"/>
    <s v="Single"/>
    <s v="PhD"/>
    <x v="5"/>
    <s v="Travel_Frequently"/>
    <n v="28"/>
    <x v="0"/>
    <x v="1"/>
    <n v="4"/>
    <n v="3"/>
    <n v="3"/>
    <n v="2"/>
    <n v="2"/>
    <n v="11"/>
    <s v="Donald Brown"/>
    <x v="0"/>
    <m/>
    <x v="0"/>
    <n v="8"/>
    <x v="0"/>
    <n v="0"/>
    <s v="6-10 Years"/>
    <n v="3.67"/>
    <x v="1"/>
  </r>
  <r>
    <s v="EMP1541"/>
    <s v="Samantha Prince"/>
    <x v="2"/>
    <n v="35"/>
    <x v="2"/>
    <s v="System Administrator"/>
    <d v="2023-03-23T00:00:00"/>
    <n v="62894"/>
    <s v="Single"/>
    <s v="High School"/>
    <x v="7"/>
    <s v="Non-Travel"/>
    <n v="23"/>
    <x v="0"/>
    <x v="1"/>
    <n v="3"/>
    <n v="1"/>
    <n v="2"/>
    <n v="6"/>
    <n v="8"/>
    <n v="18"/>
    <s v="Not Specified"/>
    <x v="0"/>
    <m/>
    <x v="0"/>
    <n v="3"/>
    <x v="2"/>
    <n v="0"/>
    <s v="1-3 Years"/>
    <n v="2.67"/>
    <x v="0"/>
  </r>
  <r>
    <s v="EMP1072"/>
    <s v="Tiffany Gonzalez"/>
    <x v="1"/>
    <n v="39"/>
    <x v="3"/>
    <s v="Accountant"/>
    <d v="2011-12-20T00:00:00"/>
    <n v="136095"/>
    <s v="Married"/>
    <s v="Bachelor's"/>
    <x v="4"/>
    <s v="Travel_Rarely"/>
    <n v="24"/>
    <x v="0"/>
    <x v="0"/>
    <n v="1"/>
    <n v="1"/>
    <n v="3"/>
    <n v="2"/>
    <n v="8"/>
    <n v="21"/>
    <s v="Cameron Caldwell"/>
    <x v="0"/>
    <m/>
    <x v="0"/>
    <n v="14"/>
    <x v="0"/>
    <n v="0"/>
    <s v="More than 10 Years"/>
    <n v="1"/>
    <x v="2"/>
  </r>
  <r>
    <s v="EMP1907"/>
    <s v="Terry Woods"/>
    <x v="2"/>
    <n v="21"/>
    <x v="3"/>
    <s v="Accountant"/>
    <d v="2013-11-17T00:00:00"/>
    <n v="115667"/>
    <s v="Divorced"/>
    <s v="Bachelor's"/>
    <x v="8"/>
    <s v="Travel_Rarely"/>
    <n v="41"/>
    <x v="0"/>
    <x v="2"/>
    <n v="4"/>
    <n v="4"/>
    <n v="4"/>
    <n v="2"/>
    <n v="4"/>
    <n v="18"/>
    <s v="Steven Skinner"/>
    <x v="0"/>
    <m/>
    <x v="2"/>
    <n v="12"/>
    <x v="0"/>
    <n v="0"/>
    <s v="More than 10 Years"/>
    <n v="3.33"/>
    <x v="1"/>
  </r>
  <r>
    <s v="EMP1906"/>
    <s v="Michael Moore"/>
    <x v="0"/>
    <n v="31"/>
    <x v="3"/>
    <s v="Finance Manager"/>
    <d v="2019-01-20T00:00:00"/>
    <n v="82680"/>
    <s v="Single"/>
    <s v="PhD"/>
    <x v="2"/>
    <s v="Travel_Rarely"/>
    <n v="23"/>
    <x v="0"/>
    <x v="3"/>
    <n v="3"/>
    <n v="2"/>
    <n v="3"/>
    <n v="1"/>
    <n v="5"/>
    <n v="11"/>
    <s v="Kelly Roberts"/>
    <x v="0"/>
    <m/>
    <x v="1"/>
    <n v="7"/>
    <x v="2"/>
    <n v="0"/>
    <s v="6-10 Years"/>
    <n v="2.67"/>
    <x v="0"/>
  </r>
  <r>
    <s v="EMP2200"/>
    <s v="Francisco Coleman"/>
    <x v="0"/>
    <n v="38"/>
    <x v="2"/>
    <s v="Software Engineer"/>
    <d v="2022-01-03T00:00:00"/>
    <n v="114657"/>
    <s v="Married"/>
    <s v="Bachelor's"/>
    <x v="1"/>
    <s v="Travel_Frequently"/>
    <n v="31"/>
    <x v="0"/>
    <x v="3"/>
    <n v="4"/>
    <n v="4"/>
    <n v="4"/>
    <n v="1"/>
    <n v="2"/>
    <n v="15"/>
    <s v="Ricky Cook"/>
    <x v="0"/>
    <m/>
    <x v="0"/>
    <n v="4"/>
    <x v="0"/>
    <n v="0"/>
    <s v="4-5 Years"/>
    <n v="3.67"/>
    <x v="1"/>
  </r>
  <r>
    <s v="EMP1993"/>
    <s v="Terri Parsons"/>
    <x v="0"/>
    <n v="26"/>
    <x v="2"/>
    <s v="Data Analyst"/>
    <d v="2020-11-27T00:00:00"/>
    <n v="82983"/>
    <s v="Divorced"/>
    <s v="Bachelor's"/>
    <x v="3"/>
    <s v="Travel_Frequently"/>
    <n v="10"/>
    <x v="0"/>
    <x v="3"/>
    <n v="1"/>
    <n v="3"/>
    <n v="2"/>
    <n v="1"/>
    <n v="4"/>
    <n v="14"/>
    <s v="Lori Riley"/>
    <x v="0"/>
    <m/>
    <x v="1"/>
    <n v="5"/>
    <x v="2"/>
    <n v="0"/>
    <s v="4-5 Years"/>
    <n v="2.33"/>
    <x v="0"/>
  </r>
  <r>
    <s v="EMP1927"/>
    <s v="Heather Moore"/>
    <x v="0"/>
    <n v="32"/>
    <x v="4"/>
    <s v="Sales Representative"/>
    <d v="2024-01-06T00:00:00"/>
    <n v="83427"/>
    <s v="Divorced"/>
    <s v="Bachelor's"/>
    <x v="4"/>
    <s v="Travel_Rarely"/>
    <n v="17"/>
    <x v="0"/>
    <x v="0"/>
    <n v="4"/>
    <n v="3"/>
    <n v="2"/>
    <n v="3"/>
    <n v="4"/>
    <n v="13"/>
    <s v="Amanda Brown"/>
    <x v="0"/>
    <m/>
    <x v="1"/>
    <n v="2"/>
    <x v="2"/>
    <n v="0"/>
    <s v="1-3 Years"/>
    <n v="2.67"/>
    <x v="0"/>
  </r>
  <r>
    <s v="EMP1005"/>
    <s v="Kimberly Dudley"/>
    <x v="2"/>
    <n v="30"/>
    <x v="2"/>
    <s v="System Administrator"/>
    <d v="2017-04-23T00:00:00"/>
    <n v="82647"/>
    <s v="Single"/>
    <s v="High School"/>
    <x v="9"/>
    <s v="Travel_Frequently"/>
    <n v="16"/>
    <x v="0"/>
    <x v="3"/>
    <n v="4"/>
    <n v="1"/>
    <n v="3"/>
    <n v="4"/>
    <n v="3"/>
    <n v="20"/>
    <s v="Sandra Montgomery"/>
    <x v="0"/>
    <m/>
    <x v="1"/>
    <n v="9"/>
    <x v="2"/>
    <n v="0"/>
    <s v="6-10 Years"/>
    <n v="2.67"/>
    <x v="0"/>
  </r>
  <r>
    <s v="EMP1340"/>
    <s v="Travis Murphy"/>
    <x v="0"/>
    <n v="31"/>
    <x v="0"/>
    <s v="Research Director"/>
    <d v="2011-09-13T00:00:00"/>
    <n v="121597"/>
    <s v="Divorced"/>
    <s v="Bachelor's"/>
    <x v="7"/>
    <s v="Travel_Frequently"/>
    <n v="14"/>
    <x v="0"/>
    <x v="1"/>
    <n v="2"/>
    <n v="2"/>
    <n v="2"/>
    <n v="5"/>
    <n v="5"/>
    <n v="25"/>
    <s v="Morgan Simon"/>
    <x v="0"/>
    <m/>
    <x v="1"/>
    <n v="14"/>
    <x v="0"/>
    <n v="0"/>
    <s v="More than 10 Years"/>
    <n v="2.67"/>
    <x v="0"/>
  </r>
  <r>
    <s v="EMP1695"/>
    <s v="Anthony Simmons"/>
    <x v="0"/>
    <n v="32"/>
    <x v="0"/>
    <s v="Manufacturing Technician"/>
    <d v="2014-05-02T00:00:00"/>
    <n v="114578"/>
    <s v="Married"/>
    <s v="Bachelor's"/>
    <x v="3"/>
    <s v="Travel_Rarely"/>
    <n v="2"/>
    <x v="1"/>
    <x v="3"/>
    <n v="3"/>
    <n v="4"/>
    <n v="3"/>
    <n v="0"/>
    <n v="6"/>
    <n v="18"/>
    <s v="Leslie Huff"/>
    <x v="0"/>
    <m/>
    <x v="1"/>
    <n v="12"/>
    <x v="0"/>
    <n v="0"/>
    <s v="More than 10 Years"/>
    <n v="3.33"/>
    <x v="1"/>
  </r>
  <r>
    <s v="EMP1715"/>
    <s v="Richard Munoz"/>
    <x v="0"/>
    <n v="24"/>
    <x v="7"/>
    <s v="Supply Chain Analyst"/>
    <d v="2018-01-05T00:00:00"/>
    <n v="37058"/>
    <s v="Married"/>
    <s v="High School"/>
    <x v="3"/>
    <s v="Non-Travel"/>
    <n v="35"/>
    <x v="0"/>
    <x v="0"/>
    <n v="4"/>
    <n v="4"/>
    <n v="3"/>
    <n v="1"/>
    <n v="2"/>
    <n v="13"/>
    <s v="Jordan Arnold"/>
    <x v="0"/>
    <m/>
    <x v="2"/>
    <n v="8"/>
    <x v="1"/>
    <n v="0"/>
    <s v="6-10 Years"/>
    <n v="3"/>
    <x v="1"/>
  </r>
  <r>
    <s v="EMP1378"/>
    <s v="Joshua Oconnell"/>
    <x v="2"/>
    <n v="39"/>
    <x v="3"/>
    <s v="Finance Manager"/>
    <d v="2014-10-05T00:00:00"/>
    <n v="120015"/>
    <s v="Single"/>
    <s v="Diploma"/>
    <x v="1"/>
    <s v="Non-Travel"/>
    <n v="7"/>
    <x v="0"/>
    <x v="0"/>
    <n v="3"/>
    <n v="3"/>
    <n v="1"/>
    <n v="4"/>
    <n v="0"/>
    <n v="24"/>
    <s v="Derek Wilson"/>
    <x v="0"/>
    <m/>
    <x v="0"/>
    <n v="11"/>
    <x v="0"/>
    <n v="0"/>
    <s v="More than 10 Years"/>
    <n v="2.33"/>
    <x v="0"/>
  </r>
  <r>
    <s v="EMP1448"/>
    <s v="Katherine Gallagher"/>
    <x v="0"/>
    <n v="23"/>
    <x v="0"/>
    <s v="Research Scientist"/>
    <d v="2012-12-22T00:00:00"/>
    <n v="115271"/>
    <s v="Divorced"/>
    <s v="High School"/>
    <x v="2"/>
    <s v="Non-Travel"/>
    <n v="23"/>
    <x v="1"/>
    <x v="1"/>
    <n v="1"/>
    <n v="3"/>
    <n v="4"/>
    <n v="6"/>
    <n v="1"/>
    <n v="20"/>
    <s v="Madeline Powell"/>
    <x v="0"/>
    <m/>
    <x v="2"/>
    <n v="13"/>
    <x v="0"/>
    <n v="0"/>
    <s v="More than 10 Years"/>
    <n v="2.67"/>
    <x v="0"/>
  </r>
  <r>
    <s v="EMP1652"/>
    <s v="Keith Hall"/>
    <x v="0"/>
    <n v="39"/>
    <x v="0"/>
    <s v="Research Scientist"/>
    <d v="2015-02-16T00:00:00"/>
    <n v="59442"/>
    <s v="Single"/>
    <s v="Master's"/>
    <x v="9"/>
    <s v="Non-Travel"/>
    <n v="30"/>
    <x v="0"/>
    <x v="0"/>
    <n v="3"/>
    <n v="4"/>
    <n v="3"/>
    <n v="3"/>
    <n v="3"/>
    <n v="15"/>
    <s v="Heather Watts"/>
    <x v="0"/>
    <m/>
    <x v="0"/>
    <n v="11"/>
    <x v="1"/>
    <n v="0"/>
    <s v="More than 10 Years"/>
    <n v="2.67"/>
    <x v="0"/>
  </r>
  <r>
    <s v="EMP2053"/>
    <s v="Chelsey Clark"/>
    <x v="2"/>
    <n v="40"/>
    <x v="2"/>
    <s v="System Administrator"/>
    <d v="2019-09-29T00:00:00"/>
    <n v="108869"/>
    <s v="Single"/>
    <s v="Bachelor's"/>
    <x v="4"/>
    <s v="Travel_Frequently"/>
    <n v="13"/>
    <x v="1"/>
    <x v="0"/>
    <n v="3"/>
    <n v="3"/>
    <n v="5"/>
    <n v="1"/>
    <n v="4"/>
    <n v="24"/>
    <s v="Barbara Lewis"/>
    <x v="0"/>
    <m/>
    <x v="0"/>
    <n v="6"/>
    <x v="0"/>
    <n v="0"/>
    <s v="6-10 Years"/>
    <n v="2.33"/>
    <x v="0"/>
  </r>
  <r>
    <s v="EMP1501"/>
    <s v="Daniel Goodwin"/>
    <x v="0"/>
    <n v="27"/>
    <x v="4"/>
    <s v="Sales Manager"/>
    <d v="2019-07-30T00:00:00"/>
    <n v="43086"/>
    <s v="Married"/>
    <s v="Master's"/>
    <x v="1"/>
    <s v="Travel_Frequently"/>
    <n v="12"/>
    <x v="0"/>
    <x v="2"/>
    <n v="2"/>
    <n v="3"/>
    <n v="2"/>
    <n v="3"/>
    <n v="5"/>
    <n v="22"/>
    <s v="Samantha Zavala MD"/>
    <x v="0"/>
    <m/>
    <x v="1"/>
    <n v="7"/>
    <x v="1"/>
    <n v="0"/>
    <s v="6-10 Years"/>
    <n v="2.33"/>
    <x v="0"/>
  </r>
  <r>
    <s v="EMP1805"/>
    <s v="Sean Hatfield"/>
    <x v="2"/>
    <n v="29"/>
    <x v="5"/>
    <s v="Brand Manager"/>
    <d v="2012-08-25T00:00:00"/>
    <n v="101103"/>
    <s v="Married"/>
    <s v="Master's"/>
    <x v="6"/>
    <s v="Non-Travel"/>
    <n v="24"/>
    <x v="1"/>
    <x v="3"/>
    <n v="3"/>
    <n v="4"/>
    <n v="3"/>
    <n v="0"/>
    <n v="7"/>
    <n v="11"/>
    <s v="Nicole Davis"/>
    <x v="0"/>
    <m/>
    <x v="1"/>
    <n v="14"/>
    <x v="0"/>
    <n v="0"/>
    <s v="More than 10 Years"/>
    <n v="3.33"/>
    <x v="1"/>
  </r>
  <r>
    <s v="EMP2077"/>
    <s v="Jesus Becker"/>
    <x v="0"/>
    <n v="30"/>
    <x v="1"/>
    <s v="Hr Executive"/>
    <d v="2015-06-16T00:00:00"/>
    <n v="47016"/>
    <s v="Not Specified"/>
    <s v="Diploma"/>
    <x v="7"/>
    <s v="Non-Travel"/>
    <n v="20"/>
    <x v="1"/>
    <x v="0"/>
    <n v="3"/>
    <n v="3"/>
    <n v="3"/>
    <n v="0"/>
    <n v="1"/>
    <n v="18"/>
    <s v="Tiffany Skinner"/>
    <x v="0"/>
    <m/>
    <x v="1"/>
    <n v="11"/>
    <x v="1"/>
    <n v="0"/>
    <s v="More than 10 Years"/>
    <n v="2.33"/>
    <x v="0"/>
  </r>
  <r>
    <s v="EMP1095"/>
    <s v="Taylor Coleman"/>
    <x v="2"/>
    <n v="39"/>
    <x v="4"/>
    <s v="Sales Executive"/>
    <d v="2019-10-15T00:00:00"/>
    <n v="64606"/>
    <s v="Divorced"/>
    <s v="Bachelor's"/>
    <x v="6"/>
    <s v="Travel_Frequently"/>
    <n v="12"/>
    <x v="0"/>
    <x v="2"/>
    <n v="4"/>
    <n v="4"/>
    <n v="2"/>
    <n v="0"/>
    <n v="2"/>
    <n v="18"/>
    <s v="Susan Serrano"/>
    <x v="0"/>
    <m/>
    <x v="0"/>
    <n v="6"/>
    <x v="2"/>
    <n v="0"/>
    <s v="6-10 Years"/>
    <n v="3.33"/>
    <x v="1"/>
  </r>
  <r>
    <s v="EMP1096"/>
    <s v="Christopher Parker"/>
    <x v="0"/>
    <n v="42"/>
    <x v="4"/>
    <s v="Sales Manager"/>
    <d v="2022-11-02T00:00:00"/>
    <n v="45121"/>
    <s v="Married"/>
    <s v="Bachelor's"/>
    <x v="0"/>
    <s v="Non-Travel"/>
    <n v="32"/>
    <x v="0"/>
    <x v="1"/>
    <n v="2"/>
    <n v="1"/>
    <n v="4"/>
    <n v="4"/>
    <n v="3"/>
    <n v="19"/>
    <s v="Donna Martinez"/>
    <x v="0"/>
    <m/>
    <x v="0"/>
    <n v="3"/>
    <x v="1"/>
    <n v="0"/>
    <s v="1-3 Years"/>
    <n v="2.33"/>
    <x v="0"/>
  </r>
  <r>
    <s v="EMP1309"/>
    <s v="Brian Elliott"/>
    <x v="2"/>
    <n v="25"/>
    <x v="1"/>
    <s v="Hr Business Partner"/>
    <d v="2020-07-01T00:00:00"/>
    <n v="88396"/>
    <s v="Not Specified"/>
    <s v="High School"/>
    <x v="1"/>
    <s v="Travel_Rarely"/>
    <n v="31"/>
    <x v="0"/>
    <x v="1"/>
    <n v="3"/>
    <n v="2"/>
    <n v="3"/>
    <n v="1"/>
    <n v="4"/>
    <n v="14"/>
    <s v="Melanie Pierce"/>
    <x v="0"/>
    <m/>
    <x v="1"/>
    <n v="6"/>
    <x v="2"/>
    <n v="0"/>
    <s v="6-10 Years"/>
    <n v="3"/>
    <x v="1"/>
  </r>
  <r>
    <s v="EMP1747"/>
    <s v="Andrew Cruz"/>
    <x v="0"/>
    <n v="25"/>
    <x v="5"/>
    <s v="Marketing Executive"/>
    <d v="2014-07-06T00:00:00"/>
    <n v="75293"/>
    <s v="Single"/>
    <s v="Bachelor's"/>
    <x v="6"/>
    <s v="Travel_Frequently"/>
    <n v="2"/>
    <x v="0"/>
    <x v="0"/>
    <n v="4"/>
    <n v="4"/>
    <n v="3"/>
    <n v="2"/>
    <n v="1"/>
    <n v="19"/>
    <s v="Stephanie Mccoy"/>
    <x v="0"/>
    <m/>
    <x v="1"/>
    <n v="12"/>
    <x v="2"/>
    <n v="0"/>
    <s v="More than 10 Years"/>
    <n v="3"/>
    <x v="1"/>
  </r>
  <r>
    <s v="EMP1490"/>
    <s v="Christina Christensen"/>
    <x v="2"/>
    <n v="24"/>
    <x v="4"/>
    <s v="Sales Manager"/>
    <d v="2014-01-23T00:00:00"/>
    <n v="79232"/>
    <s v="Married"/>
    <s v="Not Specified"/>
    <x v="1"/>
    <s v="Non-Travel"/>
    <n v="22"/>
    <x v="0"/>
    <x v="2"/>
    <n v="1"/>
    <n v="2"/>
    <n v="1"/>
    <n v="1"/>
    <n v="0"/>
    <n v="14"/>
    <s v="David Franco"/>
    <x v="0"/>
    <m/>
    <x v="2"/>
    <n v="12"/>
    <x v="2"/>
    <n v="0"/>
    <s v="More than 10 Years"/>
    <n v="1.67"/>
    <x v="2"/>
  </r>
  <r>
    <s v="EMP1603"/>
    <s v="Lori Brown DDS"/>
    <x v="2"/>
    <n v="26"/>
    <x v="0"/>
    <s v="Manufacturing Technician"/>
    <d v="2022-02-15T00:00:00"/>
    <n v="104119"/>
    <s v="Single"/>
    <s v="Not Specified"/>
    <x v="6"/>
    <s v="Travel_Frequently"/>
    <n v="5"/>
    <x v="0"/>
    <x v="1"/>
    <n v="4"/>
    <n v="4"/>
    <n v="5"/>
    <n v="3"/>
    <n v="3"/>
    <n v="15"/>
    <s v="Beth Hall"/>
    <x v="0"/>
    <m/>
    <x v="1"/>
    <n v="4"/>
    <x v="0"/>
    <n v="0"/>
    <s v="4-5 Years"/>
    <n v="4"/>
    <x v="1"/>
  </r>
  <r>
    <s v="EMP1059"/>
    <s v="Patricia Rodriguez"/>
    <x v="0"/>
    <n v="37"/>
    <x v="6"/>
    <s v="Research Director"/>
    <d v="2018-01-02T00:00:00"/>
    <n v="98395"/>
    <s v="Married"/>
    <s v="Master's"/>
    <x v="7"/>
    <s v="Travel_Rarely"/>
    <n v="26"/>
    <x v="0"/>
    <x v="3"/>
    <n v="1"/>
    <n v="3"/>
    <n v="4"/>
    <n v="5"/>
    <n v="1"/>
    <n v="21"/>
    <s v="Tyler Holmes"/>
    <x v="0"/>
    <m/>
    <x v="0"/>
    <n v="8"/>
    <x v="2"/>
    <n v="0"/>
    <s v="6-10 Years"/>
    <n v="2.33"/>
    <x v="0"/>
  </r>
  <r>
    <s v="EMP1322"/>
    <s v="Christine Goodwin"/>
    <x v="2"/>
    <n v="47"/>
    <x v="0"/>
    <s v="Lab Technician"/>
    <d v="2023-09-23T00:00:00"/>
    <n v="112928"/>
    <s v="Divorced"/>
    <s v="Bachelor's"/>
    <x v="6"/>
    <s v="Travel_Rarely"/>
    <n v="43"/>
    <x v="1"/>
    <x v="1"/>
    <n v="4"/>
    <n v="1"/>
    <n v="4"/>
    <n v="5"/>
    <n v="0"/>
    <n v="19"/>
    <s v="Shane Lopez"/>
    <x v="1"/>
    <d v="2023-11-29T00:00:00"/>
    <x v="3"/>
    <n v="0"/>
    <x v="0"/>
    <n v="1"/>
    <s v="Less than 1 Year"/>
    <n v="3"/>
    <x v="1"/>
  </r>
  <r>
    <s v="EMP1326"/>
    <s v="Kayla Barnes"/>
    <x v="2"/>
    <n v="26"/>
    <x v="1"/>
    <s v="Hr Business Partner"/>
    <d v="2013-09-20T00:00:00"/>
    <n v="40881"/>
    <s v="Single"/>
    <s v="Bachelor's"/>
    <x v="7"/>
    <s v="Travel_Rarely"/>
    <n v="37"/>
    <x v="0"/>
    <x v="1"/>
    <n v="1"/>
    <n v="1"/>
    <n v="1"/>
    <n v="3"/>
    <n v="6"/>
    <n v="24"/>
    <s v="Cody Reid"/>
    <x v="0"/>
    <m/>
    <x v="1"/>
    <n v="12"/>
    <x v="1"/>
    <n v="0"/>
    <s v="More than 10 Years"/>
    <n v="2"/>
    <x v="0"/>
  </r>
  <r>
    <s v="EMP1518"/>
    <s v="Manuel Mccullough"/>
    <x v="0"/>
    <n v="33"/>
    <x v="0"/>
    <s v="Manufacturing Technician"/>
    <d v="2016-05-27T00:00:00"/>
    <n v="97825"/>
    <s v="Married"/>
    <s v="Master's"/>
    <x v="6"/>
    <s v="Travel_Rarely"/>
    <n v="40"/>
    <x v="1"/>
    <x v="0"/>
    <n v="2"/>
    <n v="3"/>
    <n v="3"/>
    <n v="0"/>
    <n v="3"/>
    <n v="24"/>
    <s v="Elizabeth Silva"/>
    <x v="1"/>
    <d v="2021-01-10T00:00:00"/>
    <x v="1"/>
    <n v="4"/>
    <x v="2"/>
    <n v="1"/>
    <s v="4-5 Years"/>
    <n v="2"/>
    <x v="0"/>
  </r>
  <r>
    <s v="EMP1025"/>
    <s v="Jeffrey Henderson"/>
    <x v="0"/>
    <n v="35"/>
    <x v="3"/>
    <s v="Accountant"/>
    <d v="2018-08-18T00:00:00"/>
    <n v="93236"/>
    <s v="Married"/>
    <s v="Bachelor's"/>
    <x v="0"/>
    <s v="Non-Travel"/>
    <n v="45"/>
    <x v="1"/>
    <x v="3"/>
    <n v="3"/>
    <n v="4"/>
    <n v="5"/>
    <n v="3"/>
    <n v="7"/>
    <n v="12"/>
    <s v="Megan Joyce"/>
    <x v="0"/>
    <m/>
    <x v="0"/>
    <n v="8"/>
    <x v="2"/>
    <n v="0"/>
    <s v="6-10 Years"/>
    <n v="3.33"/>
    <x v="1"/>
  </r>
  <r>
    <s v="EMP2024"/>
    <s v="Elijah Short"/>
    <x v="0"/>
    <n v="29"/>
    <x v="2"/>
    <s v="System Administrator"/>
    <d v="2023-05-07T00:00:00"/>
    <n v="69108"/>
    <s v="Married"/>
    <s v="Master's"/>
    <x v="7"/>
    <s v="Non-Travel"/>
    <n v="9"/>
    <x v="1"/>
    <x v="2"/>
    <n v="4"/>
    <n v="3"/>
    <n v="3"/>
    <n v="0"/>
    <n v="6"/>
    <n v="18"/>
    <s v="Kevin Rios"/>
    <x v="1"/>
    <d v="2024-09-07T00:00:00"/>
    <x v="1"/>
    <n v="1"/>
    <x v="2"/>
    <n v="1"/>
    <s v="1-3 Years"/>
    <n v="3"/>
    <x v="1"/>
  </r>
  <r>
    <s v="EMP1245"/>
    <s v="Timothy Johns"/>
    <x v="0"/>
    <n v="49"/>
    <x v="0"/>
    <s v="Research Scientist"/>
    <d v="2018-10-14T00:00:00"/>
    <n v="121888"/>
    <s v="Divorced"/>
    <s v="PhD"/>
    <x v="1"/>
    <s v="Travel_Rarely"/>
    <n v="20"/>
    <x v="0"/>
    <x v="1"/>
    <n v="3"/>
    <n v="2"/>
    <n v="2"/>
    <n v="0"/>
    <n v="7"/>
    <n v="16"/>
    <s v="Victor Morris"/>
    <x v="0"/>
    <m/>
    <x v="3"/>
    <n v="7"/>
    <x v="0"/>
    <n v="0"/>
    <s v="6-10 Years"/>
    <n v="3"/>
    <x v="1"/>
  </r>
  <r>
    <s v="EMP1026"/>
    <s v="James Morgan"/>
    <x v="0"/>
    <n v="47"/>
    <x v="3"/>
    <s v="Financial Analyst"/>
    <d v="2024-07-08T00:00:00"/>
    <n v="54480"/>
    <s v="Married"/>
    <s v="Bachelor's"/>
    <x v="8"/>
    <s v="Non-Travel"/>
    <n v="6"/>
    <x v="0"/>
    <x v="1"/>
    <n v="3"/>
    <n v="2"/>
    <n v="1"/>
    <n v="1"/>
    <n v="2"/>
    <n v="18"/>
    <s v="Connor West"/>
    <x v="0"/>
    <m/>
    <x v="3"/>
    <n v="2"/>
    <x v="1"/>
    <n v="0"/>
    <s v="1-3 Years"/>
    <n v="3"/>
    <x v="1"/>
  </r>
  <r>
    <s v="EMP1223"/>
    <s v="Sean Moore"/>
    <x v="0"/>
    <n v="45"/>
    <x v="2"/>
    <s v="It Support"/>
    <d v="2016-07-19T00:00:00"/>
    <n v="96408"/>
    <s v="Single"/>
    <s v="Bachelor's"/>
    <x v="7"/>
    <s v="Travel_Frequently"/>
    <n v="19"/>
    <x v="0"/>
    <x v="2"/>
    <n v="4"/>
    <n v="4"/>
    <n v="3"/>
    <n v="5"/>
    <n v="0"/>
    <n v="16"/>
    <s v="Emily Hines"/>
    <x v="0"/>
    <m/>
    <x v="3"/>
    <n v="10"/>
    <x v="2"/>
    <n v="0"/>
    <s v="6-10 Years"/>
    <n v="3.33"/>
    <x v="1"/>
  </r>
  <r>
    <s v="EMP1604"/>
    <s v="Dr. Nicole Trujillo"/>
    <x v="0"/>
    <n v="37"/>
    <x v="0"/>
    <s v="Manufacturing Technician"/>
    <d v="2018-03-17T00:00:00"/>
    <n v="124186"/>
    <s v="Married"/>
    <s v="High School"/>
    <x v="0"/>
    <s v="Travel_Rarely"/>
    <n v="16"/>
    <x v="1"/>
    <x v="3"/>
    <n v="2"/>
    <n v="2"/>
    <n v="1"/>
    <n v="2"/>
    <n v="6"/>
    <n v="25"/>
    <s v="Michael Howard"/>
    <x v="0"/>
    <m/>
    <x v="0"/>
    <n v="8"/>
    <x v="0"/>
    <n v="0"/>
    <s v="6-10 Years"/>
    <n v="2.33"/>
    <x v="0"/>
  </r>
  <r>
    <s v="EMP1106"/>
    <s v="Julia Wilson"/>
    <x v="1"/>
    <n v="22"/>
    <x v="2"/>
    <s v="Data Analyst"/>
    <d v="2024-01-29T00:00:00"/>
    <n v="111792"/>
    <s v="Married"/>
    <s v="Bachelor's"/>
    <x v="4"/>
    <s v="Travel_Frequently"/>
    <n v="24"/>
    <x v="0"/>
    <x v="3"/>
    <n v="4"/>
    <n v="2"/>
    <n v="3"/>
    <n v="6"/>
    <n v="4"/>
    <n v="13"/>
    <s v="Dr. Jordan Hill PhD"/>
    <x v="0"/>
    <m/>
    <x v="2"/>
    <n v="2"/>
    <x v="0"/>
    <n v="0"/>
    <s v="1-3 Years"/>
    <n v="3"/>
    <x v="1"/>
  </r>
  <r>
    <s v="EMP2086"/>
    <s v="Kevin Woods"/>
    <x v="2"/>
    <n v="27"/>
    <x v="4"/>
    <s v="Sales Executive"/>
    <d v="2021-09-13T00:00:00"/>
    <n v="89727"/>
    <s v="Married"/>
    <s v="Bachelor's"/>
    <x v="4"/>
    <s v="Travel_Frequently"/>
    <n v="42"/>
    <x v="0"/>
    <x v="2"/>
    <n v="2"/>
    <n v="1"/>
    <n v="5"/>
    <n v="0"/>
    <n v="5"/>
    <n v="25"/>
    <s v="Antonio Walton"/>
    <x v="0"/>
    <m/>
    <x v="1"/>
    <n v="4"/>
    <x v="2"/>
    <n v="0"/>
    <s v="4-5 Years"/>
    <n v="1.67"/>
    <x v="2"/>
  </r>
  <r>
    <s v="EMP1131"/>
    <s v="David Johnson"/>
    <x v="1"/>
    <n v="37"/>
    <x v="0"/>
    <s v="Lab Technician"/>
    <d v="2024-11-08T00:00:00"/>
    <n v="45950"/>
    <s v="Divorced"/>
    <s v="High School"/>
    <x v="6"/>
    <s v="Travel_Rarely"/>
    <n v="21"/>
    <x v="0"/>
    <x v="2"/>
    <n v="1"/>
    <n v="2"/>
    <n v="3"/>
    <n v="3"/>
    <n v="4"/>
    <n v="18"/>
    <s v="Connie Brown"/>
    <x v="1"/>
    <d v="2025-11-14T00:00:00"/>
    <x v="0"/>
    <n v="1"/>
    <x v="1"/>
    <n v="1"/>
    <s v="1-3 Years"/>
    <n v="1.67"/>
    <x v="2"/>
  </r>
  <r>
    <s v="EMP1154"/>
    <s v="Amanda Reese"/>
    <x v="0"/>
    <n v="51"/>
    <x v="4"/>
    <s v="Sales Representative"/>
    <d v="2014-11-15T00:00:00"/>
    <n v="43985"/>
    <s v="Single"/>
    <s v="Bachelor's"/>
    <x v="1"/>
    <s v="Non-Travel"/>
    <n v="11"/>
    <x v="0"/>
    <x v="1"/>
    <n v="1"/>
    <n v="2"/>
    <n v="1"/>
    <n v="1"/>
    <n v="7"/>
    <n v="20"/>
    <s v="Glen Wood"/>
    <x v="0"/>
    <m/>
    <x v="3"/>
    <n v="11"/>
    <x v="1"/>
    <n v="0"/>
    <s v="More than 10 Years"/>
    <n v="2.33"/>
    <x v="0"/>
  </r>
  <r>
    <s v="EMP2079"/>
    <s v="Jay Gallegos"/>
    <x v="2"/>
    <n v="34"/>
    <x v="7"/>
    <s v="Supply Chain Analyst"/>
    <d v="2015-06-08T00:00:00"/>
    <n v="55921"/>
    <s v="Married"/>
    <s v="High School"/>
    <x v="2"/>
    <s v="Travel_Rarely"/>
    <n v="6"/>
    <x v="0"/>
    <x v="1"/>
    <n v="3"/>
    <n v="1"/>
    <n v="4"/>
    <n v="5"/>
    <n v="5"/>
    <n v="14"/>
    <s v="Walter Barrett"/>
    <x v="0"/>
    <m/>
    <x v="1"/>
    <n v="11"/>
    <x v="1"/>
    <n v="0"/>
    <s v="More than 10 Years"/>
    <n v="2.67"/>
    <x v="0"/>
  </r>
  <r>
    <s v="EMP1973"/>
    <s v="Timothy Olson"/>
    <x v="2"/>
    <n v="39"/>
    <x v="5"/>
    <s v="Marketing Executive"/>
    <d v="2020-07-31T00:00:00"/>
    <n v="60628"/>
    <s v="Single"/>
    <s v="Master's"/>
    <x v="3"/>
    <s v="Travel_Frequently"/>
    <n v="36"/>
    <x v="0"/>
    <x v="1"/>
    <n v="4"/>
    <n v="2"/>
    <n v="3"/>
    <n v="6"/>
    <n v="1"/>
    <n v="13"/>
    <s v="Jamie Bell"/>
    <x v="0"/>
    <m/>
    <x v="0"/>
    <n v="6"/>
    <x v="2"/>
    <n v="0"/>
    <s v="6-10 Years"/>
    <n v="3.33"/>
    <x v="1"/>
  </r>
  <r>
    <s v="EMP1871"/>
    <s v="Daniel Zamora"/>
    <x v="2"/>
    <n v="31"/>
    <x v="3"/>
    <s v="Auditor"/>
    <d v="2025-04-29T00:00:00"/>
    <n v="128612"/>
    <s v="Single"/>
    <s v="Bachelor's"/>
    <x v="1"/>
    <s v="Travel_Frequently"/>
    <n v="45"/>
    <x v="0"/>
    <x v="1"/>
    <n v="2"/>
    <n v="3"/>
    <n v="4"/>
    <n v="1"/>
    <n v="8"/>
    <n v="20"/>
    <s v="Sherry Wang"/>
    <x v="0"/>
    <m/>
    <x v="1"/>
    <n v="1"/>
    <x v="0"/>
    <n v="0"/>
    <s v="1-3 Years"/>
    <n v="3"/>
    <x v="1"/>
  </r>
  <r>
    <s v="EMP2044"/>
    <s v="Michael Brady"/>
    <x v="2"/>
    <n v="32"/>
    <x v="2"/>
    <s v="System Administrator"/>
    <d v="2017-05-07T00:00:00"/>
    <n v="129368"/>
    <s v="Single"/>
    <s v="Master's"/>
    <x v="8"/>
    <s v="Travel_Rarely"/>
    <n v="45"/>
    <x v="0"/>
    <x v="0"/>
    <n v="2"/>
    <n v="2"/>
    <n v="3"/>
    <n v="0"/>
    <n v="2"/>
    <n v="16"/>
    <s v="Jennifer Smith"/>
    <x v="1"/>
    <d v="2024-04-18T00:00:00"/>
    <x v="1"/>
    <n v="6"/>
    <x v="0"/>
    <n v="1"/>
    <s v="6-10 Years"/>
    <n v="1.67"/>
    <x v="2"/>
  </r>
  <r>
    <s v="EMP1076"/>
    <s v="Lindsay Martinez"/>
    <x v="0"/>
    <n v="42"/>
    <x v="5"/>
    <s v="Digital Marketing Specialist"/>
    <d v="2026-05-04T00:00:00"/>
    <n v="101263"/>
    <s v="Divorced"/>
    <s v="Master's"/>
    <x v="1"/>
    <s v="Travel_Frequently"/>
    <n v="33"/>
    <x v="0"/>
    <x v="3"/>
    <n v="1"/>
    <n v="1"/>
    <n v="3"/>
    <n v="4"/>
    <n v="0"/>
    <n v="17"/>
    <s v="Jeffrey Wood"/>
    <x v="1"/>
    <d v="2026-08-05T00:00:00"/>
    <x v="0"/>
    <n v="0"/>
    <x v="0"/>
    <n v="1"/>
    <s v="Less than 1 Year"/>
    <n v="1.67"/>
    <x v="2"/>
  </r>
  <r>
    <s v="EMP2133"/>
    <s v="Joshua Jones"/>
    <x v="0"/>
    <n v="35"/>
    <x v="4"/>
    <s v="Sales Executive"/>
    <d v="2021-03-19T00:00:00"/>
    <n v="98852"/>
    <s v="Divorced"/>
    <s v="Master's"/>
    <x v="0"/>
    <s v="Non-Travel"/>
    <n v="20"/>
    <x v="1"/>
    <x v="2"/>
    <n v="4"/>
    <n v="3"/>
    <n v="2"/>
    <n v="3"/>
    <n v="4"/>
    <n v="17"/>
    <s v="Donald Melton"/>
    <x v="1"/>
    <d v="2023-03-11T00:00:00"/>
    <x v="0"/>
    <n v="1"/>
    <x v="2"/>
    <n v="1"/>
    <s v="1-3 Years"/>
    <n v="3"/>
    <x v="1"/>
  </r>
  <r>
    <s v="EMP2070"/>
    <s v="Tammy Larson"/>
    <x v="0"/>
    <n v="27"/>
    <x v="4"/>
    <s v="Sales Manager"/>
    <d v="2013-12-10T00:00:00"/>
    <n v="71864"/>
    <s v="Married"/>
    <s v="Master's"/>
    <x v="6"/>
    <s v="Non-Travel"/>
    <n v="13"/>
    <x v="0"/>
    <x v="1"/>
    <n v="4"/>
    <n v="4"/>
    <n v="4"/>
    <n v="3"/>
    <n v="3"/>
    <n v="19"/>
    <s v="Dawn Ford"/>
    <x v="0"/>
    <m/>
    <x v="1"/>
    <n v="12"/>
    <x v="2"/>
    <n v="0"/>
    <s v="More than 10 Years"/>
    <n v="4"/>
    <x v="1"/>
  </r>
  <r>
    <s v="EMP1923"/>
    <s v="Gina Guzman"/>
    <x v="1"/>
    <n v="45"/>
    <x v="4"/>
    <s v="Account Manager"/>
    <d v="2024-03-25T00:00:00"/>
    <n v="46879"/>
    <s v="Divorced"/>
    <s v="Bachelor's"/>
    <x v="7"/>
    <s v="Travel_Frequently"/>
    <n v="33"/>
    <x v="1"/>
    <x v="3"/>
    <n v="4"/>
    <n v="4"/>
    <n v="5"/>
    <n v="5"/>
    <n v="1"/>
    <n v="13"/>
    <s v="Bonnie Carter"/>
    <x v="0"/>
    <m/>
    <x v="3"/>
    <n v="2"/>
    <x v="1"/>
    <n v="0"/>
    <s v="1-3 Years"/>
    <n v="3.67"/>
    <x v="1"/>
  </r>
  <r>
    <s v="EMP1317"/>
    <s v="Jason Nixon"/>
    <x v="2"/>
    <n v="37"/>
    <x v="4"/>
    <s v="Sales Executive"/>
    <d v="2013-05-24T00:00:00"/>
    <n v="57841"/>
    <s v="Divorced"/>
    <s v="Bachelor's"/>
    <x v="0"/>
    <s v="Non-Travel"/>
    <n v="15"/>
    <x v="0"/>
    <x v="3"/>
    <n v="3"/>
    <n v="3"/>
    <n v="5"/>
    <n v="3"/>
    <n v="4"/>
    <n v="14"/>
    <s v="Brenda Collins"/>
    <x v="0"/>
    <m/>
    <x v="0"/>
    <n v="13"/>
    <x v="1"/>
    <n v="0"/>
    <s v="More than 10 Years"/>
    <n v="3"/>
    <x v="1"/>
  </r>
  <r>
    <s v="EMP1985"/>
    <s v="Ana Anderson"/>
    <x v="1"/>
    <n v="28"/>
    <x v="7"/>
    <s v="Logistics Manager"/>
    <d v="2012-08-19T00:00:00"/>
    <n v="47261"/>
    <s v="Single"/>
    <s v="PhD"/>
    <x v="4"/>
    <s v="Travel_Rarely"/>
    <n v="27"/>
    <x v="0"/>
    <x v="1"/>
    <n v="1"/>
    <n v="2"/>
    <n v="3"/>
    <n v="6"/>
    <n v="5"/>
    <n v="18"/>
    <s v="Kelly Perez"/>
    <x v="0"/>
    <m/>
    <x v="1"/>
    <n v="14"/>
    <x v="1"/>
    <n v="0"/>
    <s v="More than 10 Years"/>
    <n v="2.33"/>
    <x v="0"/>
  </r>
  <r>
    <s v="EMP1743"/>
    <s v="Mary Adams"/>
    <x v="0"/>
    <n v="40"/>
    <x v="0"/>
    <s v="Research Scientist"/>
    <d v="2022-02-08T00:00:00"/>
    <n v="83084"/>
    <s v="Married"/>
    <s v="High School"/>
    <x v="1"/>
    <s v="Travel_Frequently"/>
    <n v="6"/>
    <x v="1"/>
    <x v="0"/>
    <n v="1"/>
    <n v="1"/>
    <n v="4"/>
    <n v="3"/>
    <n v="3"/>
    <n v="19"/>
    <s v="Kaylee Case"/>
    <x v="1"/>
    <d v="2026-03-25T00:00:00"/>
    <x v="0"/>
    <n v="4"/>
    <x v="2"/>
    <n v="1"/>
    <s v="4-5 Years"/>
    <n v="1"/>
    <x v="2"/>
  </r>
  <r>
    <s v="EMP1200"/>
    <s v="Monica Miller"/>
    <x v="0"/>
    <n v="40"/>
    <x v="0"/>
    <s v="Manufacturing Technician"/>
    <d v="2020-08-25T00:00:00"/>
    <n v="63603"/>
    <s v="Married"/>
    <s v="Master's"/>
    <x v="1"/>
    <s v="Non-Travel"/>
    <n v="34"/>
    <x v="0"/>
    <x v="0"/>
    <n v="1"/>
    <n v="4"/>
    <n v="3"/>
    <n v="0"/>
    <n v="1"/>
    <n v="20"/>
    <s v="Kimberly Morris"/>
    <x v="0"/>
    <m/>
    <x v="0"/>
    <n v="6"/>
    <x v="2"/>
    <n v="0"/>
    <s v="6-10 Years"/>
    <n v="2"/>
    <x v="0"/>
  </r>
  <r>
    <s v="EMP1862"/>
    <s v="Matthew Davis"/>
    <x v="2"/>
    <n v="34"/>
    <x v="4"/>
    <s v="Account Manager"/>
    <d v="2025-09-25T00:00:00"/>
    <n v="40243"/>
    <s v="Divorced"/>
    <s v="Bachelor's"/>
    <x v="5"/>
    <s v="Travel_Rarely"/>
    <n v="37"/>
    <x v="0"/>
    <x v="3"/>
    <n v="1"/>
    <n v="2"/>
    <n v="5"/>
    <n v="6"/>
    <n v="0"/>
    <n v="16"/>
    <s v="Brenda Rodriguez"/>
    <x v="0"/>
    <m/>
    <x v="1"/>
    <n v="0"/>
    <x v="1"/>
    <n v="0"/>
    <s v="Less than 1 Year"/>
    <n v="2"/>
    <x v="0"/>
  </r>
  <r>
    <s v="EMP1135"/>
    <s v="Jeremy Sampson"/>
    <x v="0"/>
    <n v="28"/>
    <x v="3"/>
    <s v="Accountant"/>
    <d v="2024-06-04T00:00:00"/>
    <n v="113734"/>
    <s v="Divorced"/>
    <s v="Master's"/>
    <x v="4"/>
    <s v="Travel_Rarely"/>
    <n v="10"/>
    <x v="1"/>
    <x v="2"/>
    <n v="3"/>
    <n v="1"/>
    <n v="2"/>
    <n v="2"/>
    <n v="1"/>
    <n v="11"/>
    <s v="Kimberly Levine"/>
    <x v="1"/>
    <d v="2024-08-24T00:00:00"/>
    <x v="1"/>
    <n v="0"/>
    <x v="0"/>
    <n v="1"/>
    <s v="Less than 1 Year"/>
    <n v="2"/>
    <x v="0"/>
  </r>
  <r>
    <s v="EMP1327"/>
    <s v="Maria Cooke"/>
    <x v="2"/>
    <n v="34"/>
    <x v="0"/>
    <s v="Lab Technician"/>
    <d v="2019-12-10T00:00:00"/>
    <n v="75586"/>
    <s v="Divorced"/>
    <s v="Master's"/>
    <x v="8"/>
    <s v="Travel_Rarely"/>
    <n v="14"/>
    <x v="1"/>
    <x v="0"/>
    <n v="3"/>
    <n v="2"/>
    <n v="3"/>
    <n v="6"/>
    <n v="2"/>
    <n v="24"/>
    <s v="Ernest Hayes"/>
    <x v="1"/>
    <d v="2023-03-26T00:00:00"/>
    <x v="1"/>
    <n v="3"/>
    <x v="2"/>
    <n v="1"/>
    <s v="1-3 Years"/>
    <n v="2"/>
    <x v="0"/>
  </r>
  <r>
    <s v="EMP1260"/>
    <s v="Jose Bryant"/>
    <x v="2"/>
    <n v="30"/>
    <x v="4"/>
    <s v="Not Specified"/>
    <d v="2012-07-10T00:00:00"/>
    <n v="95160"/>
    <s v="Divorced"/>
    <s v="Master's"/>
    <x v="8"/>
    <s v="Travel_Rarely"/>
    <n v="15"/>
    <x v="0"/>
    <x v="3"/>
    <n v="1"/>
    <n v="3"/>
    <n v="3"/>
    <n v="3"/>
    <n v="1"/>
    <n v="14"/>
    <s v="Not Specified"/>
    <x v="0"/>
    <m/>
    <x v="1"/>
    <n v="14"/>
    <x v="2"/>
    <n v="0"/>
    <s v="More than 10 Years"/>
    <n v="2.33"/>
    <x v="0"/>
  </r>
  <r>
    <s v="EMP1972"/>
    <s v="Jodi Smith"/>
    <x v="0"/>
    <n v="27"/>
    <x v="1"/>
    <s v="Hr Executive"/>
    <d v="2018-08-05T00:00:00"/>
    <n v="55870"/>
    <s v="Married"/>
    <s v="Master's"/>
    <x v="0"/>
    <s v="Non-Travel"/>
    <n v="21"/>
    <x v="0"/>
    <x v="0"/>
    <n v="1"/>
    <n v="4"/>
    <n v="3"/>
    <n v="0"/>
    <n v="7"/>
    <n v="24"/>
    <s v="Donna Stanton"/>
    <x v="0"/>
    <m/>
    <x v="1"/>
    <n v="8"/>
    <x v="1"/>
    <n v="0"/>
    <s v="6-10 Years"/>
    <n v="2"/>
    <x v="0"/>
  </r>
  <r>
    <s v="EMP1004"/>
    <s v="Gabrielle Davis"/>
    <x v="0"/>
    <n v="41"/>
    <x v="1"/>
    <s v="Hr Executive"/>
    <d v="2013-02-08T00:00:00"/>
    <n v="88792"/>
    <s v="Single"/>
    <s v="Master's"/>
    <x v="2"/>
    <s v="Non-Travel"/>
    <n v="24"/>
    <x v="0"/>
    <x v="3"/>
    <n v="2"/>
    <n v="2"/>
    <n v="4"/>
    <n v="4"/>
    <n v="5"/>
    <n v="18"/>
    <s v="Lindsey Roman"/>
    <x v="0"/>
    <m/>
    <x v="0"/>
    <n v="13"/>
    <x v="2"/>
    <n v="0"/>
    <s v="More than 10 Years"/>
    <n v="2.33"/>
    <x v="0"/>
  </r>
  <r>
    <s v="EMP1849"/>
    <s v="Gina Mendez"/>
    <x v="0"/>
    <n v="31"/>
    <x v="4"/>
    <s v="Sales Representative"/>
    <d v="2017-01-30T00:00:00"/>
    <n v="104008"/>
    <s v="Divorced"/>
    <s v="Bachelor's"/>
    <x v="4"/>
    <s v="Travel_Rarely"/>
    <n v="17"/>
    <x v="0"/>
    <x v="2"/>
    <n v="4"/>
    <n v="4"/>
    <n v="5"/>
    <n v="1"/>
    <n v="6"/>
    <n v="25"/>
    <s v="Jonathan Boone"/>
    <x v="0"/>
    <m/>
    <x v="1"/>
    <n v="9"/>
    <x v="0"/>
    <n v="0"/>
    <s v="6-10 Years"/>
    <n v="3.33"/>
    <x v="1"/>
  </r>
  <r>
    <s v="EMP1211"/>
    <s v="Robert Arnold"/>
    <x v="2"/>
    <n v="34"/>
    <x v="3"/>
    <s v="Not Specified"/>
    <d v="2020-10-16T00:00:00"/>
    <n v="94631"/>
    <s v="Not Specified"/>
    <s v="Bachelor's"/>
    <x v="6"/>
    <s v="Travel_Rarely"/>
    <n v="3"/>
    <x v="1"/>
    <x v="3"/>
    <n v="2"/>
    <n v="2"/>
    <n v="4"/>
    <n v="4"/>
    <n v="3"/>
    <n v="20"/>
    <s v="Zachary Higgins"/>
    <x v="1"/>
    <d v="2021-04-18T00:00:00"/>
    <x v="1"/>
    <n v="0"/>
    <x v="2"/>
    <n v="1"/>
    <s v="Less than 1 Year"/>
    <n v="2.33"/>
    <x v="0"/>
  </r>
  <r>
    <s v="EMP1197"/>
    <s v="Andrew Mahoney"/>
    <x v="2"/>
    <n v="25"/>
    <x v="4"/>
    <s v="Sales Representative"/>
    <d v="2019-05-09T00:00:00"/>
    <n v="56505"/>
    <s v="Married"/>
    <s v="Bachelor's"/>
    <x v="4"/>
    <s v="Non-Travel"/>
    <n v="3"/>
    <x v="0"/>
    <x v="2"/>
    <n v="4"/>
    <n v="3"/>
    <n v="3"/>
    <n v="0"/>
    <n v="4"/>
    <n v="24"/>
    <s v="Kimberly King PhD"/>
    <x v="0"/>
    <m/>
    <x v="1"/>
    <n v="7"/>
    <x v="1"/>
    <n v="0"/>
    <s v="6-10 Years"/>
    <n v="3"/>
    <x v="1"/>
  </r>
  <r>
    <s v="EMP1481"/>
    <s v="Sara Chapman"/>
    <x v="0"/>
    <n v="27"/>
    <x v="3"/>
    <s v="Accountant"/>
    <d v="2023-03-08T00:00:00"/>
    <n v="83324"/>
    <s v="Divorced"/>
    <s v="Bachelor's"/>
    <x v="5"/>
    <s v="Not Specified"/>
    <n v="21"/>
    <x v="0"/>
    <x v="1"/>
    <n v="4"/>
    <n v="1"/>
    <n v="4"/>
    <n v="2"/>
    <n v="5"/>
    <n v="15"/>
    <s v="Matthew Blanchard"/>
    <x v="0"/>
    <m/>
    <x v="1"/>
    <n v="3"/>
    <x v="2"/>
    <n v="0"/>
    <s v="1-3 Years"/>
    <n v="3"/>
    <x v="1"/>
  </r>
  <r>
    <s v="EMP1537"/>
    <s v="Ronald Burke"/>
    <x v="2"/>
    <n v="28"/>
    <x v="3"/>
    <s v="Auditor"/>
    <d v="2023-07-08T00:00:00"/>
    <n v="106450"/>
    <s v="Single"/>
    <s v="High School"/>
    <x v="8"/>
    <s v="Travel_Frequently"/>
    <n v="22"/>
    <x v="1"/>
    <x v="1"/>
    <n v="2"/>
    <n v="4"/>
    <n v="4"/>
    <n v="6"/>
    <n v="1"/>
    <n v="25"/>
    <s v="Catherine Keller"/>
    <x v="0"/>
    <m/>
    <x v="1"/>
    <n v="3"/>
    <x v="0"/>
    <n v="0"/>
    <s v="1-3 Years"/>
    <n v="3.33"/>
    <x v="1"/>
  </r>
  <r>
    <s v="EMP1592"/>
    <s v="Rhonda Gutierrez"/>
    <x v="2"/>
    <n v="40"/>
    <x v="4"/>
    <s v="Sales Representative"/>
    <d v="2024-05-24T00:00:00"/>
    <n v="71864"/>
    <s v="Married"/>
    <s v="Master's"/>
    <x v="2"/>
    <s v="Non-Travel"/>
    <n v="24"/>
    <x v="0"/>
    <x v="2"/>
    <n v="1"/>
    <n v="2"/>
    <n v="3"/>
    <n v="2"/>
    <n v="4"/>
    <n v="25"/>
    <s v="Dylan Walsh"/>
    <x v="0"/>
    <m/>
    <x v="0"/>
    <n v="2"/>
    <x v="2"/>
    <n v="0"/>
    <s v="1-3 Years"/>
    <n v="1.67"/>
    <x v="2"/>
  </r>
  <r>
    <s v="EMP1027"/>
    <s v="Donald Wright"/>
    <x v="2"/>
    <n v="38"/>
    <x v="0"/>
    <s v="Research Director"/>
    <d v="2025-06-08T00:00:00"/>
    <n v="103088"/>
    <s v="Divorced"/>
    <s v="PhD"/>
    <x v="2"/>
    <s v="Travel_Rarely"/>
    <n v="2"/>
    <x v="0"/>
    <x v="3"/>
    <n v="2"/>
    <n v="4"/>
    <n v="2"/>
    <n v="4"/>
    <n v="3"/>
    <n v="21"/>
    <s v="Scott Pierce"/>
    <x v="0"/>
    <m/>
    <x v="0"/>
    <n v="1"/>
    <x v="0"/>
    <n v="0"/>
    <s v="1-3 Years"/>
    <n v="3"/>
    <x v="1"/>
  </r>
  <r>
    <s v="EMP2089"/>
    <s v="Dr. Teresa Ortega MD"/>
    <x v="0"/>
    <n v="34"/>
    <x v="2"/>
    <s v="Software Engineer"/>
    <d v="2012-07-07T00:00:00"/>
    <n v="100527"/>
    <s v="Divorced"/>
    <s v="Bachelor's"/>
    <x v="6"/>
    <s v="Travel_Rarely"/>
    <n v="25"/>
    <x v="0"/>
    <x v="1"/>
    <n v="3"/>
    <n v="4"/>
    <n v="4"/>
    <n v="6"/>
    <n v="6"/>
    <n v="16"/>
    <s v="Not Specified"/>
    <x v="0"/>
    <m/>
    <x v="1"/>
    <n v="14"/>
    <x v="0"/>
    <n v="0"/>
    <s v="More than 10 Years"/>
    <n v="3.67"/>
    <x v="1"/>
  </r>
  <r>
    <s v="EMP1902"/>
    <s v="Samuel Martin"/>
    <x v="0"/>
    <n v="29"/>
    <x v="6"/>
    <s v="Account Manager"/>
    <d v="2023-04-17T00:00:00"/>
    <n v="56852"/>
    <s v="Single"/>
    <s v="Bachelor's"/>
    <x v="1"/>
    <s v="Travel_Rarely"/>
    <n v="38"/>
    <x v="0"/>
    <x v="2"/>
    <n v="4"/>
    <n v="2"/>
    <n v="3"/>
    <n v="1"/>
    <n v="0"/>
    <n v="14"/>
    <s v="Martha Martinez"/>
    <x v="1"/>
    <d v="2024-04-02T00:00:00"/>
    <x v="1"/>
    <n v="0"/>
    <x v="1"/>
    <n v="1"/>
    <s v="Less than 1 Year"/>
    <n v="2.67"/>
    <x v="0"/>
  </r>
  <r>
    <s v="EMP2130"/>
    <s v="Jeffery Neal"/>
    <x v="0"/>
    <n v="51"/>
    <x v="0"/>
    <s v="Research Scientist"/>
    <d v="2019-08-29T00:00:00"/>
    <n v="49563"/>
    <s v="Divorced"/>
    <s v="Bachelor's"/>
    <x v="4"/>
    <s v="Travel_Rarely"/>
    <n v="25"/>
    <x v="0"/>
    <x v="3"/>
    <n v="2"/>
    <n v="2"/>
    <n v="3"/>
    <n v="0"/>
    <n v="3"/>
    <n v="21"/>
    <s v="Nicholas Cowan"/>
    <x v="0"/>
    <m/>
    <x v="3"/>
    <n v="7"/>
    <x v="1"/>
    <n v="0"/>
    <s v="6-10 Years"/>
    <n v="2.33"/>
    <x v="0"/>
  </r>
  <r>
    <s v="EMP1595"/>
    <s v="Eric Lloyd"/>
    <x v="0"/>
    <n v="51"/>
    <x v="2"/>
    <s v="It Support"/>
    <d v="2026-07-20T00:00:00"/>
    <n v="63578"/>
    <s v="Single"/>
    <s v="Bachelor's"/>
    <x v="3"/>
    <s v="Non-Travel"/>
    <n v="10"/>
    <x v="0"/>
    <x v="1"/>
    <n v="1"/>
    <n v="4"/>
    <n v="3"/>
    <n v="5"/>
    <n v="7"/>
    <n v="12"/>
    <s v="Rick Rivera"/>
    <x v="0"/>
    <m/>
    <x v="3"/>
    <n v="0"/>
    <x v="2"/>
    <n v="0"/>
    <s v="Less than 1 Year"/>
    <n v="3"/>
    <x v="1"/>
  </r>
  <r>
    <s v="EMP1062"/>
    <s v="Not Specified"/>
    <x v="0"/>
    <n v="28"/>
    <x v="0"/>
    <s v="Research Scientist"/>
    <d v="2015-05-09T00:00:00"/>
    <n v="92820"/>
    <s v="Married"/>
    <s v="Diploma"/>
    <x v="5"/>
    <s v="Travel_Frequently"/>
    <n v="24"/>
    <x v="1"/>
    <x v="3"/>
    <n v="4"/>
    <n v="1"/>
    <n v="3"/>
    <n v="4"/>
    <n v="3"/>
    <n v="18"/>
    <s v="Pamela Boyd"/>
    <x v="0"/>
    <m/>
    <x v="1"/>
    <n v="11"/>
    <x v="2"/>
    <n v="0"/>
    <s v="More than 10 Years"/>
    <n v="2.67"/>
    <x v="0"/>
  </r>
  <r>
    <s v="EMP1723"/>
    <s v="Christopher Williams"/>
    <x v="2"/>
    <n v="33"/>
    <x v="7"/>
    <s v="Operations Executive"/>
    <d v="2026-06-09T00:00:00"/>
    <n v="49670"/>
    <s v="Married"/>
    <s v="Bachelor's"/>
    <x v="7"/>
    <s v="Travel_Rarely"/>
    <n v="11"/>
    <x v="0"/>
    <x v="0"/>
    <n v="2"/>
    <n v="4"/>
    <n v="4"/>
    <n v="2"/>
    <n v="0"/>
    <n v="11"/>
    <s v="Donna Miller"/>
    <x v="1"/>
    <d v="2026-08-15T00:00:00"/>
    <x v="1"/>
    <n v="0"/>
    <x v="1"/>
    <n v="1"/>
    <s v="Less than 1 Year"/>
    <n v="2.33"/>
    <x v="0"/>
  </r>
  <r>
    <s v="EMP1191"/>
    <s v="Linda Smith"/>
    <x v="0"/>
    <n v="20"/>
    <x v="0"/>
    <s v="Manufacturing Technician"/>
    <d v="2019-05-09T00:00:00"/>
    <n v="83084"/>
    <s v="Single"/>
    <s v="Diploma"/>
    <x v="6"/>
    <s v="Non-Travel"/>
    <n v="3"/>
    <x v="1"/>
    <x v="0"/>
    <n v="4"/>
    <n v="3"/>
    <n v="4"/>
    <n v="4"/>
    <n v="6"/>
    <n v="12"/>
    <s v="Jeffrey Mendez"/>
    <x v="1"/>
    <d v="2021-02-13T00:00:00"/>
    <x v="2"/>
    <n v="1"/>
    <x v="2"/>
    <n v="1"/>
    <s v="1-3 Years"/>
    <n v="2.67"/>
    <x v="0"/>
  </r>
  <r>
    <s v="EMP1983"/>
    <s v="Tanner Mann"/>
    <x v="0"/>
    <n v="43"/>
    <x v="3"/>
    <s v="Financial Analyst"/>
    <d v="2014-10-13T00:00:00"/>
    <n v="97849"/>
    <s v="Single"/>
    <s v="PhD"/>
    <x v="1"/>
    <s v="Non-Travel"/>
    <n v="27"/>
    <x v="0"/>
    <x v="0"/>
    <n v="4"/>
    <n v="3"/>
    <n v="2"/>
    <n v="2"/>
    <n v="6"/>
    <n v="18"/>
    <s v="Roberto Foster"/>
    <x v="0"/>
    <m/>
    <x v="0"/>
    <n v="11"/>
    <x v="2"/>
    <n v="0"/>
    <s v="More than 10 Years"/>
    <n v="2.67"/>
    <x v="0"/>
  </r>
  <r>
    <s v="EMP1682"/>
    <s v="Jennifer Newton"/>
    <x v="0"/>
    <n v="39"/>
    <x v="2"/>
    <s v="Devops Engineer"/>
    <d v="2024-02-14T00:00:00"/>
    <n v="97985"/>
    <s v="Married"/>
    <s v="Master's"/>
    <x v="7"/>
    <s v="Travel_Frequently"/>
    <n v="21"/>
    <x v="0"/>
    <x v="1"/>
    <n v="3"/>
    <n v="1"/>
    <n v="3"/>
    <n v="4"/>
    <n v="6"/>
    <n v="13"/>
    <s v="Nathaniel Stewart"/>
    <x v="0"/>
    <m/>
    <x v="0"/>
    <n v="2"/>
    <x v="2"/>
    <n v="0"/>
    <s v="1-3 Years"/>
    <n v="2.67"/>
    <x v="0"/>
  </r>
  <r>
    <s v="EMP1638"/>
    <s v="Brenda Hale"/>
    <x v="1"/>
    <n v="31"/>
    <x v="4"/>
    <s v="Account Manager"/>
    <d v="2011-12-09T00:00:00"/>
    <n v="87446"/>
    <s v="Single"/>
    <s v="High School"/>
    <x v="6"/>
    <s v="Travel_Frequently"/>
    <n v="36"/>
    <x v="0"/>
    <x v="0"/>
    <n v="4"/>
    <n v="3"/>
    <n v="3"/>
    <n v="6"/>
    <n v="4"/>
    <n v="25"/>
    <s v="Mary Williams"/>
    <x v="0"/>
    <m/>
    <x v="1"/>
    <n v="14"/>
    <x v="2"/>
    <n v="0"/>
    <s v="More than 10 Years"/>
    <n v="2.67"/>
    <x v="0"/>
  </r>
  <r>
    <s v="EMP1780"/>
    <s v="Angela Gilmore"/>
    <x v="0"/>
    <n v="36"/>
    <x v="0"/>
    <s v="Manufacturing Technician"/>
    <d v="2022-08-22T00:00:00"/>
    <n v="107267"/>
    <s v="Single"/>
    <s v="PhD"/>
    <x v="7"/>
    <s v="Travel_Frequently"/>
    <n v="4"/>
    <x v="0"/>
    <x v="3"/>
    <n v="1"/>
    <n v="2"/>
    <n v="3"/>
    <n v="4"/>
    <n v="0"/>
    <n v="22"/>
    <s v="Tony Leonard"/>
    <x v="0"/>
    <m/>
    <x v="0"/>
    <n v="4"/>
    <x v="0"/>
    <n v="0"/>
    <s v="4-5 Years"/>
    <n v="2"/>
    <x v="0"/>
  </r>
  <r>
    <s v="EMP1598"/>
    <s v="Amanda Murray"/>
    <x v="0"/>
    <n v="19"/>
    <x v="2"/>
    <s v="Data Analyst"/>
    <d v="2023-03-02T00:00:00"/>
    <n v="73580"/>
    <s v="Single"/>
    <s v="Master's"/>
    <x v="3"/>
    <s v="Travel_Frequently"/>
    <n v="32"/>
    <x v="0"/>
    <x v="2"/>
    <n v="4"/>
    <n v="1"/>
    <n v="3"/>
    <n v="1"/>
    <n v="1"/>
    <n v="16"/>
    <s v="Mrs. Melanie Collins"/>
    <x v="1"/>
    <d v="2024-12-27T00:00:00"/>
    <x v="2"/>
    <n v="1"/>
    <x v="2"/>
    <n v="1"/>
    <s v="1-3 Years"/>
    <n v="2.33"/>
    <x v="0"/>
  </r>
  <r>
    <s v="EMP1574"/>
    <s v="Karen Soto"/>
    <x v="0"/>
    <n v="39"/>
    <x v="6"/>
    <s v="Research Scientist"/>
    <d v="2018-05-17T00:00:00"/>
    <n v="90855"/>
    <s v="Not Specified"/>
    <s v="Master's"/>
    <x v="8"/>
    <s v="Travel_Frequently"/>
    <n v="18"/>
    <x v="0"/>
    <x v="0"/>
    <n v="4"/>
    <n v="3"/>
    <n v="3"/>
    <n v="2"/>
    <n v="3"/>
    <n v="18"/>
    <s v="Isaac Castro"/>
    <x v="0"/>
    <m/>
    <x v="0"/>
    <n v="8"/>
    <x v="2"/>
    <n v="0"/>
    <s v="6-10 Years"/>
    <n v="2.67"/>
    <x v="0"/>
  </r>
  <r>
    <s v="EMP1458"/>
    <s v="Autumn Wilson"/>
    <x v="2"/>
    <n v="56"/>
    <x v="2"/>
    <s v="Devops Engineer"/>
    <d v="2013-04-01T00:00:00"/>
    <n v="135498"/>
    <s v="Divorced"/>
    <s v="Bachelor's"/>
    <x v="4"/>
    <s v="Travel_Frequently"/>
    <n v="37"/>
    <x v="0"/>
    <x v="3"/>
    <n v="2"/>
    <n v="2"/>
    <n v="3"/>
    <n v="4"/>
    <n v="3"/>
    <n v="24"/>
    <s v="Curtis Baker"/>
    <x v="0"/>
    <m/>
    <x v="4"/>
    <n v="13"/>
    <x v="0"/>
    <n v="0"/>
    <s v="More than 10 Years"/>
    <n v="2.33"/>
    <x v="0"/>
  </r>
  <r>
    <s v="EMP1926"/>
    <s v="Jason Chaney"/>
    <x v="0"/>
    <n v="26"/>
    <x v="0"/>
    <s v="Research Director"/>
    <d v="2016-03-11T00:00:00"/>
    <n v="52446"/>
    <s v="Divorced"/>
    <s v="Bachelor's"/>
    <x v="1"/>
    <s v="Travel_Rarely"/>
    <n v="25"/>
    <x v="0"/>
    <x v="2"/>
    <n v="3"/>
    <n v="1"/>
    <n v="4"/>
    <n v="3"/>
    <n v="3"/>
    <n v="14"/>
    <s v="Anthony Smith"/>
    <x v="0"/>
    <m/>
    <x v="1"/>
    <n v="10"/>
    <x v="1"/>
    <n v="0"/>
    <s v="6-10 Years"/>
    <n v="2"/>
    <x v="0"/>
  </r>
  <r>
    <s v="EMP1886"/>
    <s v="Anthony Cook"/>
    <x v="0"/>
    <n v="35"/>
    <x v="2"/>
    <s v="System Administrator"/>
    <d v="2015-03-02T00:00:00"/>
    <n v="84358"/>
    <s v="Divorced"/>
    <s v="Bachelor's"/>
    <x v="0"/>
    <s v="Travel_Rarely"/>
    <n v="17"/>
    <x v="0"/>
    <x v="1"/>
    <n v="3"/>
    <n v="4"/>
    <n v="3"/>
    <n v="2"/>
    <n v="0"/>
    <n v="11"/>
    <s v="Yesenia Crosby"/>
    <x v="0"/>
    <m/>
    <x v="0"/>
    <n v="11"/>
    <x v="2"/>
    <n v="0"/>
    <s v="More than 10 Years"/>
    <n v="3.67"/>
    <x v="1"/>
  </r>
  <r>
    <s v="EMP1009"/>
    <s v="Kristin Cohen"/>
    <x v="0"/>
    <n v="35"/>
    <x v="3"/>
    <s v="Finance Manager"/>
    <d v="2024-03-27T00:00:00"/>
    <n v="97260"/>
    <s v="Single"/>
    <s v="Diploma"/>
    <x v="3"/>
    <s v="Travel_Frequently"/>
    <n v="8"/>
    <x v="1"/>
    <x v="1"/>
    <n v="4"/>
    <n v="1"/>
    <n v="3"/>
    <n v="0"/>
    <n v="5"/>
    <n v="20"/>
    <s v="Crystal Johnson"/>
    <x v="0"/>
    <m/>
    <x v="0"/>
    <n v="2"/>
    <x v="2"/>
    <n v="0"/>
    <s v="1-3 Years"/>
    <n v="3"/>
    <x v="1"/>
  </r>
  <r>
    <s v="EMP1978"/>
    <s v="Megan Gutierrez"/>
    <x v="2"/>
    <n v="60"/>
    <x v="0"/>
    <s v="Not Specified"/>
    <d v="2025-01-07T00:00:00"/>
    <n v="95663"/>
    <s v="Divorced"/>
    <s v="Master's"/>
    <x v="5"/>
    <s v="Non-Travel"/>
    <n v="17"/>
    <x v="1"/>
    <x v="2"/>
    <n v="1"/>
    <n v="2"/>
    <n v="3"/>
    <n v="0"/>
    <n v="2"/>
    <n v="13"/>
    <s v="Kimberly Cobb"/>
    <x v="1"/>
    <d v="2026-03-05T00:00:00"/>
    <x v="4"/>
    <n v="1"/>
    <x v="2"/>
    <n v="1"/>
    <s v="1-3 Years"/>
    <n v="1.67"/>
    <x v="2"/>
  </r>
  <r>
    <s v="EMP1667"/>
    <s v="Carlos Harris"/>
    <x v="0"/>
    <n v="30"/>
    <x v="3"/>
    <s v="Financial Analyst"/>
    <d v="2020-12-13T00:00:00"/>
    <n v="113162"/>
    <s v="Divorced"/>
    <s v="Bachelor's"/>
    <x v="8"/>
    <s v="Non-Travel"/>
    <n v="34"/>
    <x v="1"/>
    <x v="2"/>
    <n v="3"/>
    <n v="3"/>
    <n v="3"/>
    <n v="5"/>
    <n v="8"/>
    <n v="23"/>
    <s v="Scott Stephens"/>
    <x v="1"/>
    <d v="2022-05-25T00:00:00"/>
    <x v="1"/>
    <n v="1"/>
    <x v="0"/>
    <n v="1"/>
    <s v="1-3 Years"/>
    <n v="2.67"/>
    <x v="0"/>
  </r>
  <r>
    <s v="EMP2043"/>
    <s v="Randall Nguyen"/>
    <x v="0"/>
    <n v="25"/>
    <x v="2"/>
    <s v="System Administrator"/>
    <d v="2018-05-23T00:00:00"/>
    <n v="54305"/>
    <s v="Divorced"/>
    <s v="High School"/>
    <x v="5"/>
    <s v="Travel_Frequently"/>
    <n v="13"/>
    <x v="0"/>
    <x v="3"/>
    <n v="1"/>
    <n v="1"/>
    <n v="3"/>
    <n v="2"/>
    <n v="1"/>
    <n v="12"/>
    <s v="Jonathan Murray"/>
    <x v="0"/>
    <m/>
    <x v="1"/>
    <n v="8"/>
    <x v="1"/>
    <n v="0"/>
    <s v="6-10 Years"/>
    <n v="1.67"/>
    <x v="2"/>
  </r>
  <r>
    <s v="EMP1649"/>
    <s v="Emily Grant"/>
    <x v="0"/>
    <n v="19"/>
    <x v="4"/>
    <s v="Sales Manager"/>
    <d v="2025-10-24T00:00:00"/>
    <n v="65540"/>
    <s v="Not Specified"/>
    <s v="Master's"/>
    <x v="9"/>
    <s v="Not Specified"/>
    <n v="32"/>
    <x v="0"/>
    <x v="0"/>
    <n v="4"/>
    <n v="1"/>
    <n v="2"/>
    <n v="5"/>
    <n v="5"/>
    <n v="13"/>
    <s v="Shawn Acosta"/>
    <x v="1"/>
    <d v="2025-11-29T00:00:00"/>
    <x v="2"/>
    <n v="0"/>
    <x v="2"/>
    <n v="1"/>
    <s v="Less than 1 Year"/>
    <n v="2"/>
    <x v="0"/>
  </r>
  <r>
    <s v="EMP1658"/>
    <s v="Jocelyn Wilcox"/>
    <x v="2"/>
    <n v="36"/>
    <x v="0"/>
    <s v="Research Scientist"/>
    <d v="2012-04-18T00:00:00"/>
    <n v="68736"/>
    <s v="Single"/>
    <s v="Master's"/>
    <x v="6"/>
    <s v="Non-Travel"/>
    <n v="31"/>
    <x v="0"/>
    <x v="1"/>
    <n v="4"/>
    <n v="4"/>
    <n v="3"/>
    <n v="4"/>
    <n v="4"/>
    <n v="21"/>
    <s v="Kelly Foster PhD"/>
    <x v="0"/>
    <m/>
    <x v="0"/>
    <n v="14"/>
    <x v="2"/>
    <n v="0"/>
    <s v="More than 10 Years"/>
    <n v="4"/>
    <x v="1"/>
  </r>
  <r>
    <s v="EMP1820"/>
    <s v="Scott Thomas"/>
    <x v="0"/>
    <n v="26"/>
    <x v="2"/>
    <s v="It Support"/>
    <d v="2015-01-16T00:00:00"/>
    <n v="106564"/>
    <s v="Divorced"/>
    <s v="Not Specified"/>
    <x v="5"/>
    <s v="Travel_Frequently"/>
    <n v="13"/>
    <x v="0"/>
    <x v="1"/>
    <n v="3"/>
    <n v="2"/>
    <n v="3"/>
    <n v="1"/>
    <n v="5"/>
    <n v="15"/>
    <s v="Carlos Miller"/>
    <x v="0"/>
    <m/>
    <x v="1"/>
    <n v="11"/>
    <x v="0"/>
    <n v="0"/>
    <s v="More than 10 Years"/>
    <n v="3"/>
    <x v="1"/>
  </r>
  <r>
    <s v="EMP2117"/>
    <s v="Tiffany Delgado"/>
    <x v="0"/>
    <n v="29"/>
    <x v="0"/>
    <s v="Lab Technician"/>
    <d v="2017-04-06T00:00:00"/>
    <n v="86220"/>
    <s v="Single"/>
    <s v="Bachelor's"/>
    <x v="6"/>
    <s v="Not Specified"/>
    <n v="23"/>
    <x v="1"/>
    <x v="2"/>
    <n v="4"/>
    <n v="2"/>
    <n v="3"/>
    <n v="6"/>
    <n v="6"/>
    <n v="24"/>
    <s v="Mary Strickland"/>
    <x v="1"/>
    <d v="2023-10-07T00:00:00"/>
    <x v="1"/>
    <n v="6"/>
    <x v="2"/>
    <n v="1"/>
    <s v="6-10 Years"/>
    <n v="2.67"/>
    <x v="0"/>
  </r>
  <r>
    <s v="EMP1075"/>
    <s v="Miguel Jones"/>
    <x v="2"/>
    <n v="30"/>
    <x v="2"/>
    <s v="It Support"/>
    <d v="2021-12-19T00:00:00"/>
    <n v="65784"/>
    <s v="Married"/>
    <s v="Not Specified"/>
    <x v="7"/>
    <s v="Travel_Rarely"/>
    <n v="37"/>
    <x v="0"/>
    <x v="1"/>
    <n v="2"/>
    <n v="3"/>
    <n v="1"/>
    <n v="2"/>
    <n v="7"/>
    <n v="23"/>
    <s v="Ashley Barton"/>
    <x v="0"/>
    <m/>
    <x v="1"/>
    <n v="4"/>
    <x v="2"/>
    <n v="0"/>
    <s v="4-5 Years"/>
    <n v="3"/>
    <x v="1"/>
  </r>
  <r>
    <s v="EMP1564"/>
    <s v="Thomas Lowe"/>
    <x v="2"/>
    <n v="45"/>
    <x v="3"/>
    <s v="Finance Manager"/>
    <d v="2021-07-23T00:00:00"/>
    <n v="134705"/>
    <s v="Single"/>
    <s v="Bachelor's"/>
    <x v="7"/>
    <s v="Travel_Rarely"/>
    <n v="42"/>
    <x v="0"/>
    <x v="0"/>
    <n v="3"/>
    <n v="2"/>
    <n v="2"/>
    <n v="6"/>
    <n v="0"/>
    <n v="12"/>
    <s v="Kimberly Williams"/>
    <x v="1"/>
    <d v="2024-09-09T00:00:00"/>
    <x v="3"/>
    <n v="3"/>
    <x v="0"/>
    <n v="1"/>
    <s v="1-3 Years"/>
    <n v="2"/>
    <x v="0"/>
  </r>
  <r>
    <s v="EMP2019"/>
    <s v="Gregory Silva"/>
    <x v="2"/>
    <n v="37"/>
    <x v="1"/>
    <s v="Hr Executive"/>
    <d v="2018-08-09T00:00:00"/>
    <n v="88941"/>
    <s v="Single"/>
    <s v="High School"/>
    <x v="8"/>
    <s v="Travel_Rarely"/>
    <n v="38"/>
    <x v="0"/>
    <x v="2"/>
    <n v="1"/>
    <n v="3"/>
    <n v="3"/>
    <n v="0"/>
    <n v="8"/>
    <n v="17"/>
    <s v="Jessica Mcdonald"/>
    <x v="0"/>
    <m/>
    <x v="0"/>
    <n v="8"/>
    <x v="2"/>
    <n v="0"/>
    <s v="6-10 Years"/>
    <n v="2"/>
    <x v="0"/>
  </r>
  <r>
    <s v="EMP1058"/>
    <s v="Jason Soto"/>
    <x v="0"/>
    <n v="42"/>
    <x v="2"/>
    <s v="It Support"/>
    <d v="2014-07-25T00:00:00"/>
    <n v="125961"/>
    <s v="Single"/>
    <s v="Not Specified"/>
    <x v="8"/>
    <s v="Not Specified"/>
    <n v="5"/>
    <x v="1"/>
    <x v="1"/>
    <n v="3"/>
    <n v="1"/>
    <n v="2"/>
    <n v="6"/>
    <n v="3"/>
    <n v="12"/>
    <s v="David Douglas Jr."/>
    <x v="1"/>
    <d v="2022-12-27T00:00:00"/>
    <x v="0"/>
    <n v="8"/>
    <x v="0"/>
    <n v="1"/>
    <s v="6-10 Years"/>
    <n v="2.67"/>
    <x v="0"/>
  </r>
  <r>
    <s v="EMP2027"/>
    <s v="Cole Carrillo"/>
    <x v="0"/>
    <n v="39"/>
    <x v="0"/>
    <s v="Research Scientist"/>
    <d v="2022-01-28T00:00:00"/>
    <n v="83084"/>
    <s v="Divorced"/>
    <s v="PhD"/>
    <x v="9"/>
    <s v="Travel_Frequently"/>
    <n v="6"/>
    <x v="0"/>
    <x v="3"/>
    <n v="4"/>
    <n v="3"/>
    <n v="3"/>
    <n v="3"/>
    <n v="6"/>
    <n v="20"/>
    <s v="Jerry Hansen"/>
    <x v="0"/>
    <m/>
    <x v="0"/>
    <n v="4"/>
    <x v="2"/>
    <n v="0"/>
    <s v="4-5 Years"/>
    <n v="3.33"/>
    <x v="1"/>
  </r>
  <r>
    <s v="EMP1479"/>
    <s v="Charles Love"/>
    <x v="2"/>
    <n v="43"/>
    <x v="5"/>
    <s v="Digital Marketing Specialist"/>
    <d v="2022-06-05T00:00:00"/>
    <n v="53690"/>
    <s v="Divorced"/>
    <s v="PhD"/>
    <x v="8"/>
    <s v="Travel_Rarely"/>
    <n v="17"/>
    <x v="0"/>
    <x v="2"/>
    <n v="4"/>
    <n v="4"/>
    <n v="4"/>
    <n v="1"/>
    <n v="5"/>
    <n v="18"/>
    <s v="Levi Lopez"/>
    <x v="0"/>
    <m/>
    <x v="0"/>
    <n v="4"/>
    <x v="1"/>
    <n v="0"/>
    <s v="4-5 Years"/>
    <n v="3.33"/>
    <x v="1"/>
  </r>
  <r>
    <s v="EMP1298"/>
    <s v="Todd Reynolds"/>
    <x v="2"/>
    <n v="34"/>
    <x v="2"/>
    <s v="Data Analyst"/>
    <d v="2021-10-20T00:00:00"/>
    <n v="59783"/>
    <s v="Married"/>
    <s v="Master's"/>
    <x v="8"/>
    <s v="Travel_Frequently"/>
    <n v="7"/>
    <x v="0"/>
    <x v="3"/>
    <n v="2"/>
    <n v="3"/>
    <n v="1"/>
    <n v="1"/>
    <n v="7"/>
    <n v="21"/>
    <s v="Angelica Montgomery"/>
    <x v="0"/>
    <m/>
    <x v="1"/>
    <n v="4"/>
    <x v="1"/>
    <n v="0"/>
    <s v="4-5 Years"/>
    <n v="2.67"/>
    <x v="0"/>
  </r>
  <r>
    <s v="EMP1955"/>
    <s v="John Moody"/>
    <x v="2"/>
    <n v="35"/>
    <x v="1"/>
    <s v="Hr Business Partner"/>
    <d v="2013-10-13T00:00:00"/>
    <n v="94267"/>
    <s v="Single"/>
    <s v="Master's"/>
    <x v="4"/>
    <s v="Travel_Frequently"/>
    <n v="27"/>
    <x v="1"/>
    <x v="2"/>
    <n v="1"/>
    <n v="2"/>
    <n v="1"/>
    <n v="1"/>
    <n v="7"/>
    <n v="22"/>
    <s v="Steven Small"/>
    <x v="1"/>
    <d v="2021-05-18T00:00:00"/>
    <x v="0"/>
    <n v="7"/>
    <x v="2"/>
    <n v="1"/>
    <s v="6-10 Years"/>
    <n v="1.67"/>
    <x v="2"/>
  </r>
  <r>
    <s v="EMP1218"/>
    <s v="Laura Curtis"/>
    <x v="0"/>
    <n v="29"/>
    <x v="3"/>
    <s v="Financial Analyst"/>
    <d v="2023-02-08T00:00:00"/>
    <n v="50832"/>
    <s v="Divorced"/>
    <s v="Bachelor's"/>
    <x v="6"/>
    <s v="Travel_Frequently"/>
    <n v="31"/>
    <x v="1"/>
    <x v="0"/>
    <n v="3"/>
    <n v="4"/>
    <n v="3"/>
    <n v="2"/>
    <n v="5"/>
    <n v="24"/>
    <s v="Kathleen Burton"/>
    <x v="1"/>
    <d v="2024-08-02T00:00:00"/>
    <x v="1"/>
    <n v="1"/>
    <x v="1"/>
    <n v="1"/>
    <s v="1-3 Years"/>
    <n v="2.67"/>
    <x v="0"/>
  </r>
  <r>
    <s v="EMP1713"/>
    <s v="Tim Larsen"/>
    <x v="2"/>
    <n v="43"/>
    <x v="4"/>
    <s v="Sales Executive"/>
    <d v="2013-12-18T00:00:00"/>
    <n v="90528"/>
    <s v="Divorced"/>
    <s v="Master's"/>
    <x v="3"/>
    <s v="Non-Travel"/>
    <n v="9"/>
    <x v="1"/>
    <x v="1"/>
    <n v="3"/>
    <n v="1"/>
    <n v="4"/>
    <n v="5"/>
    <n v="0"/>
    <n v="18"/>
    <s v="Meagan Taylor MD"/>
    <x v="0"/>
    <m/>
    <x v="0"/>
    <n v="12"/>
    <x v="2"/>
    <n v="0"/>
    <s v="More than 10 Years"/>
    <n v="2.67"/>
    <x v="0"/>
  </r>
  <r>
    <s v="EMP1669"/>
    <s v="Joshua Harvey"/>
    <x v="0"/>
    <n v="39"/>
    <x v="5"/>
    <s v="Marketing Executive"/>
    <d v="2019-12-25T00:00:00"/>
    <n v="93231"/>
    <s v="Single"/>
    <s v="Bachelor's"/>
    <x v="1"/>
    <s v="Travel_Rarely"/>
    <n v="41"/>
    <x v="0"/>
    <x v="2"/>
    <n v="4"/>
    <n v="4"/>
    <n v="4"/>
    <n v="3"/>
    <n v="8"/>
    <n v="12"/>
    <s v="Amber Hernandez"/>
    <x v="0"/>
    <m/>
    <x v="0"/>
    <n v="6"/>
    <x v="2"/>
    <n v="0"/>
    <s v="6-10 Years"/>
    <n v="3.33"/>
    <x v="1"/>
  </r>
  <r>
    <s v="EMP1345"/>
    <s v="Timothy Hill"/>
    <x v="2"/>
    <n v="34"/>
    <x v="3"/>
    <s v="Finance Manager"/>
    <d v="2021-06-05T00:00:00"/>
    <n v="89442"/>
    <s v="Divorced"/>
    <s v="PhD"/>
    <x v="3"/>
    <s v="Non-Travel"/>
    <n v="13"/>
    <x v="0"/>
    <x v="0"/>
    <n v="1"/>
    <n v="3"/>
    <n v="3"/>
    <n v="5"/>
    <n v="1"/>
    <n v="11"/>
    <s v="Jacob Mckee"/>
    <x v="0"/>
    <m/>
    <x v="1"/>
    <n v="5"/>
    <x v="2"/>
    <n v="0"/>
    <s v="4-5 Years"/>
    <n v="1.67"/>
    <x v="2"/>
  </r>
  <r>
    <s v="EMP1714"/>
    <s v="Nathan Tucker"/>
    <x v="0"/>
    <n v="37"/>
    <x v="4"/>
    <s v="Account Manager"/>
    <d v="2018-03-06T00:00:00"/>
    <n v="99205"/>
    <s v="Single"/>
    <s v="Master's"/>
    <x v="7"/>
    <s v="Travel_Rarely"/>
    <n v="6"/>
    <x v="0"/>
    <x v="1"/>
    <n v="2"/>
    <n v="3"/>
    <n v="3"/>
    <n v="5"/>
    <n v="0"/>
    <n v="11"/>
    <s v="Angela May MD"/>
    <x v="0"/>
    <m/>
    <x v="0"/>
    <n v="8"/>
    <x v="2"/>
    <n v="0"/>
    <s v="6-10 Years"/>
    <n v="3"/>
    <x v="1"/>
  </r>
  <r>
    <s v="EMP1538"/>
    <s v="Nathaniel Cooper"/>
    <x v="0"/>
    <n v="44"/>
    <x v="1"/>
    <s v="Hr Business Partner"/>
    <d v="2018-06-05T00:00:00"/>
    <n v="49870"/>
    <s v="Married"/>
    <s v="Not Specified"/>
    <x v="1"/>
    <s v="Non-Travel"/>
    <n v="5"/>
    <x v="1"/>
    <x v="1"/>
    <n v="4"/>
    <n v="3"/>
    <n v="1"/>
    <n v="4"/>
    <n v="5"/>
    <n v="22"/>
    <s v="Crystal Cruz"/>
    <x v="0"/>
    <m/>
    <x v="0"/>
    <n v="8"/>
    <x v="1"/>
    <n v="0"/>
    <s v="6-10 Years"/>
    <n v="3.67"/>
    <x v="1"/>
  </r>
  <r>
    <s v="EMP1940"/>
    <s v="Susan Smith"/>
    <x v="2"/>
    <n v="38"/>
    <x v="3"/>
    <s v="Financial Analyst"/>
    <d v="2015-11-02T00:00:00"/>
    <n v="113765"/>
    <s v="Married"/>
    <s v="Bachelor's"/>
    <x v="6"/>
    <s v="Non-Travel"/>
    <n v="20"/>
    <x v="0"/>
    <x v="3"/>
    <n v="4"/>
    <n v="3"/>
    <n v="3"/>
    <n v="1"/>
    <n v="0"/>
    <n v="11"/>
    <s v="Tami Graves"/>
    <x v="0"/>
    <m/>
    <x v="0"/>
    <n v="10"/>
    <x v="0"/>
    <n v="0"/>
    <s v="6-10 Years"/>
    <n v="3.33"/>
    <x v="1"/>
  </r>
  <r>
    <s v="EMP1755"/>
    <s v="Robert Hendrix"/>
    <x v="2"/>
    <n v="40"/>
    <x v="5"/>
    <s v="Marketing Executive"/>
    <d v="2021-10-13T00:00:00"/>
    <n v="105476"/>
    <s v="Single"/>
    <s v="Bachelor's"/>
    <x v="10"/>
    <s v="Travel_Frequently"/>
    <n v="8"/>
    <x v="0"/>
    <x v="0"/>
    <n v="2"/>
    <n v="2"/>
    <n v="4"/>
    <n v="6"/>
    <n v="6"/>
    <n v="11"/>
    <s v="William Johnston"/>
    <x v="0"/>
    <m/>
    <x v="0"/>
    <n v="4"/>
    <x v="0"/>
    <n v="0"/>
    <s v="4-5 Years"/>
    <n v="1.67"/>
    <x v="2"/>
  </r>
  <r>
    <s v="EMP2040"/>
    <s v="Morgan Ellis"/>
    <x v="0"/>
    <n v="21"/>
    <x v="2"/>
    <s v="System Administrator"/>
    <d v="2025-04-02T00:00:00"/>
    <n v="144022"/>
    <s v="Single"/>
    <s v="Bachelor's"/>
    <x v="6"/>
    <s v="Non-Travel"/>
    <n v="31"/>
    <x v="0"/>
    <x v="3"/>
    <n v="4"/>
    <n v="3"/>
    <n v="2"/>
    <n v="6"/>
    <n v="6"/>
    <n v="16"/>
    <s v="Keith Long"/>
    <x v="0"/>
    <m/>
    <x v="2"/>
    <n v="1"/>
    <x v="0"/>
    <n v="0"/>
    <s v="1-3 Years"/>
    <n v="3.33"/>
    <x v="1"/>
  </r>
  <r>
    <s v="EMP1703"/>
    <s v="Robert Garza"/>
    <x v="0"/>
    <n v="20"/>
    <x v="3"/>
    <s v="Auditor"/>
    <d v="2023-05-13T00:00:00"/>
    <n v="118782"/>
    <s v="Single"/>
    <s v="Bachelor's"/>
    <x v="9"/>
    <s v="Travel_Frequently"/>
    <n v="36"/>
    <x v="0"/>
    <x v="2"/>
    <n v="4"/>
    <n v="3"/>
    <n v="4"/>
    <n v="1"/>
    <n v="5"/>
    <n v="13"/>
    <s v="Richard Stephens"/>
    <x v="0"/>
    <m/>
    <x v="2"/>
    <n v="3"/>
    <x v="0"/>
    <n v="0"/>
    <s v="1-3 Years"/>
    <n v="3"/>
    <x v="1"/>
  </r>
  <r>
    <s v="EMP1869"/>
    <s v="Tyler Cox"/>
    <x v="0"/>
    <n v="35"/>
    <x v="4"/>
    <s v="Not Specified"/>
    <d v="2023-10-12T00:00:00"/>
    <n v="48716"/>
    <s v="Divorced"/>
    <s v="Bachelor's"/>
    <x v="9"/>
    <s v="Travel_Frequently"/>
    <n v="12"/>
    <x v="0"/>
    <x v="2"/>
    <n v="2"/>
    <n v="3"/>
    <n v="3"/>
    <n v="1"/>
    <n v="2"/>
    <n v="25"/>
    <s v="Sean Mathews"/>
    <x v="0"/>
    <m/>
    <x v="0"/>
    <n v="2"/>
    <x v="1"/>
    <n v="0"/>
    <s v="1-3 Years"/>
    <n v="2.33"/>
    <x v="0"/>
  </r>
  <r>
    <s v="EMP1958"/>
    <s v="Julia Cole"/>
    <x v="2"/>
    <n v="42"/>
    <x v="7"/>
    <s v="Logistics Manager"/>
    <d v="2018-05-13T00:00:00"/>
    <n v="59421"/>
    <s v="Divorced"/>
    <s v="Diploma"/>
    <x v="9"/>
    <s v="Non-Travel"/>
    <n v="32"/>
    <x v="1"/>
    <x v="1"/>
    <n v="1"/>
    <n v="2"/>
    <n v="3"/>
    <n v="5"/>
    <n v="4"/>
    <n v="22"/>
    <s v="Robert Beck"/>
    <x v="1"/>
    <d v="2025-07-21T00:00:00"/>
    <x v="0"/>
    <n v="7"/>
    <x v="1"/>
    <n v="1"/>
    <s v="6-10 Years"/>
    <n v="2.33"/>
    <x v="0"/>
  </r>
  <r>
    <s v="EMP1267"/>
    <s v="Robert Barnes"/>
    <x v="2"/>
    <n v="30"/>
    <x v="0"/>
    <s v="Research Director"/>
    <d v="2023-02-03T00:00:00"/>
    <n v="95209"/>
    <s v="Married"/>
    <s v="Bachelor's"/>
    <x v="1"/>
    <s v="Travel_Rarely"/>
    <n v="43"/>
    <x v="0"/>
    <x v="0"/>
    <n v="4"/>
    <n v="3"/>
    <n v="5"/>
    <n v="3"/>
    <n v="6"/>
    <n v="13"/>
    <s v="Daniel Garcia"/>
    <x v="1"/>
    <d v="2026-04-01T00:00:00"/>
    <x v="1"/>
    <n v="3"/>
    <x v="2"/>
    <n v="1"/>
    <s v="1-3 Years"/>
    <n v="2.67"/>
    <x v="0"/>
  </r>
  <r>
    <s v="EMP1007"/>
    <s v="Brian Ramirez"/>
    <x v="2"/>
    <n v="25"/>
    <x v="4"/>
    <s v="Sales Representative"/>
    <d v="2021-02-22T00:00:00"/>
    <n v="55635"/>
    <s v="Divorced"/>
    <s v="Bachelor's"/>
    <x v="2"/>
    <s v="Non-Travel"/>
    <n v="4"/>
    <x v="1"/>
    <x v="0"/>
    <n v="1"/>
    <n v="3"/>
    <n v="3"/>
    <n v="0"/>
    <n v="8"/>
    <n v="12"/>
    <s v="Daniel Adams"/>
    <x v="1"/>
    <d v="2023-02-27T00:00:00"/>
    <x v="1"/>
    <n v="2"/>
    <x v="1"/>
    <n v="1"/>
    <s v="1-3 Years"/>
    <n v="1.67"/>
    <x v="2"/>
  </r>
  <r>
    <s v="EMP1123"/>
    <s v="Melissa Garner"/>
    <x v="0"/>
    <n v="37"/>
    <x v="2"/>
    <s v="Software Engineer"/>
    <d v="2012-05-24T00:00:00"/>
    <n v="149599"/>
    <s v="Divorced"/>
    <s v="Diploma"/>
    <x v="8"/>
    <s v="Non-Travel"/>
    <n v="5"/>
    <x v="0"/>
    <x v="3"/>
    <n v="2"/>
    <n v="3"/>
    <n v="4"/>
    <n v="4"/>
    <n v="7"/>
    <n v="23"/>
    <s v="Kathleen Strong"/>
    <x v="0"/>
    <m/>
    <x v="0"/>
    <n v="14"/>
    <x v="0"/>
    <n v="0"/>
    <s v="More than 10 Years"/>
    <n v="2.67"/>
    <x v="0"/>
  </r>
  <r>
    <s v="EMP2049"/>
    <s v="Margaret Moran"/>
    <x v="0"/>
    <n v="36"/>
    <x v="0"/>
    <s v="Research Director"/>
    <d v="2025-01-16T00:00:00"/>
    <n v="102226"/>
    <s v="Married"/>
    <s v="Master's"/>
    <x v="9"/>
    <s v="Non-Travel"/>
    <n v="42"/>
    <x v="0"/>
    <x v="1"/>
    <n v="3"/>
    <n v="2"/>
    <n v="2"/>
    <n v="3"/>
    <n v="6"/>
    <n v="23"/>
    <s v="Eric Williams"/>
    <x v="0"/>
    <m/>
    <x v="0"/>
    <n v="1"/>
    <x v="0"/>
    <n v="0"/>
    <s v="1-3 Years"/>
    <n v="3"/>
    <x v="1"/>
  </r>
  <r>
    <s v="EMP1139"/>
    <s v="Scott Thomas"/>
    <x v="2"/>
    <n v="37"/>
    <x v="2"/>
    <s v="Devops Engineer"/>
    <d v="2013-08-08T00:00:00"/>
    <n v="128689"/>
    <s v="Divorced"/>
    <s v="PhD"/>
    <x v="1"/>
    <s v="Non-Travel"/>
    <n v="25"/>
    <x v="0"/>
    <x v="2"/>
    <n v="1"/>
    <n v="4"/>
    <n v="3"/>
    <n v="2"/>
    <n v="0"/>
    <n v="21"/>
    <s v="Christopher Guerrero"/>
    <x v="0"/>
    <m/>
    <x v="0"/>
    <n v="13"/>
    <x v="0"/>
    <n v="0"/>
    <s v="More than 10 Years"/>
    <n v="2.33"/>
    <x v="0"/>
  </r>
  <r>
    <s v="EMP1164"/>
    <s v="Jordan Bullock"/>
    <x v="2"/>
    <n v="46"/>
    <x v="4"/>
    <s v="Sales Representative"/>
    <d v="2016-11-15T00:00:00"/>
    <n v="74453"/>
    <s v="Married"/>
    <s v="Bachelor's"/>
    <x v="3"/>
    <s v="Non-Travel"/>
    <n v="32"/>
    <x v="0"/>
    <x v="0"/>
    <n v="3"/>
    <n v="3"/>
    <n v="2"/>
    <n v="1"/>
    <n v="2"/>
    <n v="19"/>
    <s v="Sabrina Briggs"/>
    <x v="0"/>
    <m/>
    <x v="3"/>
    <n v="9"/>
    <x v="2"/>
    <n v="0"/>
    <s v="6-10 Years"/>
    <n v="2.33"/>
    <x v="0"/>
  </r>
  <r>
    <s v="EMP1734"/>
    <s v="Sandra Smith"/>
    <x v="2"/>
    <n v="34"/>
    <x v="2"/>
    <s v="Data Analyst"/>
    <d v="2013-02-13T00:00:00"/>
    <n v="93795"/>
    <s v="Not Specified"/>
    <s v="Master's"/>
    <x v="4"/>
    <s v="Travel_Frequently"/>
    <n v="32"/>
    <x v="0"/>
    <x v="1"/>
    <n v="3"/>
    <n v="3"/>
    <n v="3"/>
    <n v="3"/>
    <n v="3"/>
    <n v="17"/>
    <s v="Jeremy Robinson"/>
    <x v="0"/>
    <m/>
    <x v="1"/>
    <n v="13"/>
    <x v="2"/>
    <n v="0"/>
    <s v="More than 10 Years"/>
    <n v="3.33"/>
    <x v="1"/>
  </r>
  <r>
    <s v="EMP1549"/>
    <s v="Candice Lewis"/>
    <x v="0"/>
    <n v="43"/>
    <x v="3"/>
    <s v="Accountant"/>
    <d v="2017-08-21T00:00:00"/>
    <n v="105441"/>
    <s v="Married"/>
    <s v="PhD"/>
    <x v="4"/>
    <s v="Travel_Rarely"/>
    <n v="16"/>
    <x v="0"/>
    <x v="2"/>
    <n v="2"/>
    <n v="3"/>
    <n v="2"/>
    <n v="1"/>
    <n v="0"/>
    <n v="23"/>
    <s v="Joshua Terry"/>
    <x v="0"/>
    <m/>
    <x v="0"/>
    <n v="9"/>
    <x v="0"/>
    <n v="0"/>
    <s v="6-10 Years"/>
    <n v="2.33"/>
    <x v="0"/>
  </r>
  <r>
    <s v="EMP2072"/>
    <s v="Adam Mason"/>
    <x v="0"/>
    <n v="42"/>
    <x v="1"/>
    <s v="Recruiter"/>
    <d v="2022-06-26T00:00:00"/>
    <n v="82187"/>
    <s v="Divorced"/>
    <s v="Diploma"/>
    <x v="2"/>
    <s v="Travel_Frequently"/>
    <n v="17"/>
    <x v="0"/>
    <x v="0"/>
    <n v="3"/>
    <n v="3"/>
    <n v="3"/>
    <n v="0"/>
    <n v="4"/>
    <n v="25"/>
    <s v="Timothy Bentley DVM"/>
    <x v="0"/>
    <m/>
    <x v="0"/>
    <n v="4"/>
    <x v="2"/>
    <n v="0"/>
    <s v="4-5 Years"/>
    <n v="2.33"/>
    <x v="0"/>
  </r>
  <r>
    <s v="EMP1044"/>
    <s v="Marc Moore"/>
    <x v="2"/>
    <n v="37"/>
    <x v="1"/>
    <s v="Recruiter"/>
    <d v="2025-07-14T00:00:00"/>
    <n v="88043"/>
    <s v="Single"/>
    <s v="Bachelor's"/>
    <x v="2"/>
    <s v="Travel_Rarely"/>
    <n v="34"/>
    <x v="1"/>
    <x v="3"/>
    <n v="2"/>
    <n v="3"/>
    <n v="5"/>
    <n v="1"/>
    <n v="4"/>
    <n v="20"/>
    <s v="Rita Keith"/>
    <x v="1"/>
    <d v="2026-07-06T00:00:00"/>
    <x v="0"/>
    <n v="0"/>
    <x v="2"/>
    <n v="1"/>
    <s v="Less than 1 Year"/>
    <n v="2.67"/>
    <x v="0"/>
  </r>
  <r>
    <s v="EMP1779"/>
    <s v="Andrew Simmons"/>
    <x v="0"/>
    <n v="19"/>
    <x v="3"/>
    <s v="Finance Manager"/>
    <d v="2015-09-09T00:00:00"/>
    <n v="57698"/>
    <s v="Divorced"/>
    <s v="High School"/>
    <x v="0"/>
    <s v="Travel_Frequently"/>
    <n v="23"/>
    <x v="0"/>
    <x v="1"/>
    <n v="4"/>
    <n v="3"/>
    <n v="3"/>
    <n v="5"/>
    <n v="4"/>
    <n v="22"/>
    <s v="Kimberly Norton"/>
    <x v="0"/>
    <m/>
    <x v="2"/>
    <n v="10"/>
    <x v="1"/>
    <n v="0"/>
    <s v="6-10 Years"/>
    <n v="3.67"/>
    <x v="1"/>
  </r>
  <r>
    <s v="EMP2056"/>
    <s v="Joshua Mooney"/>
    <x v="2"/>
    <n v="48"/>
    <x v="0"/>
    <s v="Lab Technician"/>
    <d v="2024-05-08T00:00:00"/>
    <n v="81630"/>
    <s v="Single"/>
    <s v="Master's"/>
    <x v="0"/>
    <s v="Travel_Frequently"/>
    <n v="1"/>
    <x v="0"/>
    <x v="1"/>
    <n v="1"/>
    <n v="1"/>
    <n v="4"/>
    <n v="1"/>
    <n v="6"/>
    <n v="13"/>
    <s v="Tyler Greene"/>
    <x v="0"/>
    <m/>
    <x v="3"/>
    <n v="2"/>
    <x v="2"/>
    <n v="0"/>
    <s v="1-3 Years"/>
    <n v="2"/>
    <x v="0"/>
  </r>
  <r>
    <s v="EMP1320"/>
    <s v="Mrs. Carrie Moore"/>
    <x v="0"/>
    <n v="44"/>
    <x v="4"/>
    <s v="Sales Representative"/>
    <d v="2020-01-06T00:00:00"/>
    <n v="104180"/>
    <s v="Married"/>
    <s v="PhD"/>
    <x v="2"/>
    <s v="Travel_Rarely"/>
    <n v="31"/>
    <x v="0"/>
    <x v="0"/>
    <n v="1"/>
    <n v="1"/>
    <n v="3"/>
    <n v="1"/>
    <n v="0"/>
    <n v="15"/>
    <s v="Jared Lopez"/>
    <x v="1"/>
    <d v="2026-05-22T00:00:00"/>
    <x v="0"/>
    <n v="6"/>
    <x v="0"/>
    <n v="1"/>
    <s v="6-10 Years"/>
    <n v="1"/>
    <x v="2"/>
  </r>
  <r>
    <s v="EMP1801"/>
    <s v="Cheyenne Stewart"/>
    <x v="0"/>
    <n v="37"/>
    <x v="4"/>
    <s v="Not Specified"/>
    <d v="2020-09-09T00:00:00"/>
    <n v="69611"/>
    <s v="Single"/>
    <s v="Bachelor's"/>
    <x v="3"/>
    <s v="Non-Travel"/>
    <n v="9"/>
    <x v="0"/>
    <x v="2"/>
    <n v="2"/>
    <n v="4"/>
    <n v="4"/>
    <n v="2"/>
    <n v="3"/>
    <n v="12"/>
    <s v="Susan Ward"/>
    <x v="0"/>
    <m/>
    <x v="0"/>
    <n v="5"/>
    <x v="2"/>
    <n v="0"/>
    <s v="4-5 Years"/>
    <n v="2.67"/>
    <x v="0"/>
  </r>
  <r>
    <s v="EMP1796"/>
    <s v="Francisco Smith"/>
    <x v="0"/>
    <n v="36"/>
    <x v="4"/>
    <s v="Sales Executive"/>
    <d v="2022-09-06T00:00:00"/>
    <n v="51347"/>
    <s v="Married"/>
    <s v="Diploma"/>
    <x v="0"/>
    <s v="Travel_Rarely"/>
    <n v="5"/>
    <x v="0"/>
    <x v="0"/>
    <n v="4"/>
    <n v="1"/>
    <n v="2"/>
    <n v="3"/>
    <n v="1"/>
    <n v="12"/>
    <s v="Erin Thornton"/>
    <x v="0"/>
    <m/>
    <x v="0"/>
    <n v="3"/>
    <x v="1"/>
    <n v="0"/>
    <s v="1-3 Years"/>
    <n v="2"/>
    <x v="0"/>
  </r>
  <r>
    <s v="EMP1452"/>
    <s v="Linda Morgan"/>
    <x v="0"/>
    <n v="27"/>
    <x v="6"/>
    <s v="Digital Marketing Specialist"/>
    <d v="2024-11-28T00:00:00"/>
    <n v="52107"/>
    <s v="Divorced"/>
    <s v="Master's"/>
    <x v="7"/>
    <s v="Travel_Rarely"/>
    <n v="18"/>
    <x v="1"/>
    <x v="0"/>
    <n v="1"/>
    <n v="3"/>
    <n v="3"/>
    <n v="2"/>
    <n v="6"/>
    <n v="24"/>
    <s v="Steven Howard"/>
    <x v="1"/>
    <d v="2026-08-28T00:00:00"/>
    <x v="1"/>
    <n v="1"/>
    <x v="1"/>
    <n v="1"/>
    <s v="1-3 Years"/>
    <n v="1.67"/>
    <x v="2"/>
  </r>
  <r>
    <s v="EMP1295"/>
    <s v="Jasmine Mosley"/>
    <x v="2"/>
    <n v="27"/>
    <x v="2"/>
    <s v="Data Analyst"/>
    <d v="2016-08-11T00:00:00"/>
    <n v="56583"/>
    <s v="Divorced"/>
    <s v="Bachelor's"/>
    <x v="7"/>
    <s v="Non-Travel"/>
    <n v="9"/>
    <x v="0"/>
    <x v="1"/>
    <n v="2"/>
    <n v="3"/>
    <n v="4"/>
    <n v="2"/>
    <n v="3"/>
    <n v="13"/>
    <s v="Brenda Hinton"/>
    <x v="0"/>
    <m/>
    <x v="1"/>
    <n v="10"/>
    <x v="1"/>
    <n v="0"/>
    <s v="6-10 Years"/>
    <n v="3"/>
    <x v="1"/>
  </r>
  <r>
    <s v="EMP1588"/>
    <s v="Hailey Harrison"/>
    <x v="0"/>
    <n v="30"/>
    <x v="4"/>
    <s v="Sales Executive"/>
    <d v="2011-10-15T00:00:00"/>
    <n v="96633"/>
    <s v="Divorced"/>
    <s v="Diploma"/>
    <x v="0"/>
    <s v="Travel_Rarely"/>
    <n v="13"/>
    <x v="1"/>
    <x v="1"/>
    <n v="2"/>
    <n v="2"/>
    <n v="3"/>
    <n v="2"/>
    <n v="2"/>
    <n v="24"/>
    <s v="Theresa Woods"/>
    <x v="0"/>
    <m/>
    <x v="1"/>
    <n v="14"/>
    <x v="2"/>
    <n v="0"/>
    <s v="More than 10 Years"/>
    <n v="2.67"/>
    <x v="0"/>
  </r>
  <r>
    <s v="EMP1559"/>
    <s v="Tonya Ellis"/>
    <x v="0"/>
    <n v="33"/>
    <x v="2"/>
    <s v="Software Engineer"/>
    <d v="2018-07-15T00:00:00"/>
    <n v="138478"/>
    <s v="Married"/>
    <s v="Master's"/>
    <x v="3"/>
    <s v="Travel_Frequently"/>
    <n v="17"/>
    <x v="0"/>
    <x v="1"/>
    <n v="3"/>
    <n v="4"/>
    <n v="4"/>
    <n v="3"/>
    <n v="4"/>
    <n v="17"/>
    <s v="Alyssa Wilson"/>
    <x v="0"/>
    <m/>
    <x v="1"/>
    <n v="8"/>
    <x v="0"/>
    <n v="0"/>
    <s v="6-10 Years"/>
    <n v="3.67"/>
    <x v="1"/>
  </r>
  <r>
    <s v="EMP2020"/>
    <s v="Robert Stewart"/>
    <x v="2"/>
    <n v="39"/>
    <x v="0"/>
    <s v="Manufacturing Technician"/>
    <d v="2017-05-14T00:00:00"/>
    <n v="95203"/>
    <s v="Divorced"/>
    <s v="Not Specified"/>
    <x v="5"/>
    <s v="Travel_Frequently"/>
    <n v="21"/>
    <x v="1"/>
    <x v="0"/>
    <n v="1"/>
    <n v="1"/>
    <n v="3"/>
    <n v="0"/>
    <n v="6"/>
    <n v="13"/>
    <s v="Matthew Howard"/>
    <x v="1"/>
    <d v="2019-01-13T00:00:00"/>
    <x v="0"/>
    <n v="1"/>
    <x v="2"/>
    <n v="1"/>
    <s v="1-3 Years"/>
    <n v="1"/>
    <x v="2"/>
  </r>
  <r>
    <s v="EMP1507"/>
    <s v="Teresa Burgess"/>
    <x v="0"/>
    <n v="28"/>
    <x v="0"/>
    <s v="Lab Technician"/>
    <d v="2013-12-15T00:00:00"/>
    <n v="55343"/>
    <s v="Married"/>
    <s v="Bachelor's"/>
    <x v="8"/>
    <s v="Travel_Rarely"/>
    <n v="32"/>
    <x v="0"/>
    <x v="3"/>
    <n v="1"/>
    <n v="3"/>
    <n v="3"/>
    <n v="4"/>
    <n v="4"/>
    <n v="21"/>
    <s v="Gary Miller"/>
    <x v="0"/>
    <m/>
    <x v="1"/>
    <n v="12"/>
    <x v="1"/>
    <n v="0"/>
    <s v="More than 10 Years"/>
    <n v="2.33"/>
    <x v="0"/>
  </r>
  <r>
    <s v="EMP1020"/>
    <s v="Deborah Brennan"/>
    <x v="0"/>
    <n v="31"/>
    <x v="5"/>
    <s v="Marketing Executive"/>
    <d v="2017-12-22T00:00:00"/>
    <n v="96153"/>
    <s v="Married"/>
    <s v="Master's"/>
    <x v="8"/>
    <s v="Travel_Rarely"/>
    <n v="8"/>
    <x v="1"/>
    <x v="3"/>
    <n v="3"/>
    <n v="4"/>
    <n v="4"/>
    <n v="4"/>
    <n v="8"/>
    <n v="18"/>
    <s v="Joshua Blair"/>
    <x v="0"/>
    <m/>
    <x v="1"/>
    <n v="8"/>
    <x v="2"/>
    <n v="0"/>
    <s v="6-10 Years"/>
    <n v="3.33"/>
    <x v="1"/>
  </r>
  <r>
    <s v="EMP1519"/>
    <s v="Holly Stewart"/>
    <x v="2"/>
    <n v="33"/>
    <x v="1"/>
    <s v="Hr Manager"/>
    <d v="2018-01-19T00:00:00"/>
    <n v="38380"/>
    <s v="Single"/>
    <s v="Bachelor's"/>
    <x v="5"/>
    <s v="Travel_Rarely"/>
    <n v="15"/>
    <x v="0"/>
    <x v="3"/>
    <n v="3"/>
    <n v="2"/>
    <n v="4"/>
    <n v="0"/>
    <n v="4"/>
    <n v="12"/>
    <s v="David Walker"/>
    <x v="0"/>
    <m/>
    <x v="1"/>
    <n v="8"/>
    <x v="1"/>
    <n v="0"/>
    <s v="6-10 Years"/>
    <n v="2.67"/>
    <x v="0"/>
  </r>
  <r>
    <s v="EMP1474"/>
    <s v="Jillian Wilson"/>
    <x v="0"/>
    <n v="28"/>
    <x v="1"/>
    <s v="Recruiter"/>
    <d v="2019-01-31T00:00:00"/>
    <n v="83421"/>
    <s v="Married"/>
    <s v="Bachelor's"/>
    <x v="5"/>
    <s v="Non-Travel"/>
    <n v="37"/>
    <x v="1"/>
    <x v="1"/>
    <n v="3"/>
    <n v="3"/>
    <n v="3"/>
    <n v="0"/>
    <n v="3"/>
    <n v="11"/>
    <s v="Ashley Gutierrez"/>
    <x v="0"/>
    <m/>
    <x v="1"/>
    <n v="7"/>
    <x v="2"/>
    <n v="0"/>
    <s v="6-10 Years"/>
    <n v="3.33"/>
    <x v="1"/>
  </r>
  <r>
    <s v="EMP1675"/>
    <s v="Mrs. Melissa Peck"/>
    <x v="0"/>
    <n v="42"/>
    <x v="0"/>
    <s v="Research Director"/>
    <d v="2026-05-18T00:00:00"/>
    <n v="63252"/>
    <s v="Married"/>
    <s v="Bachelor's"/>
    <x v="0"/>
    <s v="Not Specified"/>
    <n v="44"/>
    <x v="1"/>
    <x v="3"/>
    <n v="4"/>
    <n v="1"/>
    <n v="2"/>
    <n v="4"/>
    <n v="2"/>
    <n v="14"/>
    <s v="Emily Fox"/>
    <x v="1"/>
    <d v="2026-06-17T00:00:00"/>
    <x v="0"/>
    <n v="0"/>
    <x v="2"/>
    <n v="1"/>
    <s v="Less than 1 Year"/>
    <n v="2.67"/>
    <x v="0"/>
  </r>
  <r>
    <s v="EMP1700"/>
    <s v="John Bell"/>
    <x v="2"/>
    <n v="35"/>
    <x v="2"/>
    <s v="It Support"/>
    <d v="2018-07-18T00:00:00"/>
    <n v="148796"/>
    <s v="Divorced"/>
    <s v="Diploma"/>
    <x v="5"/>
    <s v="Travel_Frequently"/>
    <n v="26"/>
    <x v="0"/>
    <x v="3"/>
    <n v="3"/>
    <n v="3"/>
    <n v="1"/>
    <n v="5"/>
    <n v="1"/>
    <n v="15"/>
    <s v="Randy Munoz"/>
    <x v="0"/>
    <m/>
    <x v="0"/>
    <n v="8"/>
    <x v="0"/>
    <n v="0"/>
    <s v="6-10 Years"/>
    <n v="3"/>
    <x v="1"/>
  </r>
  <r>
    <s v="EMP2055"/>
    <s v="Jackie Jones"/>
    <x v="2"/>
    <n v="25"/>
    <x v="0"/>
    <s v="Research Scientist"/>
    <d v="2014-12-03T00:00:00"/>
    <n v="125583"/>
    <s v="Single"/>
    <s v="Master's"/>
    <x v="2"/>
    <s v="Travel_Rarely"/>
    <n v="2"/>
    <x v="0"/>
    <x v="3"/>
    <n v="1"/>
    <n v="3"/>
    <n v="3"/>
    <n v="2"/>
    <n v="6"/>
    <n v="18"/>
    <s v="Kyle Bird"/>
    <x v="0"/>
    <m/>
    <x v="1"/>
    <n v="11"/>
    <x v="0"/>
    <n v="0"/>
    <s v="More than 10 Years"/>
    <n v="2.33"/>
    <x v="0"/>
  </r>
  <r>
    <s v="EMP1410"/>
    <s v="David Williams"/>
    <x v="0"/>
    <n v="21"/>
    <x v="2"/>
    <s v="Devops Engineer"/>
    <d v="2020-03-11T00:00:00"/>
    <n v="135213"/>
    <s v="Single"/>
    <s v="Not Specified"/>
    <x v="0"/>
    <s v="Non-Travel"/>
    <n v="24"/>
    <x v="1"/>
    <x v="1"/>
    <n v="2"/>
    <n v="3"/>
    <n v="3"/>
    <n v="3"/>
    <n v="7"/>
    <n v="18"/>
    <s v="Brittany Ward"/>
    <x v="0"/>
    <m/>
    <x v="2"/>
    <n v="6"/>
    <x v="0"/>
    <n v="0"/>
    <s v="6-10 Years"/>
    <n v="3"/>
    <x v="1"/>
  </r>
  <r>
    <s v="EMP2101"/>
    <s v="Jane May"/>
    <x v="0"/>
    <n v="54"/>
    <x v="5"/>
    <s v="Brand Manager"/>
    <d v="2020-01-17T00:00:00"/>
    <n v="55443"/>
    <s v="Single"/>
    <s v="Diploma"/>
    <x v="2"/>
    <s v="Non-Travel"/>
    <n v="5"/>
    <x v="0"/>
    <x v="2"/>
    <n v="3"/>
    <n v="3"/>
    <n v="3"/>
    <n v="4"/>
    <n v="2"/>
    <n v="20"/>
    <s v="Rhonda Walker"/>
    <x v="0"/>
    <m/>
    <x v="3"/>
    <n v="6"/>
    <x v="1"/>
    <n v="0"/>
    <s v="6-10 Years"/>
    <n v="2.67"/>
    <x v="0"/>
  </r>
  <r>
    <s v="EMP1138"/>
    <s v="Phillip Clark"/>
    <x v="2"/>
    <n v="25"/>
    <x v="4"/>
    <s v="Sales Manager"/>
    <d v="2014-11-19T00:00:00"/>
    <n v="44725"/>
    <s v="Married"/>
    <s v="Not Specified"/>
    <x v="1"/>
    <s v="Travel_Rarely"/>
    <n v="37"/>
    <x v="1"/>
    <x v="0"/>
    <n v="4"/>
    <n v="2"/>
    <n v="3"/>
    <n v="5"/>
    <n v="5"/>
    <n v="22"/>
    <s v="Charles Lester"/>
    <x v="1"/>
    <d v="2025-02-16T00:00:00"/>
    <x v="1"/>
    <n v="10"/>
    <x v="1"/>
    <n v="1"/>
    <s v="6-10 Years"/>
    <n v="2.33"/>
    <x v="0"/>
  </r>
  <r>
    <s v="EMP2122"/>
    <s v="Katherine Stone"/>
    <x v="0"/>
    <n v="19"/>
    <x v="0"/>
    <s v="Manufacturing Technician"/>
    <d v="2020-05-21T00:00:00"/>
    <n v="85585"/>
    <s v="Divorced"/>
    <s v="Not Specified"/>
    <x v="2"/>
    <s v="Travel_Rarely"/>
    <n v="9"/>
    <x v="1"/>
    <x v="2"/>
    <n v="2"/>
    <n v="4"/>
    <n v="1"/>
    <n v="3"/>
    <n v="2"/>
    <n v="14"/>
    <s v="Becky Mullins"/>
    <x v="1"/>
    <d v="2024-11-12T00:00:00"/>
    <x v="2"/>
    <n v="4"/>
    <x v="2"/>
    <n v="1"/>
    <s v="4-5 Years"/>
    <n v="2.67"/>
    <x v="0"/>
  </r>
  <r>
    <s v="EMP1527"/>
    <s v="Nancy Webb"/>
    <x v="0"/>
    <n v="29"/>
    <x v="4"/>
    <s v="Sales Executive"/>
    <d v="2017-01-06T00:00:00"/>
    <n v="40514"/>
    <s v="Married"/>
    <s v="Bachelor's"/>
    <x v="5"/>
    <s v="Travel_Frequently"/>
    <n v="9"/>
    <x v="1"/>
    <x v="0"/>
    <n v="2"/>
    <n v="2"/>
    <n v="3"/>
    <n v="6"/>
    <n v="8"/>
    <n v="23"/>
    <s v="Arthur Wood Jr."/>
    <x v="1"/>
    <d v="2019-02-16T00:00:00"/>
    <x v="1"/>
    <n v="2"/>
    <x v="1"/>
    <n v="1"/>
    <s v="1-3 Years"/>
    <n v="1.67"/>
    <x v="2"/>
  </r>
  <r>
    <s v="EMP1186"/>
    <s v="Jerry Bailey"/>
    <x v="2"/>
    <n v="41"/>
    <x v="3"/>
    <s v="Accountant"/>
    <d v="2012-01-23T00:00:00"/>
    <n v="87025"/>
    <s v="Single"/>
    <s v="Bachelor's"/>
    <x v="9"/>
    <s v="Non-Travel"/>
    <n v="32"/>
    <x v="1"/>
    <x v="2"/>
    <n v="1"/>
    <n v="4"/>
    <n v="3"/>
    <n v="2"/>
    <n v="4"/>
    <n v="16"/>
    <s v="Cynthia Vang"/>
    <x v="1"/>
    <d v="2012-11-02T00:00:00"/>
    <x v="0"/>
    <n v="0"/>
    <x v="2"/>
    <n v="1"/>
    <s v="Less than 1 Year"/>
    <n v="2.33"/>
    <x v="0"/>
  </r>
  <r>
    <s v="EMP1971"/>
    <s v="Christina Faulkner"/>
    <x v="0"/>
    <n v="25"/>
    <x v="4"/>
    <s v="Sales Representative"/>
    <d v="2017-03-26T00:00:00"/>
    <n v="73808"/>
    <s v="Married"/>
    <s v="Master's"/>
    <x v="7"/>
    <s v="Travel_Frequently"/>
    <n v="22"/>
    <x v="0"/>
    <x v="1"/>
    <n v="3"/>
    <n v="4"/>
    <n v="3"/>
    <n v="6"/>
    <n v="7"/>
    <n v="18"/>
    <s v="Dr. Kimberly Henderson"/>
    <x v="0"/>
    <m/>
    <x v="1"/>
    <n v="9"/>
    <x v="2"/>
    <n v="0"/>
    <s v="6-10 Years"/>
    <n v="3.67"/>
    <x v="1"/>
  </r>
  <r>
    <s v="EMP2140"/>
    <s v="Kathryn Hill"/>
    <x v="1"/>
    <n v="31"/>
    <x v="3"/>
    <s v="Finance Manager"/>
    <d v="2018-01-16T00:00:00"/>
    <n v="133090"/>
    <s v="Single"/>
    <s v="Master's"/>
    <x v="2"/>
    <s v="Not Specified"/>
    <n v="44"/>
    <x v="0"/>
    <x v="2"/>
    <n v="2"/>
    <n v="1"/>
    <n v="3"/>
    <n v="6"/>
    <n v="5"/>
    <n v="21"/>
    <s v="Sierra Cervantes"/>
    <x v="0"/>
    <m/>
    <x v="1"/>
    <n v="8"/>
    <x v="0"/>
    <n v="0"/>
    <s v="6-10 Years"/>
    <n v="1.67"/>
    <x v="2"/>
  </r>
  <r>
    <s v="EMP2157"/>
    <s v="Tammy Cameron"/>
    <x v="2"/>
    <n v="37"/>
    <x v="3"/>
    <s v="Finance Manager"/>
    <d v="2017-06-18T00:00:00"/>
    <n v="108494"/>
    <s v="Single"/>
    <s v="Not Specified"/>
    <x v="2"/>
    <s v="Travel_Frequently"/>
    <n v="15"/>
    <x v="0"/>
    <x v="3"/>
    <n v="1"/>
    <n v="2"/>
    <n v="3"/>
    <n v="2"/>
    <n v="7"/>
    <n v="24"/>
    <s v="Brian Smith"/>
    <x v="0"/>
    <m/>
    <x v="0"/>
    <n v="9"/>
    <x v="0"/>
    <n v="0"/>
    <s v="6-10 Years"/>
    <n v="2"/>
    <x v="0"/>
  </r>
  <r>
    <s v="EMP1873"/>
    <s v="Michelle Mcdowell"/>
    <x v="0"/>
    <n v="49"/>
    <x v="1"/>
    <s v="Recruiter"/>
    <d v="2023-11-25T00:00:00"/>
    <n v="47161"/>
    <s v="Not Specified"/>
    <s v="Master's"/>
    <x v="7"/>
    <s v="Travel_Frequently"/>
    <n v="22"/>
    <x v="1"/>
    <x v="2"/>
    <n v="3"/>
    <n v="3"/>
    <n v="2"/>
    <n v="3"/>
    <n v="5"/>
    <n v="20"/>
    <s v="Katie Bell"/>
    <x v="1"/>
    <d v="2026-03-06T00:00:00"/>
    <x v="3"/>
    <n v="2"/>
    <x v="1"/>
    <n v="1"/>
    <s v="1-3 Years"/>
    <n v="2.67"/>
    <x v="0"/>
  </r>
  <r>
    <s v="EMP2147"/>
    <s v="Kayla Farley"/>
    <x v="2"/>
    <n v="26"/>
    <x v="2"/>
    <s v="Devops Engineer"/>
    <d v="2017-12-20T00:00:00"/>
    <n v="91690"/>
    <s v="Married"/>
    <s v="Bachelor's"/>
    <x v="6"/>
    <s v="Non-Travel"/>
    <n v="28"/>
    <x v="1"/>
    <x v="0"/>
    <n v="4"/>
    <n v="4"/>
    <n v="5"/>
    <n v="3"/>
    <n v="7"/>
    <n v="14"/>
    <s v="Brian Sloan"/>
    <x v="1"/>
    <d v="2021-04-07T00:00:00"/>
    <x v="1"/>
    <n v="3"/>
    <x v="2"/>
    <n v="1"/>
    <s v="1-3 Years"/>
    <n v="3"/>
    <x v="1"/>
  </r>
  <r>
    <s v="EMP1508"/>
    <s v="Robert Grant"/>
    <x v="2"/>
    <n v="43"/>
    <x v="5"/>
    <s v="Brand Manager"/>
    <d v="2020-03-28T00:00:00"/>
    <n v="51234"/>
    <s v="Married"/>
    <s v="Master's"/>
    <x v="2"/>
    <s v="Travel_Frequently"/>
    <n v="11"/>
    <x v="1"/>
    <x v="2"/>
    <n v="4"/>
    <n v="4"/>
    <n v="3"/>
    <n v="1"/>
    <n v="5"/>
    <n v="19"/>
    <s v="James Mccoy"/>
    <x v="1"/>
    <d v="2021-09-13T00:00:00"/>
    <x v="0"/>
    <n v="1"/>
    <x v="1"/>
    <n v="1"/>
    <s v="1-3 Years"/>
    <n v="3.33"/>
    <x v="1"/>
  </r>
  <r>
    <s v="EMP1328"/>
    <s v="Ian Smith"/>
    <x v="2"/>
    <n v="37"/>
    <x v="4"/>
    <s v="Sales Representative"/>
    <d v="2013-09-12T00:00:00"/>
    <n v="56605"/>
    <s v="Divorced"/>
    <s v="High School"/>
    <x v="1"/>
    <s v="Non-Travel"/>
    <n v="40"/>
    <x v="0"/>
    <x v="3"/>
    <n v="2"/>
    <n v="4"/>
    <n v="4"/>
    <n v="3"/>
    <n v="6"/>
    <n v="24"/>
    <s v="Tracey Wagner"/>
    <x v="0"/>
    <m/>
    <x v="0"/>
    <n v="12"/>
    <x v="1"/>
    <n v="0"/>
    <s v="More than 10 Years"/>
    <n v="3"/>
    <x v="1"/>
  </r>
  <r>
    <s v="EMP1318"/>
    <s v="Daniel Webb"/>
    <x v="2"/>
    <n v="43"/>
    <x v="2"/>
    <s v="It Support"/>
    <d v="2018-10-07T00:00:00"/>
    <n v="136653"/>
    <s v="Married"/>
    <s v="Bachelor's"/>
    <x v="2"/>
    <s v="Non-Travel"/>
    <n v="33"/>
    <x v="0"/>
    <x v="3"/>
    <n v="2"/>
    <n v="1"/>
    <n v="3"/>
    <n v="3"/>
    <n v="0"/>
    <n v="11"/>
    <s v="Michael Flores"/>
    <x v="0"/>
    <m/>
    <x v="0"/>
    <n v="7"/>
    <x v="0"/>
    <n v="0"/>
    <s v="6-10 Years"/>
    <n v="2"/>
    <x v="0"/>
  </r>
  <r>
    <s v="EMP1838"/>
    <s v="Billy Walton"/>
    <x v="0"/>
    <n v="32"/>
    <x v="2"/>
    <s v="System Administrator"/>
    <d v="2023-02-11T00:00:00"/>
    <n v="104724"/>
    <s v="Single"/>
    <s v="Master's"/>
    <x v="6"/>
    <s v="Non-Travel"/>
    <n v="14"/>
    <x v="1"/>
    <x v="2"/>
    <n v="2"/>
    <n v="3"/>
    <n v="1"/>
    <n v="0"/>
    <n v="4"/>
    <n v="13"/>
    <s v="Christina Bates"/>
    <x v="0"/>
    <m/>
    <x v="1"/>
    <n v="3"/>
    <x v="0"/>
    <n v="0"/>
    <s v="1-3 Years"/>
    <n v="2.33"/>
    <x v="0"/>
  </r>
  <r>
    <s v="EMP2143"/>
    <s v="Tonya Coleman"/>
    <x v="2"/>
    <n v="35"/>
    <x v="0"/>
    <s v="Manufacturing Technician"/>
    <d v="2019-04-02T00:00:00"/>
    <n v="64780"/>
    <s v="Married"/>
    <s v="Bachelor's"/>
    <x v="7"/>
    <s v="Non-Travel"/>
    <n v="2"/>
    <x v="0"/>
    <x v="3"/>
    <n v="1"/>
    <n v="4"/>
    <n v="3"/>
    <n v="3"/>
    <n v="4"/>
    <n v="13"/>
    <s v="Karen Robertson"/>
    <x v="0"/>
    <m/>
    <x v="0"/>
    <n v="7"/>
    <x v="2"/>
    <n v="0"/>
    <s v="6-10 Years"/>
    <n v="2.67"/>
    <x v="0"/>
  </r>
  <r>
    <s v="EMP1722"/>
    <s v="Donna Johnson"/>
    <x v="2"/>
    <n v="28"/>
    <x v="4"/>
    <s v="Sales Executive"/>
    <d v="2025-06-06T00:00:00"/>
    <n v="88001"/>
    <s v="Married"/>
    <s v="Diploma"/>
    <x v="6"/>
    <s v="Travel_Rarely"/>
    <n v="5"/>
    <x v="0"/>
    <x v="2"/>
    <n v="4"/>
    <n v="3"/>
    <n v="4"/>
    <n v="4"/>
    <n v="0"/>
    <n v="25"/>
    <s v="Kristy Brown"/>
    <x v="1"/>
    <d v="2026-05-09T00:00:00"/>
    <x v="1"/>
    <n v="0"/>
    <x v="2"/>
    <n v="1"/>
    <s v="Less than 1 Year"/>
    <n v="3"/>
    <x v="1"/>
  </r>
  <r>
    <s v="EMP1732"/>
    <s v="Derek Garcia"/>
    <x v="2"/>
    <n v="29"/>
    <x v="1"/>
    <s v="Hr Business Partner"/>
    <d v="2021-06-04T00:00:00"/>
    <n v="73488"/>
    <s v="Married"/>
    <s v="High School"/>
    <x v="7"/>
    <s v="Non-Travel"/>
    <n v="20"/>
    <x v="0"/>
    <x v="1"/>
    <n v="4"/>
    <n v="2"/>
    <n v="3"/>
    <n v="1"/>
    <n v="4"/>
    <n v="14"/>
    <s v="Raymond Curry"/>
    <x v="0"/>
    <m/>
    <x v="1"/>
    <n v="5"/>
    <x v="2"/>
    <n v="0"/>
    <s v="4-5 Years"/>
    <n v="3.33"/>
    <x v="1"/>
  </r>
  <r>
    <s v="EMP1800"/>
    <s v="Diana Johnson"/>
    <x v="2"/>
    <n v="36"/>
    <x v="0"/>
    <s v="Research Scientist"/>
    <d v="2019-09-11T00:00:00"/>
    <n v="75205"/>
    <s v="Divorced"/>
    <s v="Bachelor's"/>
    <x v="6"/>
    <s v="Non-Travel"/>
    <n v="3"/>
    <x v="0"/>
    <x v="0"/>
    <n v="4"/>
    <n v="3"/>
    <n v="5"/>
    <n v="3"/>
    <n v="8"/>
    <n v="16"/>
    <s v="Michael Miller"/>
    <x v="0"/>
    <m/>
    <x v="0"/>
    <n v="6"/>
    <x v="2"/>
    <n v="0"/>
    <s v="6-10 Years"/>
    <n v="2.67"/>
    <x v="0"/>
  </r>
  <r>
    <s v="EMP1472"/>
    <s v="Sarah Booth"/>
    <x v="0"/>
    <n v="35"/>
    <x v="1"/>
    <s v="Hr Business Partner"/>
    <d v="2012-10-11T00:00:00"/>
    <n v="75767"/>
    <s v="Divorced"/>
    <s v="Bachelor's"/>
    <x v="1"/>
    <s v="Travel_Frequently"/>
    <n v="41"/>
    <x v="0"/>
    <x v="0"/>
    <n v="4"/>
    <n v="2"/>
    <n v="4"/>
    <n v="4"/>
    <n v="6"/>
    <n v="15"/>
    <s v="Wayne Williams"/>
    <x v="1"/>
    <d v="2019-08-09T00:00:00"/>
    <x v="0"/>
    <n v="6"/>
    <x v="2"/>
    <n v="1"/>
    <s v="6-10 Years"/>
    <n v="2.33"/>
    <x v="0"/>
  </r>
  <r>
    <s v="EMP1484"/>
    <s v="Kathy Cruz"/>
    <x v="0"/>
    <n v="49"/>
    <x v="0"/>
    <s v="Manufacturing Technician"/>
    <d v="2026-04-11T00:00:00"/>
    <n v="45877"/>
    <s v="Married"/>
    <s v="PhD"/>
    <x v="8"/>
    <s v="Travel_Frequently"/>
    <n v="13"/>
    <x v="0"/>
    <x v="3"/>
    <n v="1"/>
    <n v="4"/>
    <n v="4"/>
    <n v="0"/>
    <n v="4"/>
    <n v="24"/>
    <s v="Pamela Hill"/>
    <x v="0"/>
    <m/>
    <x v="3"/>
    <n v="0"/>
    <x v="1"/>
    <n v="0"/>
    <s v="Less than 1 Year"/>
    <n v="2.67"/>
    <x v="0"/>
  </r>
  <r>
    <s v="EMP1786"/>
    <s v="Ana Mcclain"/>
    <x v="2"/>
    <n v="37"/>
    <x v="5"/>
    <s v="Brand Manager"/>
    <d v="2018-06-29T00:00:00"/>
    <n v="48988"/>
    <s v="Single"/>
    <s v="Master's"/>
    <x v="9"/>
    <s v="Non-Travel"/>
    <n v="16"/>
    <x v="1"/>
    <x v="3"/>
    <n v="1"/>
    <n v="1"/>
    <n v="4"/>
    <n v="3"/>
    <n v="4"/>
    <n v="20"/>
    <s v="Donna Frye"/>
    <x v="1"/>
    <d v="2019-02-23T00:00:00"/>
    <x v="0"/>
    <n v="0"/>
    <x v="1"/>
    <n v="1"/>
    <s v="Less than 1 Year"/>
    <n v="1.67"/>
    <x v="2"/>
  </r>
  <r>
    <s v="EMP1149"/>
    <s v="Hayden Ortega"/>
    <x v="0"/>
    <n v="28"/>
    <x v="0"/>
    <s v="Research Director"/>
    <d v="2022-11-09T00:00:00"/>
    <n v="121934"/>
    <s v="Single"/>
    <s v="Bachelor's"/>
    <x v="7"/>
    <s v="Travel_Frequently"/>
    <n v="23"/>
    <x v="0"/>
    <x v="3"/>
    <n v="3"/>
    <n v="3"/>
    <n v="5"/>
    <n v="3"/>
    <n v="2"/>
    <n v="21"/>
    <s v="Not Specified"/>
    <x v="0"/>
    <m/>
    <x v="1"/>
    <n v="3"/>
    <x v="0"/>
    <n v="0"/>
    <s v="1-3 Years"/>
    <n v="3"/>
    <x v="1"/>
  </r>
  <r>
    <s v="EMP1489"/>
    <s v="Sarah Mitchell"/>
    <x v="0"/>
    <n v="46"/>
    <x v="2"/>
    <s v="Devops Engineer"/>
    <d v="2024-04-20T00:00:00"/>
    <n v="144318"/>
    <s v="Married"/>
    <s v="Master's"/>
    <x v="9"/>
    <s v="Non-Travel"/>
    <n v="37"/>
    <x v="0"/>
    <x v="0"/>
    <n v="3"/>
    <n v="2"/>
    <n v="3"/>
    <n v="6"/>
    <n v="1"/>
    <n v="21"/>
    <s v="Allison Thomas"/>
    <x v="1"/>
    <d v="2026-03-18T00:00:00"/>
    <x v="3"/>
    <n v="1"/>
    <x v="0"/>
    <n v="1"/>
    <s v="1-3 Years"/>
    <n v="2"/>
    <x v="0"/>
  </r>
  <r>
    <s v="EMP1999"/>
    <s v="Kenneth Walsh"/>
    <x v="2"/>
    <n v="37"/>
    <x v="3"/>
    <s v="Auditor"/>
    <d v="2015-06-27T00:00:00"/>
    <n v="126193"/>
    <s v="Single"/>
    <s v="Master's"/>
    <x v="5"/>
    <s v="Travel_Frequently"/>
    <n v="16"/>
    <x v="1"/>
    <x v="2"/>
    <n v="2"/>
    <n v="2"/>
    <n v="4"/>
    <n v="4"/>
    <n v="7"/>
    <n v="12"/>
    <s v="Jill Sanchez"/>
    <x v="1"/>
    <d v="2020-03-10T00:00:00"/>
    <x v="0"/>
    <n v="4"/>
    <x v="0"/>
    <n v="1"/>
    <s v="4-5 Years"/>
    <n v="2"/>
    <x v="0"/>
  </r>
  <r>
    <s v="EMP1709"/>
    <s v="Tony Graham"/>
    <x v="0"/>
    <n v="33"/>
    <x v="5"/>
    <s v="Marketing Executive"/>
    <d v="2026-04-28T00:00:00"/>
    <n v="39646"/>
    <s v="Divorced"/>
    <s v="Not Specified"/>
    <x v="5"/>
    <s v="Travel_Rarely"/>
    <n v="15"/>
    <x v="1"/>
    <x v="3"/>
    <n v="4"/>
    <n v="1"/>
    <n v="3"/>
    <n v="0"/>
    <n v="7"/>
    <n v="22"/>
    <s v="Adam Downs"/>
    <x v="1"/>
    <d v="2026-06-10T00:00:00"/>
    <x v="1"/>
    <n v="0"/>
    <x v="1"/>
    <n v="1"/>
    <s v="Less than 1 Year"/>
    <n v="2.67"/>
    <x v="0"/>
  </r>
  <r>
    <s v="EMP2184"/>
    <s v="David Barber"/>
    <x v="2"/>
    <n v="28"/>
    <x v="4"/>
    <s v="Sales Executive"/>
    <d v="2017-02-28T00:00:00"/>
    <n v="66991"/>
    <s v="Single"/>
    <s v="Master's"/>
    <x v="8"/>
    <s v="Non-Travel"/>
    <n v="43"/>
    <x v="0"/>
    <x v="1"/>
    <n v="1"/>
    <n v="2"/>
    <n v="3"/>
    <n v="6"/>
    <n v="4"/>
    <n v="21"/>
    <s v="Anna White"/>
    <x v="0"/>
    <m/>
    <x v="1"/>
    <n v="9"/>
    <x v="2"/>
    <n v="0"/>
    <s v="6-10 Years"/>
    <n v="2.33"/>
    <x v="0"/>
  </r>
  <r>
    <s v="EMP2111"/>
    <s v="Jeanne Rose"/>
    <x v="2"/>
    <n v="35"/>
    <x v="0"/>
    <s v="Manufacturing Technician"/>
    <d v="2015-11-20T00:00:00"/>
    <n v="47177"/>
    <s v="Married"/>
    <s v="Bachelor's"/>
    <x v="6"/>
    <s v="Non-Travel"/>
    <n v="11"/>
    <x v="1"/>
    <x v="1"/>
    <n v="4"/>
    <n v="1"/>
    <n v="2"/>
    <n v="5"/>
    <n v="1"/>
    <n v="14"/>
    <s v="Scott Long"/>
    <x v="1"/>
    <d v="2023-05-23T00:00:00"/>
    <x v="0"/>
    <n v="7"/>
    <x v="1"/>
    <n v="1"/>
    <s v="6-10 Years"/>
    <n v="3"/>
    <x v="1"/>
  </r>
  <r>
    <s v="EMP1366"/>
    <s v="John Reyes"/>
    <x v="2"/>
    <n v="34"/>
    <x v="2"/>
    <s v="Data Analyst"/>
    <d v="2013-11-25T00:00:00"/>
    <n v="82389"/>
    <s v="Married"/>
    <s v="Master's"/>
    <x v="3"/>
    <s v="Non-Travel"/>
    <n v="14"/>
    <x v="0"/>
    <x v="3"/>
    <n v="3"/>
    <n v="3"/>
    <n v="3"/>
    <n v="5"/>
    <n v="4"/>
    <n v="21"/>
    <s v="Shannon Tran"/>
    <x v="0"/>
    <m/>
    <x v="1"/>
    <n v="12"/>
    <x v="2"/>
    <n v="0"/>
    <s v="More than 10 Years"/>
    <n v="3"/>
    <x v="1"/>
  </r>
  <r>
    <s v="EMP1913"/>
    <s v="John Holt"/>
    <x v="0"/>
    <n v="41"/>
    <x v="4"/>
    <s v="Sales Manager"/>
    <d v="2024-08-15T00:00:00"/>
    <n v="78541"/>
    <s v="Divorced"/>
    <s v="Bachelor's"/>
    <x v="1"/>
    <s v="Travel_Frequently"/>
    <n v="11"/>
    <x v="0"/>
    <x v="2"/>
    <n v="2"/>
    <n v="2"/>
    <n v="3"/>
    <n v="5"/>
    <n v="4"/>
    <n v="20"/>
    <s v="Katelyn Montgomery"/>
    <x v="1"/>
    <d v="2026-08-05T00:00:00"/>
    <x v="0"/>
    <n v="1"/>
    <x v="2"/>
    <n v="1"/>
    <s v="1-3 Years"/>
    <n v="2"/>
    <x v="0"/>
  </r>
  <r>
    <s v="EMP1531"/>
    <s v="Heather Parrish"/>
    <x v="0"/>
    <n v="35"/>
    <x v="0"/>
    <s v="Manufacturing Technician"/>
    <d v="2018-12-04T00:00:00"/>
    <n v="83084"/>
    <s v="Divorced"/>
    <s v="High School"/>
    <x v="0"/>
    <s v="Travel_Frequently"/>
    <n v="25"/>
    <x v="0"/>
    <x v="3"/>
    <n v="3"/>
    <n v="3"/>
    <n v="3"/>
    <n v="1"/>
    <n v="2"/>
    <n v="18"/>
    <s v="Mr. Jonathan Taylor"/>
    <x v="0"/>
    <m/>
    <x v="0"/>
    <n v="7"/>
    <x v="2"/>
    <n v="0"/>
    <s v="6-10 Years"/>
    <n v="3"/>
    <x v="1"/>
  </r>
  <r>
    <s v="EMP1821"/>
    <s v="Rachel Jones"/>
    <x v="0"/>
    <n v="34"/>
    <x v="2"/>
    <s v="Devops Engineer"/>
    <d v="2023-03-22T00:00:00"/>
    <n v="142196"/>
    <s v="Single"/>
    <s v="Master's"/>
    <x v="6"/>
    <s v="Non-Travel"/>
    <n v="43"/>
    <x v="1"/>
    <x v="3"/>
    <n v="4"/>
    <n v="3"/>
    <n v="3"/>
    <n v="0"/>
    <n v="3"/>
    <n v="22"/>
    <s v="Brian Mcguire"/>
    <x v="1"/>
    <d v="2025-10-29T00:00:00"/>
    <x v="1"/>
    <n v="2"/>
    <x v="0"/>
    <n v="1"/>
    <s v="1-3 Years"/>
    <n v="3.33"/>
    <x v="1"/>
  </r>
  <r>
    <s v="EMP1816"/>
    <s v="Mr. Thomas Garcia"/>
    <x v="0"/>
    <n v="49"/>
    <x v="2"/>
    <s v="Devops Engineer"/>
    <d v="2013-12-20T00:00:00"/>
    <n v="142452"/>
    <s v="Married"/>
    <s v="Bachelor's"/>
    <x v="8"/>
    <s v="Non-Travel"/>
    <n v="19"/>
    <x v="1"/>
    <x v="3"/>
    <n v="1"/>
    <n v="4"/>
    <n v="2"/>
    <n v="3"/>
    <n v="4"/>
    <n v="21"/>
    <s v="Colin Prince"/>
    <x v="0"/>
    <m/>
    <x v="3"/>
    <n v="12"/>
    <x v="0"/>
    <n v="0"/>
    <s v="More than 10 Years"/>
    <n v="2.67"/>
    <x v="0"/>
  </r>
  <r>
    <s v="EMP1953"/>
    <s v="Daniel Kennedy"/>
    <x v="2"/>
    <n v="41"/>
    <x v="4"/>
    <s v="Sales Representative"/>
    <d v="2022-10-19T00:00:00"/>
    <n v="80011"/>
    <s v="Married"/>
    <s v="Bachelor's"/>
    <x v="8"/>
    <s v="Travel_Frequently"/>
    <n v="32"/>
    <x v="1"/>
    <x v="1"/>
    <n v="2"/>
    <n v="3"/>
    <n v="5"/>
    <n v="1"/>
    <n v="0"/>
    <n v="19"/>
    <s v="Jaclyn Crane"/>
    <x v="0"/>
    <m/>
    <x v="0"/>
    <n v="3"/>
    <x v="2"/>
    <n v="0"/>
    <s v="1-3 Years"/>
    <n v="3"/>
    <x v="1"/>
  </r>
  <r>
    <s v="EMP1570"/>
    <s v="Diana White"/>
    <x v="2"/>
    <n v="38"/>
    <x v="5"/>
    <s v="Brand Manager"/>
    <d v="2013-08-14T00:00:00"/>
    <n v="55561"/>
    <s v="Married"/>
    <s v="Bachelor's"/>
    <x v="7"/>
    <s v="Travel_Frequently"/>
    <n v="14"/>
    <x v="0"/>
    <x v="2"/>
    <n v="3"/>
    <n v="1"/>
    <n v="4"/>
    <n v="6"/>
    <n v="7"/>
    <n v="18"/>
    <s v="Crystal Garcia"/>
    <x v="0"/>
    <m/>
    <x v="0"/>
    <n v="13"/>
    <x v="1"/>
    <n v="0"/>
    <s v="More than 10 Years"/>
    <n v="2"/>
    <x v="0"/>
  </r>
  <r>
    <s v="EMP1233"/>
    <s v="Rachel Parsons"/>
    <x v="0"/>
    <n v="39"/>
    <x v="0"/>
    <s v="Research Director"/>
    <d v="2020-04-12T00:00:00"/>
    <n v="71829"/>
    <s v="Married"/>
    <s v="Not Specified"/>
    <x v="7"/>
    <s v="Non-Travel"/>
    <n v="4"/>
    <x v="0"/>
    <x v="2"/>
    <n v="2"/>
    <n v="1"/>
    <n v="3"/>
    <n v="2"/>
    <n v="6"/>
    <n v="18"/>
    <s v="Not Specified"/>
    <x v="1"/>
    <d v="2024-11-19T00:00:00"/>
    <x v="0"/>
    <n v="4"/>
    <x v="2"/>
    <n v="1"/>
    <s v="4-5 Years"/>
    <n v="1.67"/>
    <x v="2"/>
  </r>
  <r>
    <s v="EMP1957"/>
    <s v="Stephanie Harrington"/>
    <x v="2"/>
    <n v="42"/>
    <x v="0"/>
    <s v="Lab Technician"/>
    <d v="2018-10-02T00:00:00"/>
    <n v="87849"/>
    <s v="Single"/>
    <s v="Master's"/>
    <x v="4"/>
    <s v="Travel_Frequently"/>
    <n v="21"/>
    <x v="0"/>
    <x v="3"/>
    <n v="3"/>
    <n v="2"/>
    <n v="5"/>
    <n v="0"/>
    <n v="4"/>
    <n v="24"/>
    <s v="Lisa Gill"/>
    <x v="0"/>
    <m/>
    <x v="0"/>
    <n v="7"/>
    <x v="2"/>
    <n v="0"/>
    <s v="6-10 Years"/>
    <n v="2.67"/>
    <x v="0"/>
  </r>
  <r>
    <s v="EMP2185"/>
    <s v="Scott Lopez"/>
    <x v="0"/>
    <n v="30"/>
    <x v="2"/>
    <s v="Data Analyst"/>
    <d v="2018-12-24T00:00:00"/>
    <n v="90185"/>
    <s v="Not Specified"/>
    <s v="Master's"/>
    <x v="8"/>
    <s v="Non-Travel"/>
    <n v="27"/>
    <x v="0"/>
    <x v="1"/>
    <n v="4"/>
    <n v="2"/>
    <n v="3"/>
    <n v="6"/>
    <n v="3"/>
    <n v="14"/>
    <s v="Maria Smith"/>
    <x v="0"/>
    <m/>
    <x v="1"/>
    <n v="7"/>
    <x v="2"/>
    <n v="0"/>
    <s v="6-10 Years"/>
    <n v="3.33"/>
    <x v="1"/>
  </r>
  <r>
    <s v="EMP1813"/>
    <s v="Joseph Mayer"/>
    <x v="0"/>
    <n v="21"/>
    <x v="7"/>
    <s v="Logistics Manager"/>
    <d v="2019-05-01T00:00:00"/>
    <n v="43873"/>
    <s v="Divorced"/>
    <s v="High School"/>
    <x v="1"/>
    <s v="Non-Travel"/>
    <n v="32"/>
    <x v="0"/>
    <x v="3"/>
    <n v="4"/>
    <n v="3"/>
    <n v="5"/>
    <n v="4"/>
    <n v="6"/>
    <n v="11"/>
    <s v="Catherine Davis"/>
    <x v="0"/>
    <m/>
    <x v="2"/>
    <n v="7"/>
    <x v="1"/>
    <n v="0"/>
    <s v="6-10 Years"/>
    <n v="3.33"/>
    <x v="1"/>
  </r>
  <r>
    <s v="EMP1591"/>
    <s v="David Duran"/>
    <x v="0"/>
    <n v="48"/>
    <x v="4"/>
    <s v="Sales Manager"/>
    <d v="2025-03-28T00:00:00"/>
    <n v="100029"/>
    <s v="Single"/>
    <s v="Bachelor's"/>
    <x v="9"/>
    <s v="Travel_Frequently"/>
    <n v="2"/>
    <x v="0"/>
    <x v="3"/>
    <n v="1"/>
    <n v="4"/>
    <n v="4"/>
    <n v="2"/>
    <n v="4"/>
    <n v="13"/>
    <s v="Melinda Mitchell"/>
    <x v="0"/>
    <m/>
    <x v="3"/>
    <n v="1"/>
    <x v="0"/>
    <n v="0"/>
    <s v="1-3 Years"/>
    <n v="2.67"/>
    <x v="0"/>
  </r>
  <r>
    <s v="EMP1159"/>
    <s v="Paul Thompson"/>
    <x v="2"/>
    <n v="35"/>
    <x v="0"/>
    <s v="Manufacturing Technician"/>
    <d v="2017-05-02T00:00:00"/>
    <n v="109405"/>
    <s v="Married"/>
    <s v="Bachelor's"/>
    <x v="0"/>
    <s v="Non-Travel"/>
    <n v="17"/>
    <x v="0"/>
    <x v="2"/>
    <n v="3"/>
    <n v="2"/>
    <n v="4"/>
    <n v="1"/>
    <n v="5"/>
    <n v="15"/>
    <s v="Sandra Drake"/>
    <x v="1"/>
    <d v="2023-11-25T00:00:00"/>
    <x v="0"/>
    <n v="6"/>
    <x v="0"/>
    <n v="1"/>
    <s v="6-10 Years"/>
    <n v="2.33"/>
    <x v="0"/>
  </r>
  <r>
    <s v="EMP1316"/>
    <s v="James Barton"/>
    <x v="2"/>
    <n v="31"/>
    <x v="6"/>
    <s v="Accountant"/>
    <d v="2020-06-11T00:00:00"/>
    <n v="75664"/>
    <s v="Divorced"/>
    <s v="Bachelor's"/>
    <x v="3"/>
    <s v="Travel_Frequently"/>
    <n v="10"/>
    <x v="0"/>
    <x v="1"/>
    <n v="4"/>
    <n v="4"/>
    <n v="4"/>
    <n v="4"/>
    <n v="5"/>
    <n v="18"/>
    <s v="Haley Johnson"/>
    <x v="0"/>
    <m/>
    <x v="1"/>
    <n v="6"/>
    <x v="2"/>
    <n v="0"/>
    <s v="6-10 Years"/>
    <n v="4"/>
    <x v="1"/>
  </r>
  <r>
    <s v="EMP1257"/>
    <s v="David Fischer"/>
    <x v="2"/>
    <n v="35"/>
    <x v="4"/>
    <s v="Sales Executive"/>
    <d v="2024-09-08T00:00:00"/>
    <n v="47250"/>
    <s v="Single"/>
    <s v="Bachelor's"/>
    <x v="6"/>
    <s v="Travel_Frequently"/>
    <n v="15"/>
    <x v="0"/>
    <x v="2"/>
    <n v="3"/>
    <n v="4"/>
    <n v="2"/>
    <n v="0"/>
    <n v="0"/>
    <n v="15"/>
    <s v="Michael Miller"/>
    <x v="1"/>
    <d v="2024-11-06T00:00:00"/>
    <x v="0"/>
    <n v="0"/>
    <x v="1"/>
    <n v="1"/>
    <s v="Less than 1 Year"/>
    <n v="3"/>
    <x v="1"/>
  </r>
  <r>
    <s v="EMP2029"/>
    <s v="Michael Powell"/>
    <x v="0"/>
    <n v="36"/>
    <x v="2"/>
    <s v="System Administrator"/>
    <d v="2023-04-12T00:00:00"/>
    <n v="79849"/>
    <s v="Divorced"/>
    <s v="Bachelor's"/>
    <x v="7"/>
    <s v="Non-Travel"/>
    <n v="18"/>
    <x v="0"/>
    <x v="3"/>
    <n v="4"/>
    <n v="2"/>
    <n v="4"/>
    <n v="5"/>
    <n v="6"/>
    <n v="25"/>
    <s v="Erika Johnson"/>
    <x v="0"/>
    <m/>
    <x v="0"/>
    <n v="3"/>
    <x v="2"/>
    <n v="0"/>
    <s v="1-3 Years"/>
    <n v="3"/>
    <x v="1"/>
  </r>
  <r>
    <s v="EMP1097"/>
    <s v="Melissa Bender"/>
    <x v="2"/>
    <n v="50"/>
    <x v="2"/>
    <s v="Data Analyst"/>
    <d v="2019-02-17T00:00:00"/>
    <n v="115896"/>
    <s v="Single"/>
    <s v="High School"/>
    <x v="7"/>
    <s v="Non-Travel"/>
    <n v="29"/>
    <x v="0"/>
    <x v="3"/>
    <n v="4"/>
    <n v="3"/>
    <n v="3"/>
    <n v="2"/>
    <n v="5"/>
    <n v="24"/>
    <s v="Bobby Williams MD"/>
    <x v="0"/>
    <m/>
    <x v="3"/>
    <n v="7"/>
    <x v="0"/>
    <n v="0"/>
    <s v="6-10 Years"/>
    <n v="3.33"/>
    <x v="1"/>
  </r>
  <r>
    <s v="EMP2183"/>
    <s v="Ruth Walker"/>
    <x v="0"/>
    <n v="22"/>
    <x v="0"/>
    <s v="Research Director"/>
    <d v="2015-09-03T00:00:00"/>
    <n v="56028"/>
    <s v="Married"/>
    <s v="Master's"/>
    <x v="1"/>
    <s v="Non-Travel"/>
    <n v="28"/>
    <x v="0"/>
    <x v="3"/>
    <n v="4"/>
    <n v="4"/>
    <n v="3"/>
    <n v="2"/>
    <n v="1"/>
    <n v="23"/>
    <s v="Rhonda Mullins"/>
    <x v="0"/>
    <m/>
    <x v="2"/>
    <n v="10"/>
    <x v="1"/>
    <n v="0"/>
    <s v="6-10 Years"/>
    <n v="3.67"/>
    <x v="1"/>
  </r>
  <r>
    <s v="EMP1463"/>
    <s v="Anna Chang"/>
    <x v="0"/>
    <n v="36"/>
    <x v="4"/>
    <s v="Sales Representative"/>
    <d v="2012-05-07T00:00:00"/>
    <n v="63966"/>
    <s v="Married"/>
    <s v="Master's"/>
    <x v="7"/>
    <s v="Travel_Rarely"/>
    <n v="35"/>
    <x v="0"/>
    <x v="0"/>
    <n v="3"/>
    <n v="2"/>
    <n v="5"/>
    <n v="5"/>
    <n v="5"/>
    <n v="13"/>
    <s v="Carolyn Howard"/>
    <x v="1"/>
    <d v="2024-07-18T00:00:00"/>
    <x v="0"/>
    <n v="12"/>
    <x v="2"/>
    <n v="1"/>
    <s v="More than 10 Years"/>
    <n v="2"/>
    <x v="0"/>
  </r>
  <r>
    <s v="EMP1385"/>
    <s v="Kenneth Underwood"/>
    <x v="2"/>
    <n v="30"/>
    <x v="3"/>
    <s v="Accountant"/>
    <d v="2017-07-22T00:00:00"/>
    <n v="103288"/>
    <s v="Divorced"/>
    <s v="Diploma"/>
    <x v="6"/>
    <s v="Travel_Rarely"/>
    <n v="2"/>
    <x v="0"/>
    <x v="0"/>
    <n v="1"/>
    <n v="3"/>
    <n v="3"/>
    <n v="5"/>
    <n v="0"/>
    <n v="16"/>
    <s v="Michael Thompson"/>
    <x v="0"/>
    <m/>
    <x v="1"/>
    <n v="9"/>
    <x v="0"/>
    <n v="0"/>
    <s v="6-10 Years"/>
    <n v="1.67"/>
    <x v="2"/>
  </r>
  <r>
    <s v="EMP2164"/>
    <s v="Maria Torres"/>
    <x v="2"/>
    <n v="23"/>
    <x v="3"/>
    <s v="Auditor"/>
    <d v="2015-09-06T00:00:00"/>
    <n v="124474"/>
    <s v="Married"/>
    <s v="Diploma"/>
    <x v="7"/>
    <s v="Travel_Frequently"/>
    <n v="31"/>
    <x v="1"/>
    <x v="3"/>
    <n v="4"/>
    <n v="3"/>
    <n v="3"/>
    <n v="2"/>
    <n v="7"/>
    <n v="17"/>
    <s v="Gregory Barnes"/>
    <x v="0"/>
    <m/>
    <x v="2"/>
    <n v="10"/>
    <x v="0"/>
    <n v="0"/>
    <s v="6-10 Years"/>
    <n v="3.33"/>
    <x v="1"/>
  </r>
  <r>
    <s v="EMP1178"/>
    <s v="Katelyn Perez"/>
    <x v="2"/>
    <n v="26"/>
    <x v="1"/>
    <s v="Hr Executive"/>
    <d v="2013-09-18T00:00:00"/>
    <n v="92167"/>
    <s v="Married"/>
    <s v="Master's"/>
    <x v="8"/>
    <s v="Travel_Rarely"/>
    <n v="1"/>
    <x v="0"/>
    <x v="2"/>
    <n v="3"/>
    <n v="1"/>
    <n v="3"/>
    <n v="3"/>
    <n v="5"/>
    <n v="13"/>
    <s v="Ryan Garcia"/>
    <x v="0"/>
    <m/>
    <x v="1"/>
    <n v="12"/>
    <x v="2"/>
    <n v="0"/>
    <s v="More than 10 Years"/>
    <n v="2"/>
    <x v="0"/>
  </r>
  <r>
    <s v="EMP1475"/>
    <s v="April Davis"/>
    <x v="2"/>
    <n v="28"/>
    <x v="1"/>
    <s v="Hr Manager"/>
    <d v="2020-09-04T00:00:00"/>
    <n v="70221"/>
    <s v="Divorced"/>
    <s v="Master's"/>
    <x v="1"/>
    <s v="Travel_Rarely"/>
    <n v="35"/>
    <x v="0"/>
    <x v="1"/>
    <n v="1"/>
    <n v="1"/>
    <n v="3"/>
    <n v="4"/>
    <n v="5"/>
    <n v="25"/>
    <s v="Elizabeth Romero"/>
    <x v="0"/>
    <m/>
    <x v="1"/>
    <n v="5"/>
    <x v="2"/>
    <n v="0"/>
    <s v="4-5 Years"/>
    <n v="2"/>
    <x v="0"/>
  </r>
  <r>
    <s v="EMP1329"/>
    <s v="Michael Perry PhD"/>
    <x v="2"/>
    <n v="43"/>
    <x v="0"/>
    <s v="Lab Technician"/>
    <d v="2018-12-14T00:00:00"/>
    <n v="122610"/>
    <s v="Married"/>
    <s v="Master's"/>
    <x v="4"/>
    <s v="Non-Travel"/>
    <n v="29"/>
    <x v="1"/>
    <x v="3"/>
    <n v="1"/>
    <n v="4"/>
    <n v="3"/>
    <n v="3"/>
    <n v="2"/>
    <n v="24"/>
    <s v="Andre Juarez"/>
    <x v="0"/>
    <m/>
    <x v="0"/>
    <n v="7"/>
    <x v="0"/>
    <n v="0"/>
    <s v="6-10 Years"/>
    <n v="2.67"/>
    <x v="0"/>
  </r>
  <r>
    <s v="EMP1315"/>
    <s v="Adam Green"/>
    <x v="2"/>
    <n v="33"/>
    <x v="0"/>
    <s v="Manufacturing Technician"/>
    <d v="2019-04-13T00:00:00"/>
    <n v="88915"/>
    <s v="Divorced"/>
    <s v="Diploma"/>
    <x v="3"/>
    <s v="Non-Travel"/>
    <n v="39"/>
    <x v="0"/>
    <x v="2"/>
    <n v="3"/>
    <n v="3"/>
    <n v="4"/>
    <n v="5"/>
    <n v="6"/>
    <n v="17"/>
    <s v="Lauren Johnston"/>
    <x v="0"/>
    <m/>
    <x v="1"/>
    <n v="7"/>
    <x v="2"/>
    <n v="0"/>
    <s v="6-10 Years"/>
    <n v="2.67"/>
    <x v="0"/>
  </r>
  <r>
    <s v="EMP1416"/>
    <s v="Stephen Alvarez"/>
    <x v="0"/>
    <n v="38"/>
    <x v="4"/>
    <s v="Account Manager"/>
    <d v="2012-11-03T00:00:00"/>
    <n v="54687"/>
    <s v="Divorced"/>
    <s v="Bachelor's"/>
    <x v="10"/>
    <s v="Non-Travel"/>
    <n v="32"/>
    <x v="1"/>
    <x v="0"/>
    <n v="1"/>
    <n v="4"/>
    <n v="5"/>
    <n v="6"/>
    <n v="6"/>
    <n v="19"/>
    <s v="Kathryn Lester"/>
    <x v="1"/>
    <d v="2025-04-27T00:00:00"/>
    <x v="0"/>
    <n v="12"/>
    <x v="1"/>
    <n v="1"/>
    <s v="More than 10 Years"/>
    <n v="2"/>
    <x v="0"/>
  </r>
  <r>
    <s v="EMP1358"/>
    <s v="Angela Herrera"/>
    <x v="2"/>
    <n v="49"/>
    <x v="1"/>
    <s v="Hr Manager"/>
    <d v="2020-11-07T00:00:00"/>
    <n v="70607"/>
    <s v="Single"/>
    <s v="Master's"/>
    <x v="1"/>
    <s v="Travel_Frequently"/>
    <n v="45"/>
    <x v="0"/>
    <x v="2"/>
    <n v="2"/>
    <n v="2"/>
    <n v="4"/>
    <n v="4"/>
    <n v="0"/>
    <n v="19"/>
    <s v="Jorge Harris"/>
    <x v="1"/>
    <d v="2022-06-19T00:00:00"/>
    <x v="3"/>
    <n v="1"/>
    <x v="2"/>
    <n v="1"/>
    <s v="1-3 Years"/>
    <n v="2"/>
    <x v="0"/>
  </r>
  <r>
    <s v="EMP1348"/>
    <s v="Jennifer Anderson MD"/>
    <x v="0"/>
    <n v="51"/>
    <x v="4"/>
    <s v="Sales Executive"/>
    <d v="2017-05-18T00:00:00"/>
    <n v="92755"/>
    <s v="Single"/>
    <s v="Bachelor's"/>
    <x v="2"/>
    <s v="Travel_Rarely"/>
    <n v="32"/>
    <x v="0"/>
    <x v="3"/>
    <n v="2"/>
    <n v="1"/>
    <n v="3"/>
    <n v="1"/>
    <n v="3"/>
    <n v="18"/>
    <s v="Erik Ibarra"/>
    <x v="1"/>
    <d v="2024-02-29T00:00:00"/>
    <x v="3"/>
    <n v="6"/>
    <x v="2"/>
    <n v="1"/>
    <s v="6-10 Years"/>
    <n v="2"/>
    <x v="0"/>
  </r>
  <r>
    <s v="EMP1505"/>
    <s v="Carol Huber"/>
    <x v="2"/>
    <n v="35"/>
    <x v="0"/>
    <s v="Research Scientist"/>
    <d v="2019-09-09T00:00:00"/>
    <n v="83084"/>
    <s v="Married"/>
    <s v="Master's"/>
    <x v="9"/>
    <s v="Non-Travel"/>
    <n v="10"/>
    <x v="0"/>
    <x v="1"/>
    <n v="2"/>
    <n v="1"/>
    <n v="5"/>
    <n v="0"/>
    <n v="3"/>
    <n v="11"/>
    <s v="Austin Santiago"/>
    <x v="0"/>
    <m/>
    <x v="0"/>
    <n v="6"/>
    <x v="2"/>
    <n v="0"/>
    <s v="6-10 Years"/>
    <n v="2.33"/>
    <x v="0"/>
  </r>
  <r>
    <s v="EMP1299"/>
    <s v="Michelle Miller"/>
    <x v="0"/>
    <n v="34"/>
    <x v="3"/>
    <s v="Auditor"/>
    <d v="2013-12-18T00:00:00"/>
    <n v="114116"/>
    <s v="Married"/>
    <s v="Bachelor's"/>
    <x v="6"/>
    <s v="Travel_Rarely"/>
    <n v="14"/>
    <x v="0"/>
    <x v="2"/>
    <n v="3"/>
    <n v="1"/>
    <n v="2"/>
    <n v="5"/>
    <n v="2"/>
    <n v="17"/>
    <s v="Madison Singh"/>
    <x v="0"/>
    <m/>
    <x v="1"/>
    <n v="12"/>
    <x v="0"/>
    <n v="0"/>
    <s v="More than 10 Years"/>
    <n v="2"/>
    <x v="0"/>
  </r>
  <r>
    <s v="EMP2034"/>
    <s v="Andrea Brown"/>
    <x v="0"/>
    <n v="40"/>
    <x v="0"/>
    <s v="Manufacturing Technician"/>
    <d v="2019-05-26T00:00:00"/>
    <n v="74701"/>
    <s v="Married"/>
    <s v="Bachelor's"/>
    <x v="1"/>
    <s v="Travel_Frequently"/>
    <n v="45"/>
    <x v="1"/>
    <x v="2"/>
    <n v="4"/>
    <n v="2"/>
    <n v="3"/>
    <n v="2"/>
    <n v="2"/>
    <n v="18"/>
    <s v="Jennifer Moore"/>
    <x v="1"/>
    <d v="2020-08-24T00:00:00"/>
    <x v="0"/>
    <n v="1"/>
    <x v="2"/>
    <n v="1"/>
    <s v="1-3 Years"/>
    <n v="2.67"/>
    <x v="0"/>
  </r>
  <r>
    <s v="EMP2144"/>
    <s v="Dr. Melissa Sullivan DDS"/>
    <x v="0"/>
    <n v="35"/>
    <x v="1"/>
    <s v="Recruiter"/>
    <d v="2025-04-02T00:00:00"/>
    <n v="68845"/>
    <s v="Married"/>
    <s v="Master's"/>
    <x v="0"/>
    <s v="Travel_Rarely"/>
    <n v="4"/>
    <x v="0"/>
    <x v="0"/>
    <n v="1"/>
    <n v="4"/>
    <n v="3"/>
    <n v="5"/>
    <n v="6"/>
    <n v="22"/>
    <s v="Michele Brady"/>
    <x v="1"/>
    <d v="2026-04-21T00:00:00"/>
    <x v="0"/>
    <n v="1"/>
    <x v="2"/>
    <n v="1"/>
    <s v="1-3 Years"/>
    <n v="2"/>
    <x v="0"/>
  </r>
  <r>
    <s v="EMP1789"/>
    <s v="Arthur Wiggins"/>
    <x v="2"/>
    <n v="42"/>
    <x v="5"/>
    <s v="Brand Manager"/>
    <d v="2015-02-16T00:00:00"/>
    <n v="102052"/>
    <s v="Divorced"/>
    <s v="Master's"/>
    <x v="7"/>
    <s v="Travel_Frequently"/>
    <n v="28"/>
    <x v="0"/>
    <x v="2"/>
    <n v="2"/>
    <n v="2"/>
    <n v="5"/>
    <n v="5"/>
    <n v="7"/>
    <n v="14"/>
    <s v="Jennifer Cooper"/>
    <x v="1"/>
    <d v="2026-01-21T00:00:00"/>
    <x v="0"/>
    <n v="10"/>
    <x v="0"/>
    <n v="1"/>
    <s v="6-10 Years"/>
    <n v="2"/>
    <x v="0"/>
  </r>
  <r>
    <s v="EMP1706"/>
    <s v="Patricia Gray"/>
    <x v="0"/>
    <n v="36"/>
    <x v="4"/>
    <s v="Sales Representative"/>
    <d v="2019-01-14T00:00:00"/>
    <n v="78358"/>
    <s v="Single"/>
    <s v="Bachelor's"/>
    <x v="9"/>
    <s v="Travel_Rarely"/>
    <n v="12"/>
    <x v="1"/>
    <x v="1"/>
    <n v="1"/>
    <n v="4"/>
    <n v="4"/>
    <n v="4"/>
    <n v="8"/>
    <n v="24"/>
    <s v="Not Specified"/>
    <x v="0"/>
    <m/>
    <x v="0"/>
    <n v="7"/>
    <x v="2"/>
    <n v="0"/>
    <s v="6-10 Years"/>
    <n v="3"/>
    <x v="1"/>
  </r>
  <r>
    <s v="EMP1961"/>
    <s v="Luke Ray"/>
    <x v="0"/>
    <n v="32"/>
    <x v="2"/>
    <s v="Software Engineer"/>
    <d v="2012-06-14T00:00:00"/>
    <n v="118318"/>
    <s v="Single"/>
    <s v="Bachelor's"/>
    <x v="2"/>
    <s v="Travel_Frequently"/>
    <n v="29"/>
    <x v="0"/>
    <x v="1"/>
    <n v="4"/>
    <n v="3"/>
    <n v="3"/>
    <n v="5"/>
    <n v="6"/>
    <n v="21"/>
    <s v="Chelsey Alvarez"/>
    <x v="0"/>
    <m/>
    <x v="1"/>
    <n v="14"/>
    <x v="0"/>
    <n v="0"/>
    <s v="More than 10 Years"/>
    <n v="3.67"/>
    <x v="1"/>
  </r>
  <r>
    <s v="EMP1659"/>
    <s v="Kelli Mccoy"/>
    <x v="2"/>
    <n v="42"/>
    <x v="5"/>
    <s v="Marketing Executive"/>
    <d v="2012-05-25T00:00:00"/>
    <n v="94992"/>
    <s v="Divorced"/>
    <s v="Not Specified"/>
    <x v="0"/>
    <s v="Non-Travel"/>
    <n v="16"/>
    <x v="0"/>
    <x v="1"/>
    <n v="4"/>
    <n v="1"/>
    <n v="3"/>
    <n v="4"/>
    <n v="3"/>
    <n v="15"/>
    <s v="James Torres"/>
    <x v="0"/>
    <m/>
    <x v="0"/>
    <n v="14"/>
    <x v="2"/>
    <n v="0"/>
    <s v="More than 10 Years"/>
    <n v="3"/>
    <x v="1"/>
  </r>
  <r>
    <s v="EMP1250"/>
    <s v="Christopher Stevens"/>
    <x v="0"/>
    <n v="20"/>
    <x v="3"/>
    <s v="Auditor"/>
    <d v="2015-07-02T00:00:00"/>
    <n v="82103"/>
    <s v="Single"/>
    <s v="Master's"/>
    <x v="2"/>
    <s v="Travel_Rarely"/>
    <n v="27"/>
    <x v="1"/>
    <x v="0"/>
    <n v="1"/>
    <n v="3"/>
    <n v="3"/>
    <n v="0"/>
    <n v="4"/>
    <n v="18"/>
    <s v="Rachel Bradley"/>
    <x v="1"/>
    <d v="2017-07-30T00:00:00"/>
    <x v="2"/>
    <n v="2"/>
    <x v="2"/>
    <n v="1"/>
    <s v="1-3 Years"/>
    <n v="1.67"/>
    <x v="2"/>
  </r>
  <r>
    <s v="EMP1844"/>
    <s v="Andrew Hood"/>
    <x v="0"/>
    <n v="53"/>
    <x v="0"/>
    <s v="Research Scientist"/>
    <d v="2016-11-13T00:00:00"/>
    <n v="90033"/>
    <s v="Single"/>
    <s v="Master's"/>
    <x v="4"/>
    <s v="Travel_Rarely"/>
    <n v="11"/>
    <x v="0"/>
    <x v="3"/>
    <n v="4"/>
    <n v="3"/>
    <n v="5"/>
    <n v="4"/>
    <n v="3"/>
    <n v="14"/>
    <s v="Alyssa Vance"/>
    <x v="0"/>
    <m/>
    <x v="3"/>
    <n v="9"/>
    <x v="2"/>
    <n v="0"/>
    <s v="6-10 Years"/>
    <n v="3.33"/>
    <x v="1"/>
  </r>
  <r>
    <s v="EMP1016"/>
    <s v="Thomas Harrell"/>
    <x v="2"/>
    <n v="36"/>
    <x v="2"/>
    <s v="Devops Engineer"/>
    <d v="2016-02-12T00:00:00"/>
    <n v="58348"/>
    <s v="Divorced"/>
    <s v="Bachelor's"/>
    <x v="8"/>
    <s v="Travel_Rarely"/>
    <n v="33"/>
    <x v="0"/>
    <x v="3"/>
    <n v="3"/>
    <n v="1"/>
    <n v="3"/>
    <n v="0"/>
    <n v="4"/>
    <n v="16"/>
    <s v="Lisa Hernandez"/>
    <x v="0"/>
    <m/>
    <x v="0"/>
    <n v="10"/>
    <x v="1"/>
    <n v="0"/>
    <s v="6-10 Years"/>
    <n v="2.33"/>
    <x v="0"/>
  </r>
  <r>
    <s v="EMP2068"/>
    <s v="Richard Miller"/>
    <x v="0"/>
    <n v="28"/>
    <x v="0"/>
    <s v="Lab Technician"/>
    <d v="2026-03-04T00:00:00"/>
    <n v="93265"/>
    <s v="Single"/>
    <s v="Master's"/>
    <x v="2"/>
    <s v="Non-Travel"/>
    <n v="40"/>
    <x v="0"/>
    <x v="0"/>
    <n v="2"/>
    <n v="3"/>
    <n v="3"/>
    <n v="4"/>
    <n v="3"/>
    <n v="25"/>
    <s v="Jeremy Wagner"/>
    <x v="1"/>
    <d v="2026-05-14T00:00:00"/>
    <x v="1"/>
    <n v="0"/>
    <x v="2"/>
    <n v="1"/>
    <s v="Less than 1 Year"/>
    <n v="2"/>
    <x v="0"/>
  </r>
  <r>
    <s v="EMP1160"/>
    <s v="Scott Williams"/>
    <x v="0"/>
    <n v="35"/>
    <x v="4"/>
    <s v="Sales Executive"/>
    <d v="2011-12-11T00:00:00"/>
    <n v="100628"/>
    <s v="Single"/>
    <s v="Diploma"/>
    <x v="2"/>
    <s v="Travel_Frequently"/>
    <n v="10"/>
    <x v="0"/>
    <x v="1"/>
    <n v="4"/>
    <n v="3"/>
    <n v="4"/>
    <n v="2"/>
    <n v="4"/>
    <n v="18"/>
    <s v="Shannon Johnston"/>
    <x v="0"/>
    <m/>
    <x v="0"/>
    <n v="14"/>
    <x v="0"/>
    <n v="0"/>
    <s v="More than 10 Years"/>
    <n v="3.67"/>
    <x v="1"/>
  </r>
  <r>
    <s v="EMP2094"/>
    <s v="Tara Hatfield"/>
    <x v="2"/>
    <n v="19"/>
    <x v="3"/>
    <s v="Accountant"/>
    <d v="2024-06-13T00:00:00"/>
    <n v="123828"/>
    <s v="Divorced"/>
    <s v="High School"/>
    <x v="4"/>
    <s v="Travel_Frequently"/>
    <n v="28"/>
    <x v="0"/>
    <x v="0"/>
    <n v="1"/>
    <n v="3"/>
    <n v="5"/>
    <n v="6"/>
    <n v="6"/>
    <n v="18"/>
    <s v="Elizabeth Lee"/>
    <x v="1"/>
    <d v="2026-06-15T00:00:00"/>
    <x v="2"/>
    <n v="2"/>
    <x v="0"/>
    <n v="1"/>
    <s v="1-3 Years"/>
    <n v="1.67"/>
    <x v="2"/>
  </r>
  <r>
    <s v="EMP1611"/>
    <s v="John Garcia"/>
    <x v="2"/>
    <n v="35"/>
    <x v="3"/>
    <s v="Finance Manager"/>
    <d v="2020-03-07T00:00:00"/>
    <n v="131500"/>
    <s v="Married"/>
    <s v="Bachelor's"/>
    <x v="8"/>
    <s v="Travel_Rarely"/>
    <n v="10"/>
    <x v="1"/>
    <x v="1"/>
    <n v="3"/>
    <n v="2"/>
    <n v="2"/>
    <n v="4"/>
    <n v="2"/>
    <n v="15"/>
    <s v="Mary Fox"/>
    <x v="0"/>
    <m/>
    <x v="0"/>
    <n v="6"/>
    <x v="0"/>
    <n v="0"/>
    <s v="6-10 Years"/>
    <n v="3"/>
    <x v="1"/>
  </r>
  <r>
    <s v="EMP1361"/>
    <s v="Patrick Yang"/>
    <x v="0"/>
    <n v="45"/>
    <x v="5"/>
    <s v="Brand Manager"/>
    <d v="2013-06-11T00:00:00"/>
    <n v="47470"/>
    <s v="Single"/>
    <s v="Master's"/>
    <x v="5"/>
    <s v="Non-Travel"/>
    <n v="17"/>
    <x v="1"/>
    <x v="2"/>
    <n v="4"/>
    <n v="1"/>
    <n v="3"/>
    <n v="3"/>
    <n v="4"/>
    <n v="24"/>
    <s v="Carla Benton"/>
    <x v="1"/>
    <d v="2022-10-20T00:00:00"/>
    <x v="3"/>
    <n v="9"/>
    <x v="1"/>
    <n v="1"/>
    <s v="6-10 Years"/>
    <n v="2.33"/>
    <x v="0"/>
  </r>
  <r>
    <s v="EMP1049"/>
    <s v="Cassandra Estes"/>
    <x v="2"/>
    <n v="35"/>
    <x v="5"/>
    <s v="Brand Manager"/>
    <d v="2015-08-16T00:00:00"/>
    <n v="91218"/>
    <s v="Divorced"/>
    <s v="Master's"/>
    <x v="6"/>
    <s v="Travel_Rarely"/>
    <n v="14"/>
    <x v="0"/>
    <x v="2"/>
    <n v="3"/>
    <n v="3"/>
    <n v="5"/>
    <n v="2"/>
    <n v="8"/>
    <n v="25"/>
    <s v="Jeffrey Chandler"/>
    <x v="0"/>
    <m/>
    <x v="0"/>
    <n v="11"/>
    <x v="2"/>
    <n v="0"/>
    <s v="More than 10 Years"/>
    <n v="2.67"/>
    <x v="0"/>
  </r>
  <r>
    <s v="EMP1203"/>
    <s v="Heidi Owen"/>
    <x v="2"/>
    <n v="37"/>
    <x v="4"/>
    <s v="Account Manager"/>
    <d v="2021-10-19T00:00:00"/>
    <n v="42954"/>
    <s v="Divorced"/>
    <s v="Bachelor's"/>
    <x v="2"/>
    <s v="Travel_Rarely"/>
    <n v="40"/>
    <x v="0"/>
    <x v="3"/>
    <n v="2"/>
    <n v="1"/>
    <n v="3"/>
    <n v="6"/>
    <n v="2"/>
    <n v="16"/>
    <s v="Brenda Lawson"/>
    <x v="0"/>
    <m/>
    <x v="0"/>
    <n v="4"/>
    <x v="1"/>
    <n v="0"/>
    <s v="4-5 Years"/>
    <n v="2"/>
    <x v="0"/>
  </r>
  <r>
    <s v="EMP1331"/>
    <s v="Ashley Wilson"/>
    <x v="0"/>
    <n v="36"/>
    <x v="1"/>
    <s v="Recruiter"/>
    <d v="2023-03-24T00:00:00"/>
    <n v="67215"/>
    <s v="Single"/>
    <s v="Master's"/>
    <x v="6"/>
    <s v="Travel_Frequently"/>
    <n v="40"/>
    <x v="0"/>
    <x v="1"/>
    <n v="3"/>
    <n v="1"/>
    <n v="2"/>
    <n v="0"/>
    <n v="1"/>
    <n v="20"/>
    <s v="Holly Carson"/>
    <x v="0"/>
    <m/>
    <x v="0"/>
    <n v="3"/>
    <x v="2"/>
    <n v="0"/>
    <s v="1-3 Years"/>
    <n v="2.67"/>
    <x v="0"/>
  </r>
  <r>
    <s v="EMP1599"/>
    <s v="Mark Williams"/>
    <x v="0"/>
    <n v="39"/>
    <x v="3"/>
    <s v="Financial Analyst"/>
    <d v="2025-08-25T00:00:00"/>
    <n v="84049"/>
    <s v="Divorced"/>
    <s v="Diploma"/>
    <x v="1"/>
    <s v="Travel_Rarely"/>
    <n v="13"/>
    <x v="0"/>
    <x v="2"/>
    <n v="3"/>
    <n v="1"/>
    <n v="3"/>
    <n v="5"/>
    <n v="6"/>
    <n v="24"/>
    <s v="Mark Gonzalez"/>
    <x v="1"/>
    <d v="2026-03-06T00:00:00"/>
    <x v="0"/>
    <n v="0"/>
    <x v="2"/>
    <n v="1"/>
    <s v="Less than 1 Year"/>
    <n v="2"/>
    <x v="0"/>
  </r>
  <r>
    <s v="EMP1511"/>
    <s v="Jessica Foster"/>
    <x v="0"/>
    <n v="35"/>
    <x v="3"/>
    <s v="Financial Analyst"/>
    <d v="2021-07-09T00:00:00"/>
    <n v="100678"/>
    <s v="Divorced"/>
    <s v="Bachelor's"/>
    <x v="10"/>
    <s v="Travel_Frequently"/>
    <n v="38"/>
    <x v="0"/>
    <x v="2"/>
    <n v="4"/>
    <n v="2"/>
    <n v="3"/>
    <n v="6"/>
    <n v="6"/>
    <n v="15"/>
    <s v="Brandy Myers"/>
    <x v="1"/>
    <d v="2023-12-16T00:00:00"/>
    <x v="0"/>
    <n v="2"/>
    <x v="0"/>
    <n v="1"/>
    <s v="1-3 Years"/>
    <n v="2.67"/>
    <x v="0"/>
  </r>
  <r>
    <s v="EMP1113"/>
    <s v="Jessica Fox"/>
    <x v="0"/>
    <n v="29"/>
    <x v="3"/>
    <s v="Auditor"/>
    <d v="2018-06-24T00:00:00"/>
    <n v="59183"/>
    <s v="Single"/>
    <s v="Bachelor's"/>
    <x v="0"/>
    <s v="Non-Travel"/>
    <n v="38"/>
    <x v="0"/>
    <x v="2"/>
    <n v="4"/>
    <n v="4"/>
    <n v="4"/>
    <n v="3"/>
    <n v="3"/>
    <n v="21"/>
    <s v="Jennifer Pena"/>
    <x v="0"/>
    <m/>
    <x v="1"/>
    <n v="8"/>
    <x v="1"/>
    <n v="0"/>
    <s v="6-10 Years"/>
    <n v="3.33"/>
    <x v="1"/>
  </r>
  <r>
    <s v="EMP1339"/>
    <s v="Mark Beard"/>
    <x v="2"/>
    <n v="29"/>
    <x v="5"/>
    <s v="Digital Marketing Specialist"/>
    <d v="2013-01-19T00:00:00"/>
    <n v="108479"/>
    <s v="Married"/>
    <s v="Bachelor's"/>
    <x v="5"/>
    <s v="Travel_Rarely"/>
    <n v="40"/>
    <x v="0"/>
    <x v="1"/>
    <n v="2"/>
    <n v="4"/>
    <n v="3"/>
    <n v="1"/>
    <n v="7"/>
    <n v="19"/>
    <s v="Diana Mayer"/>
    <x v="0"/>
    <m/>
    <x v="1"/>
    <n v="13"/>
    <x v="0"/>
    <n v="0"/>
    <s v="More than 10 Years"/>
    <n v="3.33"/>
    <x v="1"/>
  </r>
  <r>
    <s v="EMP1308"/>
    <s v="Michael Henry"/>
    <x v="2"/>
    <n v="36"/>
    <x v="3"/>
    <s v="Finance Manager"/>
    <d v="2020-04-02T00:00:00"/>
    <n v="129523"/>
    <s v="Married"/>
    <s v="Not Specified"/>
    <x v="0"/>
    <s v="Travel_Rarely"/>
    <n v="15"/>
    <x v="0"/>
    <x v="2"/>
    <n v="3"/>
    <n v="1"/>
    <n v="2"/>
    <n v="5"/>
    <n v="2"/>
    <n v="20"/>
    <s v="James Velasquez"/>
    <x v="0"/>
    <m/>
    <x v="0"/>
    <n v="6"/>
    <x v="0"/>
    <n v="0"/>
    <s v="6-10 Years"/>
    <n v="2"/>
    <x v="0"/>
  </r>
  <r>
    <s v="EMP1790"/>
    <s v="Erin Watkins"/>
    <x v="2"/>
    <n v="26"/>
    <x v="0"/>
    <s v="Lab Technician"/>
    <d v="2022-01-22T00:00:00"/>
    <n v="87765"/>
    <s v="Divorced"/>
    <s v="Bachelor's"/>
    <x v="2"/>
    <s v="Non-Travel"/>
    <n v="23"/>
    <x v="0"/>
    <x v="1"/>
    <n v="1"/>
    <n v="3"/>
    <n v="3"/>
    <n v="0"/>
    <n v="4"/>
    <n v="15"/>
    <s v="Jill Torres"/>
    <x v="0"/>
    <m/>
    <x v="1"/>
    <n v="4"/>
    <x v="2"/>
    <n v="0"/>
    <s v="4-5 Years"/>
    <n v="2.67"/>
    <x v="0"/>
  </r>
  <r>
    <s v="EMP1423"/>
    <s v="Lee Steele"/>
    <x v="2"/>
    <n v="35"/>
    <x v="2"/>
    <s v="Data Analyst"/>
    <d v="2012-03-29T00:00:00"/>
    <n v="89896"/>
    <s v="Divorced"/>
    <s v="High School"/>
    <x v="8"/>
    <s v="Travel_Frequently"/>
    <n v="41"/>
    <x v="0"/>
    <x v="2"/>
    <n v="2"/>
    <n v="1"/>
    <n v="3"/>
    <n v="0"/>
    <n v="1"/>
    <n v="19"/>
    <s v="Not Specified"/>
    <x v="1"/>
    <d v="2025-01-26T00:00:00"/>
    <x v="0"/>
    <n v="12"/>
    <x v="2"/>
    <n v="1"/>
    <s v="More than 10 Years"/>
    <n v="1.67"/>
    <x v="2"/>
  </r>
  <r>
    <s v="EMP1417"/>
    <s v="Megan Oliver"/>
    <x v="2"/>
    <n v="34"/>
    <x v="3"/>
    <s v="Financial Analyst"/>
    <d v="2013-06-16T00:00:00"/>
    <n v="74816"/>
    <s v="Married"/>
    <s v="Bachelor's"/>
    <x v="2"/>
    <s v="Travel_Rarely"/>
    <n v="24"/>
    <x v="1"/>
    <x v="0"/>
    <n v="2"/>
    <n v="3"/>
    <n v="2"/>
    <n v="3"/>
    <n v="6"/>
    <n v="14"/>
    <s v="William Stanton"/>
    <x v="1"/>
    <d v="2023-06-16T00:00:00"/>
    <x v="1"/>
    <n v="10"/>
    <x v="2"/>
    <n v="1"/>
    <s v="6-10 Years"/>
    <n v="2"/>
    <x v="0"/>
  </r>
  <r>
    <s v="EMP1952"/>
    <s v="Brianna Martinez"/>
    <x v="2"/>
    <n v="28"/>
    <x v="2"/>
    <s v="Software Engineer"/>
    <d v="2022-04-10T00:00:00"/>
    <n v="55109"/>
    <s v="Single"/>
    <s v="Not Specified"/>
    <x v="3"/>
    <s v="Travel_Frequently"/>
    <n v="22"/>
    <x v="0"/>
    <x v="1"/>
    <n v="1"/>
    <n v="3"/>
    <n v="3"/>
    <n v="6"/>
    <n v="2"/>
    <n v="17"/>
    <s v="Michael Boyer"/>
    <x v="0"/>
    <m/>
    <x v="1"/>
    <n v="4"/>
    <x v="1"/>
    <n v="0"/>
    <s v="4-5 Years"/>
    <n v="2.67"/>
    <x v="0"/>
  </r>
  <r>
    <s v="EMP1411"/>
    <s v="Edward Stanley"/>
    <x v="0"/>
    <n v="50"/>
    <x v="5"/>
    <s v="Digital Marketing Specialist"/>
    <d v="2020-08-13T00:00:00"/>
    <n v="73478"/>
    <s v="Single"/>
    <s v="Diploma"/>
    <x v="6"/>
    <s v="Travel_Rarely"/>
    <n v="30"/>
    <x v="0"/>
    <x v="0"/>
    <n v="2"/>
    <n v="2"/>
    <n v="5"/>
    <n v="5"/>
    <n v="2"/>
    <n v="14"/>
    <s v="Christopher Carter"/>
    <x v="1"/>
    <d v="2021-10-28T00:00:00"/>
    <x v="3"/>
    <n v="1"/>
    <x v="2"/>
    <n v="1"/>
    <s v="1-3 Years"/>
    <n v="1.67"/>
    <x v="2"/>
  </r>
  <r>
    <s v="EMP2080"/>
    <s v="Eric Jenkins"/>
    <x v="2"/>
    <n v="39"/>
    <x v="3"/>
    <s v="Accountant"/>
    <d v="2024-09-26T00:00:00"/>
    <n v="72904"/>
    <s v="Married"/>
    <s v="Bachelor's"/>
    <x v="3"/>
    <s v="Travel_Frequently"/>
    <n v="42"/>
    <x v="0"/>
    <x v="1"/>
    <n v="3"/>
    <n v="3"/>
    <n v="3"/>
    <n v="5"/>
    <n v="4"/>
    <n v="16"/>
    <s v="Ann Fields"/>
    <x v="0"/>
    <m/>
    <x v="0"/>
    <n v="1"/>
    <x v="2"/>
    <n v="0"/>
    <s v="1-3 Years"/>
    <n v="3.33"/>
    <x v="1"/>
  </r>
  <r>
    <s v="EMP1792"/>
    <s v="Jesus Jackson"/>
    <x v="2"/>
    <n v="30"/>
    <x v="2"/>
    <s v="Data Analyst"/>
    <d v="2025-06-13T00:00:00"/>
    <n v="74189"/>
    <s v="Married"/>
    <s v="High School"/>
    <x v="10"/>
    <s v="Non-Travel"/>
    <n v="44"/>
    <x v="0"/>
    <x v="2"/>
    <n v="1"/>
    <n v="3"/>
    <n v="3"/>
    <n v="3"/>
    <n v="0"/>
    <n v="23"/>
    <s v="William Franco"/>
    <x v="1"/>
    <d v="2026-04-25T00:00:00"/>
    <x v="1"/>
    <n v="0"/>
    <x v="2"/>
    <n v="1"/>
    <s v="Less than 1 Year"/>
    <n v="2"/>
    <x v="0"/>
  </r>
  <r>
    <s v="EMP1856"/>
    <s v="Kelly Diaz"/>
    <x v="2"/>
    <n v="23"/>
    <x v="0"/>
    <s v="Research Scientist"/>
    <d v="2013-11-13T00:00:00"/>
    <n v="95356"/>
    <s v="Divorced"/>
    <s v="Bachelor's"/>
    <x v="4"/>
    <s v="Non-Travel"/>
    <n v="32"/>
    <x v="0"/>
    <x v="1"/>
    <n v="3"/>
    <n v="1"/>
    <n v="3"/>
    <n v="0"/>
    <n v="1"/>
    <n v="11"/>
    <s v="Michael Evans"/>
    <x v="0"/>
    <m/>
    <x v="2"/>
    <n v="12"/>
    <x v="2"/>
    <n v="0"/>
    <s v="More than 10 Years"/>
    <n v="2.67"/>
    <x v="0"/>
  </r>
  <r>
    <s v="EMP1645"/>
    <s v="Christian Prince"/>
    <x v="0"/>
    <n v="40"/>
    <x v="4"/>
    <s v="Account Manager"/>
    <d v="2021-06-18T00:00:00"/>
    <n v="41021"/>
    <s v="Divorced"/>
    <s v="Master's"/>
    <x v="2"/>
    <s v="Non-Travel"/>
    <n v="9"/>
    <x v="0"/>
    <x v="0"/>
    <n v="3"/>
    <n v="2"/>
    <n v="3"/>
    <n v="2"/>
    <n v="4"/>
    <n v="23"/>
    <s v="James Yu"/>
    <x v="0"/>
    <m/>
    <x v="0"/>
    <n v="5"/>
    <x v="1"/>
    <n v="0"/>
    <s v="4-5 Years"/>
    <n v="2"/>
    <x v="0"/>
  </r>
  <r>
    <s v="EMP1396"/>
    <s v="Sarah Morris"/>
    <x v="0"/>
    <n v="43"/>
    <x v="0"/>
    <s v="Lab Technician"/>
    <d v="2011-12-28T00:00:00"/>
    <n v="83084"/>
    <s v="Divorced"/>
    <s v="Master's"/>
    <x v="2"/>
    <s v="Non-Travel"/>
    <n v="15"/>
    <x v="0"/>
    <x v="0"/>
    <n v="2"/>
    <n v="2"/>
    <n v="3"/>
    <n v="4"/>
    <n v="7"/>
    <n v="12"/>
    <s v="Sylvia Schroeder"/>
    <x v="0"/>
    <m/>
    <x v="0"/>
    <n v="14"/>
    <x v="2"/>
    <n v="0"/>
    <s v="More than 10 Years"/>
    <n v="1.67"/>
    <x v="2"/>
  </r>
  <r>
    <s v="EMP1668"/>
    <s v="Stephen Young"/>
    <x v="0"/>
    <n v="34"/>
    <x v="5"/>
    <s v="Marketing Executive"/>
    <d v="2020-06-12T00:00:00"/>
    <n v="58736"/>
    <s v="Not Specified"/>
    <s v="Bachelor's"/>
    <x v="4"/>
    <s v="Travel_Frequently"/>
    <n v="8"/>
    <x v="0"/>
    <x v="2"/>
    <n v="3"/>
    <n v="1"/>
    <n v="4"/>
    <n v="2"/>
    <n v="5"/>
    <n v="15"/>
    <s v="Bobby Greene"/>
    <x v="1"/>
    <d v="2023-05-28T00:00:00"/>
    <x v="1"/>
    <n v="2"/>
    <x v="1"/>
    <n v="1"/>
    <s v="1-3 Years"/>
    <n v="2"/>
    <x v="0"/>
  </r>
  <r>
    <s v="EMP1460"/>
    <s v="Not Specified"/>
    <x v="0"/>
    <n v="37"/>
    <x v="0"/>
    <s v="Research Scientist"/>
    <d v="2021-09-06T00:00:00"/>
    <n v="47458"/>
    <s v="Married"/>
    <s v="Master's"/>
    <x v="6"/>
    <s v="Non-Travel"/>
    <n v="24"/>
    <x v="0"/>
    <x v="1"/>
    <n v="1"/>
    <n v="4"/>
    <n v="5"/>
    <n v="2"/>
    <n v="6"/>
    <n v="13"/>
    <s v="Sara Caldwell"/>
    <x v="0"/>
    <m/>
    <x v="0"/>
    <n v="4"/>
    <x v="1"/>
    <n v="0"/>
    <s v="4-5 Years"/>
    <n v="3"/>
    <x v="1"/>
  </r>
  <r>
    <s v="EMP1656"/>
    <s v="Frederick Ellis II"/>
    <x v="0"/>
    <n v="34"/>
    <x v="0"/>
    <s v="Research Scientist"/>
    <d v="2017-09-14T00:00:00"/>
    <n v="101453"/>
    <s v="Divorced"/>
    <s v="Bachelor's"/>
    <x v="1"/>
    <s v="Travel_Frequently"/>
    <n v="20"/>
    <x v="0"/>
    <x v="2"/>
    <n v="2"/>
    <n v="1"/>
    <n v="3"/>
    <n v="3"/>
    <n v="2"/>
    <n v="11"/>
    <s v="Nicolas James"/>
    <x v="0"/>
    <m/>
    <x v="1"/>
    <n v="8"/>
    <x v="0"/>
    <n v="0"/>
    <s v="6-10 Years"/>
    <n v="1.67"/>
    <x v="2"/>
  </r>
  <r>
    <s v="EMP1128"/>
    <s v="Nicole Morgan"/>
    <x v="2"/>
    <n v="26"/>
    <x v="4"/>
    <s v="Account Manager"/>
    <d v="2013-05-19T00:00:00"/>
    <n v="71930"/>
    <s v="Single"/>
    <s v="Diploma"/>
    <x v="4"/>
    <s v="Travel_Rarely"/>
    <n v="20"/>
    <x v="0"/>
    <x v="3"/>
    <n v="3"/>
    <n v="1"/>
    <n v="2"/>
    <n v="4"/>
    <n v="2"/>
    <n v="18"/>
    <s v="Brenda Levy"/>
    <x v="0"/>
    <m/>
    <x v="1"/>
    <n v="13"/>
    <x v="2"/>
    <n v="0"/>
    <s v="More than 10 Years"/>
    <n v="2.33"/>
    <x v="0"/>
  </r>
  <r>
    <s v="EMP2057"/>
    <s v="Miss Megan Compton"/>
    <x v="0"/>
    <n v="44"/>
    <x v="2"/>
    <s v="System Administrator"/>
    <d v="2022-01-05T00:00:00"/>
    <n v="76061"/>
    <s v="Single"/>
    <s v="High School"/>
    <x v="6"/>
    <s v="Travel_Frequently"/>
    <n v="22"/>
    <x v="1"/>
    <x v="0"/>
    <n v="1"/>
    <n v="3"/>
    <n v="5"/>
    <n v="1"/>
    <n v="1"/>
    <n v="22"/>
    <s v="Mark Henson"/>
    <x v="0"/>
    <m/>
    <x v="0"/>
    <n v="4"/>
    <x v="2"/>
    <n v="0"/>
    <s v="4-5 Years"/>
    <n v="1.67"/>
    <x v="2"/>
  </r>
  <r>
    <s v="EMP2189"/>
    <s v="Mark Smith"/>
    <x v="0"/>
    <n v="50"/>
    <x v="0"/>
    <s v="Research Director"/>
    <d v="2026-01-29T00:00:00"/>
    <n v="118013"/>
    <s v="Married"/>
    <s v="Diploma"/>
    <x v="3"/>
    <s v="Non-Travel"/>
    <n v="5"/>
    <x v="0"/>
    <x v="0"/>
    <n v="3"/>
    <n v="4"/>
    <n v="3"/>
    <n v="5"/>
    <n v="2"/>
    <n v="18"/>
    <s v="Ashley Fitzgerald"/>
    <x v="0"/>
    <m/>
    <x v="3"/>
    <n v="0"/>
    <x v="0"/>
    <n v="0"/>
    <s v="Less than 1 Year"/>
    <n v="2.67"/>
    <x v="0"/>
  </r>
  <r>
    <s v="EMP1774"/>
    <s v="Abigail Baird"/>
    <x v="0"/>
    <n v="38"/>
    <x v="7"/>
    <s v="Supply Chain Analyst"/>
    <d v="2012-04-05T00:00:00"/>
    <n v="82411"/>
    <s v="Single"/>
    <s v="Bachelor's"/>
    <x v="3"/>
    <s v="Travel_Frequently"/>
    <n v="21"/>
    <x v="1"/>
    <x v="1"/>
    <n v="3"/>
    <n v="1"/>
    <n v="3"/>
    <n v="1"/>
    <n v="7"/>
    <n v="21"/>
    <s v="Not Specified"/>
    <x v="1"/>
    <d v="2019-01-15T00:00:00"/>
    <x v="0"/>
    <n v="6"/>
    <x v="2"/>
    <n v="1"/>
    <s v="6-10 Years"/>
    <n v="2.67"/>
    <x v="0"/>
  </r>
  <r>
    <s v="EMP1450"/>
    <s v="Cheryl Rhodes"/>
    <x v="0"/>
    <n v="36"/>
    <x v="7"/>
    <s v="Logistics Manager"/>
    <d v="2021-01-04T00:00:00"/>
    <n v="54371"/>
    <s v="Married"/>
    <s v="Master's"/>
    <x v="3"/>
    <s v="Travel_Rarely"/>
    <n v="21"/>
    <x v="0"/>
    <x v="2"/>
    <n v="1"/>
    <n v="3"/>
    <n v="4"/>
    <n v="0"/>
    <n v="4"/>
    <n v="24"/>
    <s v="Michael Cooper"/>
    <x v="0"/>
    <m/>
    <x v="0"/>
    <n v="5"/>
    <x v="1"/>
    <n v="0"/>
    <s v="4-5 Years"/>
    <n v="2"/>
    <x v="0"/>
  </r>
  <r>
    <s v="EMP1238"/>
    <s v="Melissa Bishop"/>
    <x v="0"/>
    <n v="47"/>
    <x v="4"/>
    <s v="Sales Executive"/>
    <d v="2014-07-13T00:00:00"/>
    <n v="58203"/>
    <s v="Divorced"/>
    <s v="Master's"/>
    <x v="9"/>
    <s v="Non-Travel"/>
    <n v="10"/>
    <x v="0"/>
    <x v="0"/>
    <n v="1"/>
    <n v="3"/>
    <n v="2"/>
    <n v="3"/>
    <n v="5"/>
    <n v="24"/>
    <s v="Justin Walker"/>
    <x v="0"/>
    <m/>
    <x v="3"/>
    <n v="12"/>
    <x v="1"/>
    <n v="0"/>
    <s v="More than 10 Years"/>
    <n v="1.67"/>
    <x v="2"/>
  </r>
  <r>
    <s v="EMP1168"/>
    <s v="Emily Hayes"/>
    <x v="0"/>
    <n v="47"/>
    <x v="0"/>
    <s v="Manufacturing Technician"/>
    <d v="2012-07-05T00:00:00"/>
    <n v="61074"/>
    <s v="Married"/>
    <s v="Bachelor's"/>
    <x v="7"/>
    <s v="Travel_Frequently"/>
    <n v="8"/>
    <x v="0"/>
    <x v="3"/>
    <n v="4"/>
    <n v="1"/>
    <n v="2"/>
    <n v="1"/>
    <n v="4"/>
    <n v="12"/>
    <s v="Angela Lin"/>
    <x v="0"/>
    <m/>
    <x v="3"/>
    <n v="14"/>
    <x v="2"/>
    <n v="0"/>
    <s v="More than 10 Years"/>
    <n v="2.67"/>
    <x v="0"/>
  </r>
  <r>
    <s v="EMP1783"/>
    <s v="Tina Clark"/>
    <x v="2"/>
    <n v="42"/>
    <x v="2"/>
    <s v="It Support"/>
    <d v="2022-10-11T00:00:00"/>
    <n v="79956"/>
    <s v="Single"/>
    <s v="Bachelor's"/>
    <x v="9"/>
    <s v="Travel_Frequently"/>
    <n v="28"/>
    <x v="0"/>
    <x v="3"/>
    <n v="2"/>
    <n v="2"/>
    <n v="1"/>
    <n v="3"/>
    <n v="1"/>
    <n v="13"/>
    <s v="Harold Adams"/>
    <x v="0"/>
    <m/>
    <x v="0"/>
    <n v="3"/>
    <x v="2"/>
    <n v="0"/>
    <s v="1-3 Years"/>
    <n v="2.33"/>
    <x v="0"/>
  </r>
  <r>
    <s v="EMP1636"/>
    <s v="Tammy Melton"/>
    <x v="2"/>
    <n v="42"/>
    <x v="3"/>
    <s v="Finance Manager"/>
    <d v="2023-11-24T00:00:00"/>
    <n v="115607"/>
    <s v="Married"/>
    <s v="Not Specified"/>
    <x v="9"/>
    <s v="Non-Travel"/>
    <n v="20"/>
    <x v="1"/>
    <x v="0"/>
    <n v="2"/>
    <n v="4"/>
    <n v="3"/>
    <n v="0"/>
    <n v="0"/>
    <n v="12"/>
    <s v="Ashley Cole"/>
    <x v="1"/>
    <d v="2023-12-07T00:00:00"/>
    <x v="0"/>
    <n v="0"/>
    <x v="0"/>
    <n v="1"/>
    <s v="Less than 1 Year"/>
    <n v="2.33"/>
    <x v="0"/>
  </r>
  <r>
    <s v="EMP1081"/>
    <s v="Gina Beard"/>
    <x v="0"/>
    <n v="39"/>
    <x v="2"/>
    <s v="System Administrator"/>
    <d v="2022-02-14T00:00:00"/>
    <n v="133673"/>
    <s v="Divorced"/>
    <s v="Master's"/>
    <x v="3"/>
    <s v="Travel_Rarely"/>
    <n v="15"/>
    <x v="0"/>
    <x v="1"/>
    <n v="2"/>
    <n v="3"/>
    <n v="3"/>
    <n v="2"/>
    <n v="4"/>
    <n v="13"/>
    <s v="Adam Vaughan"/>
    <x v="0"/>
    <m/>
    <x v="0"/>
    <n v="4"/>
    <x v="0"/>
    <n v="0"/>
    <s v="4-5 Years"/>
    <n v="3"/>
    <x v="1"/>
  </r>
  <r>
    <s v="EMP1415"/>
    <s v="Leah Spencer"/>
    <x v="0"/>
    <n v="29"/>
    <x v="5"/>
    <s v="Marketing Executive"/>
    <d v="2024-03-16T00:00:00"/>
    <n v="87106"/>
    <s v="Married"/>
    <s v="Diploma"/>
    <x v="4"/>
    <s v="Travel_Frequently"/>
    <n v="43"/>
    <x v="0"/>
    <x v="0"/>
    <n v="1"/>
    <n v="2"/>
    <n v="4"/>
    <n v="5"/>
    <n v="4"/>
    <n v="19"/>
    <s v="Joseph Camacho"/>
    <x v="1"/>
    <d v="2026-03-20T00:00:00"/>
    <x v="1"/>
    <n v="2"/>
    <x v="2"/>
    <n v="1"/>
    <s v="1-3 Years"/>
    <n v="1.33"/>
    <x v="2"/>
  </r>
  <r>
    <s v="EMP1670"/>
    <s v="Amanda Nash"/>
    <x v="0"/>
    <n v="32"/>
    <x v="0"/>
    <s v="Lab Technician"/>
    <d v="2021-08-12T00:00:00"/>
    <n v="44026"/>
    <s v="Single"/>
    <s v="Master's"/>
    <x v="0"/>
    <s v="Travel_Rarely"/>
    <n v="7"/>
    <x v="1"/>
    <x v="2"/>
    <n v="3"/>
    <n v="1"/>
    <n v="3"/>
    <n v="3"/>
    <n v="2"/>
    <n v="15"/>
    <s v="Thomas Williams"/>
    <x v="1"/>
    <d v="2025-11-05T00:00:00"/>
    <x v="1"/>
    <n v="4"/>
    <x v="1"/>
    <n v="1"/>
    <s v="4-5 Years"/>
    <n v="2"/>
    <x v="0"/>
  </r>
  <r>
    <s v="EMP1301"/>
    <s v="Jerry Peters"/>
    <x v="0"/>
    <n v="40"/>
    <x v="1"/>
    <s v="Hr Manager"/>
    <d v="2017-10-01T00:00:00"/>
    <n v="51460"/>
    <s v="Single"/>
    <s v="Master's"/>
    <x v="6"/>
    <s v="Travel_Frequently"/>
    <n v="41"/>
    <x v="1"/>
    <x v="1"/>
    <n v="3"/>
    <n v="3"/>
    <n v="1"/>
    <n v="0"/>
    <n v="8"/>
    <n v="22"/>
    <s v="Hector Davis"/>
    <x v="0"/>
    <m/>
    <x v="0"/>
    <n v="8"/>
    <x v="1"/>
    <n v="0"/>
    <s v="6-10 Years"/>
    <n v="3.33"/>
    <x v="1"/>
  </r>
  <r>
    <s v="EMP1643"/>
    <s v="Christopher Reed"/>
    <x v="0"/>
    <n v="35"/>
    <x v="0"/>
    <s v="Lab Technician"/>
    <d v="2016-11-29T00:00:00"/>
    <n v="59686"/>
    <s v="Single"/>
    <s v="Diploma"/>
    <x v="5"/>
    <s v="Travel_Frequently"/>
    <n v="38"/>
    <x v="0"/>
    <x v="2"/>
    <n v="3"/>
    <n v="3"/>
    <n v="3"/>
    <n v="1"/>
    <n v="4"/>
    <n v="11"/>
    <s v="Cynthia Good"/>
    <x v="0"/>
    <m/>
    <x v="0"/>
    <n v="9"/>
    <x v="1"/>
    <n v="0"/>
    <s v="6-10 Years"/>
    <n v="2.67"/>
    <x v="0"/>
  </r>
  <r>
    <s v="EMP1325"/>
    <s v="Lucas Miller"/>
    <x v="0"/>
    <n v="22"/>
    <x v="4"/>
    <s v="Account Manager"/>
    <d v="2013-08-29T00:00:00"/>
    <n v="61904"/>
    <s v="Divorced"/>
    <s v="Bachelor's"/>
    <x v="4"/>
    <s v="Travel_Frequently"/>
    <n v="15"/>
    <x v="0"/>
    <x v="2"/>
    <n v="4"/>
    <n v="3"/>
    <n v="4"/>
    <n v="6"/>
    <n v="5"/>
    <n v="14"/>
    <s v="Eric White"/>
    <x v="0"/>
    <m/>
    <x v="2"/>
    <n v="13"/>
    <x v="2"/>
    <n v="0"/>
    <s v="More than 10 Years"/>
    <n v="3"/>
    <x v="1"/>
  </r>
  <r>
    <s v="EMP1936"/>
    <s v="Jimmy Phelps"/>
    <x v="0"/>
    <n v="24"/>
    <x v="4"/>
    <s v="Sales Manager"/>
    <d v="2023-07-08T00:00:00"/>
    <n v="55140"/>
    <s v="Married"/>
    <s v="Bachelor's"/>
    <x v="3"/>
    <s v="Travel_Frequently"/>
    <n v="13"/>
    <x v="1"/>
    <x v="1"/>
    <n v="4"/>
    <n v="4"/>
    <n v="2"/>
    <n v="3"/>
    <n v="5"/>
    <n v="20"/>
    <s v="Allen Thomas"/>
    <x v="0"/>
    <m/>
    <x v="2"/>
    <n v="3"/>
    <x v="1"/>
    <n v="0"/>
    <s v="1-3 Years"/>
    <n v="4"/>
    <x v="1"/>
  </r>
  <r>
    <s v="EMP1216"/>
    <s v="Eric Ferguson"/>
    <x v="0"/>
    <n v="27"/>
    <x v="0"/>
    <s v="Manufacturing Technician"/>
    <d v="2019-02-28T00:00:00"/>
    <n v="113029"/>
    <s v="Divorced"/>
    <s v="Master's"/>
    <x v="8"/>
    <s v="Travel_Rarely"/>
    <n v="8"/>
    <x v="0"/>
    <x v="2"/>
    <n v="2"/>
    <n v="1"/>
    <n v="3"/>
    <n v="5"/>
    <n v="1"/>
    <n v="18"/>
    <s v="Brittany Hopkins"/>
    <x v="1"/>
    <d v="2020-06-04T00:00:00"/>
    <x v="1"/>
    <n v="1"/>
    <x v="0"/>
    <n v="1"/>
    <s v="1-3 Years"/>
    <n v="1.67"/>
    <x v="2"/>
  </r>
  <r>
    <s v="EMP1622"/>
    <s v="Rodney Norris"/>
    <x v="2"/>
    <n v="43"/>
    <x v="5"/>
    <s v="Brand Manager"/>
    <d v="2015-10-12T00:00:00"/>
    <n v="89178"/>
    <s v="Single"/>
    <s v="High School"/>
    <x v="2"/>
    <s v="Travel_Frequently"/>
    <n v="36"/>
    <x v="1"/>
    <x v="1"/>
    <n v="3"/>
    <n v="2"/>
    <n v="4"/>
    <n v="4"/>
    <n v="3"/>
    <n v="18"/>
    <s v="Tammy Moore"/>
    <x v="1"/>
    <d v="2021-10-21T00:00:00"/>
    <x v="0"/>
    <n v="6"/>
    <x v="2"/>
    <n v="1"/>
    <s v="6-10 Years"/>
    <n v="3"/>
    <x v="1"/>
  </r>
  <r>
    <s v="EMP1031"/>
    <s v="Lauren Daniels"/>
    <x v="0"/>
    <n v="48"/>
    <x v="2"/>
    <s v="Software Engineer"/>
    <d v="2022-10-27T00:00:00"/>
    <n v="70882"/>
    <s v="Not Specified"/>
    <s v="Bachelor's"/>
    <x v="1"/>
    <s v="Travel_Rarely"/>
    <n v="43"/>
    <x v="0"/>
    <x v="3"/>
    <n v="2"/>
    <n v="3"/>
    <n v="3"/>
    <n v="6"/>
    <n v="8"/>
    <n v="16"/>
    <s v="Kevin Shaw"/>
    <x v="0"/>
    <m/>
    <x v="3"/>
    <n v="3"/>
    <x v="2"/>
    <n v="0"/>
    <s v="1-3 Years"/>
    <n v="2.67"/>
    <x v="0"/>
  </r>
  <r>
    <s v="EMP1753"/>
    <s v="Bianca Jackson"/>
    <x v="2"/>
    <n v="35"/>
    <x v="4"/>
    <s v="Sales Representative"/>
    <d v="2012-05-29T00:00:00"/>
    <n v="51723"/>
    <s v="Married"/>
    <s v="Master's"/>
    <x v="2"/>
    <s v="Not Specified"/>
    <n v="30"/>
    <x v="0"/>
    <x v="3"/>
    <n v="4"/>
    <n v="2"/>
    <n v="3"/>
    <n v="1"/>
    <n v="6"/>
    <n v="11"/>
    <s v="Riley Bryant"/>
    <x v="0"/>
    <m/>
    <x v="0"/>
    <n v="14"/>
    <x v="1"/>
    <n v="0"/>
    <s v="More than 10 Years"/>
    <n v="3"/>
    <x v="1"/>
  </r>
  <r>
    <s v="EMP1243"/>
    <s v="Laurie Sanchez"/>
    <x v="2"/>
    <n v="39"/>
    <x v="2"/>
    <s v="System Administrator"/>
    <d v="2021-08-27T00:00:00"/>
    <n v="118463"/>
    <s v="Divorced"/>
    <s v="Bachelor's"/>
    <x v="0"/>
    <s v="Non-Travel"/>
    <n v="24"/>
    <x v="0"/>
    <x v="1"/>
    <n v="2"/>
    <n v="3"/>
    <n v="4"/>
    <n v="0"/>
    <n v="4"/>
    <n v="16"/>
    <s v="Margaret Williams"/>
    <x v="0"/>
    <m/>
    <x v="0"/>
    <n v="5"/>
    <x v="0"/>
    <n v="0"/>
    <s v="4-5 Years"/>
    <n v="3"/>
    <x v="1"/>
  </r>
  <r>
    <s v="EMP1730"/>
    <s v="Seth Smith"/>
    <x v="2"/>
    <n v="33"/>
    <x v="0"/>
    <s v="Research Scientist"/>
    <d v="2025-06-30T00:00:00"/>
    <n v="95297"/>
    <s v="Divorced"/>
    <s v="Master's"/>
    <x v="5"/>
    <s v="Travel_Rarely"/>
    <n v="25"/>
    <x v="1"/>
    <x v="1"/>
    <n v="1"/>
    <n v="3"/>
    <n v="3"/>
    <n v="0"/>
    <n v="8"/>
    <n v="16"/>
    <s v="Tonya Vega"/>
    <x v="1"/>
    <d v="2026-01-07T00:00:00"/>
    <x v="1"/>
    <n v="0"/>
    <x v="2"/>
    <n v="1"/>
    <s v="Less than 1 Year"/>
    <n v="2.67"/>
    <x v="0"/>
  </r>
  <r>
    <s v="EMP1641"/>
    <s v="James Bray"/>
    <x v="1"/>
    <n v="35"/>
    <x v="4"/>
    <s v="Sales Representative"/>
    <d v="2013-02-23T00:00:00"/>
    <n v="108740"/>
    <s v="Married"/>
    <s v="Master's"/>
    <x v="3"/>
    <s v="Non-Travel"/>
    <n v="13"/>
    <x v="1"/>
    <x v="3"/>
    <n v="4"/>
    <n v="3"/>
    <n v="5"/>
    <n v="6"/>
    <n v="1"/>
    <n v="20"/>
    <s v="Not Specified"/>
    <x v="0"/>
    <m/>
    <x v="0"/>
    <n v="13"/>
    <x v="0"/>
    <n v="0"/>
    <s v="More than 10 Years"/>
    <n v="3.33"/>
    <x v="1"/>
  </r>
  <r>
    <s v="EMP1136"/>
    <s v="James Lopez"/>
    <x v="0"/>
    <n v="33"/>
    <x v="1"/>
    <s v="Hr Manager"/>
    <d v="2013-06-26T00:00:00"/>
    <n v="63997"/>
    <s v="Divorced"/>
    <s v="Diploma"/>
    <x v="0"/>
    <s v="Travel_Rarely"/>
    <n v="45"/>
    <x v="0"/>
    <x v="0"/>
    <n v="1"/>
    <n v="4"/>
    <n v="3"/>
    <n v="4"/>
    <n v="5"/>
    <n v="15"/>
    <s v="Jordan Bates"/>
    <x v="0"/>
    <m/>
    <x v="1"/>
    <n v="13"/>
    <x v="2"/>
    <n v="0"/>
    <s v="More than 10 Years"/>
    <n v="2"/>
    <x v="0"/>
  </r>
  <r>
    <s v="EMP2054"/>
    <s v="Christopher Morales"/>
    <x v="0"/>
    <n v="42"/>
    <x v="5"/>
    <s v="Marketing Executive"/>
    <d v="2016-05-19T00:00:00"/>
    <n v="77630"/>
    <s v="Married"/>
    <s v="Bachelor's"/>
    <x v="0"/>
    <s v="Non-Travel"/>
    <n v="40"/>
    <x v="1"/>
    <x v="0"/>
    <n v="2"/>
    <n v="4"/>
    <n v="3"/>
    <n v="5"/>
    <n v="5"/>
    <n v="18"/>
    <s v="Austin Briggs"/>
    <x v="1"/>
    <d v="2020-05-19T00:00:00"/>
    <x v="0"/>
    <n v="4"/>
    <x v="2"/>
    <n v="1"/>
    <s v="4-5 Years"/>
    <n v="2.33"/>
    <x v="0"/>
  </r>
  <r>
    <s v="EMP1210"/>
    <s v="Barbara Harris"/>
    <x v="0"/>
    <n v="35"/>
    <x v="4"/>
    <s v="Sales Executive"/>
    <d v="2013-09-25T00:00:00"/>
    <n v="61327"/>
    <s v="Divorced"/>
    <s v="Master's"/>
    <x v="0"/>
    <s v="Non-Travel"/>
    <n v="5"/>
    <x v="0"/>
    <x v="2"/>
    <n v="4"/>
    <n v="2"/>
    <n v="3"/>
    <n v="3"/>
    <n v="4"/>
    <n v="18"/>
    <s v="Not Specified"/>
    <x v="0"/>
    <m/>
    <x v="0"/>
    <n v="12"/>
    <x v="2"/>
    <n v="0"/>
    <s v="More than 10 Years"/>
    <n v="2.67"/>
    <x v="0"/>
  </r>
  <r>
    <s v="EMP1548"/>
    <s v="Gregory Thornton"/>
    <x v="1"/>
    <n v="41"/>
    <x v="3"/>
    <s v="Accountant"/>
    <d v="2022-08-22T00:00:00"/>
    <n v="52615"/>
    <s v="Married"/>
    <s v="Bachelor's"/>
    <x v="4"/>
    <s v="Non-Travel"/>
    <n v="40"/>
    <x v="1"/>
    <x v="0"/>
    <n v="3"/>
    <n v="2"/>
    <n v="5"/>
    <n v="4"/>
    <n v="3"/>
    <n v="13"/>
    <s v="Nicole Griffin"/>
    <x v="1"/>
    <d v="2026-01-29T00:00:00"/>
    <x v="0"/>
    <n v="3"/>
    <x v="1"/>
    <n v="1"/>
    <s v="1-3 Years"/>
    <n v="2"/>
    <x v="0"/>
  </r>
  <r>
    <s v="EMP1436"/>
    <s v="Jacqueline Holland"/>
    <x v="2"/>
    <n v="25"/>
    <x v="7"/>
    <s v="Supply Chain Analyst"/>
    <d v="2020-09-30T00:00:00"/>
    <n v="95237"/>
    <s v="Divorced"/>
    <s v="Bachelor's"/>
    <x v="7"/>
    <s v="Travel_Rarely"/>
    <n v="28"/>
    <x v="0"/>
    <x v="0"/>
    <n v="3"/>
    <n v="2"/>
    <n v="4"/>
    <n v="0"/>
    <n v="8"/>
    <n v="18"/>
    <s v="Brian Brown"/>
    <x v="0"/>
    <m/>
    <x v="1"/>
    <n v="5"/>
    <x v="2"/>
    <n v="0"/>
    <s v="4-5 Years"/>
    <n v="2"/>
    <x v="0"/>
  </r>
  <r>
    <s v="EMP2141"/>
    <s v="Scott Meza"/>
    <x v="0"/>
    <n v="40"/>
    <x v="3"/>
    <s v="Financial Analyst"/>
    <d v="2017-09-23T00:00:00"/>
    <n v="54711"/>
    <s v="Not Specified"/>
    <s v="Bachelor's"/>
    <x v="9"/>
    <s v="Travel_Frequently"/>
    <n v="30"/>
    <x v="0"/>
    <x v="2"/>
    <n v="4"/>
    <n v="1"/>
    <n v="1"/>
    <n v="3"/>
    <n v="4"/>
    <n v="25"/>
    <s v="Brandon Miller"/>
    <x v="0"/>
    <m/>
    <x v="0"/>
    <n v="8"/>
    <x v="1"/>
    <n v="0"/>
    <s v="6-10 Years"/>
    <n v="2.33"/>
    <x v="0"/>
  </r>
  <r>
    <s v="EMP2109"/>
    <s v="Melody Williams"/>
    <x v="1"/>
    <n v="30"/>
    <x v="2"/>
    <s v="It Support"/>
    <d v="2024-07-28T00:00:00"/>
    <n v="112767"/>
    <s v="Not Specified"/>
    <s v="Master's"/>
    <x v="8"/>
    <s v="Travel_Rarely"/>
    <n v="13"/>
    <x v="0"/>
    <x v="1"/>
    <n v="2"/>
    <n v="3"/>
    <n v="3"/>
    <n v="3"/>
    <n v="8"/>
    <n v="25"/>
    <s v="John Myers"/>
    <x v="0"/>
    <m/>
    <x v="1"/>
    <n v="2"/>
    <x v="0"/>
    <n v="0"/>
    <s v="1-3 Years"/>
    <n v="3"/>
    <x v="1"/>
  </r>
  <r>
    <s v="EMP1404"/>
    <s v="Brian Smith"/>
    <x v="0"/>
    <n v="35"/>
    <x v="4"/>
    <s v="Account Manager"/>
    <d v="2017-06-02T00:00:00"/>
    <n v="76383"/>
    <s v="Married"/>
    <s v="Diploma"/>
    <x v="8"/>
    <s v="Travel_Rarely"/>
    <n v="16"/>
    <x v="0"/>
    <x v="3"/>
    <n v="1"/>
    <n v="3"/>
    <n v="4"/>
    <n v="6"/>
    <n v="0"/>
    <n v="19"/>
    <s v="Tracy Wilkerson"/>
    <x v="0"/>
    <m/>
    <x v="0"/>
    <n v="9"/>
    <x v="2"/>
    <n v="0"/>
    <s v="6-10 Years"/>
    <n v="2.33"/>
    <x v="0"/>
  </r>
  <r>
    <s v="EMP2084"/>
    <s v="Anthony White"/>
    <x v="2"/>
    <n v="29"/>
    <x v="4"/>
    <s v="Sales Manager"/>
    <d v="2022-12-27T00:00:00"/>
    <n v="92806"/>
    <s v="Divorced"/>
    <s v="Bachelor's"/>
    <x v="4"/>
    <s v="Travel_Frequently"/>
    <n v="45"/>
    <x v="0"/>
    <x v="1"/>
    <n v="3"/>
    <n v="2"/>
    <n v="3"/>
    <n v="3"/>
    <n v="3"/>
    <n v="17"/>
    <s v="Steven Ortiz"/>
    <x v="0"/>
    <m/>
    <x v="1"/>
    <n v="3"/>
    <x v="2"/>
    <n v="0"/>
    <s v="1-3 Years"/>
    <n v="3"/>
    <x v="1"/>
  </r>
  <r>
    <s v="EMP1363"/>
    <s v="Alyssa Roman"/>
    <x v="0"/>
    <n v="29"/>
    <x v="3"/>
    <s v="Financial Analyst"/>
    <d v="2015-09-21T00:00:00"/>
    <n v="118998"/>
    <s v="Married"/>
    <s v="High School"/>
    <x v="9"/>
    <s v="Travel_Frequently"/>
    <n v="45"/>
    <x v="0"/>
    <x v="2"/>
    <n v="3"/>
    <n v="2"/>
    <n v="3"/>
    <n v="6"/>
    <n v="0"/>
    <n v="12"/>
    <s v="Michael Ray"/>
    <x v="0"/>
    <m/>
    <x v="1"/>
    <n v="10"/>
    <x v="0"/>
    <n v="0"/>
    <s v="6-10 Years"/>
    <n v="2.33"/>
    <x v="0"/>
  </r>
  <r>
    <s v="EMP1272"/>
    <s v="Jon Compton"/>
    <x v="0"/>
    <n v="32"/>
    <x v="0"/>
    <s v="Lab Technician"/>
    <d v="2025-09-16T00:00:00"/>
    <n v="56415"/>
    <s v="Divorced"/>
    <s v="High School"/>
    <x v="5"/>
    <s v="Non-Travel"/>
    <n v="44"/>
    <x v="1"/>
    <x v="0"/>
    <n v="2"/>
    <n v="4"/>
    <n v="1"/>
    <n v="3"/>
    <n v="6"/>
    <n v="22"/>
    <s v="Emma Butler"/>
    <x v="1"/>
    <d v="2026-05-08T00:00:00"/>
    <x v="1"/>
    <n v="0"/>
    <x v="1"/>
    <n v="1"/>
    <s v="Less than 1 Year"/>
    <n v="2.33"/>
    <x v="0"/>
  </r>
  <r>
    <s v="EMP1467"/>
    <s v="Catherine James"/>
    <x v="2"/>
    <n v="29"/>
    <x v="2"/>
    <s v="Devops Engineer"/>
    <d v="2017-01-05T00:00:00"/>
    <n v="108533"/>
    <s v="Divorced"/>
    <s v="Bachelor's"/>
    <x v="5"/>
    <s v="Non-Travel"/>
    <n v="37"/>
    <x v="0"/>
    <x v="3"/>
    <n v="1"/>
    <n v="3"/>
    <n v="3"/>
    <n v="5"/>
    <n v="1"/>
    <n v="17"/>
    <s v="Michael Roberson"/>
    <x v="0"/>
    <m/>
    <x v="1"/>
    <n v="9"/>
    <x v="0"/>
    <n v="0"/>
    <s v="6-10 Years"/>
    <n v="2.33"/>
    <x v="0"/>
  </r>
  <r>
    <s v="EMP1778"/>
    <s v="Richard Wood"/>
    <x v="2"/>
    <n v="33"/>
    <x v="4"/>
    <s v="Sales Manager"/>
    <d v="2018-08-03T00:00:00"/>
    <n v="92517"/>
    <s v="Married"/>
    <s v="PhD"/>
    <x v="9"/>
    <s v="Travel_Rarely"/>
    <n v="36"/>
    <x v="0"/>
    <x v="2"/>
    <n v="2"/>
    <n v="2"/>
    <n v="4"/>
    <n v="5"/>
    <n v="2"/>
    <n v="23"/>
    <s v="Andrea Barry"/>
    <x v="1"/>
    <d v="2023-09-14T00:00:00"/>
    <x v="1"/>
    <n v="5"/>
    <x v="2"/>
    <n v="1"/>
    <s v="4-5 Years"/>
    <n v="2"/>
    <x v="0"/>
  </r>
  <r>
    <s v="EMP1278"/>
    <s v="Mrs. Dana Munoz MD"/>
    <x v="2"/>
    <n v="50"/>
    <x v="0"/>
    <s v="Research Scientist"/>
    <d v="2025-04-25T00:00:00"/>
    <n v="102577"/>
    <s v="Divorced"/>
    <s v="Diploma"/>
    <x v="2"/>
    <s v="Travel_Frequently"/>
    <n v="15"/>
    <x v="0"/>
    <x v="2"/>
    <n v="1"/>
    <n v="1"/>
    <n v="3"/>
    <n v="3"/>
    <n v="8"/>
    <n v="22"/>
    <s v="Jamie Ferguson"/>
    <x v="1"/>
    <d v="2026-01-22T00:00:00"/>
    <x v="3"/>
    <n v="0"/>
    <x v="0"/>
    <n v="1"/>
    <s v="Less than 1 Year"/>
    <n v="1.33"/>
    <x v="2"/>
  </r>
  <r>
    <s v="EMP2082"/>
    <s v="April Jones"/>
    <x v="2"/>
    <n v="31"/>
    <x v="5"/>
    <s v="Brand Manager"/>
    <d v="2022-01-19T00:00:00"/>
    <n v="85818"/>
    <s v="Married"/>
    <s v="Bachelor's"/>
    <x v="5"/>
    <s v="Travel_Frequently"/>
    <n v="14"/>
    <x v="0"/>
    <x v="2"/>
    <n v="2"/>
    <n v="3"/>
    <n v="5"/>
    <n v="0"/>
    <n v="8"/>
    <n v="23"/>
    <s v="Mary Quinn"/>
    <x v="0"/>
    <m/>
    <x v="1"/>
    <n v="4"/>
    <x v="2"/>
    <n v="0"/>
    <s v="4-5 Years"/>
    <n v="2.33"/>
    <x v="0"/>
  </r>
  <r>
    <s v="EMP2158"/>
    <s v="Jonathan Saunders"/>
    <x v="0"/>
    <n v="46"/>
    <x v="4"/>
    <s v="Account Manager"/>
    <d v="2015-03-11T00:00:00"/>
    <n v="67646"/>
    <s v="Divorced"/>
    <s v="Master's"/>
    <x v="1"/>
    <s v="Travel_Rarely"/>
    <n v="39"/>
    <x v="0"/>
    <x v="2"/>
    <n v="2"/>
    <n v="4"/>
    <n v="4"/>
    <n v="2"/>
    <n v="4"/>
    <n v="18"/>
    <s v="Gloria Bray"/>
    <x v="0"/>
    <m/>
    <x v="3"/>
    <n v="11"/>
    <x v="2"/>
    <n v="0"/>
    <s v="More than 10 Years"/>
    <n v="2.67"/>
    <x v="0"/>
  </r>
  <r>
    <s v="EMP2168"/>
    <s v="Matthew Clark"/>
    <x v="1"/>
    <n v="22"/>
    <x v="3"/>
    <s v="Accountant"/>
    <d v="2017-05-23T00:00:00"/>
    <n v="81747"/>
    <s v="Single"/>
    <s v="PhD"/>
    <x v="6"/>
    <s v="Non-Travel"/>
    <n v="11"/>
    <x v="0"/>
    <x v="2"/>
    <n v="4"/>
    <n v="2"/>
    <n v="3"/>
    <n v="0"/>
    <n v="6"/>
    <n v="25"/>
    <s v="Patrick Martinez"/>
    <x v="1"/>
    <d v="2025-08-13T00:00:00"/>
    <x v="2"/>
    <n v="8"/>
    <x v="2"/>
    <n v="1"/>
    <s v="6-10 Years"/>
    <n v="2.67"/>
    <x v="0"/>
  </r>
  <r>
    <s v="EMP1698"/>
    <s v="Michael Mckinney"/>
    <x v="0"/>
    <n v="41"/>
    <x v="2"/>
    <s v="Data Analyst"/>
    <d v="2018-08-09T00:00:00"/>
    <n v="63047"/>
    <s v="Divorced"/>
    <s v="Bachelor's"/>
    <x v="1"/>
    <s v="Travel_Rarely"/>
    <n v="32"/>
    <x v="0"/>
    <x v="0"/>
    <n v="3"/>
    <n v="1"/>
    <n v="4"/>
    <n v="1"/>
    <n v="5"/>
    <n v="20"/>
    <s v="Scott Jensen"/>
    <x v="1"/>
    <d v="2020-06-21T00:00:00"/>
    <x v="0"/>
    <n v="1"/>
    <x v="2"/>
    <n v="1"/>
    <s v="1-3 Years"/>
    <n v="1.67"/>
    <x v="2"/>
  </r>
  <r>
    <s v="EMP1443"/>
    <s v="Patrick Parker"/>
    <x v="0"/>
    <n v="37"/>
    <x v="5"/>
    <s v="Marketing Executive"/>
    <d v="2023-06-03T00:00:00"/>
    <n v="108153"/>
    <s v="Divorced"/>
    <s v="Master's"/>
    <x v="2"/>
    <s v="Travel_Rarely"/>
    <n v="15"/>
    <x v="0"/>
    <x v="0"/>
    <n v="4"/>
    <n v="1"/>
    <n v="3"/>
    <n v="1"/>
    <n v="6"/>
    <n v="16"/>
    <s v="David Carter"/>
    <x v="0"/>
    <m/>
    <x v="0"/>
    <n v="3"/>
    <x v="0"/>
    <n v="0"/>
    <s v="1-3 Years"/>
    <n v="2"/>
    <x v="0"/>
  </r>
  <r>
    <s v="EMP1300"/>
    <s v="Brian Smith"/>
    <x v="0"/>
    <n v="50"/>
    <x v="0"/>
    <s v="Research Scientist"/>
    <d v="2016-04-05T00:00:00"/>
    <n v="67151"/>
    <s v="Married"/>
    <s v="Master's"/>
    <x v="6"/>
    <s v="Travel_Frequently"/>
    <n v="33"/>
    <x v="0"/>
    <x v="3"/>
    <n v="1"/>
    <n v="4"/>
    <n v="4"/>
    <n v="2"/>
    <n v="1"/>
    <n v="23"/>
    <s v="Derrick Anderson"/>
    <x v="0"/>
    <m/>
    <x v="3"/>
    <n v="10"/>
    <x v="2"/>
    <n v="0"/>
    <s v="6-10 Years"/>
    <n v="2.67"/>
    <x v="0"/>
  </r>
  <r>
    <s v="EMP1376"/>
    <s v="Ethan Owen"/>
    <x v="2"/>
    <n v="47"/>
    <x v="3"/>
    <s v="Finance Manager"/>
    <d v="2022-02-12T00:00:00"/>
    <n v="132775"/>
    <s v="Married"/>
    <s v="Bachelor's"/>
    <x v="6"/>
    <s v="Travel_Frequently"/>
    <n v="2"/>
    <x v="0"/>
    <x v="3"/>
    <n v="2"/>
    <n v="2"/>
    <n v="4"/>
    <n v="2"/>
    <n v="7"/>
    <n v="22"/>
    <s v="Emily Nelson"/>
    <x v="0"/>
    <m/>
    <x v="3"/>
    <n v="4"/>
    <x v="0"/>
    <n v="0"/>
    <s v="4-5 Years"/>
    <n v="2.33"/>
    <x v="0"/>
  </r>
  <r>
    <s v="EMP1664"/>
    <s v="Jerry Cox"/>
    <x v="0"/>
    <n v="32"/>
    <x v="2"/>
    <s v="Devops Engineer"/>
    <d v="2019-06-24T00:00:00"/>
    <n v="100527"/>
    <s v="Single"/>
    <s v="Bachelor's"/>
    <x v="9"/>
    <s v="Travel_Rarely"/>
    <n v="22"/>
    <x v="1"/>
    <x v="2"/>
    <n v="1"/>
    <n v="4"/>
    <n v="3"/>
    <n v="0"/>
    <n v="6"/>
    <n v="22"/>
    <s v="Kayla Herring"/>
    <x v="1"/>
    <d v="2022-03-28T00:00:00"/>
    <x v="1"/>
    <n v="2"/>
    <x v="0"/>
    <n v="1"/>
    <s v="1-3 Years"/>
    <n v="2.33"/>
    <x v="0"/>
  </r>
  <r>
    <s v="EMP2181"/>
    <s v="Colleen Sanford"/>
    <x v="2"/>
    <n v="41"/>
    <x v="2"/>
    <s v="It Support"/>
    <d v="2014-04-20T00:00:00"/>
    <n v="94704"/>
    <s v="Not Specified"/>
    <s v="Master's"/>
    <x v="8"/>
    <s v="Travel_Rarely"/>
    <n v="3"/>
    <x v="1"/>
    <x v="3"/>
    <n v="3"/>
    <n v="1"/>
    <n v="3"/>
    <n v="0"/>
    <n v="4"/>
    <n v="22"/>
    <s v="Veronica Osborne"/>
    <x v="1"/>
    <d v="2026-04-24T00:00:00"/>
    <x v="0"/>
    <n v="12"/>
    <x v="2"/>
    <n v="1"/>
    <s v="More than 10 Years"/>
    <n v="2.33"/>
    <x v="0"/>
  </r>
  <r>
    <s v="EMP1612"/>
    <s v="Dawn Diaz"/>
    <x v="2"/>
    <n v="39"/>
    <x v="3"/>
    <s v="Not Specified"/>
    <d v="2020-09-13T00:00:00"/>
    <n v="84461"/>
    <s v="Divorced"/>
    <s v="Master's"/>
    <x v="5"/>
    <s v="Non-Travel"/>
    <n v="26"/>
    <x v="0"/>
    <x v="3"/>
    <n v="1"/>
    <n v="1"/>
    <n v="4"/>
    <n v="0"/>
    <n v="3"/>
    <n v="11"/>
    <s v="Timothy Clark"/>
    <x v="0"/>
    <m/>
    <x v="0"/>
    <n v="5"/>
    <x v="2"/>
    <n v="0"/>
    <s v="4-5 Years"/>
    <n v="1.67"/>
    <x v="2"/>
  </r>
  <r>
    <s v="EMP1473"/>
    <s v="Mason Powell"/>
    <x v="0"/>
    <n v="23"/>
    <x v="4"/>
    <s v="Sales Representative"/>
    <d v="2015-03-03T00:00:00"/>
    <n v="93382"/>
    <s v="Married"/>
    <s v="Master's"/>
    <x v="8"/>
    <s v="Travel_Frequently"/>
    <n v="32"/>
    <x v="0"/>
    <x v="1"/>
    <n v="4"/>
    <n v="3"/>
    <n v="4"/>
    <n v="5"/>
    <n v="4"/>
    <n v="22"/>
    <s v="Robert West"/>
    <x v="0"/>
    <m/>
    <x v="2"/>
    <n v="11"/>
    <x v="2"/>
    <n v="0"/>
    <s v="More than 10 Years"/>
    <n v="3.67"/>
    <x v="1"/>
  </r>
  <r>
    <s v="EMP1852"/>
    <s v="Karen Clark"/>
    <x v="2"/>
    <n v="39"/>
    <x v="2"/>
    <s v="Software Engineer"/>
    <d v="2023-07-14T00:00:00"/>
    <n v="55131"/>
    <s v="Single"/>
    <s v="High School"/>
    <x v="3"/>
    <s v="Travel_Rarely"/>
    <n v="19"/>
    <x v="1"/>
    <x v="1"/>
    <n v="2"/>
    <n v="1"/>
    <n v="3"/>
    <n v="2"/>
    <n v="3"/>
    <n v="23"/>
    <s v="Elizabeth Brock"/>
    <x v="0"/>
    <m/>
    <x v="0"/>
    <n v="3"/>
    <x v="1"/>
    <n v="0"/>
    <s v="1-3 Years"/>
    <n v="2.33"/>
    <x v="0"/>
  </r>
  <r>
    <s v="EMP2102"/>
    <s v="Brandon Davis"/>
    <x v="0"/>
    <n v="33"/>
    <x v="3"/>
    <s v="Auditor"/>
    <d v="2022-09-17T00:00:00"/>
    <n v="78658"/>
    <s v="Divorced"/>
    <s v="Master's"/>
    <x v="9"/>
    <s v="Travel_Frequently"/>
    <n v="36"/>
    <x v="0"/>
    <x v="0"/>
    <n v="3"/>
    <n v="2"/>
    <n v="2"/>
    <n v="4"/>
    <n v="8"/>
    <n v="23"/>
    <s v="Audrey Richardson"/>
    <x v="1"/>
    <d v="2026-06-01T00:00:00"/>
    <x v="1"/>
    <n v="3"/>
    <x v="2"/>
    <n v="1"/>
    <s v="1-3 Years"/>
    <n v="2"/>
    <x v="0"/>
  </r>
  <r>
    <s v="EMP1389"/>
    <s v="Dr. Jonathan Price"/>
    <x v="2"/>
    <n v="48"/>
    <x v="2"/>
    <s v="Software Engineer"/>
    <d v="2014-05-06T00:00:00"/>
    <n v="109922"/>
    <s v="Single"/>
    <s v="Master's"/>
    <x v="1"/>
    <s v="Travel_Frequently"/>
    <n v="37"/>
    <x v="0"/>
    <x v="2"/>
    <n v="3"/>
    <n v="1"/>
    <n v="5"/>
    <n v="0"/>
    <n v="6"/>
    <n v="12"/>
    <s v="Daniel Huang"/>
    <x v="0"/>
    <m/>
    <x v="3"/>
    <n v="12"/>
    <x v="0"/>
    <n v="0"/>
    <s v="More than 10 Years"/>
    <n v="2"/>
    <x v="0"/>
  </r>
  <r>
    <s v="EMP1023"/>
    <s v="Taylor Heath"/>
    <x v="2"/>
    <n v="37"/>
    <x v="0"/>
    <s v="Manufacturing Technician"/>
    <d v="2012-09-20T00:00:00"/>
    <n v="76954"/>
    <s v="Married"/>
    <s v="High School"/>
    <x v="5"/>
    <s v="Travel_Frequently"/>
    <n v="15"/>
    <x v="0"/>
    <x v="3"/>
    <n v="2"/>
    <n v="4"/>
    <n v="4"/>
    <n v="6"/>
    <n v="6"/>
    <n v="17"/>
    <s v="Michael Lewis"/>
    <x v="0"/>
    <m/>
    <x v="0"/>
    <n v="13"/>
    <x v="2"/>
    <n v="0"/>
    <s v="More than 10 Years"/>
    <n v="3"/>
    <x v="1"/>
  </r>
  <r>
    <s v="EMP1701"/>
    <s v="Brian Roth"/>
    <x v="0"/>
    <n v="28"/>
    <x v="3"/>
    <s v="Financial Analyst"/>
    <d v="2023-07-20T00:00:00"/>
    <n v="82457"/>
    <s v="Divorced"/>
    <s v="Bachelor's"/>
    <x v="9"/>
    <s v="Travel_Rarely"/>
    <n v="37"/>
    <x v="0"/>
    <x v="1"/>
    <n v="4"/>
    <n v="4"/>
    <n v="4"/>
    <n v="4"/>
    <n v="6"/>
    <n v="22"/>
    <s v="Matthew Sparks"/>
    <x v="0"/>
    <m/>
    <x v="1"/>
    <n v="3"/>
    <x v="2"/>
    <n v="0"/>
    <s v="1-3 Years"/>
    <n v="4"/>
    <x v="1"/>
  </r>
  <r>
    <s v="EMP1916"/>
    <s v="Jessica Garrett"/>
    <x v="0"/>
    <n v="35"/>
    <x v="2"/>
    <s v="Devops Engineer"/>
    <d v="2023-06-13T00:00:00"/>
    <n v="113790"/>
    <s v="Single"/>
    <s v="Master's"/>
    <x v="0"/>
    <s v="Non-Travel"/>
    <n v="6"/>
    <x v="0"/>
    <x v="1"/>
    <n v="3"/>
    <n v="4"/>
    <n v="3"/>
    <n v="6"/>
    <n v="4"/>
    <n v="19"/>
    <s v="Eric Ford"/>
    <x v="0"/>
    <m/>
    <x v="0"/>
    <n v="3"/>
    <x v="0"/>
    <n v="0"/>
    <s v="1-3 Years"/>
    <n v="3.67"/>
    <x v="1"/>
  </r>
  <r>
    <s v="EMP1424"/>
    <s v="Stephanie Smith"/>
    <x v="0"/>
    <n v="23"/>
    <x v="3"/>
    <s v="Auditor"/>
    <d v="2023-11-09T00:00:00"/>
    <n v="83027"/>
    <s v="Single"/>
    <s v="Master's"/>
    <x v="1"/>
    <s v="Travel_Frequently"/>
    <n v="36"/>
    <x v="0"/>
    <x v="2"/>
    <n v="4"/>
    <n v="1"/>
    <n v="4"/>
    <n v="3"/>
    <n v="2"/>
    <n v="12"/>
    <s v="Douglas Vasquez"/>
    <x v="0"/>
    <m/>
    <x v="2"/>
    <n v="2"/>
    <x v="2"/>
    <n v="0"/>
    <s v="1-3 Years"/>
    <n v="2.33"/>
    <x v="0"/>
  </r>
  <r>
    <s v="EMP1991"/>
    <s v="Mark Davis"/>
    <x v="2"/>
    <n v="19"/>
    <x v="5"/>
    <s v="Brand Manager"/>
    <d v="2018-10-28T00:00:00"/>
    <n v="102550"/>
    <s v="Married"/>
    <s v="Bachelor's"/>
    <x v="8"/>
    <s v="Non-Travel"/>
    <n v="14"/>
    <x v="0"/>
    <x v="0"/>
    <n v="3"/>
    <n v="4"/>
    <n v="2"/>
    <n v="3"/>
    <n v="3"/>
    <n v="19"/>
    <s v="Leslie Sims"/>
    <x v="0"/>
    <m/>
    <x v="2"/>
    <n v="7"/>
    <x v="0"/>
    <n v="0"/>
    <s v="6-10 Years"/>
    <n v="2.67"/>
    <x v="0"/>
  </r>
  <r>
    <s v="EMP1744"/>
    <s v="Jeffrey Anthony DDS"/>
    <x v="0"/>
    <n v="39"/>
    <x v="0"/>
    <s v="Lab Technician"/>
    <d v="2023-05-19T00:00:00"/>
    <n v="62523"/>
    <s v="Single"/>
    <s v="Bachelor's"/>
    <x v="5"/>
    <s v="Travel_Frequently"/>
    <n v="34"/>
    <x v="0"/>
    <x v="2"/>
    <n v="3"/>
    <n v="3"/>
    <n v="2"/>
    <n v="1"/>
    <n v="6"/>
    <n v="24"/>
    <s v="April Finley"/>
    <x v="0"/>
    <m/>
    <x v="0"/>
    <n v="3"/>
    <x v="2"/>
    <n v="0"/>
    <s v="1-3 Years"/>
    <n v="2.67"/>
    <x v="0"/>
  </r>
  <r>
    <s v="EMP1956"/>
    <s v="Robert Burns"/>
    <x v="0"/>
    <n v="39"/>
    <x v="2"/>
    <s v="Data Analyst"/>
    <d v="2013-06-27T00:00:00"/>
    <n v="75569"/>
    <s v="Single"/>
    <s v="Bachelor's"/>
    <x v="4"/>
    <s v="Non-Travel"/>
    <n v="29"/>
    <x v="1"/>
    <x v="2"/>
    <n v="4"/>
    <n v="3"/>
    <n v="3"/>
    <n v="1"/>
    <n v="0"/>
    <n v="14"/>
    <s v="Jennifer Berry"/>
    <x v="1"/>
    <d v="2018-01-30T00:00:00"/>
    <x v="0"/>
    <n v="4"/>
    <x v="2"/>
    <n v="1"/>
    <s v="4-5 Years"/>
    <n v="3"/>
    <x v="1"/>
  </r>
  <r>
    <s v="EMP2093"/>
    <s v="Erika Wallace"/>
    <x v="2"/>
    <n v="38"/>
    <x v="3"/>
    <s v="Auditor"/>
    <d v="2020-09-18T00:00:00"/>
    <n v="122369"/>
    <s v="Divorced"/>
    <s v="Bachelor's"/>
    <x v="4"/>
    <s v="Travel_Rarely"/>
    <n v="43"/>
    <x v="1"/>
    <x v="3"/>
    <n v="3"/>
    <n v="2"/>
    <n v="2"/>
    <n v="5"/>
    <n v="3"/>
    <n v="18"/>
    <s v="Angela Patterson"/>
    <x v="1"/>
    <d v="2023-02-04T00:00:00"/>
    <x v="0"/>
    <n v="2"/>
    <x v="0"/>
    <n v="1"/>
    <s v="1-3 Years"/>
    <n v="2.67"/>
    <x v="0"/>
  </r>
  <r>
    <s v="EMP1143"/>
    <s v="James Parks"/>
    <x v="2"/>
    <n v="35"/>
    <x v="0"/>
    <s v="Research Director"/>
    <d v="2018-12-23T00:00:00"/>
    <n v="50738"/>
    <s v="Single"/>
    <s v="Not Specified"/>
    <x v="2"/>
    <s v="Travel_Rarely"/>
    <n v="38"/>
    <x v="0"/>
    <x v="1"/>
    <n v="3"/>
    <n v="1"/>
    <n v="4"/>
    <n v="6"/>
    <n v="2"/>
    <n v="24"/>
    <s v="Angel Miller"/>
    <x v="0"/>
    <m/>
    <x v="0"/>
    <n v="7"/>
    <x v="1"/>
    <n v="0"/>
    <s v="6-10 Years"/>
    <n v="2.67"/>
    <x v="0"/>
  </r>
  <r>
    <s v="EMP1051"/>
    <s v="Timothy Ryan"/>
    <x v="0"/>
    <n v="25"/>
    <x v="4"/>
    <s v="Sales Executive"/>
    <d v="2022-05-25T00:00:00"/>
    <n v="81552"/>
    <s v="Married"/>
    <s v="Bachelor's"/>
    <x v="1"/>
    <s v="Travel_Rarely"/>
    <n v="33"/>
    <x v="0"/>
    <x v="3"/>
    <n v="4"/>
    <n v="3"/>
    <n v="3"/>
    <n v="1"/>
    <n v="7"/>
    <n v="21"/>
    <s v="Megan Diaz"/>
    <x v="0"/>
    <m/>
    <x v="1"/>
    <n v="4"/>
    <x v="2"/>
    <n v="0"/>
    <s v="4-5 Years"/>
    <n v="3.33"/>
    <x v="1"/>
  </r>
  <r>
    <s v="EMP1721"/>
    <s v="Julie Hunt"/>
    <x v="0"/>
    <n v="44"/>
    <x v="4"/>
    <s v="Account Manager"/>
    <d v="2018-08-30T00:00:00"/>
    <n v="68035"/>
    <s v="Married"/>
    <s v="High School"/>
    <x v="1"/>
    <s v="Travel_Rarely"/>
    <n v="37"/>
    <x v="0"/>
    <x v="1"/>
    <n v="1"/>
    <n v="1"/>
    <n v="5"/>
    <n v="5"/>
    <n v="5"/>
    <n v="18"/>
    <s v="Jennifer Yu"/>
    <x v="0"/>
    <m/>
    <x v="0"/>
    <n v="8"/>
    <x v="2"/>
    <n v="0"/>
    <s v="6-10 Years"/>
    <n v="2"/>
    <x v="0"/>
  </r>
  <r>
    <s v="EMP1761"/>
    <s v="Lori Patton"/>
    <x v="0"/>
    <n v="34"/>
    <x v="5"/>
    <s v="Digital Marketing Specialist"/>
    <d v="2016-11-07T00:00:00"/>
    <n v="77630"/>
    <s v="Divorced"/>
    <s v="Master's"/>
    <x v="7"/>
    <s v="Travel_Frequently"/>
    <n v="27"/>
    <x v="0"/>
    <x v="0"/>
    <n v="3"/>
    <n v="3"/>
    <n v="3"/>
    <n v="0"/>
    <n v="4"/>
    <n v="16"/>
    <s v="David Wilson"/>
    <x v="0"/>
    <m/>
    <x v="1"/>
    <n v="9"/>
    <x v="2"/>
    <n v="0"/>
    <s v="6-10 Years"/>
    <n v="2.33"/>
    <x v="0"/>
  </r>
  <r>
    <s v="EMP1082"/>
    <s v="Nathan Freeman"/>
    <x v="2"/>
    <n v="39"/>
    <x v="0"/>
    <s v="Research Director"/>
    <d v="2022-12-22T00:00:00"/>
    <n v="83638"/>
    <s v="Married"/>
    <s v="Master's"/>
    <x v="3"/>
    <s v="Travel_Rarely"/>
    <n v="4"/>
    <x v="1"/>
    <x v="0"/>
    <n v="1"/>
    <n v="1"/>
    <n v="3"/>
    <n v="3"/>
    <n v="6"/>
    <n v="16"/>
    <s v="Katherine Mcguire"/>
    <x v="1"/>
    <d v="2025-07-09T00:00:00"/>
    <x v="0"/>
    <n v="2"/>
    <x v="2"/>
    <n v="1"/>
    <s v="1-3 Years"/>
    <n v="1"/>
    <x v="2"/>
  </r>
  <r>
    <s v="EMP1483"/>
    <s v="Cassandra Lane"/>
    <x v="2"/>
    <n v="40"/>
    <x v="3"/>
    <s v="Auditor"/>
    <d v="2022-07-24T00:00:00"/>
    <n v="69957"/>
    <s v="Divorced"/>
    <s v="High School"/>
    <x v="8"/>
    <s v="Travel_Rarely"/>
    <n v="8"/>
    <x v="0"/>
    <x v="2"/>
    <n v="3"/>
    <n v="2"/>
    <n v="5"/>
    <n v="2"/>
    <n v="3"/>
    <n v="11"/>
    <s v="James Burke"/>
    <x v="0"/>
    <m/>
    <x v="0"/>
    <n v="4"/>
    <x v="2"/>
    <n v="0"/>
    <s v="4-5 Years"/>
    <n v="2.33"/>
    <x v="0"/>
  </r>
  <r>
    <s v="EMP2128"/>
    <s v="Ronnie Bernard"/>
    <x v="2"/>
    <n v="46"/>
    <x v="5"/>
    <s v="Digital Marketing Specialist"/>
    <d v="2020-08-24T00:00:00"/>
    <n v="94053"/>
    <s v="Single"/>
    <s v="PhD"/>
    <x v="4"/>
    <s v="Non-Travel"/>
    <n v="37"/>
    <x v="0"/>
    <x v="3"/>
    <n v="4"/>
    <n v="1"/>
    <n v="2"/>
    <n v="6"/>
    <n v="2"/>
    <n v="13"/>
    <s v="Ian Anderson"/>
    <x v="0"/>
    <m/>
    <x v="3"/>
    <n v="6"/>
    <x v="2"/>
    <n v="0"/>
    <s v="6-10 Years"/>
    <n v="2.67"/>
    <x v="0"/>
  </r>
  <r>
    <s v="EMP1719"/>
    <s v="Julie Miller"/>
    <x v="0"/>
    <n v="43"/>
    <x v="1"/>
    <s v="Hr Manager"/>
    <d v="2024-12-09T00:00:00"/>
    <n v="70929"/>
    <s v="Divorced"/>
    <s v="PhD"/>
    <x v="6"/>
    <s v="Non-Travel"/>
    <n v="35"/>
    <x v="0"/>
    <x v="3"/>
    <n v="1"/>
    <n v="3"/>
    <n v="3"/>
    <n v="0"/>
    <n v="6"/>
    <n v="24"/>
    <s v="John Harmon"/>
    <x v="0"/>
    <m/>
    <x v="0"/>
    <n v="1"/>
    <x v="2"/>
    <n v="0"/>
    <s v="1-3 Years"/>
    <n v="2.33"/>
    <x v="0"/>
  </r>
  <r>
    <s v="EMP2161"/>
    <s v="Meredith Shaw"/>
    <x v="0"/>
    <n v="48"/>
    <x v="3"/>
    <s v="Financial Analyst"/>
    <d v="2014-05-14T00:00:00"/>
    <n v="54758"/>
    <s v="Single"/>
    <s v="Bachelor's"/>
    <x v="9"/>
    <s v="Travel_Rarely"/>
    <n v="44"/>
    <x v="0"/>
    <x v="3"/>
    <n v="2"/>
    <n v="1"/>
    <n v="4"/>
    <n v="3"/>
    <n v="7"/>
    <n v="25"/>
    <s v="Leslie Walters MD"/>
    <x v="0"/>
    <m/>
    <x v="3"/>
    <n v="12"/>
    <x v="1"/>
    <n v="0"/>
    <s v="More than 10 Years"/>
    <n v="2"/>
    <x v="0"/>
  </r>
  <r>
    <s v="EMP1067"/>
    <s v="Kimberly Morrison"/>
    <x v="2"/>
    <n v="26"/>
    <x v="0"/>
    <s v="Manufacturing Technician"/>
    <d v="2014-12-14T00:00:00"/>
    <n v="128143"/>
    <s v="Married"/>
    <s v="Bachelor's"/>
    <x v="0"/>
    <s v="Non-Travel"/>
    <n v="3"/>
    <x v="0"/>
    <x v="0"/>
    <n v="2"/>
    <n v="3"/>
    <n v="3"/>
    <n v="6"/>
    <n v="7"/>
    <n v="20"/>
    <s v="Jeffrey Johnson"/>
    <x v="0"/>
    <m/>
    <x v="1"/>
    <n v="11"/>
    <x v="0"/>
    <n v="0"/>
    <s v="More than 10 Years"/>
    <n v="2"/>
    <x v="0"/>
  </r>
  <r>
    <s v="EMP1960"/>
    <s v="Michelle Armstrong"/>
    <x v="0"/>
    <n v="56"/>
    <x v="4"/>
    <s v="Sales Representative"/>
    <d v="2023-07-17T00:00:00"/>
    <n v="94434"/>
    <s v="Single"/>
    <s v="PhD"/>
    <x v="8"/>
    <s v="Non-Travel"/>
    <n v="33"/>
    <x v="0"/>
    <x v="2"/>
    <n v="2"/>
    <n v="2"/>
    <n v="5"/>
    <n v="2"/>
    <n v="3"/>
    <n v="21"/>
    <s v="Becky Hansen"/>
    <x v="1"/>
    <d v="2025-10-01T00:00:00"/>
    <x v="4"/>
    <n v="2"/>
    <x v="2"/>
    <n v="1"/>
    <s v="1-3 Years"/>
    <n v="2"/>
    <x v="0"/>
  </r>
  <r>
    <s v="EMP1937"/>
    <s v="Robert Acevedo"/>
    <x v="0"/>
    <n v="44"/>
    <x v="3"/>
    <s v="Accountant"/>
    <d v="2012-12-04T00:00:00"/>
    <n v="138196"/>
    <s v="Single"/>
    <s v="High School"/>
    <x v="7"/>
    <s v="Travel_Rarely"/>
    <n v="44"/>
    <x v="1"/>
    <x v="1"/>
    <n v="1"/>
    <n v="2"/>
    <n v="5"/>
    <n v="3"/>
    <n v="6"/>
    <n v="18"/>
    <s v="William Martin"/>
    <x v="0"/>
    <m/>
    <x v="0"/>
    <n v="13"/>
    <x v="0"/>
    <n v="0"/>
    <s v="More than 10 Years"/>
    <n v="2.33"/>
    <x v="0"/>
  </r>
  <r>
    <s v="EMP1772"/>
    <s v="Katherine Forbes"/>
    <x v="0"/>
    <n v="39"/>
    <x v="3"/>
    <s v="Auditor"/>
    <d v="2020-06-27T00:00:00"/>
    <n v="113349"/>
    <s v="Single"/>
    <s v="Bachelor's"/>
    <x v="1"/>
    <s v="Travel_Rarely"/>
    <n v="12"/>
    <x v="0"/>
    <x v="1"/>
    <n v="3"/>
    <n v="4"/>
    <n v="4"/>
    <n v="1"/>
    <n v="7"/>
    <n v="16"/>
    <s v="Diana Blair"/>
    <x v="0"/>
    <m/>
    <x v="0"/>
    <n v="6"/>
    <x v="0"/>
    <n v="0"/>
    <s v="6-10 Years"/>
    <n v="3.67"/>
    <x v="1"/>
  </r>
  <r>
    <s v="EMP1418"/>
    <s v="Beth Henderson"/>
    <x v="2"/>
    <n v="45"/>
    <x v="2"/>
    <s v="System Administrator"/>
    <d v="2026-05-29T00:00:00"/>
    <n v="89123"/>
    <s v="Divorced"/>
    <s v="Bachelor's"/>
    <x v="2"/>
    <s v="Not Specified"/>
    <n v="38"/>
    <x v="1"/>
    <x v="3"/>
    <n v="2"/>
    <n v="4"/>
    <n v="3"/>
    <n v="6"/>
    <n v="5"/>
    <n v="12"/>
    <s v="Lori Flowers MD"/>
    <x v="1"/>
    <d v="2026-07-08T00:00:00"/>
    <x v="3"/>
    <n v="0"/>
    <x v="2"/>
    <n v="1"/>
    <s v="Less than 1 Year"/>
    <n v="3"/>
    <x v="1"/>
  </r>
  <r>
    <s v="EMP2167"/>
    <s v="Shannon Rivera"/>
    <x v="2"/>
    <n v="40"/>
    <x v="4"/>
    <s v="Account Manager"/>
    <d v="2022-09-21T00:00:00"/>
    <n v="51721"/>
    <s v="Married"/>
    <s v="Bachelor's"/>
    <x v="8"/>
    <s v="Travel_Frequently"/>
    <n v="24"/>
    <x v="1"/>
    <x v="1"/>
    <n v="2"/>
    <n v="2"/>
    <n v="5"/>
    <n v="1"/>
    <n v="8"/>
    <n v="21"/>
    <s v="Richard Rice"/>
    <x v="0"/>
    <m/>
    <x v="0"/>
    <n v="3"/>
    <x v="1"/>
    <n v="0"/>
    <s v="1-3 Years"/>
    <n v="2.67"/>
    <x v="0"/>
  </r>
  <r>
    <s v="EMP1065"/>
    <s v="Daniel Fisher"/>
    <x v="2"/>
    <n v="43"/>
    <x v="4"/>
    <s v="Sales Representative"/>
    <d v="2025-02-28T00:00:00"/>
    <n v="71864"/>
    <s v="Married"/>
    <s v="Master's"/>
    <x v="5"/>
    <s v="Non-Travel"/>
    <n v="36"/>
    <x v="0"/>
    <x v="2"/>
    <n v="2"/>
    <n v="2"/>
    <n v="5"/>
    <n v="6"/>
    <n v="6"/>
    <n v="21"/>
    <s v="Shannon Cannon"/>
    <x v="1"/>
    <d v="2026-01-14T00:00:00"/>
    <x v="0"/>
    <n v="0"/>
    <x v="2"/>
    <n v="1"/>
    <s v="Less than 1 Year"/>
    <n v="2"/>
    <x v="0"/>
  </r>
  <r>
    <s v="EMP1944"/>
    <s v="Caitlin Johnson"/>
    <x v="0"/>
    <n v="31"/>
    <x v="0"/>
    <s v="Research Scientist"/>
    <d v="2023-07-19T00:00:00"/>
    <n v="121597"/>
    <s v="Divorced"/>
    <s v="High School"/>
    <x v="0"/>
    <s v="Non-Travel"/>
    <n v="23"/>
    <x v="1"/>
    <x v="2"/>
    <n v="2"/>
    <n v="2"/>
    <n v="3"/>
    <n v="3"/>
    <n v="0"/>
    <n v="12"/>
    <s v="Not Specified"/>
    <x v="1"/>
    <d v="2025-05-23T00:00:00"/>
    <x v="1"/>
    <n v="1"/>
    <x v="0"/>
    <n v="1"/>
    <s v="1-3 Years"/>
    <n v="2"/>
    <x v="0"/>
  </r>
  <r>
    <s v="EMP1935"/>
    <s v="Brittany Molina"/>
    <x v="0"/>
    <n v="42"/>
    <x v="4"/>
    <s v="Sales Manager"/>
    <d v="2017-12-14T00:00:00"/>
    <n v="86166"/>
    <s v="Divorced"/>
    <s v="Bachelor's"/>
    <x v="1"/>
    <s v="Travel_Rarely"/>
    <n v="4"/>
    <x v="0"/>
    <x v="3"/>
    <n v="4"/>
    <n v="1"/>
    <n v="3"/>
    <n v="4"/>
    <n v="1"/>
    <n v="13"/>
    <s v="Robert Gutierrez"/>
    <x v="0"/>
    <m/>
    <x v="0"/>
    <n v="8"/>
    <x v="2"/>
    <n v="0"/>
    <s v="6-10 Years"/>
    <n v="2.67"/>
    <x v="0"/>
  </r>
  <r>
    <s v="EMP2103"/>
    <s v="Tiffany Ray"/>
    <x v="2"/>
    <n v="36"/>
    <x v="2"/>
    <s v="Data Analyst"/>
    <d v="2011-09-09T00:00:00"/>
    <n v="75544"/>
    <s v="Single"/>
    <s v="Master's"/>
    <x v="1"/>
    <s v="Travel_Frequently"/>
    <n v="36"/>
    <x v="0"/>
    <x v="1"/>
    <n v="4"/>
    <n v="2"/>
    <n v="5"/>
    <n v="4"/>
    <n v="1"/>
    <n v="21"/>
    <s v="Joseph Boone"/>
    <x v="0"/>
    <m/>
    <x v="0"/>
    <n v="14"/>
    <x v="2"/>
    <n v="0"/>
    <s v="More than 10 Years"/>
    <n v="3.33"/>
    <x v="1"/>
  </r>
  <r>
    <s v="EMP1492"/>
    <s v="Sharon Newton"/>
    <x v="2"/>
    <n v="34"/>
    <x v="3"/>
    <s v="Auditor"/>
    <d v="2020-01-14T00:00:00"/>
    <n v="63079"/>
    <s v="Married"/>
    <s v="Bachelor's"/>
    <x v="2"/>
    <s v="Non-Travel"/>
    <n v="4"/>
    <x v="0"/>
    <x v="3"/>
    <n v="2"/>
    <n v="3"/>
    <n v="3"/>
    <n v="4"/>
    <n v="7"/>
    <n v="13"/>
    <s v="Richard Lindsey"/>
    <x v="0"/>
    <m/>
    <x v="1"/>
    <n v="6"/>
    <x v="2"/>
    <n v="0"/>
    <s v="6-10 Years"/>
    <n v="2.67"/>
    <x v="0"/>
  </r>
  <r>
    <s v="EMP1733"/>
    <s v="Leah Lee"/>
    <x v="2"/>
    <n v="30"/>
    <x v="1"/>
    <s v="Hr Business Partner"/>
    <d v="2016-09-11T00:00:00"/>
    <n v="66302"/>
    <s v="Single"/>
    <s v="Bachelor's"/>
    <x v="7"/>
    <s v="Non-Travel"/>
    <n v="4"/>
    <x v="1"/>
    <x v="3"/>
    <n v="3"/>
    <n v="4"/>
    <n v="2"/>
    <n v="1"/>
    <n v="3"/>
    <n v="25"/>
    <s v="Catherine Kelley"/>
    <x v="0"/>
    <m/>
    <x v="1"/>
    <n v="9"/>
    <x v="2"/>
    <n v="0"/>
    <s v="6-10 Years"/>
    <n v="3.33"/>
    <x v="1"/>
  </r>
  <r>
    <s v="EMP1836"/>
    <s v="Randy Rodriguez"/>
    <x v="2"/>
    <n v="37"/>
    <x v="0"/>
    <s v="Manufacturing Technician"/>
    <d v="2015-05-28T00:00:00"/>
    <n v="77677"/>
    <s v="Divorced"/>
    <s v="Bachelor's"/>
    <x v="3"/>
    <s v="Travel_Frequently"/>
    <n v="17"/>
    <x v="0"/>
    <x v="3"/>
    <n v="1"/>
    <n v="3"/>
    <n v="4"/>
    <n v="0"/>
    <n v="0"/>
    <n v="14"/>
    <s v="Mark Taylor Jr."/>
    <x v="0"/>
    <m/>
    <x v="0"/>
    <n v="11"/>
    <x v="2"/>
    <n v="0"/>
    <s v="More than 10 Years"/>
    <n v="2.33"/>
    <x v="0"/>
  </r>
  <r>
    <s v="EMP1066"/>
    <s v="Aaron Bell"/>
    <x v="0"/>
    <n v="38"/>
    <x v="3"/>
    <s v="Financial Analyst"/>
    <d v="2022-11-26T00:00:00"/>
    <n v="53440"/>
    <s v="Single"/>
    <s v="Bachelor's"/>
    <x v="7"/>
    <s v="Travel_Rarely"/>
    <n v="44"/>
    <x v="0"/>
    <x v="1"/>
    <n v="3"/>
    <n v="3"/>
    <n v="3"/>
    <n v="0"/>
    <n v="2"/>
    <n v="16"/>
    <s v="Tiffany Barnes"/>
    <x v="0"/>
    <m/>
    <x v="0"/>
    <n v="3"/>
    <x v="1"/>
    <n v="0"/>
    <s v="1-3 Years"/>
    <n v="3.33"/>
    <x v="1"/>
  </r>
  <r>
    <s v="EMP2022"/>
    <s v="Andrew Gonzalez"/>
    <x v="0"/>
    <n v="43"/>
    <x v="7"/>
    <s v="Supply Chain Analyst"/>
    <d v="2014-08-06T00:00:00"/>
    <n v="68911"/>
    <s v="Married"/>
    <s v="Bachelor's"/>
    <x v="1"/>
    <s v="Travel_Frequently"/>
    <n v="32"/>
    <x v="1"/>
    <x v="0"/>
    <n v="2"/>
    <n v="3"/>
    <n v="3"/>
    <n v="3"/>
    <n v="6"/>
    <n v="23"/>
    <s v="Robert Sutton"/>
    <x v="1"/>
    <d v="2018-07-27T00:00:00"/>
    <x v="0"/>
    <n v="3"/>
    <x v="2"/>
    <n v="1"/>
    <s v="1-3 Years"/>
    <n v="2"/>
    <x v="0"/>
  </r>
  <r>
    <s v="EMP1596"/>
    <s v="Tiffany Brown"/>
    <x v="0"/>
    <n v="48"/>
    <x v="4"/>
    <s v="Account Manager"/>
    <d v="2023-03-27T00:00:00"/>
    <n v="56823"/>
    <s v="Divorced"/>
    <s v="Bachelor's"/>
    <x v="2"/>
    <s v="Non-Travel"/>
    <n v="29"/>
    <x v="0"/>
    <x v="3"/>
    <n v="3"/>
    <n v="1"/>
    <n v="3"/>
    <n v="2"/>
    <n v="1"/>
    <n v="16"/>
    <s v="John Lee"/>
    <x v="0"/>
    <m/>
    <x v="3"/>
    <n v="3"/>
    <x v="1"/>
    <n v="0"/>
    <s v="1-3 Years"/>
    <n v="2.33"/>
    <x v="0"/>
  </r>
  <r>
    <s v="EMP2012"/>
    <s v="Thomas Norton"/>
    <x v="0"/>
    <n v="46"/>
    <x v="0"/>
    <s v="Manufacturing Technician"/>
    <d v="2014-07-10T00:00:00"/>
    <n v="66171"/>
    <s v="Divorced"/>
    <s v="Master's"/>
    <x v="1"/>
    <s v="Travel_Frequently"/>
    <n v="1"/>
    <x v="0"/>
    <x v="2"/>
    <n v="1"/>
    <n v="3"/>
    <n v="4"/>
    <n v="3"/>
    <n v="0"/>
    <n v="20"/>
    <s v="James Greene"/>
    <x v="0"/>
    <m/>
    <x v="3"/>
    <n v="12"/>
    <x v="2"/>
    <n v="0"/>
    <s v="More than 10 Years"/>
    <n v="2"/>
    <x v="0"/>
  </r>
  <r>
    <s v="EMP1297"/>
    <s v="Tina Sanders"/>
    <x v="2"/>
    <n v="58"/>
    <x v="3"/>
    <s v="Finance Manager"/>
    <d v="2023-03-16T00:00:00"/>
    <n v="74850"/>
    <s v="Divorced"/>
    <s v="Bachelor's"/>
    <x v="9"/>
    <s v="Non-Travel"/>
    <n v="28"/>
    <x v="1"/>
    <x v="2"/>
    <n v="3"/>
    <n v="4"/>
    <n v="4"/>
    <n v="4"/>
    <n v="2"/>
    <n v="25"/>
    <s v="Willie Henry"/>
    <x v="1"/>
    <d v="2023-04-22T00:00:00"/>
    <x v="4"/>
    <n v="0"/>
    <x v="2"/>
    <n v="1"/>
    <s v="Less than 1 Year"/>
    <n v="3"/>
    <x v="1"/>
  </r>
  <r>
    <s v="EMP1420"/>
    <s v="Shane Buchanan"/>
    <x v="2"/>
    <n v="19"/>
    <x v="0"/>
    <s v="Research Scientist"/>
    <d v="2020-12-16T00:00:00"/>
    <n v="123041"/>
    <s v="Divorced"/>
    <s v="Bachelor's"/>
    <x v="9"/>
    <s v="Travel_Frequently"/>
    <n v="45"/>
    <x v="1"/>
    <x v="3"/>
    <n v="4"/>
    <n v="1"/>
    <n v="2"/>
    <n v="5"/>
    <n v="2"/>
    <n v="23"/>
    <s v="Jason Hernandez"/>
    <x v="1"/>
    <d v="2023-12-10T00:00:00"/>
    <x v="2"/>
    <n v="2"/>
    <x v="0"/>
    <n v="1"/>
    <s v="1-3 Years"/>
    <n v="2.67"/>
    <x v="0"/>
  </r>
  <r>
    <s v="EMP1439"/>
    <s v="Mary Bright"/>
    <x v="0"/>
    <n v="36"/>
    <x v="4"/>
    <s v="Sales Executive"/>
    <d v="2015-07-14T00:00:00"/>
    <n v="73964"/>
    <s v="Divorced"/>
    <s v="Bachelor's"/>
    <x v="0"/>
    <s v="Travel_Frequently"/>
    <n v="25"/>
    <x v="0"/>
    <x v="1"/>
    <n v="3"/>
    <n v="4"/>
    <n v="4"/>
    <n v="3"/>
    <n v="0"/>
    <n v="15"/>
    <s v="Not Specified"/>
    <x v="0"/>
    <m/>
    <x v="0"/>
    <n v="11"/>
    <x v="2"/>
    <n v="0"/>
    <s v="More than 10 Years"/>
    <n v="3.67"/>
    <x v="1"/>
  </r>
  <r>
    <s v="EMP1262"/>
    <s v="Andrea Peck"/>
    <x v="0"/>
    <n v="44"/>
    <x v="4"/>
    <s v="Account Manager"/>
    <d v="2012-02-19T00:00:00"/>
    <n v="53602"/>
    <s v="Divorced"/>
    <s v="Master's"/>
    <x v="8"/>
    <s v="Travel_Rarely"/>
    <n v="37"/>
    <x v="0"/>
    <x v="2"/>
    <n v="3"/>
    <n v="2"/>
    <n v="3"/>
    <n v="1"/>
    <n v="1"/>
    <n v="14"/>
    <s v="Randy Cannon"/>
    <x v="0"/>
    <m/>
    <x v="0"/>
    <n v="14"/>
    <x v="1"/>
    <n v="0"/>
    <s v="More than 10 Years"/>
    <n v="2.33"/>
    <x v="0"/>
  </r>
  <r>
    <s v="EMP1726"/>
    <s v="Kari Lloyd"/>
    <x v="0"/>
    <n v="45"/>
    <x v="5"/>
    <s v="Brand Manager"/>
    <d v="2024-07-10T00:00:00"/>
    <n v="66310"/>
    <s v="Single"/>
    <s v="Bachelor's"/>
    <x v="7"/>
    <s v="Travel_Frequently"/>
    <n v="24"/>
    <x v="0"/>
    <x v="0"/>
    <n v="2"/>
    <n v="3"/>
    <n v="3"/>
    <n v="6"/>
    <n v="0"/>
    <n v="18"/>
    <s v="Bradley Thomas"/>
    <x v="0"/>
    <m/>
    <x v="3"/>
    <n v="2"/>
    <x v="2"/>
    <n v="0"/>
    <s v="1-3 Years"/>
    <n v="2"/>
    <x v="0"/>
  </r>
  <r>
    <s v="EMP1282"/>
    <s v="Kathryn Pena"/>
    <x v="0"/>
    <n v="19"/>
    <x v="0"/>
    <s v="Research Scientist"/>
    <d v="2021-11-17T00:00:00"/>
    <n v="53825"/>
    <s v="Single"/>
    <s v="Master's"/>
    <x v="0"/>
    <s v="Non-Travel"/>
    <n v="34"/>
    <x v="0"/>
    <x v="3"/>
    <n v="4"/>
    <n v="4"/>
    <n v="5"/>
    <n v="3"/>
    <n v="1"/>
    <n v="18"/>
    <s v="Roberto Levy"/>
    <x v="0"/>
    <m/>
    <x v="2"/>
    <n v="4"/>
    <x v="1"/>
    <n v="0"/>
    <s v="4-5 Years"/>
    <n v="3.67"/>
    <x v="1"/>
  </r>
  <r>
    <s v="EMP1859"/>
    <s v="Julie Castro"/>
    <x v="0"/>
    <n v="23"/>
    <x v="7"/>
    <s v="Supply Chain Analyst"/>
    <d v="2018-03-03T00:00:00"/>
    <n v="56461"/>
    <s v="Divorced"/>
    <s v="Master's"/>
    <x v="4"/>
    <s v="Non-Travel"/>
    <n v="45"/>
    <x v="1"/>
    <x v="3"/>
    <n v="3"/>
    <n v="4"/>
    <n v="5"/>
    <n v="1"/>
    <n v="0"/>
    <n v="16"/>
    <s v="Amanda Moore"/>
    <x v="0"/>
    <m/>
    <x v="2"/>
    <n v="8"/>
    <x v="1"/>
    <n v="0"/>
    <s v="6-10 Years"/>
    <n v="3.33"/>
    <x v="1"/>
  </r>
  <r>
    <s v="EMP1883"/>
    <s v="Diane Byrd MD"/>
    <x v="2"/>
    <n v="30"/>
    <x v="4"/>
    <s v="Sales Manager"/>
    <d v="2017-10-04T00:00:00"/>
    <n v="47255"/>
    <s v="Divorced"/>
    <s v="Bachelor's"/>
    <x v="9"/>
    <s v="Travel_Frequently"/>
    <n v="25"/>
    <x v="1"/>
    <x v="1"/>
    <n v="2"/>
    <n v="3"/>
    <n v="3"/>
    <n v="3"/>
    <n v="3"/>
    <n v="17"/>
    <s v="Dylan Green"/>
    <x v="0"/>
    <m/>
    <x v="1"/>
    <n v="8"/>
    <x v="1"/>
    <n v="0"/>
    <s v="6-10 Years"/>
    <n v="3"/>
    <x v="1"/>
  </r>
  <r>
    <s v="EMP1189"/>
    <s v="David Conley"/>
    <x v="0"/>
    <n v="40"/>
    <x v="2"/>
    <s v="System Administrator"/>
    <d v="2019-11-07T00:00:00"/>
    <n v="100840"/>
    <s v="Single"/>
    <s v="High School"/>
    <x v="6"/>
    <s v="Travel_Rarely"/>
    <n v="20"/>
    <x v="0"/>
    <x v="1"/>
    <n v="4"/>
    <n v="2"/>
    <n v="4"/>
    <n v="5"/>
    <n v="2"/>
    <n v="19"/>
    <s v="Kelsey Rodriguez"/>
    <x v="0"/>
    <m/>
    <x v="0"/>
    <n v="6"/>
    <x v="0"/>
    <n v="0"/>
    <s v="6-10 Years"/>
    <n v="3.33"/>
    <x v="1"/>
  </r>
  <r>
    <s v="EMP1930"/>
    <s v="Jessica Bryant"/>
    <x v="2"/>
    <n v="29"/>
    <x v="4"/>
    <s v="Sales Executive"/>
    <d v="2024-03-20T00:00:00"/>
    <n v="51584"/>
    <s v="Divorced"/>
    <s v="Not Specified"/>
    <x v="4"/>
    <s v="Travel_Frequently"/>
    <n v="11"/>
    <x v="1"/>
    <x v="3"/>
    <n v="2"/>
    <n v="4"/>
    <n v="4"/>
    <n v="3"/>
    <n v="8"/>
    <n v="14"/>
    <s v="Brian Bishop"/>
    <x v="0"/>
    <m/>
    <x v="1"/>
    <n v="2"/>
    <x v="1"/>
    <n v="0"/>
    <s v="1-3 Years"/>
    <n v="3"/>
    <x v="1"/>
  </r>
  <r>
    <s v="EMP1252"/>
    <s v="Charles Morris"/>
    <x v="0"/>
    <n v="50"/>
    <x v="7"/>
    <s v="Logistics Manager"/>
    <d v="2015-05-13T00:00:00"/>
    <n v="47315"/>
    <s v="Divorced"/>
    <s v="Master's"/>
    <x v="8"/>
    <s v="Travel_Rarely"/>
    <n v="13"/>
    <x v="0"/>
    <x v="3"/>
    <n v="2"/>
    <n v="3"/>
    <n v="2"/>
    <n v="5"/>
    <n v="0"/>
    <n v="15"/>
    <s v="David Molina"/>
    <x v="0"/>
    <m/>
    <x v="3"/>
    <n v="11"/>
    <x v="1"/>
    <n v="0"/>
    <s v="More than 10 Years"/>
    <n v="2.67"/>
    <x v="0"/>
  </r>
  <r>
    <s v="EMP1784"/>
    <s v="Destiny Brown"/>
    <x v="2"/>
    <n v="33"/>
    <x v="4"/>
    <s v="Sales Representative"/>
    <d v="2016-10-24T00:00:00"/>
    <n v="71864"/>
    <s v="Single"/>
    <s v="Bachelor's"/>
    <x v="4"/>
    <s v="Travel_Rarely"/>
    <n v="5"/>
    <x v="0"/>
    <x v="2"/>
    <n v="3"/>
    <n v="4"/>
    <n v="3"/>
    <n v="5"/>
    <n v="2"/>
    <n v="25"/>
    <s v="Mr. Bryan Mckinney"/>
    <x v="0"/>
    <m/>
    <x v="1"/>
    <n v="9"/>
    <x v="2"/>
    <n v="0"/>
    <s v="6-10 Years"/>
    <n v="3"/>
    <x v="1"/>
  </r>
  <r>
    <s v="EMP2123"/>
    <s v="Stephanie White"/>
    <x v="2"/>
    <n v="19"/>
    <x v="3"/>
    <s v="Finance Manager"/>
    <d v="2020-08-07T00:00:00"/>
    <n v="122377"/>
    <s v="Divorced"/>
    <s v="Master's"/>
    <x v="6"/>
    <s v="Travel_Rarely"/>
    <n v="31"/>
    <x v="0"/>
    <x v="1"/>
    <n v="2"/>
    <n v="2"/>
    <n v="3"/>
    <n v="6"/>
    <n v="1"/>
    <n v="25"/>
    <s v="Justin Mcbride"/>
    <x v="0"/>
    <m/>
    <x v="2"/>
    <n v="6"/>
    <x v="0"/>
    <n v="0"/>
    <s v="6-10 Years"/>
    <n v="2.67"/>
    <x v="0"/>
  </r>
  <r>
    <s v="EMP1515"/>
    <s v="Matthew Hunt"/>
    <x v="0"/>
    <n v="35"/>
    <x v="1"/>
    <s v="Recruiter"/>
    <d v="2014-01-24T00:00:00"/>
    <n v="96029"/>
    <s v="Married"/>
    <s v="High School"/>
    <x v="3"/>
    <s v="Travel_Rarely"/>
    <n v="19"/>
    <x v="0"/>
    <x v="0"/>
    <n v="1"/>
    <n v="1"/>
    <n v="4"/>
    <n v="1"/>
    <n v="7"/>
    <n v="14"/>
    <s v="Ruben Lee"/>
    <x v="0"/>
    <m/>
    <x v="0"/>
    <n v="12"/>
    <x v="2"/>
    <n v="0"/>
    <s v="More than 10 Years"/>
    <n v="1"/>
    <x v="2"/>
  </r>
  <r>
    <s v="EMP1619"/>
    <s v="Phillip Jordan"/>
    <x v="1"/>
    <n v="35"/>
    <x v="4"/>
    <s v="Sales Representative"/>
    <d v="2022-06-29T00:00:00"/>
    <n v="71526"/>
    <s v="Divorced"/>
    <s v="High School"/>
    <x v="3"/>
    <s v="Travel_Rarely"/>
    <n v="41"/>
    <x v="0"/>
    <x v="3"/>
    <n v="2"/>
    <n v="4"/>
    <n v="4"/>
    <n v="3"/>
    <n v="2"/>
    <n v="23"/>
    <s v="Not Specified"/>
    <x v="0"/>
    <m/>
    <x v="0"/>
    <n v="4"/>
    <x v="2"/>
    <n v="0"/>
    <s v="4-5 Years"/>
    <n v="3"/>
    <x v="1"/>
  </r>
  <r>
    <s v="EMP1488"/>
    <s v="Brian Bell"/>
    <x v="2"/>
    <n v="20"/>
    <x v="7"/>
    <s v="Logistics Manager"/>
    <d v="2018-10-30T00:00:00"/>
    <n v="69244"/>
    <s v="Divorced"/>
    <s v="Bachelor's"/>
    <x v="0"/>
    <s v="Non-Travel"/>
    <n v="17"/>
    <x v="0"/>
    <x v="0"/>
    <n v="2"/>
    <n v="1"/>
    <n v="5"/>
    <n v="2"/>
    <n v="5"/>
    <n v="17"/>
    <s v="Mary Butler"/>
    <x v="0"/>
    <m/>
    <x v="2"/>
    <n v="7"/>
    <x v="2"/>
    <n v="0"/>
    <s v="6-10 Years"/>
    <n v="1.33"/>
    <x v="2"/>
  </r>
  <r>
    <s v="EMP1274"/>
    <s v="Suzanne Hart"/>
    <x v="2"/>
    <n v="35"/>
    <x v="0"/>
    <s v="Lab Technician"/>
    <d v="2026-02-06T00:00:00"/>
    <n v="106390"/>
    <s v="Single"/>
    <s v="High School"/>
    <x v="9"/>
    <s v="Travel_Rarely"/>
    <n v="42"/>
    <x v="1"/>
    <x v="2"/>
    <n v="2"/>
    <n v="4"/>
    <n v="1"/>
    <n v="2"/>
    <n v="6"/>
    <n v="15"/>
    <s v="David Harris"/>
    <x v="1"/>
    <d v="2026-05-31T00:00:00"/>
    <x v="0"/>
    <n v="0"/>
    <x v="0"/>
    <n v="1"/>
    <s v="Less than 1 Year"/>
    <n v="2.67"/>
    <x v="0"/>
  </r>
  <r>
    <s v="EMP1996"/>
    <s v="James Davis"/>
    <x v="2"/>
    <n v="32"/>
    <x v="0"/>
    <s v="Research Director"/>
    <d v="2022-11-18T00:00:00"/>
    <n v="76116"/>
    <s v="Single"/>
    <s v="Diploma"/>
    <x v="9"/>
    <s v="Travel_Frequently"/>
    <n v="26"/>
    <x v="1"/>
    <x v="0"/>
    <n v="1"/>
    <n v="3"/>
    <n v="3"/>
    <n v="3"/>
    <n v="3"/>
    <n v="17"/>
    <s v="Mary Smith"/>
    <x v="1"/>
    <d v="2023-10-06T00:00:00"/>
    <x v="1"/>
    <n v="0"/>
    <x v="2"/>
    <n v="1"/>
    <s v="Less than 1 Year"/>
    <n v="1.67"/>
    <x v="2"/>
  </r>
  <r>
    <s v="EMP2096"/>
    <s v="Michael Dunn"/>
    <x v="2"/>
    <n v="22"/>
    <x v="4"/>
    <s v="Sales Representative"/>
    <d v="2024-09-17T00:00:00"/>
    <n v="65676"/>
    <s v="Married"/>
    <s v="Diploma"/>
    <x v="3"/>
    <s v="Non-Travel"/>
    <n v="15"/>
    <x v="1"/>
    <x v="0"/>
    <n v="2"/>
    <n v="3"/>
    <n v="2"/>
    <n v="3"/>
    <n v="7"/>
    <n v="22"/>
    <s v="Brian Bates"/>
    <x v="1"/>
    <d v="2025-01-14T00:00:00"/>
    <x v="2"/>
    <n v="0"/>
    <x v="2"/>
    <n v="1"/>
    <s v="Less than 1 Year"/>
    <n v="2"/>
    <x v="0"/>
  </r>
  <r>
    <s v="EMP1449"/>
    <s v="Janet Johnson"/>
    <x v="0"/>
    <n v="33"/>
    <x v="0"/>
    <s v="Research Director"/>
    <d v="2014-08-21T00:00:00"/>
    <n v="93042"/>
    <s v="Married"/>
    <s v="Bachelor's"/>
    <x v="6"/>
    <s v="Travel_Rarely"/>
    <n v="18"/>
    <x v="0"/>
    <x v="0"/>
    <n v="3"/>
    <n v="2"/>
    <n v="4"/>
    <n v="2"/>
    <n v="6"/>
    <n v="11"/>
    <s v="Adrian Morris"/>
    <x v="0"/>
    <m/>
    <x v="1"/>
    <n v="12"/>
    <x v="2"/>
    <n v="0"/>
    <s v="More than 10 Years"/>
    <n v="2"/>
    <x v="0"/>
  </r>
  <r>
    <s v="EMP1412"/>
    <s v="Ryan Parker"/>
    <x v="2"/>
    <n v="30"/>
    <x v="4"/>
    <s v="Sales Representative"/>
    <d v="2017-08-04T00:00:00"/>
    <n v="99555"/>
    <s v="Single"/>
    <s v="PhD"/>
    <x v="0"/>
    <s v="Travel_Frequently"/>
    <n v="4"/>
    <x v="0"/>
    <x v="0"/>
    <n v="2"/>
    <n v="3"/>
    <n v="4"/>
    <n v="0"/>
    <n v="1"/>
    <n v="17"/>
    <s v="Matthew Davis MD"/>
    <x v="0"/>
    <m/>
    <x v="1"/>
    <n v="9"/>
    <x v="2"/>
    <n v="0"/>
    <s v="6-10 Years"/>
    <n v="2"/>
    <x v="0"/>
  </r>
  <r>
    <s v="EMP1888"/>
    <s v="Walter Hansen"/>
    <x v="0"/>
    <n v="24"/>
    <x v="5"/>
    <s v="Marketing Executive"/>
    <d v="2020-04-28T00:00:00"/>
    <n v="69101"/>
    <s v="Married"/>
    <s v="Master's"/>
    <x v="0"/>
    <s v="Travel_Frequently"/>
    <n v="6"/>
    <x v="0"/>
    <x v="3"/>
    <n v="2"/>
    <n v="4"/>
    <n v="2"/>
    <n v="3"/>
    <n v="4"/>
    <n v="16"/>
    <s v="Not Specified"/>
    <x v="0"/>
    <m/>
    <x v="2"/>
    <n v="6"/>
    <x v="2"/>
    <n v="0"/>
    <s v="6-10 Years"/>
    <n v="3"/>
    <x v="1"/>
  </r>
  <r>
    <s v="EMP1751"/>
    <s v="Mary Ellis"/>
    <x v="0"/>
    <n v="58"/>
    <x v="2"/>
    <s v="Not Specified"/>
    <d v="2021-10-11T00:00:00"/>
    <n v="71615"/>
    <s v="Single"/>
    <s v="Bachelor's"/>
    <x v="9"/>
    <s v="Not Specified"/>
    <n v="1"/>
    <x v="1"/>
    <x v="1"/>
    <n v="4"/>
    <n v="3"/>
    <n v="3"/>
    <n v="2"/>
    <n v="4"/>
    <n v="25"/>
    <s v="Brittany Riley"/>
    <x v="0"/>
    <m/>
    <x v="4"/>
    <n v="4"/>
    <x v="2"/>
    <n v="0"/>
    <s v="4-5 Years"/>
    <n v="3.67"/>
    <x v="1"/>
  </r>
  <r>
    <s v="EMP1970"/>
    <s v="Danielle Peters"/>
    <x v="2"/>
    <n v="38"/>
    <x v="6"/>
    <s v="Manufacturing Technician"/>
    <d v="2023-05-18T00:00:00"/>
    <n v="50241"/>
    <s v="Divorced"/>
    <s v="High School"/>
    <x v="6"/>
    <s v="Non-Travel"/>
    <n v="42"/>
    <x v="0"/>
    <x v="0"/>
    <n v="2"/>
    <n v="3"/>
    <n v="3"/>
    <n v="3"/>
    <n v="6"/>
    <n v="25"/>
    <s v="Jason Miller"/>
    <x v="0"/>
    <m/>
    <x v="0"/>
    <n v="3"/>
    <x v="1"/>
    <n v="0"/>
    <s v="1-3 Years"/>
    <n v="2"/>
    <x v="0"/>
  </r>
  <r>
    <s v="EMP1986"/>
    <s v="Rachael Lee"/>
    <x v="0"/>
    <n v="23"/>
    <x v="0"/>
    <s v="Lab Technician"/>
    <d v="2021-10-11T00:00:00"/>
    <n v="85245"/>
    <s v="Single"/>
    <s v="Bachelor's"/>
    <x v="8"/>
    <s v="Travel_Frequently"/>
    <n v="45"/>
    <x v="1"/>
    <x v="1"/>
    <n v="4"/>
    <n v="4"/>
    <n v="4"/>
    <n v="1"/>
    <n v="4"/>
    <n v="23"/>
    <s v="Melissa Patel MD"/>
    <x v="0"/>
    <m/>
    <x v="2"/>
    <n v="4"/>
    <x v="2"/>
    <n v="0"/>
    <s v="4-5 Years"/>
    <n v="4"/>
    <x v="1"/>
  </r>
  <r>
    <s v="EMP1150"/>
    <s v="Heather Lane"/>
    <x v="2"/>
    <n v="36"/>
    <x v="0"/>
    <s v="Manufacturing Technician"/>
    <d v="2014-11-02T00:00:00"/>
    <n v="105560"/>
    <s v="Married"/>
    <s v="Bachelor's"/>
    <x v="2"/>
    <s v="Travel_Rarely"/>
    <n v="45"/>
    <x v="0"/>
    <x v="0"/>
    <n v="1"/>
    <n v="4"/>
    <n v="3"/>
    <n v="2"/>
    <n v="4"/>
    <n v="17"/>
    <s v="Courtney Rodriguez"/>
    <x v="0"/>
    <m/>
    <x v="0"/>
    <n v="11"/>
    <x v="0"/>
    <n v="0"/>
    <s v="More than 10 Years"/>
    <n v="2"/>
    <x v="0"/>
  </r>
  <r>
    <s v="EMP1219"/>
    <s v="Tyler Webb"/>
    <x v="2"/>
    <n v="45"/>
    <x v="4"/>
    <s v="Sales Representative"/>
    <d v="2023-09-01T00:00:00"/>
    <n v="43332"/>
    <s v="Divorced"/>
    <s v="Bachelor's"/>
    <x v="4"/>
    <s v="Non-Travel"/>
    <n v="15"/>
    <x v="1"/>
    <x v="3"/>
    <n v="3"/>
    <n v="4"/>
    <n v="4"/>
    <n v="2"/>
    <n v="6"/>
    <n v="25"/>
    <s v="Elizabeth Jones"/>
    <x v="0"/>
    <m/>
    <x v="3"/>
    <n v="3"/>
    <x v="1"/>
    <n v="0"/>
    <s v="1-3 Years"/>
    <n v="3.33"/>
    <x v="1"/>
  </r>
  <r>
    <s v="EMP1240"/>
    <s v="Denise Martinez"/>
    <x v="0"/>
    <n v="48"/>
    <x v="0"/>
    <s v="Manufacturing Technician"/>
    <d v="2021-10-03T00:00:00"/>
    <n v="55078"/>
    <s v="Married"/>
    <s v="Diploma"/>
    <x v="3"/>
    <s v="Travel_Rarely"/>
    <n v="6"/>
    <x v="0"/>
    <x v="0"/>
    <n v="3"/>
    <n v="2"/>
    <n v="3"/>
    <n v="2"/>
    <n v="5"/>
    <n v="18"/>
    <s v="William Cardenas"/>
    <x v="0"/>
    <m/>
    <x v="3"/>
    <n v="4"/>
    <x v="1"/>
    <n v="0"/>
    <s v="4-5 Years"/>
    <n v="2"/>
    <x v="0"/>
  </r>
  <r>
    <s v="EMP1752"/>
    <s v="Amanda Thomas"/>
    <x v="2"/>
    <n v="21"/>
    <x v="0"/>
    <s v="Research Director"/>
    <d v="2021-06-01T00:00:00"/>
    <n v="117728"/>
    <s v="Single"/>
    <s v="Bachelor's"/>
    <x v="3"/>
    <s v="Travel_Frequently"/>
    <n v="13"/>
    <x v="0"/>
    <x v="1"/>
    <n v="4"/>
    <n v="1"/>
    <n v="3"/>
    <n v="2"/>
    <n v="5"/>
    <n v="13"/>
    <s v="Thomas Williams"/>
    <x v="0"/>
    <m/>
    <x v="2"/>
    <n v="5"/>
    <x v="0"/>
    <n v="0"/>
    <s v="4-5 Years"/>
    <n v="3"/>
    <x v="1"/>
  </r>
  <r>
    <s v="EMP1193"/>
    <s v="Virginia Spencer"/>
    <x v="0"/>
    <n v="29"/>
    <x v="4"/>
    <s v="Sales Manager"/>
    <d v="2017-06-27T00:00:00"/>
    <n v="46925"/>
    <s v="Divorced"/>
    <s v="Master's"/>
    <x v="8"/>
    <s v="Travel_Frequently"/>
    <n v="6"/>
    <x v="0"/>
    <x v="3"/>
    <n v="2"/>
    <n v="4"/>
    <n v="4"/>
    <n v="0"/>
    <n v="7"/>
    <n v="24"/>
    <s v="Mark Zavala"/>
    <x v="0"/>
    <m/>
    <x v="1"/>
    <n v="9"/>
    <x v="1"/>
    <n v="0"/>
    <s v="6-10 Years"/>
    <n v="3"/>
    <x v="1"/>
  </r>
  <r>
    <s v="EMP1192"/>
    <s v="Jason Beck"/>
    <x v="2"/>
    <n v="36"/>
    <x v="5"/>
    <s v="Brand Manager"/>
    <d v="2012-12-09T00:00:00"/>
    <n v="46025"/>
    <s v="Not Specified"/>
    <s v="Bachelor's"/>
    <x v="6"/>
    <s v="Non-Travel"/>
    <n v="43"/>
    <x v="0"/>
    <x v="2"/>
    <n v="4"/>
    <n v="4"/>
    <n v="4"/>
    <n v="6"/>
    <n v="6"/>
    <n v="17"/>
    <s v="Andrea Fox"/>
    <x v="0"/>
    <m/>
    <x v="0"/>
    <n v="13"/>
    <x v="1"/>
    <n v="0"/>
    <s v="More than 10 Years"/>
    <n v="3.33"/>
    <x v="1"/>
  </r>
  <r>
    <s v="EMP2091"/>
    <s v="Michael Briggs"/>
    <x v="2"/>
    <n v="50"/>
    <x v="0"/>
    <s v="Manufacturing Technician"/>
    <d v="2017-02-27T00:00:00"/>
    <n v="93483"/>
    <s v="Single"/>
    <s v="Master's"/>
    <x v="4"/>
    <s v="Travel_Rarely"/>
    <n v="29"/>
    <x v="0"/>
    <x v="0"/>
    <n v="3"/>
    <n v="4"/>
    <n v="3"/>
    <n v="5"/>
    <n v="0"/>
    <n v="19"/>
    <s v="Mary Alvarez"/>
    <x v="0"/>
    <m/>
    <x v="3"/>
    <n v="9"/>
    <x v="2"/>
    <n v="0"/>
    <s v="6-10 Years"/>
    <n v="2.67"/>
    <x v="0"/>
  </r>
  <r>
    <s v="EMP1737"/>
    <s v="Tracy Kemp"/>
    <x v="0"/>
    <n v="40"/>
    <x v="2"/>
    <s v="It Support"/>
    <d v="2022-01-15T00:00:00"/>
    <n v="60522"/>
    <s v="Married"/>
    <s v="Bachelor's"/>
    <x v="5"/>
    <s v="Travel_Frequently"/>
    <n v="10"/>
    <x v="0"/>
    <x v="1"/>
    <n v="4"/>
    <n v="2"/>
    <n v="3"/>
    <n v="2"/>
    <n v="0"/>
    <n v="18"/>
    <s v="Not Specified"/>
    <x v="0"/>
    <m/>
    <x v="0"/>
    <n v="4"/>
    <x v="2"/>
    <n v="0"/>
    <s v="4-5 Years"/>
    <n v="3.33"/>
    <x v="1"/>
  </r>
  <r>
    <s v="EMP1705"/>
    <s v="Justin Short"/>
    <x v="0"/>
    <n v="30"/>
    <x v="1"/>
    <s v="Hr Executive"/>
    <d v="2014-04-16T00:00:00"/>
    <n v="53356"/>
    <s v="Divorced"/>
    <s v="Bachelor's"/>
    <x v="9"/>
    <s v="Non-Travel"/>
    <n v="25"/>
    <x v="0"/>
    <x v="3"/>
    <n v="1"/>
    <n v="3"/>
    <n v="4"/>
    <n v="2"/>
    <n v="8"/>
    <n v="14"/>
    <s v="Andrea Rodriguez"/>
    <x v="0"/>
    <m/>
    <x v="1"/>
    <n v="12"/>
    <x v="1"/>
    <n v="0"/>
    <s v="More than 10 Years"/>
    <n v="2.33"/>
    <x v="0"/>
  </r>
  <r>
    <s v="EMP1738"/>
    <s v="Tammy Hill"/>
    <x v="0"/>
    <n v="32"/>
    <x v="4"/>
    <s v="Sales Manager"/>
    <d v="2018-01-12T00:00:00"/>
    <n v="59598"/>
    <s v="Married"/>
    <s v="Not Specified"/>
    <x v="8"/>
    <s v="Non-Travel"/>
    <n v="23"/>
    <x v="0"/>
    <x v="1"/>
    <n v="1"/>
    <n v="1"/>
    <n v="3"/>
    <n v="0"/>
    <n v="0"/>
    <n v="12"/>
    <s v="Patricia Morris"/>
    <x v="0"/>
    <m/>
    <x v="1"/>
    <n v="8"/>
    <x v="1"/>
    <n v="0"/>
    <s v="6-10 Years"/>
    <n v="2"/>
    <x v="0"/>
  </r>
  <r>
    <s v="EMP1624"/>
    <s v="James Hardin"/>
    <x v="0"/>
    <n v="28"/>
    <x v="4"/>
    <s v="Sales Manager"/>
    <d v="2022-08-14T00:00:00"/>
    <n v="38244"/>
    <s v="Divorced"/>
    <s v="Master's"/>
    <x v="0"/>
    <s v="Travel_Rarely"/>
    <n v="41"/>
    <x v="0"/>
    <x v="3"/>
    <n v="4"/>
    <n v="2"/>
    <n v="2"/>
    <n v="2"/>
    <n v="7"/>
    <n v="23"/>
    <s v="Rebecca Thompson"/>
    <x v="0"/>
    <m/>
    <x v="1"/>
    <n v="4"/>
    <x v="1"/>
    <n v="0"/>
    <s v="4-5 Years"/>
    <n v="3"/>
    <x v="1"/>
  </r>
  <r>
    <s v="EMP1977"/>
    <s v="Mrs. Julia Greene"/>
    <x v="0"/>
    <n v="36"/>
    <x v="4"/>
    <s v="Account Manager"/>
    <d v="2011-11-25T00:00:00"/>
    <n v="56397"/>
    <s v="Married"/>
    <s v="Bachelor's"/>
    <x v="3"/>
    <s v="Non-Travel"/>
    <n v="32"/>
    <x v="1"/>
    <x v="0"/>
    <n v="2"/>
    <n v="1"/>
    <n v="4"/>
    <n v="6"/>
    <n v="7"/>
    <n v="11"/>
    <s v="April Alvarez"/>
    <x v="1"/>
    <d v="2022-02-11T00:00:00"/>
    <x v="0"/>
    <n v="10"/>
    <x v="1"/>
    <n v="1"/>
    <s v="6-10 Years"/>
    <n v="1.33"/>
    <x v="2"/>
  </r>
  <r>
    <s v="EMP1741"/>
    <s v="Randy Robinson"/>
    <x v="0"/>
    <n v="20"/>
    <x v="3"/>
    <s v="Accountant"/>
    <d v="2021-04-05T00:00:00"/>
    <n v="95050"/>
    <s v="Married"/>
    <s v="Master's"/>
    <x v="8"/>
    <s v="Travel_Rarely"/>
    <n v="36"/>
    <x v="1"/>
    <x v="1"/>
    <n v="2"/>
    <n v="2"/>
    <n v="4"/>
    <n v="5"/>
    <n v="3"/>
    <n v="24"/>
    <s v="Michelle Garcia"/>
    <x v="0"/>
    <m/>
    <x v="2"/>
    <n v="5"/>
    <x v="2"/>
    <n v="0"/>
    <s v="4-5 Years"/>
    <n v="2.67"/>
    <x v="0"/>
  </r>
  <r>
    <s v="EMP1583"/>
    <s v="Matthew Mcclure"/>
    <x v="2"/>
    <n v="29"/>
    <x v="0"/>
    <s v="Lab Technician"/>
    <d v="2016-04-11T00:00:00"/>
    <n v="94658"/>
    <s v="Single"/>
    <s v="Master's"/>
    <x v="8"/>
    <s v="Travel_Rarely"/>
    <n v="44"/>
    <x v="0"/>
    <x v="2"/>
    <n v="4"/>
    <n v="2"/>
    <n v="4"/>
    <n v="2"/>
    <n v="0"/>
    <n v="13"/>
    <s v="Mark Anderson"/>
    <x v="1"/>
    <d v="2018-11-05T00:00:00"/>
    <x v="1"/>
    <n v="2"/>
    <x v="2"/>
    <n v="1"/>
    <s v="1-3 Years"/>
    <n v="2.67"/>
    <x v="0"/>
  </r>
  <r>
    <s v="EMP2131"/>
    <s v="Cheryl Watson"/>
    <x v="0"/>
    <n v="35"/>
    <x v="0"/>
    <s v="Research Director"/>
    <d v="2021-06-20T00:00:00"/>
    <n v="106614"/>
    <s v="Married"/>
    <s v="Master's"/>
    <x v="5"/>
    <s v="Travel_Frequently"/>
    <n v="18"/>
    <x v="1"/>
    <x v="0"/>
    <n v="3"/>
    <n v="3"/>
    <n v="3"/>
    <n v="3"/>
    <n v="1"/>
    <n v="11"/>
    <s v="Lisa Barnes"/>
    <x v="0"/>
    <m/>
    <x v="0"/>
    <n v="5"/>
    <x v="0"/>
    <n v="0"/>
    <s v="4-5 Years"/>
    <n v="2.33"/>
    <x v="0"/>
  </r>
  <r>
    <s v="EMP1324"/>
    <s v="Laurie Bailey"/>
    <x v="2"/>
    <n v="48"/>
    <x v="0"/>
    <s v="Lab Technician"/>
    <d v="2024-04-11T00:00:00"/>
    <n v="60109"/>
    <s v="Single"/>
    <s v="Diploma"/>
    <x v="0"/>
    <s v="Non-Travel"/>
    <n v="5"/>
    <x v="0"/>
    <x v="1"/>
    <n v="2"/>
    <n v="3"/>
    <n v="3"/>
    <n v="3"/>
    <n v="1"/>
    <n v="22"/>
    <s v="Robin Mccarthy"/>
    <x v="0"/>
    <m/>
    <x v="3"/>
    <n v="2"/>
    <x v="2"/>
    <n v="0"/>
    <s v="1-3 Years"/>
    <n v="3"/>
    <x v="1"/>
  </r>
  <r>
    <s v="EMP1968"/>
    <s v="Katherine Goodwin"/>
    <x v="2"/>
    <n v="47"/>
    <x v="4"/>
    <s v="Sales Manager"/>
    <d v="2017-05-29T00:00:00"/>
    <n v="49671"/>
    <s v="Single"/>
    <s v="Bachelor's"/>
    <x v="0"/>
    <s v="Travel_Rarely"/>
    <n v="40"/>
    <x v="0"/>
    <x v="1"/>
    <n v="1"/>
    <n v="1"/>
    <n v="3"/>
    <n v="3"/>
    <n v="3"/>
    <n v="20"/>
    <s v="Antonio Marshall"/>
    <x v="0"/>
    <m/>
    <x v="3"/>
    <n v="9"/>
    <x v="1"/>
    <n v="0"/>
    <s v="6-10 Years"/>
    <n v="2"/>
    <x v="0"/>
  </r>
  <r>
    <s v="EMP1894"/>
    <s v="Karina Vasquez"/>
    <x v="0"/>
    <n v="39"/>
    <x v="5"/>
    <s v="Marketing Executive"/>
    <d v="2024-04-12T00:00:00"/>
    <n v="104067"/>
    <s v="Single"/>
    <s v="Master's"/>
    <x v="0"/>
    <s v="Travel_Frequently"/>
    <n v="20"/>
    <x v="0"/>
    <x v="0"/>
    <n v="2"/>
    <n v="3"/>
    <n v="3"/>
    <n v="2"/>
    <n v="0"/>
    <n v="21"/>
    <s v="Becky Davis"/>
    <x v="0"/>
    <m/>
    <x v="0"/>
    <n v="2"/>
    <x v="0"/>
    <n v="0"/>
    <s v="1-3 Years"/>
    <n v="2"/>
    <x v="0"/>
  </r>
  <r>
    <s v="EMP1688"/>
    <s v="Kelly Rowe"/>
    <x v="0"/>
    <n v="27"/>
    <x v="4"/>
    <s v="Sales Executive"/>
    <d v="2013-10-19T00:00:00"/>
    <n v="105952"/>
    <s v="Married"/>
    <s v="Not Specified"/>
    <x v="0"/>
    <s v="Non-Travel"/>
    <n v="40"/>
    <x v="0"/>
    <x v="1"/>
    <n v="3"/>
    <n v="3"/>
    <n v="5"/>
    <n v="4"/>
    <n v="7"/>
    <n v="18"/>
    <s v="Samantha Hurley"/>
    <x v="0"/>
    <m/>
    <x v="1"/>
    <n v="12"/>
    <x v="0"/>
    <n v="0"/>
    <s v="More than 10 Years"/>
    <n v="3.33"/>
    <x v="1"/>
  </r>
  <r>
    <s v="EMP1438"/>
    <s v="Stephanie Trujillo"/>
    <x v="2"/>
    <n v="52"/>
    <x v="2"/>
    <s v="Software Engineer"/>
    <d v="2023-08-20T00:00:00"/>
    <n v="115455"/>
    <s v="Divorced"/>
    <s v="Bachelor's"/>
    <x v="2"/>
    <s v="Non-Travel"/>
    <n v="39"/>
    <x v="0"/>
    <x v="1"/>
    <n v="3"/>
    <n v="2"/>
    <n v="4"/>
    <n v="3"/>
    <n v="6"/>
    <n v="20"/>
    <s v="Mary Becker"/>
    <x v="0"/>
    <m/>
    <x v="3"/>
    <n v="3"/>
    <x v="0"/>
    <n v="0"/>
    <s v="1-3 Years"/>
    <n v="3"/>
    <x v="1"/>
  </r>
  <r>
    <s v="EMP1807"/>
    <s v="James Spencer"/>
    <x v="2"/>
    <n v="35"/>
    <x v="5"/>
    <s v="Brand Manager"/>
    <d v="2012-04-17T00:00:00"/>
    <n v="76253"/>
    <s v="Married"/>
    <s v="Master's"/>
    <x v="7"/>
    <s v="Travel_Frequently"/>
    <n v="19"/>
    <x v="0"/>
    <x v="3"/>
    <n v="1"/>
    <n v="1"/>
    <n v="3"/>
    <n v="2"/>
    <n v="6"/>
    <n v="17"/>
    <s v="Sandra Torres"/>
    <x v="0"/>
    <m/>
    <x v="0"/>
    <n v="14"/>
    <x v="2"/>
    <n v="0"/>
    <s v="More than 10 Years"/>
    <n v="1.67"/>
    <x v="2"/>
  </r>
  <r>
    <s v="EMP1877"/>
    <s v="John Moss"/>
    <x v="0"/>
    <n v="23"/>
    <x v="4"/>
    <s v="Account Manager"/>
    <d v="2015-07-21T00:00:00"/>
    <n v="62770"/>
    <s v="Married"/>
    <s v="Master's"/>
    <x v="5"/>
    <s v="Non-Travel"/>
    <n v="39"/>
    <x v="0"/>
    <x v="2"/>
    <n v="2"/>
    <n v="2"/>
    <n v="4"/>
    <n v="5"/>
    <n v="1"/>
    <n v="18"/>
    <s v="Rebecca Gonzalez"/>
    <x v="1"/>
    <d v="2023-03-11T00:00:00"/>
    <x v="2"/>
    <n v="7"/>
    <x v="2"/>
    <n v="1"/>
    <s v="6-10 Years"/>
    <n v="2"/>
    <x v="0"/>
  </r>
  <r>
    <s v="EMP1342"/>
    <s v="Derrick Clayton"/>
    <x v="0"/>
    <n v="53"/>
    <x v="4"/>
    <s v="Sales Executive"/>
    <d v="2016-09-13T00:00:00"/>
    <n v="64626"/>
    <s v="Single"/>
    <s v="Not Specified"/>
    <x v="3"/>
    <s v="Travel_Rarely"/>
    <n v="45"/>
    <x v="0"/>
    <x v="1"/>
    <n v="4"/>
    <n v="3"/>
    <n v="2"/>
    <n v="0"/>
    <n v="0"/>
    <n v="13"/>
    <s v="Kylie Washington"/>
    <x v="0"/>
    <m/>
    <x v="3"/>
    <n v="9"/>
    <x v="2"/>
    <n v="0"/>
    <s v="6-10 Years"/>
    <n v="3.67"/>
    <x v="1"/>
  </r>
  <r>
    <s v="EMP1003"/>
    <s v="Kevin Pacheco"/>
    <x v="2"/>
    <n v="49"/>
    <x v="0"/>
    <s v="Manufacturing Technician"/>
    <d v="2011-10-05T00:00:00"/>
    <n v="52122"/>
    <s v="Married"/>
    <s v="Bachelor's"/>
    <x v="3"/>
    <s v="Travel_Frequently"/>
    <n v="38"/>
    <x v="1"/>
    <x v="2"/>
    <n v="3"/>
    <n v="4"/>
    <n v="3"/>
    <n v="3"/>
    <n v="4"/>
    <n v="23"/>
    <s v="Gina Moore"/>
    <x v="1"/>
    <d v="2023-10-08T00:00:00"/>
    <x v="3"/>
    <n v="12"/>
    <x v="1"/>
    <n v="1"/>
    <s v="More than 10 Years"/>
    <n v="3"/>
    <x v="1"/>
  </r>
  <r>
    <s v="EMP1230"/>
    <s v="Kaylee Murphy"/>
    <x v="0"/>
    <n v="31"/>
    <x v="0"/>
    <s v="Lab Technician"/>
    <d v="2020-10-22T00:00:00"/>
    <n v="116931"/>
    <s v="Not Specified"/>
    <s v="Bachelor's"/>
    <x v="7"/>
    <s v="Non-Travel"/>
    <n v="19"/>
    <x v="0"/>
    <x v="0"/>
    <n v="3"/>
    <n v="1"/>
    <n v="3"/>
    <n v="5"/>
    <n v="6"/>
    <n v="14"/>
    <s v="Nancy Evans MD"/>
    <x v="1"/>
    <d v="2021-10-04T00:00:00"/>
    <x v="1"/>
    <n v="0"/>
    <x v="0"/>
    <n v="1"/>
    <s v="Less than 1 Year"/>
    <n v="1.67"/>
    <x v="2"/>
  </r>
  <r>
    <s v="EMP1740"/>
    <s v="Jeremiah Vasquez"/>
    <x v="0"/>
    <n v="38"/>
    <x v="0"/>
    <s v="Lab Technician"/>
    <d v="2025-07-07T00:00:00"/>
    <n v="118713"/>
    <s v="Single"/>
    <s v="Bachelor's"/>
    <x v="1"/>
    <s v="Travel_Rarely"/>
    <n v="24"/>
    <x v="1"/>
    <x v="3"/>
    <n v="4"/>
    <n v="3"/>
    <n v="4"/>
    <n v="6"/>
    <n v="0"/>
    <n v="24"/>
    <s v="Cassandra Vasquez"/>
    <x v="0"/>
    <m/>
    <x v="0"/>
    <n v="1"/>
    <x v="0"/>
    <n v="0"/>
    <s v="1-3 Years"/>
    <n v="3.33"/>
    <x v="1"/>
  </r>
  <r>
    <s v="EMP1684"/>
    <s v="Andre Terrell"/>
    <x v="2"/>
    <n v="19"/>
    <x v="0"/>
    <s v="Research Scientist"/>
    <d v="2021-01-03T00:00:00"/>
    <n v="116658"/>
    <s v="Married"/>
    <s v="Not Specified"/>
    <x v="2"/>
    <s v="Non-Travel"/>
    <n v="36"/>
    <x v="0"/>
    <x v="3"/>
    <n v="1"/>
    <n v="2"/>
    <n v="4"/>
    <n v="3"/>
    <n v="7"/>
    <n v="16"/>
    <s v="Laura Price"/>
    <x v="0"/>
    <m/>
    <x v="2"/>
    <n v="5"/>
    <x v="0"/>
    <n v="0"/>
    <s v="4-5 Years"/>
    <n v="2"/>
    <x v="0"/>
  </r>
  <r>
    <s v="EMP1077"/>
    <s v="Gloria Atkinson"/>
    <x v="0"/>
    <n v="27"/>
    <x v="2"/>
    <s v="It Support"/>
    <d v="2023-12-06T00:00:00"/>
    <n v="107651"/>
    <s v="Single"/>
    <s v="Not Specified"/>
    <x v="8"/>
    <s v="Travel_Frequently"/>
    <n v="6"/>
    <x v="0"/>
    <x v="0"/>
    <n v="3"/>
    <n v="2"/>
    <n v="3"/>
    <n v="0"/>
    <n v="4"/>
    <n v="18"/>
    <s v="Madison Poole"/>
    <x v="1"/>
    <d v="2024-03-20T00:00:00"/>
    <x v="1"/>
    <n v="0"/>
    <x v="0"/>
    <n v="1"/>
    <s v="Less than 1 Year"/>
    <n v="2"/>
    <x v="0"/>
  </r>
  <r>
    <s v="EMP2126"/>
    <s v="Kelly Patton"/>
    <x v="0"/>
    <n v="37"/>
    <x v="2"/>
    <s v="System Administrator"/>
    <d v="2021-06-30T00:00:00"/>
    <n v="66551"/>
    <s v="Divorced"/>
    <s v="Master's"/>
    <x v="0"/>
    <s v="Non-Travel"/>
    <n v="34"/>
    <x v="1"/>
    <x v="3"/>
    <n v="4"/>
    <n v="2"/>
    <n v="5"/>
    <n v="0"/>
    <n v="6"/>
    <n v="11"/>
    <s v="Melissa Mills"/>
    <x v="1"/>
    <d v="2023-10-18T00:00:00"/>
    <x v="0"/>
    <n v="2"/>
    <x v="2"/>
    <n v="1"/>
    <s v="1-3 Years"/>
    <n v="3"/>
    <x v="1"/>
  </r>
  <r>
    <s v="EMP1372"/>
    <s v="Gregory Franco"/>
    <x v="2"/>
    <n v="34"/>
    <x v="4"/>
    <s v="Sales Executive"/>
    <d v="2024-09-30T00:00:00"/>
    <n v="59870"/>
    <s v="Divorced"/>
    <s v="Master's"/>
    <x v="2"/>
    <s v="Travel_Frequently"/>
    <n v="34"/>
    <x v="1"/>
    <x v="1"/>
    <n v="3"/>
    <n v="4"/>
    <n v="2"/>
    <n v="5"/>
    <n v="6"/>
    <n v="25"/>
    <s v="Matthew Sweeney"/>
    <x v="1"/>
    <d v="2026-07-27T00:00:00"/>
    <x v="1"/>
    <n v="1"/>
    <x v="1"/>
    <n v="1"/>
    <s v="1-3 Years"/>
    <n v="3.67"/>
    <x v="1"/>
  </r>
  <r>
    <s v="EMP1181"/>
    <s v="Michael Young"/>
    <x v="0"/>
    <n v="34"/>
    <x v="4"/>
    <s v="Sales Representative"/>
    <d v="2018-04-16T00:00:00"/>
    <n v="52127"/>
    <s v="Married"/>
    <s v="Bachelor's"/>
    <x v="3"/>
    <s v="Non-Travel"/>
    <n v="25"/>
    <x v="1"/>
    <x v="1"/>
    <n v="2"/>
    <n v="2"/>
    <n v="2"/>
    <n v="2"/>
    <n v="7"/>
    <n v="23"/>
    <s v="Paul Cole"/>
    <x v="0"/>
    <m/>
    <x v="1"/>
    <n v="8"/>
    <x v="1"/>
    <n v="0"/>
    <s v="6-10 Years"/>
    <n v="2.67"/>
    <x v="0"/>
  </r>
  <r>
    <s v="EMP1745"/>
    <s v="Karen Bradley"/>
    <x v="2"/>
    <n v="33"/>
    <x v="3"/>
    <s v="Auditor"/>
    <d v="2025-08-12T00:00:00"/>
    <n v="67163"/>
    <s v="Married"/>
    <s v="Bachelor's"/>
    <x v="7"/>
    <s v="Non-Travel"/>
    <n v="27"/>
    <x v="0"/>
    <x v="1"/>
    <n v="3"/>
    <n v="1"/>
    <n v="3"/>
    <n v="1"/>
    <n v="1"/>
    <n v="22"/>
    <s v="Jennifer Chen"/>
    <x v="1"/>
    <d v="2025-12-27T00:00:00"/>
    <x v="1"/>
    <n v="0"/>
    <x v="2"/>
    <n v="1"/>
    <s v="Less than 1 Year"/>
    <n v="2.67"/>
    <x v="0"/>
  </r>
  <r>
    <s v="EMP1578"/>
    <s v="Gail Welch"/>
    <x v="0"/>
    <n v="35"/>
    <x v="4"/>
    <s v="Sales Representative"/>
    <d v="2020-03-10T00:00:00"/>
    <n v="66961"/>
    <s v="Married"/>
    <s v="Master's"/>
    <x v="9"/>
    <s v="Not Specified"/>
    <n v="14"/>
    <x v="1"/>
    <x v="3"/>
    <n v="4"/>
    <n v="1"/>
    <n v="3"/>
    <n v="6"/>
    <n v="0"/>
    <n v="17"/>
    <s v="Andrea Martin"/>
    <x v="0"/>
    <m/>
    <x v="0"/>
    <n v="6"/>
    <x v="2"/>
    <n v="0"/>
    <s v="6-10 Years"/>
    <n v="2.67"/>
    <x v="0"/>
  </r>
  <r>
    <s v="EMP1770"/>
    <s v="Samuel Ellis"/>
    <x v="2"/>
    <n v="42"/>
    <x v="0"/>
    <s v="Research Director"/>
    <d v="2014-03-20T00:00:00"/>
    <n v="49190"/>
    <s v="Married"/>
    <s v="Bachelor's"/>
    <x v="5"/>
    <s v="Travel_Frequently"/>
    <n v="16"/>
    <x v="1"/>
    <x v="1"/>
    <n v="3"/>
    <n v="3"/>
    <n v="3"/>
    <n v="4"/>
    <n v="1"/>
    <n v="12"/>
    <s v="Stephen Munoz"/>
    <x v="0"/>
    <m/>
    <x v="0"/>
    <n v="12"/>
    <x v="1"/>
    <n v="0"/>
    <s v="More than 10 Years"/>
    <n v="3.33"/>
    <x v="1"/>
  </r>
  <r>
    <s v="EMP1795"/>
    <s v="Carla Turner"/>
    <x v="0"/>
    <n v="32"/>
    <x v="4"/>
    <s v="Sales Manager"/>
    <d v="2025-05-24T00:00:00"/>
    <n v="89171"/>
    <s v="Single"/>
    <s v="Master's"/>
    <x v="5"/>
    <s v="Travel_Frequently"/>
    <n v="31"/>
    <x v="0"/>
    <x v="3"/>
    <n v="2"/>
    <n v="2"/>
    <n v="4"/>
    <n v="2"/>
    <n v="4"/>
    <n v="21"/>
    <s v="Jonathan Thomas"/>
    <x v="0"/>
    <m/>
    <x v="1"/>
    <n v="1"/>
    <x v="2"/>
    <n v="0"/>
    <s v="1-3 Years"/>
    <n v="2.33"/>
    <x v="0"/>
  </r>
  <r>
    <s v="EMP2172"/>
    <s v="Joan Love"/>
    <x v="0"/>
    <n v="19"/>
    <x v="3"/>
    <s v="Not Specified"/>
    <d v="2025-04-02T00:00:00"/>
    <n v="77419"/>
    <s v="Married"/>
    <s v="Bachelor's"/>
    <x v="5"/>
    <s v="Travel_Rarely"/>
    <n v="45"/>
    <x v="1"/>
    <x v="1"/>
    <n v="2"/>
    <n v="3"/>
    <n v="5"/>
    <n v="2"/>
    <n v="0"/>
    <n v="25"/>
    <s v="Timothy Gordon"/>
    <x v="1"/>
    <d v="2025-05-06T00:00:00"/>
    <x v="2"/>
    <n v="0"/>
    <x v="2"/>
    <n v="1"/>
    <s v="Less than 1 Year"/>
    <n v="3"/>
    <x v="1"/>
  </r>
  <r>
    <s v="EMP2035"/>
    <s v="Joshua Mendoza"/>
    <x v="2"/>
    <n v="38"/>
    <x v="0"/>
    <s v="Manufacturing Technician"/>
    <d v="2012-09-08T00:00:00"/>
    <n v="52897"/>
    <s v="Married"/>
    <s v="Master's"/>
    <x v="5"/>
    <s v="Non-Travel"/>
    <n v="14"/>
    <x v="0"/>
    <x v="2"/>
    <n v="2"/>
    <n v="4"/>
    <n v="3"/>
    <n v="1"/>
    <n v="8"/>
    <n v="22"/>
    <s v="Sharon Anderson"/>
    <x v="0"/>
    <m/>
    <x v="0"/>
    <n v="13"/>
    <x v="1"/>
    <n v="0"/>
    <s v="More than 10 Years"/>
    <n v="2.67"/>
    <x v="0"/>
  </r>
  <r>
    <s v="EMP1870"/>
    <s v="Theodore Long"/>
    <x v="2"/>
    <n v="26"/>
    <x v="3"/>
    <s v="Auditor"/>
    <d v="2026-04-03T00:00:00"/>
    <n v="45570"/>
    <s v="Single"/>
    <s v="High School"/>
    <x v="6"/>
    <s v="Non-Travel"/>
    <n v="9"/>
    <x v="0"/>
    <x v="1"/>
    <n v="4"/>
    <n v="4"/>
    <n v="3"/>
    <n v="6"/>
    <n v="4"/>
    <n v="24"/>
    <s v="Brandon Carson"/>
    <x v="0"/>
    <m/>
    <x v="1"/>
    <n v="0"/>
    <x v="1"/>
    <n v="0"/>
    <s v="Less than 1 Year"/>
    <n v="4"/>
    <x v="1"/>
  </r>
  <r>
    <s v="EMP1590"/>
    <s v="Jennifer Martin"/>
    <x v="2"/>
    <n v="33"/>
    <x v="3"/>
    <s v="Auditor"/>
    <d v="2022-08-29T00:00:00"/>
    <n v="53178"/>
    <s v="Married"/>
    <s v="Bachelor's"/>
    <x v="0"/>
    <s v="Non-Travel"/>
    <n v="12"/>
    <x v="0"/>
    <x v="3"/>
    <n v="3"/>
    <n v="1"/>
    <n v="4"/>
    <n v="0"/>
    <n v="0"/>
    <n v="17"/>
    <s v="James Baker"/>
    <x v="0"/>
    <m/>
    <x v="1"/>
    <n v="4"/>
    <x v="1"/>
    <n v="0"/>
    <s v="4-5 Years"/>
    <n v="2.33"/>
    <x v="0"/>
  </r>
  <r>
    <s v="EMP2045"/>
    <s v="Thomas Murphy"/>
    <x v="0"/>
    <n v="44"/>
    <x v="0"/>
    <s v="Research Director"/>
    <d v="2022-10-31T00:00:00"/>
    <n v="60707"/>
    <s v="Single"/>
    <s v="Master's"/>
    <x v="0"/>
    <s v="Travel_Rarely"/>
    <n v="37"/>
    <x v="0"/>
    <x v="3"/>
    <n v="4"/>
    <n v="3"/>
    <n v="4"/>
    <n v="4"/>
    <n v="4"/>
    <n v="11"/>
    <s v="Mr. Joshua Allen"/>
    <x v="0"/>
    <m/>
    <x v="0"/>
    <n v="3"/>
    <x v="2"/>
    <n v="0"/>
    <s v="1-3 Years"/>
    <n v="3.33"/>
    <x v="1"/>
  </r>
  <r>
    <s v="EMP1854"/>
    <s v="Albert Warner"/>
    <x v="0"/>
    <n v="35"/>
    <x v="5"/>
    <s v="Digital Marketing Specialist"/>
    <d v="2024-07-13T00:00:00"/>
    <n v="69643"/>
    <s v="Single"/>
    <s v="Bachelor's"/>
    <x v="0"/>
    <s v="Travel_Rarely"/>
    <n v="10"/>
    <x v="1"/>
    <x v="2"/>
    <n v="2"/>
    <n v="1"/>
    <n v="4"/>
    <n v="5"/>
    <n v="8"/>
    <n v="23"/>
    <s v="Victor Harmon"/>
    <x v="1"/>
    <d v="2025-10-05T00:00:00"/>
    <x v="0"/>
    <n v="1"/>
    <x v="2"/>
    <n v="1"/>
    <s v="1-3 Years"/>
    <n v="1.67"/>
    <x v="2"/>
  </r>
  <r>
    <s v="EMP2028"/>
    <s v="Kenneth Anderson"/>
    <x v="2"/>
    <n v="44"/>
    <x v="3"/>
    <s v="Financial Analyst"/>
    <d v="2025-09-26T00:00:00"/>
    <n v="105054"/>
    <s v="Married"/>
    <s v="Diploma"/>
    <x v="8"/>
    <s v="Travel_Rarely"/>
    <n v="38"/>
    <x v="0"/>
    <x v="0"/>
    <n v="3"/>
    <n v="4"/>
    <n v="5"/>
    <n v="0"/>
    <n v="0"/>
    <n v="12"/>
    <s v="Sandra Morgan"/>
    <x v="1"/>
    <d v="2025-09-29T00:00:00"/>
    <x v="0"/>
    <n v="0"/>
    <x v="0"/>
    <n v="1"/>
    <s v="Less than 1 Year"/>
    <n v="2.67"/>
    <x v="0"/>
  </r>
  <r>
    <s v="EMP1931"/>
    <s v="Theresa Colon"/>
    <x v="0"/>
    <n v="36"/>
    <x v="4"/>
    <s v="Account Manager"/>
    <d v="2012-04-15T00:00:00"/>
    <n v="83746"/>
    <s v="Divorced"/>
    <s v="Master's"/>
    <x v="8"/>
    <s v="Non-Travel"/>
    <n v="16"/>
    <x v="1"/>
    <x v="1"/>
    <n v="4"/>
    <n v="2"/>
    <n v="3"/>
    <n v="5"/>
    <n v="5"/>
    <n v="20"/>
    <s v="Mark Pitts"/>
    <x v="0"/>
    <m/>
    <x v="0"/>
    <n v="14"/>
    <x v="2"/>
    <n v="0"/>
    <s v="More than 10 Years"/>
    <n v="3.33"/>
    <x v="1"/>
  </r>
  <r>
    <s v="EMP1038"/>
    <s v="Teresa Taylor"/>
    <x v="2"/>
    <n v="32"/>
    <x v="0"/>
    <s v="Lab Technician"/>
    <d v="2013-05-20T00:00:00"/>
    <n v="59013"/>
    <s v="Single"/>
    <s v="Bachelor's"/>
    <x v="8"/>
    <s v="Travel_Frequently"/>
    <n v="29"/>
    <x v="0"/>
    <x v="2"/>
    <n v="1"/>
    <n v="2"/>
    <n v="4"/>
    <n v="2"/>
    <n v="3"/>
    <n v="17"/>
    <s v="Denise Jacobs"/>
    <x v="1"/>
    <d v="2014-10-21T00:00:00"/>
    <x v="1"/>
    <n v="1"/>
    <x v="1"/>
    <n v="1"/>
    <s v="1-3 Years"/>
    <n v="1.67"/>
    <x v="2"/>
  </r>
  <r>
    <s v="EMP1354"/>
    <s v="Anthony Hurst"/>
    <x v="2"/>
    <n v="46"/>
    <x v="5"/>
    <s v="Brand Manager"/>
    <d v="2025-11-27T00:00:00"/>
    <n v="78625"/>
    <s v="Single"/>
    <s v="High School"/>
    <x v="1"/>
    <s v="Travel_Frequently"/>
    <n v="14"/>
    <x v="1"/>
    <x v="3"/>
    <n v="4"/>
    <n v="4"/>
    <n v="3"/>
    <n v="6"/>
    <n v="3"/>
    <n v="14"/>
    <s v="Jonathan Wheeler"/>
    <x v="1"/>
    <d v="2026-04-13T00:00:00"/>
    <x v="3"/>
    <n v="0"/>
    <x v="2"/>
    <n v="1"/>
    <s v="Less than 1 Year"/>
    <n v="3.67"/>
    <x v="1"/>
  </r>
  <r>
    <s v="EMP2118"/>
    <s v="Marie Hill"/>
    <x v="2"/>
    <n v="39"/>
    <x v="0"/>
    <s v="Manufacturing Technician"/>
    <d v="2021-05-29T00:00:00"/>
    <n v="91950"/>
    <s v="Divorced"/>
    <s v="High School"/>
    <x v="3"/>
    <s v="Travel_Rarely"/>
    <n v="33"/>
    <x v="1"/>
    <x v="0"/>
    <n v="3"/>
    <n v="1"/>
    <n v="4"/>
    <n v="2"/>
    <n v="6"/>
    <n v="23"/>
    <s v="Bradley Burns"/>
    <x v="1"/>
    <d v="2023-05-04T00:00:00"/>
    <x v="0"/>
    <n v="1"/>
    <x v="2"/>
    <n v="1"/>
    <s v="1-3 Years"/>
    <n v="1.67"/>
    <x v="2"/>
  </r>
  <r>
    <s v="EMP1237"/>
    <s v="Emily Thompson"/>
    <x v="2"/>
    <n v="42"/>
    <x v="2"/>
    <s v="Data Analyst"/>
    <d v="2025-04-09T00:00:00"/>
    <n v="114274"/>
    <s v="Divorced"/>
    <s v="Master's"/>
    <x v="6"/>
    <s v="Non-Travel"/>
    <n v="29"/>
    <x v="0"/>
    <x v="2"/>
    <n v="4"/>
    <n v="2"/>
    <n v="3"/>
    <n v="3"/>
    <n v="1"/>
    <n v="18"/>
    <s v="Raymond Le"/>
    <x v="1"/>
    <d v="2025-09-30T00:00:00"/>
    <x v="0"/>
    <n v="0"/>
    <x v="0"/>
    <n v="1"/>
    <s v="Less than 1 Year"/>
    <n v="2.67"/>
    <x v="0"/>
  </r>
  <r>
    <s v="EMP1979"/>
    <s v="Angela Johnson"/>
    <x v="0"/>
    <n v="38"/>
    <x v="0"/>
    <s v="Research Scientist"/>
    <d v="2024-01-29T00:00:00"/>
    <n v="76804"/>
    <s v="Single"/>
    <s v="Bachelor's"/>
    <x v="5"/>
    <s v="Travel_Frequently"/>
    <n v="12"/>
    <x v="1"/>
    <x v="0"/>
    <n v="4"/>
    <n v="2"/>
    <n v="5"/>
    <n v="6"/>
    <n v="8"/>
    <n v="17"/>
    <s v="Heather Hess"/>
    <x v="1"/>
    <d v="2025-10-24T00:00:00"/>
    <x v="0"/>
    <n v="1"/>
    <x v="2"/>
    <n v="1"/>
    <s v="1-3 Years"/>
    <n v="2.33"/>
    <x v="0"/>
  </r>
  <r>
    <s v="EMP1500"/>
    <s v="Jennifer Herrera"/>
    <x v="0"/>
    <n v="33"/>
    <x v="4"/>
    <s v="Account Manager"/>
    <d v="2013-01-13T00:00:00"/>
    <n v="44844"/>
    <s v="Single"/>
    <s v="Bachelor's"/>
    <x v="2"/>
    <s v="Non-Travel"/>
    <n v="16"/>
    <x v="0"/>
    <x v="1"/>
    <n v="4"/>
    <n v="4"/>
    <n v="2"/>
    <n v="6"/>
    <n v="8"/>
    <n v="20"/>
    <s v="Daniel Rivera"/>
    <x v="0"/>
    <m/>
    <x v="1"/>
    <n v="13"/>
    <x v="1"/>
    <n v="0"/>
    <s v="More than 10 Years"/>
    <n v="4"/>
    <x v="1"/>
  </r>
  <r>
    <s v="EMP1554"/>
    <s v="David Smith"/>
    <x v="0"/>
    <n v="43"/>
    <x v="2"/>
    <s v="Data Analyst"/>
    <d v="2014-01-04T00:00:00"/>
    <n v="112409"/>
    <s v="Divorced"/>
    <s v="Master's"/>
    <x v="8"/>
    <s v="Travel_Rarely"/>
    <n v="1"/>
    <x v="0"/>
    <x v="3"/>
    <n v="2"/>
    <n v="1"/>
    <n v="3"/>
    <n v="1"/>
    <n v="7"/>
    <n v="11"/>
    <s v="Penny Gomez MD"/>
    <x v="0"/>
    <m/>
    <x v="0"/>
    <n v="12"/>
    <x v="0"/>
    <n v="0"/>
    <s v="More than 10 Years"/>
    <n v="2"/>
    <x v="0"/>
  </r>
  <r>
    <s v="EMP1056"/>
    <s v="Carolyn Miller"/>
    <x v="2"/>
    <n v="46"/>
    <x v="0"/>
    <s v="Lab Technician"/>
    <d v="2019-05-09T00:00:00"/>
    <n v="52031"/>
    <s v="Married"/>
    <s v="Bachelor's"/>
    <x v="1"/>
    <s v="Travel_Rarely"/>
    <n v="25"/>
    <x v="0"/>
    <x v="0"/>
    <n v="4"/>
    <n v="2"/>
    <n v="3"/>
    <n v="6"/>
    <n v="5"/>
    <n v="12"/>
    <s v="Robert Potter"/>
    <x v="1"/>
    <d v="2023-12-24T00:00:00"/>
    <x v="3"/>
    <n v="4"/>
    <x v="1"/>
    <n v="1"/>
    <s v="4-5 Years"/>
    <n v="2.33"/>
    <x v="0"/>
  </r>
  <r>
    <s v="EMP1303"/>
    <s v="Vanessa Armstrong"/>
    <x v="2"/>
    <n v="34"/>
    <x v="4"/>
    <s v="Sales Representative"/>
    <d v="2014-03-12T00:00:00"/>
    <n v="53973"/>
    <s v="Divorced"/>
    <s v="Bachelor's"/>
    <x v="8"/>
    <s v="Travel_Rarely"/>
    <n v="41"/>
    <x v="1"/>
    <x v="3"/>
    <n v="4"/>
    <n v="4"/>
    <n v="4"/>
    <n v="4"/>
    <n v="0"/>
    <n v="16"/>
    <s v="Charles Turner"/>
    <x v="0"/>
    <m/>
    <x v="1"/>
    <n v="12"/>
    <x v="1"/>
    <n v="0"/>
    <s v="More than 10 Years"/>
    <n v="3.67"/>
    <x v="1"/>
  </r>
  <r>
    <s v="EMP1287"/>
    <s v="Denise Madden"/>
    <x v="2"/>
    <n v="37"/>
    <x v="4"/>
    <s v="Account Manager"/>
    <d v="2011-12-02T00:00:00"/>
    <n v="83831"/>
    <s v="Married"/>
    <s v="PhD"/>
    <x v="2"/>
    <s v="Travel_Frequently"/>
    <n v="31"/>
    <x v="0"/>
    <x v="1"/>
    <n v="4"/>
    <n v="3"/>
    <n v="2"/>
    <n v="1"/>
    <n v="6"/>
    <n v="11"/>
    <s v="Megan Drake"/>
    <x v="0"/>
    <m/>
    <x v="0"/>
    <n v="14"/>
    <x v="2"/>
    <n v="0"/>
    <s v="More than 10 Years"/>
    <n v="3.67"/>
    <x v="1"/>
  </r>
  <r>
    <s v="EMP1994"/>
    <s v="Antonio Johnson"/>
    <x v="2"/>
    <n v="37"/>
    <x v="4"/>
    <s v="Sales Manager"/>
    <d v="2016-05-03T00:00:00"/>
    <n v="86476"/>
    <s v="Divorced"/>
    <s v="Master's"/>
    <x v="5"/>
    <s v="Travel_Rarely"/>
    <n v="43"/>
    <x v="0"/>
    <x v="0"/>
    <n v="4"/>
    <n v="1"/>
    <n v="5"/>
    <n v="3"/>
    <n v="6"/>
    <n v="25"/>
    <s v="Ana Anderson"/>
    <x v="0"/>
    <m/>
    <x v="0"/>
    <n v="10"/>
    <x v="2"/>
    <n v="0"/>
    <s v="6-10 Years"/>
    <n v="2"/>
    <x v="0"/>
  </r>
  <r>
    <s v="EMP1220"/>
    <s v="Jeffrey Washington"/>
    <x v="2"/>
    <n v="37"/>
    <x v="4"/>
    <s v="Sales Executive"/>
    <d v="2014-09-15T00:00:00"/>
    <n v="54676"/>
    <s v="Single"/>
    <s v="Master's"/>
    <x v="5"/>
    <s v="Travel_Frequently"/>
    <n v="18"/>
    <x v="1"/>
    <x v="0"/>
    <n v="3"/>
    <n v="4"/>
    <n v="2"/>
    <n v="0"/>
    <n v="2"/>
    <n v="25"/>
    <s v="Emily Higgins"/>
    <x v="0"/>
    <m/>
    <x v="0"/>
    <n v="11"/>
    <x v="1"/>
    <n v="0"/>
    <s v="More than 10 Years"/>
    <n v="2.67"/>
    <x v="0"/>
  </r>
  <r>
    <s v="EMP1665"/>
    <s v="James Tate"/>
    <x v="2"/>
    <n v="44"/>
    <x v="5"/>
    <s v="Digital Marketing Specialist"/>
    <d v="2025-04-09T00:00:00"/>
    <n v="74073"/>
    <s v="Single"/>
    <s v="Bachelor's"/>
    <x v="8"/>
    <s v="Travel_Rarely"/>
    <n v="32"/>
    <x v="0"/>
    <x v="0"/>
    <n v="2"/>
    <n v="1"/>
    <n v="3"/>
    <n v="3"/>
    <n v="5"/>
    <n v="19"/>
    <s v="Brittany Melton"/>
    <x v="1"/>
    <d v="2026-01-21T00:00:00"/>
    <x v="0"/>
    <n v="0"/>
    <x v="2"/>
    <n v="1"/>
    <s v="Less than 1 Year"/>
    <n v="1.33"/>
    <x v="2"/>
  </r>
  <r>
    <s v="EMP1388"/>
    <s v="Lydia Pham"/>
    <x v="2"/>
    <n v="34"/>
    <x v="7"/>
    <s v="Operations Executive"/>
    <d v="2023-07-10T00:00:00"/>
    <n v="40891"/>
    <s v="Single"/>
    <s v="High School"/>
    <x v="7"/>
    <s v="Travel_Frequently"/>
    <n v="36"/>
    <x v="0"/>
    <x v="3"/>
    <n v="2"/>
    <n v="4"/>
    <n v="3"/>
    <n v="5"/>
    <n v="6"/>
    <n v="14"/>
    <s v="Not Specified"/>
    <x v="0"/>
    <m/>
    <x v="1"/>
    <n v="3"/>
    <x v="1"/>
    <n v="0"/>
    <s v="1-3 Years"/>
    <n v="3"/>
    <x v="1"/>
  </r>
  <r>
    <s v="EMP1771"/>
    <s v="Margaret Carr"/>
    <x v="2"/>
    <n v="43"/>
    <x v="2"/>
    <s v="Data Analyst"/>
    <d v="2014-03-13T00:00:00"/>
    <n v="84199"/>
    <s v="Divorced"/>
    <s v="PhD"/>
    <x v="0"/>
    <s v="Non-Travel"/>
    <n v="10"/>
    <x v="0"/>
    <x v="0"/>
    <n v="1"/>
    <n v="2"/>
    <n v="4"/>
    <n v="2"/>
    <n v="7"/>
    <n v="21"/>
    <s v="Not Specified"/>
    <x v="0"/>
    <m/>
    <x v="0"/>
    <n v="12"/>
    <x v="2"/>
    <n v="0"/>
    <s v="More than 10 Years"/>
    <n v="1.33"/>
    <x v="2"/>
  </r>
  <r>
    <s v="EMP1391"/>
    <s v="Matthew Adams"/>
    <x v="0"/>
    <n v="32"/>
    <x v="2"/>
    <s v="Software Engineer"/>
    <d v="2023-11-03T00:00:00"/>
    <n v="50997"/>
    <s v="Divorced"/>
    <s v="PhD"/>
    <x v="4"/>
    <s v="Travel_Frequently"/>
    <n v="16"/>
    <x v="1"/>
    <x v="0"/>
    <n v="3"/>
    <n v="3"/>
    <n v="3"/>
    <n v="1"/>
    <n v="7"/>
    <n v="19"/>
    <s v="Zachary Robinson"/>
    <x v="1"/>
    <d v="2026-06-06T00:00:00"/>
    <x v="1"/>
    <n v="2"/>
    <x v="1"/>
    <n v="1"/>
    <s v="1-3 Years"/>
    <n v="2.33"/>
    <x v="0"/>
  </r>
  <r>
    <s v="EMP1353"/>
    <s v="Sarah Barrett"/>
    <x v="0"/>
    <n v="35"/>
    <x v="6"/>
    <s v="Sales Manager"/>
    <d v="2016-02-29T00:00:00"/>
    <n v="40332"/>
    <s v="Divorced"/>
    <s v="Bachelor's"/>
    <x v="2"/>
    <s v="Travel_Rarely"/>
    <n v="41"/>
    <x v="0"/>
    <x v="2"/>
    <n v="3"/>
    <n v="4"/>
    <n v="3"/>
    <n v="3"/>
    <n v="0"/>
    <n v="21"/>
    <s v="Katrina Adkins"/>
    <x v="0"/>
    <m/>
    <x v="0"/>
    <n v="10"/>
    <x v="1"/>
    <n v="0"/>
    <s v="6-10 Years"/>
    <n v="3"/>
    <x v="1"/>
  </r>
  <r>
    <s v="EMP1194"/>
    <s v="Alan Kramer"/>
    <x v="0"/>
    <n v="25"/>
    <x v="6"/>
    <s v="Research Scientist"/>
    <d v="2016-10-21T00:00:00"/>
    <n v="95358"/>
    <s v="Married"/>
    <s v="Diploma"/>
    <x v="0"/>
    <s v="Non-Travel"/>
    <n v="33"/>
    <x v="1"/>
    <x v="2"/>
    <n v="2"/>
    <n v="4"/>
    <n v="4"/>
    <n v="2"/>
    <n v="7"/>
    <n v="19"/>
    <s v="Patricia Moss"/>
    <x v="1"/>
    <d v="2024-01-12T00:00:00"/>
    <x v="1"/>
    <n v="7"/>
    <x v="2"/>
    <n v="1"/>
    <s v="6-10 Years"/>
    <n v="2.67"/>
    <x v="0"/>
  </r>
  <r>
    <s v="EMP1236"/>
    <s v="Nancy Brown"/>
    <x v="0"/>
    <n v="26"/>
    <x v="3"/>
    <s v="Finance Manager"/>
    <d v="2013-09-21T00:00:00"/>
    <n v="72986"/>
    <s v="Not Specified"/>
    <s v="Bachelor's"/>
    <x v="6"/>
    <s v="Travel_Frequently"/>
    <n v="14"/>
    <x v="0"/>
    <x v="3"/>
    <n v="1"/>
    <n v="2"/>
    <n v="4"/>
    <n v="4"/>
    <n v="5"/>
    <n v="16"/>
    <s v="Frederick Bates"/>
    <x v="0"/>
    <m/>
    <x v="1"/>
    <n v="12"/>
    <x v="2"/>
    <n v="0"/>
    <s v="More than 10 Years"/>
    <n v="2"/>
    <x v="0"/>
  </r>
  <r>
    <s v="EMP2032"/>
    <s v="Jocelyn Kline"/>
    <x v="2"/>
    <n v="22"/>
    <x v="0"/>
    <s v="Research Scientist"/>
    <d v="2013-01-20T00:00:00"/>
    <n v="116620"/>
    <s v="Married"/>
    <s v="High School"/>
    <x v="6"/>
    <s v="Travel_Rarely"/>
    <n v="43"/>
    <x v="0"/>
    <x v="3"/>
    <n v="3"/>
    <n v="3"/>
    <n v="2"/>
    <n v="4"/>
    <n v="2"/>
    <n v="19"/>
    <s v="Juan Johnson"/>
    <x v="0"/>
    <m/>
    <x v="2"/>
    <n v="13"/>
    <x v="0"/>
    <n v="0"/>
    <s v="More than 10 Years"/>
    <n v="3"/>
    <x v="1"/>
  </r>
  <r>
    <s v="EMP1568"/>
    <s v="Kevin Nguyen"/>
    <x v="1"/>
    <n v="50"/>
    <x v="0"/>
    <s v="Research Scientist"/>
    <d v="2020-10-21T00:00:00"/>
    <n v="67734"/>
    <s v="Divorced"/>
    <s v="High School"/>
    <x v="0"/>
    <s v="Non-Travel"/>
    <n v="9"/>
    <x v="1"/>
    <x v="3"/>
    <n v="4"/>
    <n v="2"/>
    <n v="3"/>
    <n v="4"/>
    <n v="8"/>
    <n v="17"/>
    <s v="Joshua Young"/>
    <x v="0"/>
    <m/>
    <x v="3"/>
    <n v="5"/>
    <x v="2"/>
    <n v="0"/>
    <s v="4-5 Years"/>
    <n v="3"/>
    <x v="1"/>
  </r>
  <r>
    <s v="EMP1117"/>
    <s v="Shelia Wallace"/>
    <x v="2"/>
    <n v="34"/>
    <x v="0"/>
    <s v="Manufacturing Technician"/>
    <d v="2022-01-06T00:00:00"/>
    <n v="72910"/>
    <s v="Divorced"/>
    <s v="Bachelor's"/>
    <x v="0"/>
    <s v="Travel_Frequently"/>
    <n v="21"/>
    <x v="0"/>
    <x v="0"/>
    <n v="3"/>
    <n v="2"/>
    <n v="2"/>
    <n v="5"/>
    <n v="6"/>
    <n v="15"/>
    <s v="Robert Carter"/>
    <x v="1"/>
    <d v="2026-03-20T00:00:00"/>
    <x v="1"/>
    <n v="4"/>
    <x v="2"/>
    <n v="1"/>
    <s v="4-5 Years"/>
    <n v="2"/>
    <x v="0"/>
  </r>
  <r>
    <s v="EMP1982"/>
    <s v="Louis Turner"/>
    <x v="2"/>
    <n v="26"/>
    <x v="6"/>
    <s v="Research Director"/>
    <d v="2022-05-16T00:00:00"/>
    <n v="55570"/>
    <s v="Not Specified"/>
    <s v="Bachelor's"/>
    <x v="9"/>
    <s v="Travel_Frequently"/>
    <n v="32"/>
    <x v="0"/>
    <x v="0"/>
    <n v="4"/>
    <n v="1"/>
    <n v="4"/>
    <n v="6"/>
    <n v="0"/>
    <n v="16"/>
    <s v="Johnny Cox"/>
    <x v="0"/>
    <m/>
    <x v="1"/>
    <n v="4"/>
    <x v="1"/>
    <n v="0"/>
    <s v="4-5 Years"/>
    <n v="2"/>
    <x v="0"/>
  </r>
  <r>
    <s v="EMP1654"/>
    <s v="Corey Johnson"/>
    <x v="2"/>
    <n v="32"/>
    <x v="4"/>
    <s v="Sales Executive"/>
    <d v="2023-01-25T00:00:00"/>
    <n v="58163"/>
    <s v="Married"/>
    <s v="Bachelor's"/>
    <x v="1"/>
    <s v="Travel_Rarely"/>
    <n v="23"/>
    <x v="0"/>
    <x v="1"/>
    <n v="2"/>
    <n v="3"/>
    <n v="3"/>
    <n v="5"/>
    <n v="6"/>
    <n v="11"/>
    <s v="Derrick Gutierrez"/>
    <x v="0"/>
    <m/>
    <x v="1"/>
    <n v="3"/>
    <x v="1"/>
    <n v="0"/>
    <s v="1-3 Years"/>
    <n v="3"/>
    <x v="1"/>
  </r>
  <r>
    <s v="EMP2011"/>
    <s v="Teresa Rowland"/>
    <x v="0"/>
    <n v="43"/>
    <x v="5"/>
    <s v="Marketing Executive"/>
    <d v="2026-07-19T00:00:00"/>
    <n v="84725"/>
    <s v="Married"/>
    <s v="Bachelor's"/>
    <x v="3"/>
    <s v="Travel_Rarely"/>
    <n v="19"/>
    <x v="0"/>
    <x v="1"/>
    <n v="2"/>
    <n v="3"/>
    <n v="3"/>
    <n v="3"/>
    <n v="5"/>
    <n v="23"/>
    <s v="Sherry Jones"/>
    <x v="0"/>
    <m/>
    <x v="0"/>
    <n v="0"/>
    <x v="2"/>
    <n v="0"/>
    <s v="Less than 1 Year"/>
    <n v="3"/>
    <x v="1"/>
  </r>
  <r>
    <s v="EMP2129"/>
    <s v="Angela Scott"/>
    <x v="0"/>
    <n v="41"/>
    <x v="0"/>
    <s v="Lab Technician"/>
    <d v="2017-05-11T00:00:00"/>
    <n v="122599"/>
    <s v="Single"/>
    <s v="Master's"/>
    <x v="6"/>
    <s v="Non-Travel"/>
    <n v="45"/>
    <x v="0"/>
    <x v="3"/>
    <n v="2"/>
    <n v="4"/>
    <n v="3"/>
    <n v="6"/>
    <n v="0"/>
    <n v="15"/>
    <s v="Not Specified"/>
    <x v="0"/>
    <m/>
    <x v="0"/>
    <n v="9"/>
    <x v="0"/>
    <n v="0"/>
    <s v="6-10 Years"/>
    <n v="3"/>
    <x v="1"/>
  </r>
  <r>
    <s v="EMP1802"/>
    <s v="Scott Wood"/>
    <x v="0"/>
    <n v="29"/>
    <x v="0"/>
    <s v="Research Scientist"/>
    <d v="2017-03-23T00:00:00"/>
    <n v="98250"/>
    <s v="Single"/>
    <s v="Bachelor's"/>
    <x v="4"/>
    <s v="Travel_Frequently"/>
    <n v="30"/>
    <x v="1"/>
    <x v="1"/>
    <n v="1"/>
    <n v="3"/>
    <n v="4"/>
    <n v="6"/>
    <n v="4"/>
    <n v="23"/>
    <s v="Gregory Madden"/>
    <x v="0"/>
    <m/>
    <x v="1"/>
    <n v="9"/>
    <x v="2"/>
    <n v="0"/>
    <s v="6-10 Years"/>
    <n v="2.67"/>
    <x v="0"/>
  </r>
  <r>
    <s v="EMP1814"/>
    <s v="Not Specified"/>
    <x v="2"/>
    <n v="42"/>
    <x v="3"/>
    <s v="Financial Analyst"/>
    <d v="2023-12-31T00:00:00"/>
    <n v="110607"/>
    <s v="Married"/>
    <s v="High School"/>
    <x v="3"/>
    <s v="Non-Travel"/>
    <n v="19"/>
    <x v="0"/>
    <x v="1"/>
    <n v="4"/>
    <n v="1"/>
    <n v="3"/>
    <n v="3"/>
    <n v="2"/>
    <n v="23"/>
    <s v="Elizabeth Jennings"/>
    <x v="0"/>
    <m/>
    <x v="0"/>
    <n v="2"/>
    <x v="0"/>
    <n v="0"/>
    <s v="1-3 Years"/>
    <n v="3"/>
    <x v="1"/>
  </r>
  <r>
    <s v="EMP1121"/>
    <s v="Margaret Coleman"/>
    <x v="2"/>
    <n v="46"/>
    <x v="0"/>
    <s v="Manufacturing Technician"/>
    <d v="2015-05-24T00:00:00"/>
    <n v="73921"/>
    <s v="Divorced"/>
    <s v="Diploma"/>
    <x v="6"/>
    <s v="Non-Travel"/>
    <n v="31"/>
    <x v="0"/>
    <x v="3"/>
    <n v="1"/>
    <n v="2"/>
    <n v="2"/>
    <n v="5"/>
    <n v="0"/>
    <n v="22"/>
    <s v="James Webb"/>
    <x v="1"/>
    <d v="2024-12-02T00:00:00"/>
    <x v="3"/>
    <n v="9"/>
    <x v="2"/>
    <n v="1"/>
    <s v="6-10 Years"/>
    <n v="2"/>
    <x v="0"/>
  </r>
  <r>
    <s v="EMP1857"/>
    <s v="Fernando Greer"/>
    <x v="2"/>
    <n v="32"/>
    <x v="2"/>
    <s v="It Support"/>
    <d v="2012-08-16T00:00:00"/>
    <n v="57613"/>
    <s v="Single"/>
    <s v="Master's"/>
    <x v="8"/>
    <s v="Non-Travel"/>
    <n v="24"/>
    <x v="0"/>
    <x v="3"/>
    <n v="4"/>
    <n v="4"/>
    <n v="3"/>
    <n v="3"/>
    <n v="0"/>
    <n v="18"/>
    <s v="Jason Colon"/>
    <x v="0"/>
    <m/>
    <x v="1"/>
    <n v="14"/>
    <x v="1"/>
    <n v="0"/>
    <s v="More than 10 Years"/>
    <n v="3.67"/>
    <x v="1"/>
  </r>
  <r>
    <s v="EMP2041"/>
    <s v="Cynthia Harrell"/>
    <x v="2"/>
    <n v="41"/>
    <x v="1"/>
    <s v="Hr Business Partner"/>
    <d v="2015-09-30T00:00:00"/>
    <n v="88216"/>
    <s v="Divorced"/>
    <s v="Master's"/>
    <x v="2"/>
    <s v="Non-Travel"/>
    <n v="29"/>
    <x v="0"/>
    <x v="3"/>
    <n v="3"/>
    <n v="3"/>
    <n v="3"/>
    <n v="6"/>
    <n v="7"/>
    <n v="15"/>
    <s v="Dorothy Hendricks"/>
    <x v="0"/>
    <m/>
    <x v="0"/>
    <n v="10"/>
    <x v="2"/>
    <n v="0"/>
    <s v="6-10 Years"/>
    <n v="3"/>
    <x v="1"/>
  </r>
  <r>
    <s v="EMP2154"/>
    <s v="Jeffrey Howard"/>
    <x v="2"/>
    <n v="34"/>
    <x v="0"/>
    <s v="Research Director"/>
    <d v="2024-08-25T00:00:00"/>
    <n v="53675"/>
    <s v="Married"/>
    <s v="Bachelor's"/>
    <x v="0"/>
    <s v="Non-Travel"/>
    <n v="19"/>
    <x v="1"/>
    <x v="0"/>
    <n v="1"/>
    <n v="4"/>
    <n v="4"/>
    <n v="4"/>
    <n v="0"/>
    <n v="21"/>
    <s v="Colton Williams"/>
    <x v="0"/>
    <m/>
    <x v="1"/>
    <n v="2"/>
    <x v="1"/>
    <n v="0"/>
    <s v="1-3 Years"/>
    <n v="2"/>
    <x v="0"/>
  </r>
  <r>
    <s v="EMP1063"/>
    <s v="Denise Jones"/>
    <x v="2"/>
    <n v="24"/>
    <x v="0"/>
    <s v="Research Director"/>
    <d v="2015-12-04T00:00:00"/>
    <n v="105847"/>
    <s v="Divorced"/>
    <s v="High School"/>
    <x v="5"/>
    <s v="Travel_Frequently"/>
    <n v="44"/>
    <x v="0"/>
    <x v="1"/>
    <n v="2"/>
    <n v="2"/>
    <n v="3"/>
    <n v="3"/>
    <n v="7"/>
    <n v="23"/>
    <s v="Francisco Fernandez"/>
    <x v="0"/>
    <m/>
    <x v="2"/>
    <n v="10"/>
    <x v="0"/>
    <n v="0"/>
    <s v="6-10 Years"/>
    <n v="2.67"/>
    <x v="0"/>
  </r>
  <r>
    <s v="EMP1697"/>
    <s v="Nicole Owens"/>
    <x v="0"/>
    <n v="33"/>
    <x v="1"/>
    <s v="Recruiter"/>
    <d v="2013-08-18T00:00:00"/>
    <n v="43653"/>
    <s v="Divorced"/>
    <s v="Bachelor's"/>
    <x v="0"/>
    <s v="Travel_Frequently"/>
    <n v="14"/>
    <x v="1"/>
    <x v="3"/>
    <n v="2"/>
    <n v="3"/>
    <n v="3"/>
    <n v="4"/>
    <n v="2"/>
    <n v="19"/>
    <s v="Tamara Mcdonald"/>
    <x v="0"/>
    <m/>
    <x v="1"/>
    <n v="13"/>
    <x v="1"/>
    <n v="0"/>
    <s v="More than 10 Years"/>
    <n v="2.67"/>
    <x v="0"/>
  </r>
  <r>
    <s v="EMP1454"/>
    <s v="Leah Jackson"/>
    <x v="2"/>
    <n v="44"/>
    <x v="2"/>
    <s v="Software Engineer"/>
    <d v="2017-02-17T00:00:00"/>
    <n v="90155"/>
    <s v="Married"/>
    <s v="Master's"/>
    <x v="4"/>
    <s v="Travel_Rarely"/>
    <n v="23"/>
    <x v="0"/>
    <x v="3"/>
    <n v="3"/>
    <n v="2"/>
    <n v="4"/>
    <n v="3"/>
    <n v="0"/>
    <n v="22"/>
    <s v="Amanda Mcdowell"/>
    <x v="0"/>
    <m/>
    <x v="0"/>
    <n v="9"/>
    <x v="2"/>
    <n v="0"/>
    <s v="6-10 Years"/>
    <n v="2.67"/>
    <x v="0"/>
  </r>
  <r>
    <s v="EMP1516"/>
    <s v="Robert Phelps"/>
    <x v="0"/>
    <n v="39"/>
    <x v="4"/>
    <s v="Sales Representative"/>
    <d v="2024-05-13T00:00:00"/>
    <n v="54387"/>
    <s v="Single"/>
    <s v="Master's"/>
    <x v="4"/>
    <s v="Non-Travel"/>
    <n v="25"/>
    <x v="0"/>
    <x v="2"/>
    <n v="3"/>
    <n v="3"/>
    <n v="2"/>
    <n v="2"/>
    <n v="5"/>
    <n v="23"/>
    <s v="Wendy Murray"/>
    <x v="0"/>
    <m/>
    <x v="0"/>
    <n v="2"/>
    <x v="1"/>
    <n v="0"/>
    <s v="1-3 Years"/>
    <n v="2.67"/>
    <x v="0"/>
  </r>
  <r>
    <s v="EMP1571"/>
    <s v="David Reynolds"/>
    <x v="0"/>
    <n v="33"/>
    <x v="0"/>
    <s v="Research Scientist"/>
    <d v="2017-05-06T00:00:00"/>
    <n v="111961"/>
    <s v="Divorced"/>
    <s v="PhD"/>
    <x v="9"/>
    <s v="Travel_Frequently"/>
    <n v="37"/>
    <x v="0"/>
    <x v="3"/>
    <n v="4"/>
    <n v="2"/>
    <n v="3"/>
    <n v="6"/>
    <n v="5"/>
    <n v="17"/>
    <s v="Tyler Hernandez"/>
    <x v="0"/>
    <m/>
    <x v="1"/>
    <n v="9"/>
    <x v="0"/>
    <n v="0"/>
    <s v="6-10 Years"/>
    <n v="3"/>
    <x v="1"/>
  </r>
  <r>
    <s v="EMP1224"/>
    <s v="Mr. Jonathan Parker Jr."/>
    <x v="0"/>
    <n v="31"/>
    <x v="2"/>
    <s v="Software Engineer"/>
    <d v="2025-10-06T00:00:00"/>
    <n v="91331"/>
    <s v="Single"/>
    <s v="Bachelor's"/>
    <x v="1"/>
    <s v="Travel_Rarely"/>
    <n v="1"/>
    <x v="0"/>
    <x v="1"/>
    <n v="4"/>
    <n v="3"/>
    <n v="3"/>
    <n v="5"/>
    <n v="8"/>
    <n v="14"/>
    <s v="Tracy Lewis"/>
    <x v="0"/>
    <m/>
    <x v="1"/>
    <n v="0"/>
    <x v="2"/>
    <n v="0"/>
    <s v="Less than 1 Year"/>
    <n v="3.67"/>
    <x v="1"/>
  </r>
  <r>
    <s v="EMP1614"/>
    <s v="Michael Colon"/>
    <x v="2"/>
    <n v="23"/>
    <x v="4"/>
    <s v="Sales Manager"/>
    <d v="2015-08-18T00:00:00"/>
    <n v="71644"/>
    <s v="Divorced"/>
    <s v="High School"/>
    <x v="8"/>
    <s v="Travel_Frequently"/>
    <n v="11"/>
    <x v="0"/>
    <x v="0"/>
    <n v="4"/>
    <n v="1"/>
    <n v="2"/>
    <n v="1"/>
    <n v="4"/>
    <n v="22"/>
    <s v="Eric Blackburn"/>
    <x v="1"/>
    <d v="2016-01-28T00:00:00"/>
    <x v="2"/>
    <n v="0"/>
    <x v="2"/>
    <n v="1"/>
    <s v="Less than 1 Year"/>
    <n v="2"/>
    <x v="0"/>
  </r>
  <r>
    <s v="EMP1222"/>
    <s v="Derek Wright"/>
    <x v="2"/>
    <n v="31"/>
    <x v="3"/>
    <s v="Accountant"/>
    <d v="2013-02-08T00:00:00"/>
    <n v="85141"/>
    <s v="Divorced"/>
    <s v="Diploma"/>
    <x v="7"/>
    <s v="Travel_Frequently"/>
    <n v="14"/>
    <x v="0"/>
    <x v="1"/>
    <n v="3"/>
    <n v="2"/>
    <n v="2"/>
    <n v="5"/>
    <n v="0"/>
    <n v="25"/>
    <s v="James Gilbert"/>
    <x v="0"/>
    <m/>
    <x v="1"/>
    <n v="13"/>
    <x v="2"/>
    <n v="0"/>
    <s v="More than 10 Years"/>
    <n v="3"/>
    <x v="1"/>
  </r>
  <r>
    <s v="EMP1704"/>
    <s v="Matthew Miller"/>
    <x v="2"/>
    <n v="43"/>
    <x v="3"/>
    <s v="Accountant"/>
    <d v="2025-07-20T00:00:00"/>
    <n v="116799"/>
    <s v="Divorced"/>
    <s v="Master's"/>
    <x v="8"/>
    <s v="Travel_Rarely"/>
    <n v="17"/>
    <x v="0"/>
    <x v="3"/>
    <n v="3"/>
    <n v="4"/>
    <n v="3"/>
    <n v="5"/>
    <n v="3"/>
    <n v="13"/>
    <s v="Katelyn Vargas"/>
    <x v="0"/>
    <m/>
    <x v="0"/>
    <n v="1"/>
    <x v="0"/>
    <n v="0"/>
    <s v="1-3 Years"/>
    <n v="3.33"/>
    <x v="1"/>
  </r>
  <r>
    <s v="EMP1831"/>
    <s v="Not Specified"/>
    <x v="2"/>
    <n v="32"/>
    <x v="2"/>
    <s v="It Support"/>
    <d v="2021-10-17T00:00:00"/>
    <n v="88202"/>
    <s v="Divorced"/>
    <s v="High School"/>
    <x v="3"/>
    <s v="Not Specified"/>
    <n v="21"/>
    <x v="0"/>
    <x v="2"/>
    <n v="4"/>
    <n v="3"/>
    <n v="3"/>
    <n v="0"/>
    <n v="5"/>
    <n v="14"/>
    <s v="Zachary Vasquez"/>
    <x v="0"/>
    <m/>
    <x v="1"/>
    <n v="4"/>
    <x v="2"/>
    <n v="0"/>
    <s v="4-5 Years"/>
    <n v="3"/>
    <x v="1"/>
  </r>
  <r>
    <s v="EMP1466"/>
    <s v="Michael Brown"/>
    <x v="2"/>
    <n v="32"/>
    <x v="0"/>
    <s v="Not Specified"/>
    <d v="2025-09-21T00:00:00"/>
    <n v="54222"/>
    <s v="Married"/>
    <s v="Diploma"/>
    <x v="9"/>
    <s v="Travel_Frequently"/>
    <n v="5"/>
    <x v="0"/>
    <x v="2"/>
    <n v="3"/>
    <n v="2"/>
    <n v="3"/>
    <n v="4"/>
    <n v="4"/>
    <n v="11"/>
    <s v="Kevin Pham"/>
    <x v="1"/>
    <d v="2025-11-14T00:00:00"/>
    <x v="1"/>
    <n v="0"/>
    <x v="1"/>
    <n v="1"/>
    <s v="Less than 1 Year"/>
    <n v="2.33"/>
    <x v="0"/>
  </r>
  <r>
    <s v="EMP1053"/>
    <s v="Jason Powell"/>
    <x v="0"/>
    <n v="35"/>
    <x v="4"/>
    <s v="Account Manager"/>
    <d v="2016-01-28T00:00:00"/>
    <n v="102388"/>
    <s v="Single"/>
    <s v="Bachelor's"/>
    <x v="2"/>
    <s v="Travel_Rarely"/>
    <n v="33"/>
    <x v="1"/>
    <x v="2"/>
    <n v="4"/>
    <n v="1"/>
    <n v="4"/>
    <n v="3"/>
    <n v="0"/>
    <n v="19"/>
    <s v="Todd Byrd"/>
    <x v="1"/>
    <d v="2017-06-03T00:00:00"/>
    <x v="0"/>
    <n v="1"/>
    <x v="0"/>
    <n v="1"/>
    <s v="1-3 Years"/>
    <n v="2.33"/>
    <x v="0"/>
  </r>
  <r>
    <s v="EMP2116"/>
    <s v="Tracy Sims"/>
    <x v="2"/>
    <n v="28"/>
    <x v="0"/>
    <s v="Lab Technician"/>
    <d v="2017-09-09T00:00:00"/>
    <n v="84295"/>
    <s v="Married"/>
    <s v="Master's"/>
    <x v="1"/>
    <s v="Travel_Frequently"/>
    <n v="3"/>
    <x v="1"/>
    <x v="1"/>
    <n v="1"/>
    <n v="4"/>
    <n v="3"/>
    <n v="0"/>
    <n v="7"/>
    <n v="23"/>
    <s v="David Burns"/>
    <x v="0"/>
    <m/>
    <x v="1"/>
    <n v="8"/>
    <x v="2"/>
    <n v="0"/>
    <s v="6-10 Years"/>
    <n v="3"/>
    <x v="1"/>
  </r>
  <r>
    <s v="EMP1486"/>
    <s v="Shannon Joseph"/>
    <x v="0"/>
    <n v="25"/>
    <x v="0"/>
    <s v="Manufacturing Technician"/>
    <d v="2025-08-14T00:00:00"/>
    <n v="45064"/>
    <s v="Divorced"/>
    <s v="Master's"/>
    <x v="3"/>
    <s v="Non-Travel"/>
    <n v="34"/>
    <x v="1"/>
    <x v="3"/>
    <n v="3"/>
    <n v="1"/>
    <n v="4"/>
    <n v="1"/>
    <n v="0"/>
    <n v="20"/>
    <s v="Marcus Roberts"/>
    <x v="1"/>
    <d v="2026-04-12T00:00:00"/>
    <x v="1"/>
    <n v="0"/>
    <x v="1"/>
    <n v="1"/>
    <s v="Less than 1 Year"/>
    <n v="2.33"/>
    <x v="0"/>
  </r>
  <r>
    <s v="EMP2163"/>
    <s v="Jason Torres"/>
    <x v="0"/>
    <n v="37"/>
    <x v="3"/>
    <s v="Accountant"/>
    <d v="2021-02-09T00:00:00"/>
    <n v="73116"/>
    <s v="Divorced"/>
    <s v="Bachelor's"/>
    <x v="3"/>
    <s v="Travel_Frequently"/>
    <n v="21"/>
    <x v="0"/>
    <x v="1"/>
    <n v="3"/>
    <n v="3"/>
    <n v="4"/>
    <n v="4"/>
    <n v="1"/>
    <n v="18"/>
    <s v="George Mendoza"/>
    <x v="0"/>
    <m/>
    <x v="0"/>
    <n v="5"/>
    <x v="2"/>
    <n v="0"/>
    <s v="4-5 Years"/>
    <n v="3.33"/>
    <x v="1"/>
  </r>
  <r>
    <s v="EMP1965"/>
    <s v="Brett Jackson"/>
    <x v="0"/>
    <n v="31"/>
    <x v="2"/>
    <s v="Software Engineer"/>
    <d v="2013-10-23T00:00:00"/>
    <n v="85135"/>
    <s v="Divorced"/>
    <s v="Master's"/>
    <x v="9"/>
    <s v="Non-Travel"/>
    <n v="11"/>
    <x v="0"/>
    <x v="0"/>
    <n v="1"/>
    <n v="4"/>
    <n v="3"/>
    <n v="1"/>
    <n v="0"/>
    <n v="16"/>
    <s v="Not Specified"/>
    <x v="0"/>
    <m/>
    <x v="1"/>
    <n v="12"/>
    <x v="2"/>
    <n v="0"/>
    <s v="More than 10 Years"/>
    <n v="2"/>
    <x v="0"/>
  </r>
  <r>
    <s v="EMP1156"/>
    <s v="Denise Stanley"/>
    <x v="0"/>
    <n v="30"/>
    <x v="0"/>
    <s v="Manufacturing Technician"/>
    <d v="2018-11-28T00:00:00"/>
    <n v="93720"/>
    <s v="Divorced"/>
    <s v="Master's"/>
    <x v="7"/>
    <s v="Non-Travel"/>
    <n v="36"/>
    <x v="0"/>
    <x v="0"/>
    <n v="3"/>
    <n v="1"/>
    <n v="3"/>
    <n v="2"/>
    <n v="4"/>
    <n v="14"/>
    <s v="Paul Wilson"/>
    <x v="1"/>
    <d v="2022-05-03T00:00:00"/>
    <x v="1"/>
    <n v="3"/>
    <x v="2"/>
    <n v="1"/>
    <s v="1-3 Years"/>
    <n v="1.67"/>
    <x v="2"/>
  </r>
  <r>
    <s v="EMP1963"/>
    <s v="Not Specified"/>
    <x v="2"/>
    <n v="52"/>
    <x v="5"/>
    <s v="Marketing Executive"/>
    <d v="2023-09-13T00:00:00"/>
    <n v="103384"/>
    <s v="Single"/>
    <s v="Diploma"/>
    <x v="3"/>
    <s v="Travel_Frequently"/>
    <n v="28"/>
    <x v="0"/>
    <x v="0"/>
    <n v="2"/>
    <n v="4"/>
    <n v="3"/>
    <n v="2"/>
    <n v="5"/>
    <n v="24"/>
    <s v="Jennifer Williams"/>
    <x v="0"/>
    <m/>
    <x v="3"/>
    <n v="2"/>
    <x v="0"/>
    <n v="0"/>
    <s v="1-3 Years"/>
    <n v="2.33"/>
    <x v="0"/>
  </r>
  <r>
    <s v="EMP1601"/>
    <s v="Bryan Mccormick"/>
    <x v="2"/>
    <n v="34"/>
    <x v="4"/>
    <s v="Sales Representative"/>
    <d v="2011-10-18T00:00:00"/>
    <n v="72882"/>
    <s v="Married"/>
    <s v="PhD"/>
    <x v="0"/>
    <s v="Travel_Rarely"/>
    <n v="2"/>
    <x v="0"/>
    <x v="3"/>
    <n v="3"/>
    <n v="4"/>
    <n v="3"/>
    <n v="6"/>
    <n v="6"/>
    <n v="24"/>
    <s v="Richard Alvarez"/>
    <x v="0"/>
    <m/>
    <x v="1"/>
    <n v="14"/>
    <x v="2"/>
    <n v="0"/>
    <s v="More than 10 Years"/>
    <n v="3.33"/>
    <x v="1"/>
  </r>
  <r>
    <s v="EMP1921"/>
    <s v="Arthur Orozco"/>
    <x v="0"/>
    <n v="24"/>
    <x v="0"/>
    <s v="Lab Technician"/>
    <d v="2017-11-19T00:00:00"/>
    <n v="50192"/>
    <s v="Married"/>
    <s v="Bachelor's"/>
    <x v="6"/>
    <s v="Non-Travel"/>
    <n v="2"/>
    <x v="1"/>
    <x v="3"/>
    <n v="1"/>
    <n v="3"/>
    <n v="4"/>
    <n v="4"/>
    <n v="4"/>
    <n v="19"/>
    <s v="Not Specified"/>
    <x v="0"/>
    <m/>
    <x v="2"/>
    <n v="8"/>
    <x v="1"/>
    <n v="0"/>
    <s v="6-10 Years"/>
    <n v="2.33"/>
    <x v="0"/>
  </r>
  <r>
    <s v="EMP1249"/>
    <s v="William Daniels"/>
    <x v="2"/>
    <n v="25"/>
    <x v="0"/>
    <s v="Lab Technician"/>
    <d v="2019-01-12T00:00:00"/>
    <n v="88941"/>
    <s v="Divorced"/>
    <s v="Master's"/>
    <x v="1"/>
    <s v="Travel_Frequently"/>
    <n v="20"/>
    <x v="0"/>
    <x v="0"/>
    <n v="3"/>
    <n v="1"/>
    <n v="3"/>
    <n v="3"/>
    <n v="7"/>
    <n v="17"/>
    <s v="Julie Lee"/>
    <x v="1"/>
    <d v="2026-03-12T00:00:00"/>
    <x v="1"/>
    <n v="7"/>
    <x v="2"/>
    <n v="1"/>
    <s v="6-10 Years"/>
    <n v="1.67"/>
    <x v="2"/>
  </r>
  <r>
    <s v="EMP1442"/>
    <s v="David Stokes"/>
    <x v="0"/>
    <n v="45"/>
    <x v="4"/>
    <s v="Sales Representative"/>
    <d v="2023-01-17T00:00:00"/>
    <n v="60981"/>
    <s v="Married"/>
    <s v="Diploma"/>
    <x v="2"/>
    <s v="Travel_Rarely"/>
    <n v="26"/>
    <x v="0"/>
    <x v="0"/>
    <n v="3"/>
    <n v="2"/>
    <n v="4"/>
    <n v="4"/>
    <n v="8"/>
    <n v="20"/>
    <s v="Gabriela Davis"/>
    <x v="1"/>
    <d v="2023-09-16T00:00:00"/>
    <x v="3"/>
    <n v="0"/>
    <x v="2"/>
    <n v="1"/>
    <s v="Less than 1 Year"/>
    <n v="2"/>
    <x v="0"/>
  </r>
  <r>
    <s v="EMP2106"/>
    <s v="Kyle Thomas"/>
    <x v="0"/>
    <n v="42"/>
    <x v="4"/>
    <s v="Sales Representative"/>
    <d v="2021-08-03T00:00:00"/>
    <n v="74120"/>
    <s v="Single"/>
    <s v="Diploma"/>
    <x v="6"/>
    <s v="Non-Travel"/>
    <n v="15"/>
    <x v="0"/>
    <x v="0"/>
    <n v="2"/>
    <n v="3"/>
    <n v="3"/>
    <n v="0"/>
    <n v="6"/>
    <n v="22"/>
    <s v="Michele George"/>
    <x v="0"/>
    <m/>
    <x v="0"/>
    <n v="5"/>
    <x v="2"/>
    <n v="0"/>
    <s v="4-5 Years"/>
    <n v="2"/>
    <x v="0"/>
  </r>
  <r>
    <s v="EMP2119"/>
    <s v="Katrina Johnson"/>
    <x v="0"/>
    <n v="30"/>
    <x v="0"/>
    <s v="Lab Technician"/>
    <d v="2020-03-18T00:00:00"/>
    <n v="111935"/>
    <s v="Married"/>
    <s v="Bachelor's"/>
    <x v="4"/>
    <s v="Non-Travel"/>
    <n v="26"/>
    <x v="1"/>
    <x v="2"/>
    <n v="1"/>
    <n v="1"/>
    <n v="3"/>
    <n v="5"/>
    <n v="7"/>
    <n v="14"/>
    <s v="Patrick Bauer"/>
    <x v="1"/>
    <d v="2023-11-27T00:00:00"/>
    <x v="1"/>
    <n v="3"/>
    <x v="0"/>
    <n v="1"/>
    <s v="1-3 Years"/>
    <n v="1.33"/>
    <x v="2"/>
  </r>
  <r>
    <s v="EMP1543"/>
    <s v="Pam Horton"/>
    <x v="0"/>
    <n v="31"/>
    <x v="2"/>
    <s v="Devops Engineer"/>
    <d v="2013-02-13T00:00:00"/>
    <n v="63282"/>
    <s v="Divorced"/>
    <s v="Bachelor's"/>
    <x v="6"/>
    <s v="Non-Travel"/>
    <n v="4"/>
    <x v="0"/>
    <x v="1"/>
    <n v="2"/>
    <n v="2"/>
    <n v="3"/>
    <n v="2"/>
    <n v="0"/>
    <n v="16"/>
    <s v="John Hall"/>
    <x v="0"/>
    <m/>
    <x v="1"/>
    <n v="13"/>
    <x v="2"/>
    <n v="0"/>
    <s v="More than 10 Years"/>
    <n v="2.67"/>
    <x v="0"/>
  </r>
  <r>
    <s v="EMP1702"/>
    <s v="Jennifer Gutierrez"/>
    <x v="0"/>
    <n v="21"/>
    <x v="4"/>
    <s v="Sales Executive"/>
    <d v="2020-12-04T00:00:00"/>
    <n v="97354"/>
    <s v="Single"/>
    <s v="Bachelor's"/>
    <x v="6"/>
    <s v="Non-Travel"/>
    <n v="6"/>
    <x v="0"/>
    <x v="2"/>
    <n v="2"/>
    <n v="3"/>
    <n v="3"/>
    <n v="6"/>
    <n v="3"/>
    <n v="20"/>
    <s v="Valerie Reyes"/>
    <x v="0"/>
    <m/>
    <x v="2"/>
    <n v="5"/>
    <x v="2"/>
    <n v="0"/>
    <s v="4-5 Years"/>
    <n v="2.33"/>
    <x v="0"/>
  </r>
  <r>
    <s v="EMP1118"/>
    <s v="Charles Schmidt"/>
    <x v="0"/>
    <n v="36"/>
    <x v="4"/>
    <s v="Account Manager"/>
    <d v="2020-02-08T00:00:00"/>
    <n v="59752"/>
    <s v="Single"/>
    <s v="High School"/>
    <x v="6"/>
    <s v="Travel_Rarely"/>
    <n v="9"/>
    <x v="0"/>
    <x v="2"/>
    <n v="4"/>
    <n v="2"/>
    <n v="4"/>
    <n v="3"/>
    <n v="7"/>
    <n v="18"/>
    <s v="Bob Pitts"/>
    <x v="1"/>
    <d v="2025-04-20T00:00:00"/>
    <x v="0"/>
    <n v="5"/>
    <x v="1"/>
    <n v="1"/>
    <s v="4-5 Years"/>
    <n v="2.67"/>
    <x v="0"/>
  </r>
  <r>
    <s v="EMP1758"/>
    <s v="Lisa Strickland"/>
    <x v="0"/>
    <n v="34"/>
    <x v="0"/>
    <s v="Research Director"/>
    <d v="2011-11-24T00:00:00"/>
    <n v="73891"/>
    <s v="Divorced"/>
    <s v="Diploma"/>
    <x v="2"/>
    <s v="Non-Travel"/>
    <n v="27"/>
    <x v="0"/>
    <x v="2"/>
    <n v="4"/>
    <n v="3"/>
    <n v="3"/>
    <n v="3"/>
    <n v="7"/>
    <n v="19"/>
    <s v="Mr. Christopher Davis"/>
    <x v="0"/>
    <m/>
    <x v="1"/>
    <n v="14"/>
    <x v="2"/>
    <n v="0"/>
    <s v="More than 10 Years"/>
    <n v="3"/>
    <x v="1"/>
  </r>
  <r>
    <s v="EMP1629"/>
    <s v="Jenna Griffin"/>
    <x v="2"/>
    <n v="42"/>
    <x v="3"/>
    <s v="Auditor"/>
    <d v="2020-07-16T00:00:00"/>
    <n v="95382"/>
    <s v="Married"/>
    <s v="Bachelor's"/>
    <x v="3"/>
    <s v="Non-Travel"/>
    <n v="14"/>
    <x v="0"/>
    <x v="3"/>
    <n v="4"/>
    <n v="4"/>
    <n v="1"/>
    <n v="5"/>
    <n v="7"/>
    <n v="12"/>
    <s v="Courtney Roberts"/>
    <x v="0"/>
    <m/>
    <x v="0"/>
    <n v="6"/>
    <x v="2"/>
    <n v="0"/>
    <s v="6-10 Years"/>
    <n v="3.67"/>
    <x v="1"/>
  </r>
  <r>
    <s v="EMP2182"/>
    <s v="Ashley Reese"/>
    <x v="0"/>
    <n v="19"/>
    <x v="0"/>
    <s v="Lab Technician"/>
    <d v="2017-05-12T00:00:00"/>
    <n v="113152"/>
    <s v="Divorced"/>
    <s v="Diploma"/>
    <x v="0"/>
    <s v="Non-Travel"/>
    <n v="5"/>
    <x v="0"/>
    <x v="1"/>
    <n v="1"/>
    <n v="2"/>
    <n v="1"/>
    <n v="0"/>
    <n v="8"/>
    <n v="12"/>
    <s v="Sheila Walters"/>
    <x v="0"/>
    <m/>
    <x v="2"/>
    <n v="9"/>
    <x v="0"/>
    <n v="0"/>
    <s v="6-10 Years"/>
    <n v="2.33"/>
    <x v="0"/>
  </r>
  <r>
    <s v="EMP1967"/>
    <s v="Jason Nguyen"/>
    <x v="1"/>
    <n v="30"/>
    <x v="1"/>
    <s v="Recruiter"/>
    <d v="2017-04-07T00:00:00"/>
    <n v="74829"/>
    <s v="Divorced"/>
    <s v="Master's"/>
    <x v="0"/>
    <s v="Non-Travel"/>
    <n v="17"/>
    <x v="1"/>
    <x v="2"/>
    <n v="4"/>
    <n v="3"/>
    <n v="3"/>
    <n v="6"/>
    <n v="8"/>
    <n v="23"/>
    <s v="Not Specified"/>
    <x v="1"/>
    <d v="2025-01-16T00:00:00"/>
    <x v="1"/>
    <n v="7"/>
    <x v="2"/>
    <n v="1"/>
    <s v="6-10 Years"/>
    <n v="3"/>
    <x v="1"/>
  </r>
  <r>
    <s v="EMP1292"/>
    <s v="Joseph Williams"/>
    <x v="2"/>
    <n v="28"/>
    <x v="6"/>
    <s v="Hr Business Partner"/>
    <d v="2014-10-26T00:00:00"/>
    <n v="54798"/>
    <s v="Married"/>
    <s v="Master's"/>
    <x v="7"/>
    <s v="Travel_Frequently"/>
    <n v="43"/>
    <x v="0"/>
    <x v="2"/>
    <n v="3"/>
    <n v="4"/>
    <n v="1"/>
    <n v="4"/>
    <n v="3"/>
    <n v="17"/>
    <s v="Stacy Alvarez"/>
    <x v="0"/>
    <m/>
    <x v="1"/>
    <n v="11"/>
    <x v="1"/>
    <n v="0"/>
    <s v="More than 10 Years"/>
    <n v="3"/>
    <x v="1"/>
  </r>
  <r>
    <s v="EMP2063"/>
    <s v="Alexander Bradford"/>
    <x v="0"/>
    <n v="19"/>
    <x v="0"/>
    <s v="Research Director"/>
    <d v="2016-08-09T00:00:00"/>
    <n v="59226"/>
    <s v="Married"/>
    <s v="Bachelor's"/>
    <x v="8"/>
    <s v="Non-Travel"/>
    <n v="8"/>
    <x v="0"/>
    <x v="3"/>
    <n v="1"/>
    <n v="3"/>
    <n v="4"/>
    <n v="3"/>
    <n v="6"/>
    <n v="13"/>
    <s v="Not Specified"/>
    <x v="0"/>
    <m/>
    <x v="2"/>
    <n v="10"/>
    <x v="1"/>
    <n v="0"/>
    <s v="6-10 Years"/>
    <n v="2.33"/>
    <x v="0"/>
  </r>
  <r>
    <s v="EMP1382"/>
    <s v="Adam Greer"/>
    <x v="2"/>
    <n v="51"/>
    <x v="3"/>
    <s v="Finance Manager"/>
    <d v="2026-04-28T00:00:00"/>
    <n v="48052"/>
    <s v="Married"/>
    <s v="High School"/>
    <x v="9"/>
    <s v="Non-Travel"/>
    <n v="29"/>
    <x v="0"/>
    <x v="0"/>
    <n v="1"/>
    <n v="2"/>
    <n v="3"/>
    <n v="6"/>
    <n v="4"/>
    <n v="19"/>
    <s v="Jacqueline Mccoy"/>
    <x v="1"/>
    <d v="2026-05-14T00:00:00"/>
    <x v="3"/>
    <n v="0"/>
    <x v="1"/>
    <n v="1"/>
    <s v="Less than 1 Year"/>
    <n v="1.33"/>
    <x v="2"/>
  </r>
  <r>
    <s v="EMP1908"/>
    <s v="Elizabeth Williams"/>
    <x v="0"/>
    <n v="31"/>
    <x v="7"/>
    <s v="Supply Chain Analyst"/>
    <d v="2012-10-21T00:00:00"/>
    <n v="74912"/>
    <s v="Divorced"/>
    <s v="High School"/>
    <x v="3"/>
    <s v="Travel_Rarely"/>
    <n v="41"/>
    <x v="1"/>
    <x v="0"/>
    <n v="3"/>
    <n v="2"/>
    <n v="3"/>
    <n v="4"/>
    <n v="8"/>
    <n v="20"/>
    <s v="Jeffery Davis"/>
    <x v="1"/>
    <d v="2013-06-06T00:00:00"/>
    <x v="1"/>
    <n v="0"/>
    <x v="2"/>
    <n v="1"/>
    <s v="Less than 1 Year"/>
    <n v="2"/>
    <x v="0"/>
  </r>
  <r>
    <s v="EMP1954"/>
    <s v="Jennifer Martinez"/>
    <x v="2"/>
    <n v="48"/>
    <x v="3"/>
    <s v="Financial Analyst"/>
    <d v="2020-03-11T00:00:00"/>
    <n v="132811"/>
    <s v="Divorced"/>
    <s v="Bachelor's"/>
    <x v="4"/>
    <s v="Travel_Frequently"/>
    <n v="12"/>
    <x v="0"/>
    <x v="2"/>
    <n v="3"/>
    <n v="1"/>
    <n v="4"/>
    <n v="6"/>
    <n v="0"/>
    <n v="22"/>
    <s v="Jacob Ritter"/>
    <x v="1"/>
    <d v="2020-06-14T00:00:00"/>
    <x v="3"/>
    <n v="0"/>
    <x v="0"/>
    <n v="1"/>
    <s v="Less than 1 Year"/>
    <n v="2"/>
    <x v="0"/>
  </r>
  <r>
    <s v="EMP1201"/>
    <s v="Matthew Parker"/>
    <x v="0"/>
    <n v="29"/>
    <x v="4"/>
    <s v="Sales Executive"/>
    <d v="2020-08-26T00:00:00"/>
    <n v="71864"/>
    <s v="Divorced"/>
    <s v="Bachelor's"/>
    <x v="5"/>
    <s v="Travel_Frequently"/>
    <n v="22"/>
    <x v="0"/>
    <x v="2"/>
    <n v="2"/>
    <n v="1"/>
    <n v="5"/>
    <n v="5"/>
    <n v="5"/>
    <n v="24"/>
    <s v="Not Specified"/>
    <x v="1"/>
    <d v="2023-03-19T00:00:00"/>
    <x v="1"/>
    <n v="2"/>
    <x v="2"/>
    <n v="1"/>
    <s v="1-3 Years"/>
    <n v="1.67"/>
    <x v="2"/>
  </r>
  <r>
    <s v="EMP1597"/>
    <s v="Ruth Clayton"/>
    <x v="0"/>
    <n v="36"/>
    <x v="3"/>
    <s v="Finance Manager"/>
    <d v="2013-06-25T00:00:00"/>
    <n v="79431"/>
    <s v="Single"/>
    <s v="Master's"/>
    <x v="5"/>
    <s v="Non-Travel"/>
    <n v="33"/>
    <x v="0"/>
    <x v="0"/>
    <n v="4"/>
    <n v="1"/>
    <n v="2"/>
    <n v="3"/>
    <n v="6"/>
    <n v="22"/>
    <s v="Ray Ramos"/>
    <x v="1"/>
    <d v="2023-08-10T00:00:00"/>
    <x v="0"/>
    <n v="10"/>
    <x v="2"/>
    <n v="1"/>
    <s v="6-10 Years"/>
    <n v="2"/>
    <x v="0"/>
  </r>
  <r>
    <s v="EMP2026"/>
    <s v="Jose Hartman"/>
    <x v="2"/>
    <n v="43"/>
    <x v="0"/>
    <s v="Manufacturing Technician"/>
    <d v="2022-12-19T00:00:00"/>
    <n v="98891"/>
    <s v="Divorced"/>
    <s v="Master's"/>
    <x v="3"/>
    <s v="Travel_Rarely"/>
    <n v="45"/>
    <x v="0"/>
    <x v="2"/>
    <n v="4"/>
    <n v="4"/>
    <n v="2"/>
    <n v="0"/>
    <n v="5"/>
    <n v="19"/>
    <s v="Julia Conner"/>
    <x v="0"/>
    <m/>
    <x v="0"/>
    <n v="3"/>
    <x v="2"/>
    <n v="0"/>
    <s v="1-3 Years"/>
    <n v="3.33"/>
    <x v="1"/>
  </r>
  <r>
    <s v="EMP2160"/>
    <s v="Randall Lin"/>
    <x v="2"/>
    <n v="35"/>
    <x v="3"/>
    <s v="Financial Analyst"/>
    <d v="2026-06-30T00:00:00"/>
    <n v="52819"/>
    <s v="Single"/>
    <s v="Bachelor's"/>
    <x v="0"/>
    <s v="Travel_Rarely"/>
    <n v="42"/>
    <x v="1"/>
    <x v="3"/>
    <n v="1"/>
    <n v="4"/>
    <n v="2"/>
    <n v="0"/>
    <n v="5"/>
    <n v="23"/>
    <s v="Christina Mccarthy"/>
    <x v="1"/>
    <d v="2026-07-15T00:00:00"/>
    <x v="0"/>
    <n v="0"/>
    <x v="1"/>
    <n v="1"/>
    <s v="Less than 1 Year"/>
    <n v="2.67"/>
    <x v="0"/>
  </r>
  <r>
    <s v="EMP1900"/>
    <s v="Not Specified"/>
    <x v="0"/>
    <n v="51"/>
    <x v="3"/>
    <s v="Financial Analyst"/>
    <d v="2014-10-25T00:00:00"/>
    <n v="117087"/>
    <s v="Married"/>
    <s v="PhD"/>
    <x v="5"/>
    <s v="Non-Travel"/>
    <n v="27"/>
    <x v="1"/>
    <x v="3"/>
    <n v="3"/>
    <n v="3"/>
    <n v="5"/>
    <n v="2"/>
    <n v="4"/>
    <n v="12"/>
    <s v="Mason Morris"/>
    <x v="0"/>
    <m/>
    <x v="3"/>
    <n v="11"/>
    <x v="0"/>
    <n v="0"/>
    <s v="More than 10 Years"/>
    <n v="3"/>
    <x v="1"/>
  </r>
  <r>
    <s v="EMP1506"/>
    <s v="Sharon Coleman"/>
    <x v="0"/>
    <n v="34"/>
    <x v="3"/>
    <s v="Auditor"/>
    <d v="2013-03-19T00:00:00"/>
    <n v="130885"/>
    <s v="Single"/>
    <s v="High School"/>
    <x v="0"/>
    <s v="Travel_Rarely"/>
    <n v="24"/>
    <x v="1"/>
    <x v="0"/>
    <n v="2"/>
    <n v="4"/>
    <n v="1"/>
    <n v="2"/>
    <n v="4"/>
    <n v="13"/>
    <s v="Vanessa Rowe"/>
    <x v="1"/>
    <d v="2020-06-11T00:00:00"/>
    <x v="1"/>
    <n v="7"/>
    <x v="0"/>
    <n v="1"/>
    <s v="6-10 Years"/>
    <n v="2.33"/>
    <x v="0"/>
  </r>
  <r>
    <s v="EMP1349"/>
    <s v="Raymond Mullins"/>
    <x v="0"/>
    <n v="42"/>
    <x v="0"/>
    <s v="Research Director"/>
    <d v="2013-08-25T00:00:00"/>
    <n v="106453"/>
    <s v="Married"/>
    <s v="Bachelor's"/>
    <x v="7"/>
    <s v="Non-Travel"/>
    <n v="2"/>
    <x v="0"/>
    <x v="2"/>
    <n v="4"/>
    <n v="1"/>
    <n v="3"/>
    <n v="2"/>
    <n v="3"/>
    <n v="25"/>
    <s v="Brenda Moreno MD"/>
    <x v="0"/>
    <m/>
    <x v="0"/>
    <n v="13"/>
    <x v="0"/>
    <n v="0"/>
    <s v="More than 10 Years"/>
    <n v="2.33"/>
    <x v="0"/>
  </r>
  <r>
    <s v="EMP1969"/>
    <s v="John Russell"/>
    <x v="2"/>
    <n v="42"/>
    <x v="0"/>
    <s v="Research Scientist"/>
    <d v="2015-02-24T00:00:00"/>
    <n v="114877"/>
    <s v="Single"/>
    <s v="Master's"/>
    <x v="10"/>
    <s v="Travel_Rarely"/>
    <n v="36"/>
    <x v="0"/>
    <x v="1"/>
    <n v="2"/>
    <n v="1"/>
    <n v="3"/>
    <n v="4"/>
    <n v="3"/>
    <n v="19"/>
    <s v="Debra Richmond"/>
    <x v="0"/>
    <m/>
    <x v="0"/>
    <n v="11"/>
    <x v="0"/>
    <n v="0"/>
    <s v="More than 10 Years"/>
    <n v="2.33"/>
    <x v="0"/>
  </r>
  <r>
    <s v="EMP1341"/>
    <s v="Matthew Howard"/>
    <x v="1"/>
    <n v="40"/>
    <x v="0"/>
    <s v="Lab Technician"/>
    <d v="2012-08-10T00:00:00"/>
    <n v="56921"/>
    <s v="Divorced"/>
    <s v="Bachelor's"/>
    <x v="5"/>
    <s v="Travel_Rarely"/>
    <n v="16"/>
    <x v="0"/>
    <x v="2"/>
    <n v="3"/>
    <n v="4"/>
    <n v="2"/>
    <n v="4"/>
    <n v="8"/>
    <n v="22"/>
    <s v="Claudia Jordan"/>
    <x v="0"/>
    <m/>
    <x v="0"/>
    <n v="14"/>
    <x v="1"/>
    <n v="0"/>
    <s v="More than 10 Years"/>
    <n v="3"/>
    <x v="1"/>
  </r>
  <r>
    <s v="EMP1616"/>
    <s v="Cassidy Curry"/>
    <x v="2"/>
    <n v="45"/>
    <x v="1"/>
    <s v="Hr Executive"/>
    <d v="2017-11-09T00:00:00"/>
    <n v="48565"/>
    <s v="Married"/>
    <s v="Master's"/>
    <x v="1"/>
    <s v="Travel_Frequently"/>
    <n v="6"/>
    <x v="0"/>
    <x v="0"/>
    <n v="4"/>
    <n v="1"/>
    <n v="3"/>
    <n v="0"/>
    <n v="7"/>
    <n v="12"/>
    <s v="Mark Howard"/>
    <x v="0"/>
    <m/>
    <x v="3"/>
    <n v="8"/>
    <x v="1"/>
    <n v="0"/>
    <s v="6-10 Years"/>
    <n v="2"/>
    <x v="0"/>
  </r>
  <r>
    <s v="EMP1155"/>
    <s v="Paula Bradley"/>
    <x v="2"/>
    <n v="45"/>
    <x v="4"/>
    <s v="Sales Executive"/>
    <d v="2012-12-05T00:00:00"/>
    <n v="109129"/>
    <s v="Married"/>
    <s v="Bachelor's"/>
    <x v="0"/>
    <s v="Travel_Frequently"/>
    <n v="11"/>
    <x v="1"/>
    <x v="0"/>
    <n v="4"/>
    <n v="4"/>
    <n v="3"/>
    <n v="1"/>
    <n v="2"/>
    <n v="20"/>
    <s v="Christopher Williamson"/>
    <x v="0"/>
    <m/>
    <x v="3"/>
    <n v="13"/>
    <x v="0"/>
    <n v="0"/>
    <s v="More than 10 Years"/>
    <n v="3"/>
    <x v="1"/>
  </r>
  <r>
    <s v="EMP2127"/>
    <s v="Mrs. Kimberly Clark"/>
    <x v="0"/>
    <n v="30"/>
    <x v="2"/>
    <s v="System Administrator"/>
    <d v="2013-02-20T00:00:00"/>
    <n v="129520"/>
    <s v="Single"/>
    <s v="Bachelor's"/>
    <x v="7"/>
    <s v="Travel_Rarely"/>
    <n v="26"/>
    <x v="0"/>
    <x v="3"/>
    <n v="3"/>
    <n v="3"/>
    <n v="4"/>
    <n v="6"/>
    <n v="2"/>
    <n v="18"/>
    <s v="Cynthia Lopez"/>
    <x v="0"/>
    <m/>
    <x v="1"/>
    <n v="13"/>
    <x v="0"/>
    <n v="0"/>
    <s v="More than 10 Years"/>
    <n v="3"/>
    <x v="1"/>
  </r>
  <r>
    <s v="EMP1799"/>
    <s v="Jill Davis"/>
    <x v="0"/>
    <n v="37"/>
    <x v="2"/>
    <s v="System Administrator"/>
    <d v="2012-06-25T00:00:00"/>
    <n v="99142"/>
    <s v="Married"/>
    <s v="High School"/>
    <x v="4"/>
    <s v="Travel_Frequently"/>
    <n v="44"/>
    <x v="0"/>
    <x v="2"/>
    <n v="4"/>
    <n v="3"/>
    <n v="3"/>
    <n v="1"/>
    <n v="8"/>
    <n v="12"/>
    <s v="Lauren Walker"/>
    <x v="0"/>
    <m/>
    <x v="0"/>
    <n v="14"/>
    <x v="2"/>
    <n v="0"/>
    <s v="More than 10 Years"/>
    <n v="3"/>
    <x v="1"/>
  </r>
  <r>
    <s v="EMP1078"/>
    <s v="Jessica Gross"/>
    <x v="2"/>
    <n v="36"/>
    <x v="2"/>
    <s v="Software Engineer"/>
    <d v="2026-01-24T00:00:00"/>
    <n v="59637"/>
    <s v="Divorced"/>
    <s v="Bachelor's"/>
    <x v="8"/>
    <s v="Travel_Rarely"/>
    <n v="11"/>
    <x v="0"/>
    <x v="3"/>
    <n v="4"/>
    <n v="1"/>
    <n v="2"/>
    <n v="0"/>
    <n v="6"/>
    <n v="21"/>
    <s v="Robert Medina"/>
    <x v="0"/>
    <m/>
    <x v="0"/>
    <n v="0"/>
    <x v="1"/>
    <n v="0"/>
    <s v="Less than 1 Year"/>
    <n v="2.67"/>
    <x v="0"/>
  </r>
  <r>
    <s v="EMP1288"/>
    <s v="Ashley Davis"/>
    <x v="2"/>
    <n v="43"/>
    <x v="4"/>
    <s v="Account Manager"/>
    <d v="2013-11-19T00:00:00"/>
    <n v="53561"/>
    <s v="Divorced"/>
    <s v="Master's"/>
    <x v="9"/>
    <s v="Travel_Rarely"/>
    <n v="21"/>
    <x v="1"/>
    <x v="3"/>
    <n v="2"/>
    <n v="1"/>
    <n v="4"/>
    <n v="3"/>
    <n v="3"/>
    <n v="23"/>
    <s v="Robin Adams"/>
    <x v="1"/>
    <d v="2016-05-02T00:00:00"/>
    <x v="0"/>
    <n v="2"/>
    <x v="1"/>
    <n v="1"/>
    <s v="1-3 Years"/>
    <n v="2"/>
    <x v="0"/>
  </r>
  <r>
    <s v="EMP1323"/>
    <s v="Jim Baker"/>
    <x v="0"/>
    <n v="30"/>
    <x v="1"/>
    <s v="Hr Executive"/>
    <d v="2024-07-13T00:00:00"/>
    <n v="54987"/>
    <s v="Single"/>
    <s v="Master's"/>
    <x v="4"/>
    <s v="Not Specified"/>
    <n v="11"/>
    <x v="0"/>
    <x v="3"/>
    <n v="2"/>
    <n v="3"/>
    <n v="3"/>
    <n v="6"/>
    <n v="2"/>
    <n v="19"/>
    <s v="Margaret Harper"/>
    <x v="0"/>
    <m/>
    <x v="1"/>
    <n v="2"/>
    <x v="1"/>
    <n v="0"/>
    <s v="1-3 Years"/>
    <n v="2.67"/>
    <x v="0"/>
  </r>
  <r>
    <s v="EMP1861"/>
    <s v="Mr. Scott Miller"/>
    <x v="2"/>
    <n v="31"/>
    <x v="3"/>
    <s v="Accountant"/>
    <d v="2020-08-21T00:00:00"/>
    <n v="90100"/>
    <s v="Married"/>
    <s v="Master's"/>
    <x v="2"/>
    <s v="Non-Travel"/>
    <n v="3"/>
    <x v="0"/>
    <x v="2"/>
    <n v="4"/>
    <n v="2"/>
    <n v="4"/>
    <n v="4"/>
    <n v="7"/>
    <n v="16"/>
    <s v="Stephanie Russell"/>
    <x v="0"/>
    <m/>
    <x v="1"/>
    <n v="6"/>
    <x v="2"/>
    <n v="0"/>
    <s v="6-10 Years"/>
    <n v="2.67"/>
    <x v="0"/>
  </r>
  <r>
    <s v="EMP1901"/>
    <s v="Benjamin Crane"/>
    <x v="0"/>
    <n v="42"/>
    <x v="0"/>
    <s v="Manufacturing Technician"/>
    <d v="2017-05-09T00:00:00"/>
    <n v="62056"/>
    <s v="Married"/>
    <s v="Bachelor's"/>
    <x v="6"/>
    <s v="Non-Travel"/>
    <n v="38"/>
    <x v="1"/>
    <x v="3"/>
    <n v="3"/>
    <n v="2"/>
    <n v="2"/>
    <n v="0"/>
    <n v="7"/>
    <n v="16"/>
    <s v="Vincent Glenn"/>
    <x v="1"/>
    <d v="2021-01-24T00:00:00"/>
    <x v="0"/>
    <n v="3"/>
    <x v="2"/>
    <n v="1"/>
    <s v="1-3 Years"/>
    <n v="2.67"/>
    <x v="0"/>
  </r>
  <r>
    <s v="EMP1834"/>
    <s v="Ryan Hardy"/>
    <x v="0"/>
    <n v="20"/>
    <x v="0"/>
    <s v="Research Director"/>
    <d v="2015-10-26T00:00:00"/>
    <n v="51950"/>
    <s v="Divorced"/>
    <s v="Master's"/>
    <x v="6"/>
    <s v="Non-Travel"/>
    <n v="31"/>
    <x v="1"/>
    <x v="3"/>
    <n v="3"/>
    <n v="3"/>
    <n v="3"/>
    <n v="6"/>
    <n v="5"/>
    <n v="21"/>
    <s v="Lauren Nelson"/>
    <x v="0"/>
    <m/>
    <x v="2"/>
    <n v="10"/>
    <x v="1"/>
    <n v="0"/>
    <s v="6-10 Years"/>
    <n v="3"/>
    <x v="1"/>
  </r>
  <r>
    <s v="EMP1083"/>
    <s v="Daniel Holt"/>
    <x v="0"/>
    <n v="40"/>
    <x v="0"/>
    <s v="Not Specified"/>
    <d v="2016-03-25T00:00:00"/>
    <n v="104759"/>
    <s v="Single"/>
    <s v="Bachelor's"/>
    <x v="2"/>
    <s v="Travel_Frequently"/>
    <n v="14"/>
    <x v="0"/>
    <x v="1"/>
    <n v="1"/>
    <n v="3"/>
    <n v="2"/>
    <n v="5"/>
    <n v="8"/>
    <n v="15"/>
    <s v="Kara Schmidt"/>
    <x v="0"/>
    <m/>
    <x v="0"/>
    <n v="10"/>
    <x v="0"/>
    <n v="0"/>
    <s v="6-10 Years"/>
    <n v="2.67"/>
    <x v="0"/>
  </r>
  <r>
    <s v="EMP1830"/>
    <s v="William Wallace"/>
    <x v="0"/>
    <n v="35"/>
    <x v="2"/>
    <s v="Software Engineer"/>
    <d v="2019-12-05T00:00:00"/>
    <n v="138499"/>
    <s v="Divorced"/>
    <s v="Bachelor's"/>
    <x v="5"/>
    <s v="Travel_Frequently"/>
    <n v="23"/>
    <x v="0"/>
    <x v="3"/>
    <n v="4"/>
    <n v="2"/>
    <n v="4"/>
    <n v="2"/>
    <n v="3"/>
    <n v="22"/>
    <s v="Scott Lopez"/>
    <x v="0"/>
    <m/>
    <x v="0"/>
    <n v="6"/>
    <x v="0"/>
    <n v="0"/>
    <s v="6-10 Years"/>
    <n v="3"/>
    <x v="1"/>
  </r>
  <r>
    <s v="EMP1465"/>
    <s v="Denise Cruz"/>
    <x v="0"/>
    <n v="26"/>
    <x v="3"/>
    <s v="Auditor"/>
    <d v="2024-05-09T00:00:00"/>
    <n v="60152"/>
    <s v="Married"/>
    <s v="Bachelor's"/>
    <x v="3"/>
    <s v="Non-Travel"/>
    <n v="33"/>
    <x v="0"/>
    <x v="0"/>
    <n v="1"/>
    <n v="4"/>
    <n v="3"/>
    <n v="0"/>
    <n v="6"/>
    <n v="17"/>
    <s v="Mariah Robles"/>
    <x v="0"/>
    <m/>
    <x v="1"/>
    <n v="2"/>
    <x v="2"/>
    <n v="0"/>
    <s v="1-3 Years"/>
    <n v="2"/>
    <x v="0"/>
  </r>
  <r>
    <s v="EMP1884"/>
    <s v="Susan Wood"/>
    <x v="0"/>
    <n v="34"/>
    <x v="0"/>
    <s v="Manufacturing Technician"/>
    <d v="2021-11-14T00:00:00"/>
    <n v="42336"/>
    <s v="Divorced"/>
    <s v="Bachelor's"/>
    <x v="3"/>
    <s v="Travel_Rarely"/>
    <n v="13"/>
    <x v="0"/>
    <x v="1"/>
    <n v="2"/>
    <n v="3"/>
    <n v="4"/>
    <n v="6"/>
    <n v="6"/>
    <n v="12"/>
    <s v="Adam Anderson"/>
    <x v="0"/>
    <m/>
    <x v="1"/>
    <n v="4"/>
    <x v="1"/>
    <n v="0"/>
    <s v="4-5 Years"/>
    <n v="3"/>
    <x v="1"/>
  </r>
  <r>
    <s v="EMP1793"/>
    <s v="Mary Hernandez"/>
    <x v="2"/>
    <n v="30"/>
    <x v="2"/>
    <s v="Devops Engineer"/>
    <d v="2015-03-19T00:00:00"/>
    <n v="127654"/>
    <s v="Married"/>
    <s v="Master's"/>
    <x v="8"/>
    <s v="Travel_Rarely"/>
    <n v="17"/>
    <x v="0"/>
    <x v="0"/>
    <n v="2"/>
    <n v="3"/>
    <n v="3"/>
    <n v="4"/>
    <n v="5"/>
    <n v="15"/>
    <s v="Eugene Martinez"/>
    <x v="0"/>
    <m/>
    <x v="1"/>
    <n v="11"/>
    <x v="0"/>
    <n v="0"/>
    <s v="More than 10 Years"/>
    <n v="2"/>
    <x v="0"/>
  </r>
  <r>
    <s v="EMP2194"/>
    <s v="Brian Garcia"/>
    <x v="2"/>
    <n v="51"/>
    <x v="4"/>
    <s v="Sales Representative"/>
    <d v="2025-12-03T00:00:00"/>
    <n v="41978"/>
    <s v="Divorced"/>
    <s v="Master's"/>
    <x v="9"/>
    <s v="Travel_Rarely"/>
    <n v="44"/>
    <x v="1"/>
    <x v="2"/>
    <n v="2"/>
    <n v="3"/>
    <n v="1"/>
    <n v="4"/>
    <n v="6"/>
    <n v="18"/>
    <s v="Bailey Mclean"/>
    <x v="1"/>
    <d v="2026-03-09T00:00:00"/>
    <x v="3"/>
    <n v="0"/>
    <x v="1"/>
    <n v="1"/>
    <s v="Less than 1 Year"/>
    <n v="2.33"/>
    <x v="0"/>
  </r>
  <r>
    <s v="EMP1833"/>
    <s v="Vanessa Brown"/>
    <x v="0"/>
    <n v="34"/>
    <x v="0"/>
    <s v="Manufacturing Technician"/>
    <d v="2026-03-18T00:00:00"/>
    <n v="100527"/>
    <s v="Divorced"/>
    <s v="Master's"/>
    <x v="0"/>
    <s v="Non-Travel"/>
    <n v="13"/>
    <x v="0"/>
    <x v="0"/>
    <n v="2"/>
    <n v="4"/>
    <n v="3"/>
    <n v="2"/>
    <n v="2"/>
    <n v="23"/>
    <s v="Kurt Ewing"/>
    <x v="0"/>
    <m/>
    <x v="1"/>
    <n v="0"/>
    <x v="0"/>
    <n v="0"/>
    <s v="Less than 1 Year"/>
    <n v="2.33"/>
    <x v="0"/>
  </r>
  <r>
    <s v="EMP1334"/>
    <s v="Heather Page"/>
    <x v="2"/>
    <n v="30"/>
    <x v="2"/>
    <s v="Software Engineer"/>
    <d v="2021-02-06T00:00:00"/>
    <n v="55590"/>
    <s v="Married"/>
    <s v="Bachelor's"/>
    <x v="7"/>
    <s v="Travel_Rarely"/>
    <n v="19"/>
    <x v="0"/>
    <x v="3"/>
    <n v="4"/>
    <n v="2"/>
    <n v="5"/>
    <n v="5"/>
    <n v="6"/>
    <n v="18"/>
    <s v="Charles Clark"/>
    <x v="0"/>
    <m/>
    <x v="1"/>
    <n v="5"/>
    <x v="1"/>
    <n v="0"/>
    <s v="4-5 Years"/>
    <n v="3"/>
    <x v="1"/>
  </r>
  <r>
    <s v="EMP1011"/>
    <s v="Judy Baker"/>
    <x v="0"/>
    <n v="29"/>
    <x v="2"/>
    <s v="Software Engineer"/>
    <d v="2015-05-05T00:00:00"/>
    <n v="121271"/>
    <s v="Married"/>
    <s v="Master's"/>
    <x v="1"/>
    <s v="Travel_Frequently"/>
    <n v="40"/>
    <x v="0"/>
    <x v="2"/>
    <n v="1"/>
    <n v="3"/>
    <n v="3"/>
    <n v="2"/>
    <n v="8"/>
    <n v="15"/>
    <s v="Deborah Richards"/>
    <x v="0"/>
    <m/>
    <x v="1"/>
    <n v="11"/>
    <x v="0"/>
    <n v="0"/>
    <s v="More than 10 Years"/>
    <n v="2"/>
    <x v="0"/>
  </r>
  <r>
    <s v="EMP1739"/>
    <s v="Benjamin Waters"/>
    <x v="2"/>
    <n v="45"/>
    <x v="4"/>
    <s v="Sales Manager"/>
    <d v="2017-05-16T00:00:00"/>
    <n v="105354"/>
    <s v="Single"/>
    <s v="Master's"/>
    <x v="5"/>
    <s v="Travel_Rarely"/>
    <n v="30"/>
    <x v="0"/>
    <x v="3"/>
    <n v="1"/>
    <n v="4"/>
    <n v="1"/>
    <n v="6"/>
    <n v="3"/>
    <n v="21"/>
    <s v="Anthony Sosa"/>
    <x v="0"/>
    <m/>
    <x v="3"/>
    <n v="9"/>
    <x v="0"/>
    <n v="0"/>
    <s v="6-10 Years"/>
    <n v="2.67"/>
    <x v="0"/>
  </r>
  <r>
    <s v="EMP1471"/>
    <s v="Janice Combs"/>
    <x v="0"/>
    <n v="35"/>
    <x v="0"/>
    <s v="Research Director"/>
    <d v="2019-12-29T00:00:00"/>
    <n v="62654"/>
    <s v="Married"/>
    <s v="Diploma"/>
    <x v="0"/>
    <s v="Travel_Frequently"/>
    <n v="28"/>
    <x v="0"/>
    <x v="3"/>
    <n v="1"/>
    <n v="4"/>
    <n v="3"/>
    <n v="6"/>
    <n v="3"/>
    <n v="22"/>
    <s v="Amy Schneider MD"/>
    <x v="0"/>
    <m/>
    <x v="0"/>
    <n v="6"/>
    <x v="2"/>
    <n v="0"/>
    <s v="6-10 Years"/>
    <n v="2.67"/>
    <x v="0"/>
  </r>
  <r>
    <s v="EMP1033"/>
    <s v="Bryan Zamora"/>
    <x v="0"/>
    <n v="35"/>
    <x v="4"/>
    <s v="Account Manager"/>
    <d v="2015-05-03T00:00:00"/>
    <n v="94811"/>
    <s v="Divorced"/>
    <s v="High School"/>
    <x v="9"/>
    <s v="Travel_Rarely"/>
    <n v="26"/>
    <x v="0"/>
    <x v="2"/>
    <n v="3"/>
    <n v="1"/>
    <n v="3"/>
    <n v="0"/>
    <n v="5"/>
    <n v="20"/>
    <s v="Lisa Barnes"/>
    <x v="0"/>
    <m/>
    <x v="0"/>
    <n v="11"/>
    <x v="2"/>
    <n v="0"/>
    <s v="More than 10 Years"/>
    <n v="2"/>
    <x v="0"/>
  </r>
  <r>
    <s v="EMP1819"/>
    <s v="Linda Gallagher"/>
    <x v="2"/>
    <n v="32"/>
    <x v="3"/>
    <s v="Auditor"/>
    <d v="2016-10-06T00:00:00"/>
    <n v="93236"/>
    <s v="Single"/>
    <s v="High School"/>
    <x v="1"/>
    <s v="Travel_Rarely"/>
    <n v="3"/>
    <x v="0"/>
    <x v="1"/>
    <n v="2"/>
    <n v="3"/>
    <n v="3"/>
    <n v="4"/>
    <n v="2"/>
    <n v="14"/>
    <s v="Alyssa Olsen"/>
    <x v="0"/>
    <m/>
    <x v="1"/>
    <n v="9"/>
    <x v="2"/>
    <n v="0"/>
    <s v="6-10 Years"/>
    <n v="3"/>
    <x v="1"/>
  </r>
  <r>
    <s v="EMP1414"/>
    <s v="Antonio Goodwin"/>
    <x v="0"/>
    <n v="20"/>
    <x v="1"/>
    <s v="Hr Executive"/>
    <d v="2021-08-15T00:00:00"/>
    <n v="69412"/>
    <s v="Single"/>
    <s v="High School"/>
    <x v="8"/>
    <s v="Travel_Frequently"/>
    <n v="44"/>
    <x v="0"/>
    <x v="2"/>
    <n v="3"/>
    <n v="3"/>
    <n v="2"/>
    <n v="6"/>
    <n v="5"/>
    <n v="11"/>
    <s v="Gregg Weaver"/>
    <x v="0"/>
    <m/>
    <x v="2"/>
    <n v="5"/>
    <x v="2"/>
    <n v="0"/>
    <s v="4-5 Years"/>
    <n v="2.67"/>
    <x v="0"/>
  </r>
  <r>
    <s v="EMP1581"/>
    <s v="Teresa Haynes"/>
    <x v="2"/>
    <n v="21"/>
    <x v="0"/>
    <s v="Research Director"/>
    <d v="2012-11-09T00:00:00"/>
    <n v="115066"/>
    <s v="Single"/>
    <s v="Master's"/>
    <x v="1"/>
    <s v="Travel_Rarely"/>
    <n v="29"/>
    <x v="1"/>
    <x v="3"/>
    <n v="1"/>
    <n v="1"/>
    <n v="5"/>
    <n v="3"/>
    <n v="1"/>
    <n v="16"/>
    <s v="Brian Brown"/>
    <x v="0"/>
    <m/>
    <x v="2"/>
    <n v="13"/>
    <x v="0"/>
    <n v="0"/>
    <s v="More than 10 Years"/>
    <n v="1.67"/>
    <x v="2"/>
  </r>
  <r>
    <s v="EMP1383"/>
    <s v="Lauren Green"/>
    <x v="2"/>
    <n v="42"/>
    <x v="5"/>
    <s v="Marketing Executive"/>
    <d v="2023-10-15T00:00:00"/>
    <n v="77630"/>
    <s v="Single"/>
    <s v="PhD"/>
    <x v="7"/>
    <s v="Travel_Frequently"/>
    <n v="27"/>
    <x v="1"/>
    <x v="3"/>
    <n v="3"/>
    <n v="3"/>
    <n v="2"/>
    <n v="1"/>
    <n v="5"/>
    <n v="12"/>
    <s v="Austin Orr"/>
    <x v="0"/>
    <m/>
    <x v="0"/>
    <n v="2"/>
    <x v="2"/>
    <n v="0"/>
    <s v="1-3 Years"/>
    <n v="3"/>
    <x v="1"/>
  </r>
  <r>
    <s v="EMP1864"/>
    <s v="Cynthia Martinez"/>
    <x v="0"/>
    <n v="33"/>
    <x v="4"/>
    <s v="Sales Executive"/>
    <d v="2023-09-12T00:00:00"/>
    <n v="85242"/>
    <s v="Divorced"/>
    <s v="Master's"/>
    <x v="6"/>
    <s v="Travel_Rarely"/>
    <n v="14"/>
    <x v="1"/>
    <x v="0"/>
    <n v="4"/>
    <n v="1"/>
    <n v="3"/>
    <n v="2"/>
    <n v="3"/>
    <n v="19"/>
    <s v="Not Specified"/>
    <x v="1"/>
    <d v="2024-09-02T00:00:00"/>
    <x v="1"/>
    <n v="0"/>
    <x v="2"/>
    <n v="1"/>
    <s v="Less than 1 Year"/>
    <n v="2"/>
    <x v="0"/>
  </r>
  <r>
    <s v="EMP1797"/>
    <s v="Dylan Raymond"/>
    <x v="2"/>
    <n v="29"/>
    <x v="0"/>
    <s v="Not Specified"/>
    <d v="2026-04-17T00:00:00"/>
    <n v="68517"/>
    <s v="Single"/>
    <s v="Bachelor's"/>
    <x v="2"/>
    <s v="Non-Travel"/>
    <n v="12"/>
    <x v="0"/>
    <x v="0"/>
    <n v="3"/>
    <n v="2"/>
    <n v="3"/>
    <n v="4"/>
    <n v="2"/>
    <n v="23"/>
    <s v="Keith Meadows"/>
    <x v="1"/>
    <d v="2026-07-04T00:00:00"/>
    <x v="1"/>
    <n v="0"/>
    <x v="2"/>
    <n v="1"/>
    <s v="Less than 1 Year"/>
    <n v="2"/>
    <x v="0"/>
  </r>
  <r>
    <s v="EMP2156"/>
    <s v="Joshua Marsh"/>
    <x v="1"/>
    <n v="35"/>
    <x v="5"/>
    <s v="Brand Manager"/>
    <d v="2022-04-27T00:00:00"/>
    <n v="84499"/>
    <s v="Divorced"/>
    <s v="Bachelor's"/>
    <x v="1"/>
    <s v="Travel_Rarely"/>
    <n v="25"/>
    <x v="0"/>
    <x v="2"/>
    <n v="2"/>
    <n v="4"/>
    <n v="5"/>
    <n v="2"/>
    <n v="1"/>
    <n v="16"/>
    <s v="Phillip Macias"/>
    <x v="0"/>
    <m/>
    <x v="0"/>
    <n v="4"/>
    <x v="2"/>
    <n v="0"/>
    <s v="4-5 Years"/>
    <n v="2.67"/>
    <x v="0"/>
  </r>
  <r>
    <s v="EMP1878"/>
    <s v="Christopher Walter"/>
    <x v="2"/>
    <n v="38"/>
    <x v="3"/>
    <s v="Accountant"/>
    <d v="2025-10-03T00:00:00"/>
    <n v="61363"/>
    <s v="Divorced"/>
    <s v="Bachelor's"/>
    <x v="6"/>
    <s v="Travel_Frequently"/>
    <n v="8"/>
    <x v="1"/>
    <x v="1"/>
    <n v="3"/>
    <n v="3"/>
    <n v="3"/>
    <n v="4"/>
    <n v="6"/>
    <n v="25"/>
    <s v="Courtney Vaughan"/>
    <x v="0"/>
    <m/>
    <x v="0"/>
    <n v="0"/>
    <x v="2"/>
    <n v="0"/>
    <s v="Less than 1 Year"/>
    <n v="3.33"/>
    <x v="1"/>
  </r>
  <r>
    <s v="EMP2191"/>
    <s v="Christopher Brown"/>
    <x v="2"/>
    <n v="37"/>
    <x v="3"/>
    <s v="Accountant"/>
    <d v="2021-12-26T00:00:00"/>
    <n v="102427"/>
    <s v="Divorced"/>
    <s v="Not Specified"/>
    <x v="6"/>
    <s v="Non-Travel"/>
    <n v="42"/>
    <x v="0"/>
    <x v="0"/>
    <n v="3"/>
    <n v="2"/>
    <n v="1"/>
    <n v="6"/>
    <n v="3"/>
    <n v="15"/>
    <s v="Roger Garcia"/>
    <x v="1"/>
    <d v="2024-12-02T00:00:00"/>
    <x v="0"/>
    <n v="2"/>
    <x v="0"/>
    <n v="1"/>
    <s v="1-3 Years"/>
    <n v="2"/>
    <x v="0"/>
  </r>
  <r>
    <s v="EMP1379"/>
    <s v="Michael Mckenzie"/>
    <x v="2"/>
    <n v="36"/>
    <x v="0"/>
    <s v="Research Director"/>
    <d v="2022-01-22T00:00:00"/>
    <n v="107898"/>
    <s v="Married"/>
    <s v="Bachelor's"/>
    <x v="5"/>
    <s v="Non-Travel"/>
    <n v="43"/>
    <x v="1"/>
    <x v="1"/>
    <n v="2"/>
    <n v="3"/>
    <n v="3"/>
    <n v="5"/>
    <n v="2"/>
    <n v="11"/>
    <s v="Russell Murphy"/>
    <x v="0"/>
    <m/>
    <x v="0"/>
    <n v="4"/>
    <x v="0"/>
    <n v="0"/>
    <s v="4-5 Years"/>
    <n v="3"/>
    <x v="1"/>
  </r>
  <r>
    <s v="EMP1090"/>
    <s v="Chase Hart"/>
    <x v="0"/>
    <n v="25"/>
    <x v="2"/>
    <s v="Devops Engineer"/>
    <d v="2016-03-12T00:00:00"/>
    <n v="114607"/>
    <s v="Married"/>
    <s v="Bachelor's"/>
    <x v="0"/>
    <s v="Travel_Rarely"/>
    <n v="15"/>
    <x v="0"/>
    <x v="2"/>
    <n v="3"/>
    <n v="1"/>
    <n v="5"/>
    <n v="6"/>
    <n v="5"/>
    <n v="16"/>
    <s v="Bailey Duran DDS"/>
    <x v="0"/>
    <m/>
    <x v="1"/>
    <n v="10"/>
    <x v="0"/>
    <n v="0"/>
    <s v="6-10 Years"/>
    <n v="2"/>
    <x v="0"/>
  </r>
  <r>
    <s v="EMP1829"/>
    <s v="Kristin Williams"/>
    <x v="2"/>
    <n v="36"/>
    <x v="0"/>
    <s v="Manufacturing Technician"/>
    <d v="2016-07-22T00:00:00"/>
    <n v="116469"/>
    <s v="Married"/>
    <s v="PhD"/>
    <x v="4"/>
    <s v="Travel_Rarely"/>
    <n v="11"/>
    <x v="0"/>
    <x v="2"/>
    <n v="4"/>
    <n v="4"/>
    <n v="2"/>
    <n v="0"/>
    <n v="5"/>
    <n v="16"/>
    <s v="Drew Burke"/>
    <x v="0"/>
    <m/>
    <x v="0"/>
    <n v="10"/>
    <x v="0"/>
    <n v="0"/>
    <s v="6-10 Years"/>
    <n v="3.33"/>
    <x v="1"/>
  </r>
  <r>
    <s v="EMP1602"/>
    <s v="Jacqueline Davis"/>
    <x v="0"/>
    <n v="50"/>
    <x v="5"/>
    <s v="Marketing Executive"/>
    <d v="2014-01-06T00:00:00"/>
    <n v="98836"/>
    <s v="Single"/>
    <s v="Master's"/>
    <x v="0"/>
    <s v="Travel_Frequently"/>
    <n v="45"/>
    <x v="1"/>
    <x v="3"/>
    <n v="4"/>
    <n v="3"/>
    <n v="4"/>
    <n v="1"/>
    <n v="7"/>
    <n v="23"/>
    <s v="Luke Galvan"/>
    <x v="0"/>
    <m/>
    <x v="3"/>
    <n v="12"/>
    <x v="2"/>
    <n v="0"/>
    <s v="More than 10 Years"/>
    <n v="3.33"/>
    <x v="1"/>
  </r>
  <r>
    <s v="EMP1214"/>
    <s v="Thomas Brown"/>
    <x v="2"/>
    <n v="29"/>
    <x v="0"/>
    <s v="Manufacturing Technician"/>
    <d v="2013-07-07T00:00:00"/>
    <n v="111738"/>
    <s v="Not Specified"/>
    <s v="Master's"/>
    <x v="7"/>
    <s v="Travel_Rarely"/>
    <n v="20"/>
    <x v="0"/>
    <x v="2"/>
    <n v="2"/>
    <n v="2"/>
    <n v="3"/>
    <n v="6"/>
    <n v="7"/>
    <n v="12"/>
    <s v="Christopher Morris"/>
    <x v="0"/>
    <m/>
    <x v="1"/>
    <n v="13"/>
    <x v="0"/>
    <n v="0"/>
    <s v="More than 10 Years"/>
    <n v="2"/>
    <x v="0"/>
  </r>
  <r>
    <s v="EMP1333"/>
    <s v="Mrs. Hannah Montoya MD"/>
    <x v="2"/>
    <n v="29"/>
    <x v="2"/>
    <s v="Data Analyst"/>
    <d v="2026-06-29T00:00:00"/>
    <n v="121647"/>
    <s v="Married"/>
    <s v="Bachelor's"/>
    <x v="3"/>
    <s v="Travel_Frequently"/>
    <n v="20"/>
    <x v="0"/>
    <x v="1"/>
    <n v="1"/>
    <n v="1"/>
    <n v="1"/>
    <n v="4"/>
    <n v="2"/>
    <n v="25"/>
    <s v="Cynthia Cochran"/>
    <x v="0"/>
    <m/>
    <x v="1"/>
    <n v="0"/>
    <x v="0"/>
    <n v="0"/>
    <s v="Less than 1 Year"/>
    <n v="2"/>
    <x v="0"/>
  </r>
  <r>
    <s v="EMP1134"/>
    <s v="Patrick Moore"/>
    <x v="2"/>
    <n v="22"/>
    <x v="4"/>
    <s v="Account Manager"/>
    <d v="2017-11-07T00:00:00"/>
    <n v="105105"/>
    <s v="Divorced"/>
    <s v="PhD"/>
    <x v="3"/>
    <s v="Non-Travel"/>
    <n v="11"/>
    <x v="0"/>
    <x v="2"/>
    <n v="4"/>
    <n v="1"/>
    <n v="3"/>
    <n v="6"/>
    <n v="2"/>
    <n v="13"/>
    <s v="Jason Lynn Jr."/>
    <x v="1"/>
    <d v="2018-09-21T00:00:00"/>
    <x v="2"/>
    <n v="0"/>
    <x v="0"/>
    <n v="1"/>
    <s v="Less than 1 Year"/>
    <n v="2.33"/>
    <x v="0"/>
  </r>
  <r>
    <s v="EMP1347"/>
    <s v="Casey Perez"/>
    <x v="2"/>
    <n v="41"/>
    <x v="1"/>
    <s v="Recruiter"/>
    <d v="2021-10-22T00:00:00"/>
    <n v="47907"/>
    <s v="Divorced"/>
    <s v="Diploma"/>
    <x v="7"/>
    <s v="Non-Travel"/>
    <n v="21"/>
    <x v="0"/>
    <x v="1"/>
    <n v="3"/>
    <n v="4"/>
    <n v="3"/>
    <n v="4"/>
    <n v="2"/>
    <n v="11"/>
    <s v="Michael Montoya"/>
    <x v="0"/>
    <m/>
    <x v="0"/>
    <n v="4"/>
    <x v="1"/>
    <n v="0"/>
    <s v="4-5 Years"/>
    <n v="3.67"/>
    <x v="1"/>
  </r>
  <r>
    <s v="EMP1899"/>
    <s v="Abigail Booker"/>
    <x v="2"/>
    <n v="32"/>
    <x v="2"/>
    <s v="System Administrator"/>
    <d v="2021-06-14T00:00:00"/>
    <n v="139467"/>
    <s v="Married"/>
    <s v="Bachelor's"/>
    <x v="2"/>
    <s v="Travel_Rarely"/>
    <n v="5"/>
    <x v="0"/>
    <x v="2"/>
    <n v="4"/>
    <n v="3"/>
    <n v="3"/>
    <n v="3"/>
    <n v="1"/>
    <n v="15"/>
    <s v="Erika Dennis"/>
    <x v="0"/>
    <m/>
    <x v="1"/>
    <n v="5"/>
    <x v="0"/>
    <n v="0"/>
    <s v="4-5 Years"/>
    <n v="3"/>
    <x v="1"/>
  </r>
  <r>
    <s v="EMP1008"/>
    <s v="Maria Lynch"/>
    <x v="0"/>
    <n v="37"/>
    <x v="0"/>
    <s v="Research Scientist"/>
    <d v="2014-03-20T00:00:00"/>
    <n v="86084"/>
    <s v="Married"/>
    <s v="Bachelor's"/>
    <x v="5"/>
    <s v="Travel_Frequently"/>
    <n v="5"/>
    <x v="1"/>
    <x v="2"/>
    <n v="2"/>
    <n v="3"/>
    <n v="3"/>
    <n v="5"/>
    <n v="4"/>
    <n v="20"/>
    <s v="James Mayo"/>
    <x v="1"/>
    <d v="2023-04-17T00:00:00"/>
    <x v="0"/>
    <n v="9"/>
    <x v="2"/>
    <n v="1"/>
    <s v="6-10 Years"/>
    <n v="2.33"/>
    <x v="0"/>
  </r>
  <r>
    <s v="EMP1882"/>
    <s v="Scott Casey"/>
    <x v="0"/>
    <n v="45"/>
    <x v="2"/>
    <s v="Software Engineer"/>
    <d v="2015-12-17T00:00:00"/>
    <n v="106625"/>
    <s v="Divorced"/>
    <s v="PhD"/>
    <x v="2"/>
    <s v="Travel_Frequently"/>
    <n v="29"/>
    <x v="1"/>
    <x v="2"/>
    <n v="1"/>
    <n v="4"/>
    <n v="3"/>
    <n v="4"/>
    <n v="2"/>
    <n v="15"/>
    <s v="Scott Greene"/>
    <x v="1"/>
    <d v="2021-04-01T00:00:00"/>
    <x v="3"/>
    <n v="5"/>
    <x v="0"/>
    <n v="1"/>
    <s v="4-5 Years"/>
    <n v="2.33"/>
    <x v="0"/>
  </r>
  <r>
    <s v="EMP1321"/>
    <s v="Jessica Johnson"/>
    <x v="1"/>
    <n v="30"/>
    <x v="0"/>
    <s v="Manufacturing Technician"/>
    <d v="2020-10-28T00:00:00"/>
    <n v="82761"/>
    <s v="Not Specified"/>
    <s v="Master's"/>
    <x v="4"/>
    <s v="Travel_Frequently"/>
    <n v="28"/>
    <x v="0"/>
    <x v="3"/>
    <n v="2"/>
    <n v="3"/>
    <n v="4"/>
    <n v="6"/>
    <n v="0"/>
    <n v="22"/>
    <s v="Kevin Price"/>
    <x v="0"/>
    <m/>
    <x v="1"/>
    <n v="5"/>
    <x v="2"/>
    <n v="0"/>
    <s v="4-5 Years"/>
    <n v="2.67"/>
    <x v="0"/>
  </r>
  <r>
    <s v="EMP2066"/>
    <s v="Brandon Watkins"/>
    <x v="0"/>
    <n v="49"/>
    <x v="4"/>
    <s v="Sales Representative"/>
    <d v="2024-01-24T00:00:00"/>
    <n v="35723"/>
    <s v="Married"/>
    <s v="Bachelor's"/>
    <x v="3"/>
    <s v="Non-Travel"/>
    <n v="29"/>
    <x v="0"/>
    <x v="2"/>
    <n v="3"/>
    <n v="1"/>
    <n v="3"/>
    <n v="2"/>
    <n v="2"/>
    <n v="19"/>
    <s v="Blake Hardy"/>
    <x v="1"/>
    <d v="2026-06-27T00:00:00"/>
    <x v="3"/>
    <n v="2"/>
    <x v="1"/>
    <n v="1"/>
    <s v="1-3 Years"/>
    <n v="2"/>
    <x v="0"/>
  </r>
  <r>
    <s v="EMP1188"/>
    <s v="Ronald Horton"/>
    <x v="2"/>
    <n v="47"/>
    <x v="4"/>
    <s v="Account Manager"/>
    <d v="2013-09-25T00:00:00"/>
    <n v="44320"/>
    <s v="Single"/>
    <s v="Master's"/>
    <x v="2"/>
    <s v="Non-Travel"/>
    <n v="29"/>
    <x v="0"/>
    <x v="1"/>
    <n v="3"/>
    <n v="1"/>
    <n v="4"/>
    <n v="0"/>
    <n v="4"/>
    <n v="16"/>
    <s v="Joan Smith"/>
    <x v="0"/>
    <m/>
    <x v="3"/>
    <n v="12"/>
    <x v="1"/>
    <n v="0"/>
    <s v="More than 10 Years"/>
    <n v="2.67"/>
    <x v="0"/>
  </r>
  <r>
    <s v="EMP1635"/>
    <s v="Christina Brooks"/>
    <x v="0"/>
    <n v="35"/>
    <x v="4"/>
    <s v="Sales Manager"/>
    <d v="2022-12-19T00:00:00"/>
    <n v="45121"/>
    <s v="Single"/>
    <s v="Master's"/>
    <x v="9"/>
    <s v="Non-Travel"/>
    <n v="24"/>
    <x v="1"/>
    <x v="3"/>
    <n v="1"/>
    <n v="2"/>
    <n v="4"/>
    <n v="0"/>
    <n v="5"/>
    <n v="15"/>
    <s v="Ashley Brown"/>
    <x v="0"/>
    <m/>
    <x v="0"/>
    <n v="3"/>
    <x v="1"/>
    <n v="0"/>
    <s v="1-3 Years"/>
    <n v="2"/>
    <x v="0"/>
  </r>
  <r>
    <s v="EMP1553"/>
    <s v="Regina Mitchell"/>
    <x v="0"/>
    <n v="29"/>
    <x v="2"/>
    <s v="System Administrator"/>
    <d v="2012-03-01T00:00:00"/>
    <n v="152646"/>
    <s v="Divorced"/>
    <s v="Master's"/>
    <x v="3"/>
    <s v="Travel_Rarely"/>
    <n v="31"/>
    <x v="1"/>
    <x v="2"/>
    <n v="3"/>
    <n v="4"/>
    <n v="1"/>
    <n v="2"/>
    <n v="3"/>
    <n v="24"/>
    <s v="Crystal Jackson"/>
    <x v="1"/>
    <d v="2020-11-09T00:00:00"/>
    <x v="1"/>
    <n v="8"/>
    <x v="0"/>
    <n v="1"/>
    <s v="6-10 Years"/>
    <n v="3"/>
    <x v="1"/>
  </r>
  <r>
    <s v="EMP1305"/>
    <s v="Linda Gonzalez"/>
    <x v="2"/>
    <n v="40"/>
    <x v="2"/>
    <s v="It Support"/>
    <d v="2013-04-04T00:00:00"/>
    <n v="123722"/>
    <s v="Single"/>
    <s v="Master's"/>
    <x v="6"/>
    <s v="Travel_Rarely"/>
    <n v="19"/>
    <x v="0"/>
    <x v="1"/>
    <n v="2"/>
    <n v="4"/>
    <n v="2"/>
    <n v="5"/>
    <n v="2"/>
    <n v="21"/>
    <s v="Travis Cook"/>
    <x v="0"/>
    <m/>
    <x v="0"/>
    <n v="13"/>
    <x v="0"/>
    <n v="0"/>
    <s v="More than 10 Years"/>
    <n v="3.33"/>
    <x v="1"/>
  </r>
  <r>
    <s v="EMP1032"/>
    <s v="Brooke Yu"/>
    <x v="0"/>
    <n v="30"/>
    <x v="4"/>
    <s v="Sales Manager"/>
    <d v="2012-11-09T00:00:00"/>
    <n v="62103"/>
    <s v="Divorced"/>
    <s v="Master's"/>
    <x v="9"/>
    <s v="Non-Travel"/>
    <n v="21"/>
    <x v="0"/>
    <x v="1"/>
    <n v="3"/>
    <n v="3"/>
    <n v="3"/>
    <n v="1"/>
    <n v="0"/>
    <n v="21"/>
    <s v="Not Specified"/>
    <x v="0"/>
    <m/>
    <x v="1"/>
    <n v="13"/>
    <x v="2"/>
    <n v="0"/>
    <s v="More than 10 Years"/>
    <n v="3.33"/>
    <x v="1"/>
  </r>
  <r>
    <s v="EMP1876"/>
    <s v="Tracy Rivas"/>
    <x v="0"/>
    <n v="43"/>
    <x v="7"/>
    <s v="Operations Executive"/>
    <d v="2023-01-18T00:00:00"/>
    <n v="63638"/>
    <s v="Married"/>
    <s v="Master's"/>
    <x v="4"/>
    <s v="Travel_Rarely"/>
    <n v="5"/>
    <x v="0"/>
    <x v="1"/>
    <n v="2"/>
    <n v="2"/>
    <n v="3"/>
    <n v="6"/>
    <n v="0"/>
    <n v="14"/>
    <s v="Melissa Sparks"/>
    <x v="0"/>
    <m/>
    <x v="0"/>
    <n v="3"/>
    <x v="2"/>
    <n v="0"/>
    <s v="1-3 Years"/>
    <n v="2.67"/>
    <x v="0"/>
  </r>
  <r>
    <s v="EMP1685"/>
    <s v="Sharon Walton"/>
    <x v="2"/>
    <n v="49"/>
    <x v="1"/>
    <s v="Hr Manager"/>
    <d v="2022-03-08T00:00:00"/>
    <n v="67087"/>
    <s v="Divorced"/>
    <s v="Not Specified"/>
    <x v="5"/>
    <s v="Non-Travel"/>
    <n v="23"/>
    <x v="0"/>
    <x v="0"/>
    <n v="1"/>
    <n v="2"/>
    <n v="4"/>
    <n v="2"/>
    <n v="1"/>
    <n v="12"/>
    <s v="Andres Gutierrez"/>
    <x v="0"/>
    <m/>
    <x v="3"/>
    <n v="4"/>
    <x v="2"/>
    <n v="0"/>
    <s v="4-5 Years"/>
    <n v="1.33"/>
    <x v="2"/>
  </r>
  <r>
    <s v="EMP2088"/>
    <s v="Dr. Tara Kennedy"/>
    <x v="2"/>
    <n v="59"/>
    <x v="3"/>
    <s v="Auditor"/>
    <d v="2016-09-09T00:00:00"/>
    <n v="74606"/>
    <s v="Single"/>
    <s v="PhD"/>
    <x v="3"/>
    <s v="Travel_Rarely"/>
    <n v="44"/>
    <x v="0"/>
    <x v="0"/>
    <n v="1"/>
    <n v="3"/>
    <n v="3"/>
    <n v="0"/>
    <n v="1"/>
    <n v="23"/>
    <s v="Jacob Wu"/>
    <x v="0"/>
    <m/>
    <x v="4"/>
    <n v="9"/>
    <x v="2"/>
    <n v="0"/>
    <s v="6-10 Years"/>
    <n v="1.67"/>
    <x v="2"/>
  </r>
  <r>
    <s v="EMP1241"/>
    <s v="Regina Roberts"/>
    <x v="0"/>
    <n v="57"/>
    <x v="0"/>
    <s v="Manufacturing Technician"/>
    <d v="2015-12-15T00:00:00"/>
    <n v="48562"/>
    <s v="Married"/>
    <s v="Bachelor's"/>
    <x v="2"/>
    <s v="Travel_Rarely"/>
    <n v="9"/>
    <x v="0"/>
    <x v="3"/>
    <n v="3"/>
    <n v="3"/>
    <n v="2"/>
    <n v="1"/>
    <n v="3"/>
    <n v="24"/>
    <s v="Hannah Ramos"/>
    <x v="0"/>
    <m/>
    <x v="4"/>
    <n v="10"/>
    <x v="1"/>
    <n v="0"/>
    <s v="6-10 Years"/>
    <n v="3"/>
    <x v="1"/>
  </r>
  <r>
    <s v="EMP1068"/>
    <s v="Michael Powell"/>
    <x v="2"/>
    <n v="27"/>
    <x v="4"/>
    <s v="Sales Representative"/>
    <d v="2014-02-15T00:00:00"/>
    <n v="101744"/>
    <s v="Single"/>
    <s v="Master's"/>
    <x v="2"/>
    <s v="Travel_Rarely"/>
    <n v="14"/>
    <x v="0"/>
    <x v="1"/>
    <n v="2"/>
    <n v="2"/>
    <n v="2"/>
    <n v="4"/>
    <n v="8"/>
    <n v="13"/>
    <s v="Cameron Dean"/>
    <x v="0"/>
    <m/>
    <x v="1"/>
    <n v="12"/>
    <x v="0"/>
    <n v="0"/>
    <s v="More than 10 Years"/>
    <n v="2.67"/>
    <x v="0"/>
  </r>
  <r>
    <s v="EMP1175"/>
    <s v="Walter Hale"/>
    <x v="0"/>
    <n v="23"/>
    <x v="0"/>
    <s v="Lab Technician"/>
    <d v="2017-07-05T00:00:00"/>
    <n v="52083"/>
    <s v="Married"/>
    <s v="PhD"/>
    <x v="5"/>
    <s v="Not Specified"/>
    <n v="3"/>
    <x v="1"/>
    <x v="2"/>
    <n v="3"/>
    <n v="4"/>
    <n v="5"/>
    <n v="5"/>
    <n v="6"/>
    <n v="25"/>
    <s v="Teresa Collins"/>
    <x v="0"/>
    <m/>
    <x v="2"/>
    <n v="9"/>
    <x v="1"/>
    <n v="0"/>
    <s v="6-10 Years"/>
    <n v="3"/>
    <x v="1"/>
  </r>
  <r>
    <s v="EMP1767"/>
    <s v="Richard Nguyen"/>
    <x v="2"/>
    <n v="45"/>
    <x v="3"/>
    <s v="Financial Analyst"/>
    <d v="2013-02-15T00:00:00"/>
    <n v="115158"/>
    <s v="Not Specified"/>
    <s v="Master's"/>
    <x v="5"/>
    <s v="Travel_Frequently"/>
    <n v="28"/>
    <x v="0"/>
    <x v="3"/>
    <n v="3"/>
    <n v="3"/>
    <n v="2"/>
    <n v="3"/>
    <n v="7"/>
    <n v="22"/>
    <s v="Sheila Bennett"/>
    <x v="0"/>
    <m/>
    <x v="3"/>
    <n v="13"/>
    <x v="0"/>
    <n v="0"/>
    <s v="More than 10 Years"/>
    <n v="3"/>
    <x v="1"/>
  </r>
  <r>
    <s v="EMP2193"/>
    <s v="Matthew Perez"/>
    <x v="2"/>
    <n v="28"/>
    <x v="0"/>
    <s v="Lab Technician"/>
    <d v="2024-10-10T00:00:00"/>
    <n v="100359"/>
    <s v="Divorced"/>
    <s v="Master's"/>
    <x v="2"/>
    <s v="Travel_Rarely"/>
    <n v="19"/>
    <x v="1"/>
    <x v="0"/>
    <n v="1"/>
    <n v="1"/>
    <n v="3"/>
    <n v="0"/>
    <n v="1"/>
    <n v="16"/>
    <s v="Samantha Rodriguez"/>
    <x v="1"/>
    <d v="2025-07-02T00:00:00"/>
    <x v="1"/>
    <n v="0"/>
    <x v="0"/>
    <n v="1"/>
    <s v="Less than 1 Year"/>
    <n v="1"/>
    <x v="2"/>
  </r>
  <r>
    <s v="EMP1246"/>
    <s v="Susan Davis"/>
    <x v="2"/>
    <n v="30"/>
    <x v="0"/>
    <s v="Manufacturing Technician"/>
    <d v="2020-03-24T00:00:00"/>
    <n v="80843"/>
    <s v="Divorced"/>
    <s v="Master's"/>
    <x v="9"/>
    <s v="Non-Travel"/>
    <n v="16"/>
    <x v="0"/>
    <x v="3"/>
    <n v="1"/>
    <n v="1"/>
    <n v="4"/>
    <n v="6"/>
    <n v="1"/>
    <n v="15"/>
    <s v="Miranda Zuniga"/>
    <x v="0"/>
    <m/>
    <x v="1"/>
    <n v="6"/>
    <x v="2"/>
    <n v="0"/>
    <s v="6-10 Years"/>
    <n v="1.67"/>
    <x v="2"/>
  </r>
  <r>
    <s v="EMP1057"/>
    <s v="Courtney Gonzalez"/>
    <x v="0"/>
    <n v="37"/>
    <x v="5"/>
    <s v="Digital Marketing Specialist"/>
    <d v="2012-01-11T00:00:00"/>
    <n v="69719"/>
    <s v="Married"/>
    <s v="Master's"/>
    <x v="5"/>
    <s v="Travel_Rarely"/>
    <n v="17"/>
    <x v="0"/>
    <x v="3"/>
    <n v="3"/>
    <n v="3"/>
    <n v="3"/>
    <n v="0"/>
    <n v="7"/>
    <n v="23"/>
    <s v="John Atkinson"/>
    <x v="0"/>
    <m/>
    <x v="0"/>
    <n v="14"/>
    <x v="2"/>
    <n v="0"/>
    <s v="More than 10 Years"/>
    <n v="3"/>
    <x v="1"/>
  </r>
  <r>
    <s v="EMP1631"/>
    <s v="Patricia Anderson"/>
    <x v="2"/>
    <n v="31"/>
    <x v="4"/>
    <s v="Sales Manager"/>
    <d v="2013-09-03T00:00:00"/>
    <n v="94246"/>
    <s v="Married"/>
    <s v="Diploma"/>
    <x v="6"/>
    <s v="Not Specified"/>
    <n v="16"/>
    <x v="0"/>
    <x v="3"/>
    <n v="3"/>
    <n v="2"/>
    <n v="3"/>
    <n v="3"/>
    <n v="5"/>
    <n v="25"/>
    <s v="Katherine Pearson"/>
    <x v="0"/>
    <m/>
    <x v="1"/>
    <n v="12"/>
    <x v="2"/>
    <n v="0"/>
    <s v="More than 10 Years"/>
    <n v="2.67"/>
    <x v="0"/>
  </r>
  <r>
    <s v="EMP1584"/>
    <s v="Alyssa Alvarado"/>
    <x v="0"/>
    <n v="36"/>
    <x v="4"/>
    <s v="Sales Manager"/>
    <d v="2024-07-01T00:00:00"/>
    <n v="71077"/>
    <s v="Married"/>
    <s v="Master's"/>
    <x v="4"/>
    <s v="Travel_Frequently"/>
    <n v="14"/>
    <x v="1"/>
    <x v="2"/>
    <n v="3"/>
    <n v="3"/>
    <n v="3"/>
    <n v="4"/>
    <n v="2"/>
    <n v="25"/>
    <s v="William Fernandez"/>
    <x v="1"/>
    <d v="2025-03-15T00:00:00"/>
    <x v="0"/>
    <n v="0"/>
    <x v="2"/>
    <n v="1"/>
    <s v="Less than 1 Year"/>
    <n v="2.67"/>
    <x v="0"/>
  </r>
  <r>
    <s v="EMP2047"/>
    <s v="Joseph Myers"/>
    <x v="2"/>
    <n v="38"/>
    <x v="0"/>
    <s v="Manufacturing Technician"/>
    <d v="2012-10-26T00:00:00"/>
    <n v="96056"/>
    <s v="Divorced"/>
    <s v="Master's"/>
    <x v="8"/>
    <s v="Travel_Rarely"/>
    <n v="14"/>
    <x v="0"/>
    <x v="0"/>
    <n v="3"/>
    <n v="4"/>
    <n v="1"/>
    <n v="3"/>
    <n v="4"/>
    <n v="24"/>
    <s v="Megan Hernandez"/>
    <x v="0"/>
    <m/>
    <x v="0"/>
    <n v="13"/>
    <x v="2"/>
    <n v="0"/>
    <s v="More than 10 Years"/>
    <n v="2.67"/>
    <x v="0"/>
  </r>
  <r>
    <s v="EMP1146"/>
    <s v="Cindy Hayes"/>
    <x v="0"/>
    <n v="43"/>
    <x v="4"/>
    <s v="Sales Representative"/>
    <d v="2015-01-27T00:00:00"/>
    <n v="80214"/>
    <s v="Single"/>
    <s v="Master's"/>
    <x v="6"/>
    <s v="Non-Travel"/>
    <n v="38"/>
    <x v="1"/>
    <x v="3"/>
    <n v="1"/>
    <n v="2"/>
    <n v="1"/>
    <n v="2"/>
    <n v="3"/>
    <n v="18"/>
    <s v="Jason Davis"/>
    <x v="1"/>
    <d v="2019-01-01T00:00:00"/>
    <x v="0"/>
    <n v="3"/>
    <x v="2"/>
    <n v="1"/>
    <s v="1-3 Years"/>
    <n v="2"/>
    <x v="0"/>
  </r>
  <r>
    <s v="EMP1091"/>
    <s v="Courtney Mills"/>
    <x v="0"/>
    <n v="35"/>
    <x v="2"/>
    <s v="Not Specified"/>
    <d v="2018-05-20T00:00:00"/>
    <n v="104837"/>
    <s v="Single"/>
    <s v="Master's"/>
    <x v="3"/>
    <s v="Travel_Frequently"/>
    <n v="29"/>
    <x v="0"/>
    <x v="3"/>
    <n v="1"/>
    <n v="1"/>
    <n v="3"/>
    <n v="6"/>
    <n v="2"/>
    <n v="18"/>
    <s v="Wanda Torres"/>
    <x v="1"/>
    <d v="2022-01-18T00:00:00"/>
    <x v="0"/>
    <n v="3"/>
    <x v="0"/>
    <n v="1"/>
    <s v="1-3 Years"/>
    <n v="1.67"/>
    <x v="2"/>
  </r>
  <r>
    <s v="EMP2199"/>
    <s v="Kenneth Moyer"/>
    <x v="0"/>
    <n v="34"/>
    <x v="1"/>
    <s v="Hr Business Partner"/>
    <d v="2015-10-26T00:00:00"/>
    <n v="80380"/>
    <s v="Married"/>
    <s v="Bachelor's"/>
    <x v="5"/>
    <s v="Non-Travel"/>
    <n v="11"/>
    <x v="0"/>
    <x v="3"/>
    <n v="2"/>
    <n v="4"/>
    <n v="5"/>
    <n v="0"/>
    <n v="5"/>
    <n v="18"/>
    <s v="Zachary White"/>
    <x v="0"/>
    <m/>
    <x v="1"/>
    <n v="10"/>
    <x v="2"/>
    <n v="0"/>
    <s v="6-10 Years"/>
    <n v="3"/>
    <x v="1"/>
  </r>
  <r>
    <s v="EMP1393"/>
    <s v="Melissa Sloan"/>
    <x v="2"/>
    <n v="51"/>
    <x v="6"/>
    <s v="Devops Engineer"/>
    <d v="2012-01-31T00:00:00"/>
    <n v="135222"/>
    <s v="Divorced"/>
    <s v="Master's"/>
    <x v="5"/>
    <s v="Non-Travel"/>
    <n v="43"/>
    <x v="0"/>
    <x v="2"/>
    <n v="3"/>
    <n v="2"/>
    <n v="1"/>
    <n v="6"/>
    <n v="6"/>
    <n v="25"/>
    <s v="Theresa Elliott"/>
    <x v="0"/>
    <m/>
    <x v="3"/>
    <n v="14"/>
    <x v="0"/>
    <n v="0"/>
    <s v="More than 10 Years"/>
    <n v="2.33"/>
    <x v="0"/>
  </r>
  <r>
    <s v="EMP1893"/>
    <s v="Andrew Green"/>
    <x v="0"/>
    <n v="27"/>
    <x v="4"/>
    <s v="Sales Manager"/>
    <d v="2022-03-12T00:00:00"/>
    <n v="87769"/>
    <s v="Married"/>
    <s v="Not Specified"/>
    <x v="0"/>
    <s v="Non-Travel"/>
    <n v="5"/>
    <x v="1"/>
    <x v="0"/>
    <n v="1"/>
    <n v="3"/>
    <n v="4"/>
    <n v="1"/>
    <n v="0"/>
    <n v="11"/>
    <s v="Tammy Williams MD"/>
    <x v="1"/>
    <d v="2024-02-22T00:00:00"/>
    <x v="1"/>
    <n v="1"/>
    <x v="2"/>
    <n v="1"/>
    <s v="1-3 Years"/>
    <n v="1.67"/>
    <x v="2"/>
  </r>
  <r>
    <s v="EMP1683"/>
    <s v="Christine Jennings"/>
    <x v="0"/>
    <n v="29"/>
    <x v="4"/>
    <s v="Sales Manager"/>
    <d v="2023-08-04T00:00:00"/>
    <n v="86196"/>
    <s v="Single"/>
    <s v="Master's"/>
    <x v="8"/>
    <s v="Travel_Rarely"/>
    <n v="23"/>
    <x v="0"/>
    <x v="2"/>
    <n v="4"/>
    <n v="2"/>
    <n v="4"/>
    <n v="2"/>
    <n v="7"/>
    <n v="18"/>
    <s v="Heather Montes"/>
    <x v="0"/>
    <m/>
    <x v="1"/>
    <n v="3"/>
    <x v="2"/>
    <n v="0"/>
    <s v="1-3 Years"/>
    <n v="2.67"/>
    <x v="0"/>
  </r>
  <r>
    <s v="EMP1311"/>
    <s v="Jennifer Porter"/>
    <x v="2"/>
    <n v="35"/>
    <x v="0"/>
    <s v="Research Scientist"/>
    <d v="2021-02-10T00:00:00"/>
    <n v="69267"/>
    <s v="Divorced"/>
    <s v="Master's"/>
    <x v="9"/>
    <s v="Travel_Rarely"/>
    <n v="38"/>
    <x v="0"/>
    <x v="0"/>
    <n v="4"/>
    <n v="2"/>
    <n v="4"/>
    <n v="6"/>
    <n v="6"/>
    <n v="20"/>
    <s v="Michelle Mccormick"/>
    <x v="1"/>
    <d v="2022-06-15T00:00:00"/>
    <x v="0"/>
    <n v="1"/>
    <x v="2"/>
    <n v="1"/>
    <s v="1-3 Years"/>
    <n v="2.33"/>
    <x v="0"/>
  </r>
  <r>
    <s v="EMP1360"/>
    <s v="Monica Mathis"/>
    <x v="0"/>
    <n v="36"/>
    <x v="0"/>
    <s v="Research Director"/>
    <d v="2012-07-11T00:00:00"/>
    <n v="55367"/>
    <s v="Divorced"/>
    <s v="Master's"/>
    <x v="6"/>
    <s v="Travel_Frequently"/>
    <n v="28"/>
    <x v="1"/>
    <x v="1"/>
    <n v="4"/>
    <n v="1"/>
    <n v="4"/>
    <n v="3"/>
    <n v="0"/>
    <n v="17"/>
    <s v="Jesse Lynch"/>
    <x v="1"/>
    <d v="2013-09-29T00:00:00"/>
    <x v="0"/>
    <n v="1"/>
    <x v="1"/>
    <n v="1"/>
    <s v="1-3 Years"/>
    <n v="3"/>
    <x v="1"/>
  </r>
  <r>
    <s v="EMP1094"/>
    <s v="Michele Gibson"/>
    <x v="2"/>
    <n v="36"/>
    <x v="5"/>
    <s v="Digital Marketing Specialist"/>
    <d v="2021-12-01T00:00:00"/>
    <n v="69003"/>
    <s v="Single"/>
    <s v="PhD"/>
    <x v="6"/>
    <s v="Travel_Frequently"/>
    <n v="12"/>
    <x v="1"/>
    <x v="3"/>
    <n v="1"/>
    <n v="1"/>
    <n v="3"/>
    <n v="2"/>
    <n v="6"/>
    <n v="22"/>
    <s v="Rachel Weber"/>
    <x v="0"/>
    <m/>
    <x v="0"/>
    <n v="4"/>
    <x v="2"/>
    <n v="0"/>
    <s v="4-5 Years"/>
    <n v="1.67"/>
    <x v="2"/>
  </r>
  <r>
    <s v="EMP2112"/>
    <s v="Paul Carpenter"/>
    <x v="0"/>
    <n v="27"/>
    <x v="3"/>
    <s v="Financial Analyst"/>
    <d v="2023-09-03T00:00:00"/>
    <n v="115727"/>
    <s v="Single"/>
    <s v="Master's"/>
    <x v="8"/>
    <s v="Travel_Rarely"/>
    <n v="28"/>
    <x v="1"/>
    <x v="2"/>
    <n v="4"/>
    <n v="3"/>
    <n v="4"/>
    <n v="3"/>
    <n v="4"/>
    <n v="22"/>
    <s v="Judith Martin"/>
    <x v="1"/>
    <d v="2026-03-19T00:00:00"/>
    <x v="1"/>
    <n v="2"/>
    <x v="0"/>
    <n v="1"/>
    <s v="1-3 Years"/>
    <n v="3"/>
    <x v="1"/>
  </r>
  <r>
    <s v="EMP2046"/>
    <s v="Brenda Hoover"/>
    <x v="2"/>
    <n v="23"/>
    <x v="5"/>
    <s v="Brand Manager"/>
    <d v="2024-03-20T00:00:00"/>
    <n v="90591"/>
    <s v="Divorced"/>
    <s v="High School"/>
    <x v="2"/>
    <s v="Travel_Rarely"/>
    <n v="8"/>
    <x v="0"/>
    <x v="3"/>
    <n v="2"/>
    <n v="3"/>
    <n v="3"/>
    <n v="0"/>
    <n v="6"/>
    <n v="13"/>
    <s v="Albert Garcia"/>
    <x v="0"/>
    <m/>
    <x v="2"/>
    <n v="2"/>
    <x v="2"/>
    <n v="0"/>
    <s v="1-3 Years"/>
    <n v="2.67"/>
    <x v="0"/>
  </r>
  <r>
    <s v="EMP1377"/>
    <s v="Dale Chan"/>
    <x v="2"/>
    <n v="38"/>
    <x v="2"/>
    <s v="Software Engineer"/>
    <d v="2020-05-21T00:00:00"/>
    <n v="125687"/>
    <s v="Married"/>
    <s v="Bachelor's"/>
    <x v="7"/>
    <s v="Not Specified"/>
    <n v="22"/>
    <x v="0"/>
    <x v="1"/>
    <n v="4"/>
    <n v="1"/>
    <n v="2"/>
    <n v="3"/>
    <n v="4"/>
    <n v="20"/>
    <s v="Christopher Owens"/>
    <x v="0"/>
    <m/>
    <x v="0"/>
    <n v="6"/>
    <x v="0"/>
    <n v="0"/>
    <s v="6-10 Years"/>
    <n v="3"/>
    <x v="1"/>
  </r>
  <r>
    <s v="EMP1244"/>
    <s v="Mitchell Garcia"/>
    <x v="0"/>
    <n v="37"/>
    <x v="1"/>
    <s v="Recruiter"/>
    <d v="2023-02-28T00:00:00"/>
    <n v="65380"/>
    <s v="Divorced"/>
    <s v="Master's"/>
    <x v="2"/>
    <s v="Non-Travel"/>
    <n v="27"/>
    <x v="0"/>
    <x v="3"/>
    <n v="1"/>
    <n v="3"/>
    <n v="5"/>
    <n v="0"/>
    <n v="6"/>
    <n v="18"/>
    <s v="Joshua Hickman"/>
    <x v="0"/>
    <m/>
    <x v="0"/>
    <n v="3"/>
    <x v="2"/>
    <n v="0"/>
    <s v="1-3 Years"/>
    <n v="2.33"/>
    <x v="0"/>
  </r>
  <r>
    <s v="EMP2099"/>
    <s v="Barbara Taylor"/>
    <x v="2"/>
    <n v="32"/>
    <x v="7"/>
    <s v="Supply Chain Analyst"/>
    <d v="2019-08-21T00:00:00"/>
    <n v="94963"/>
    <s v="Divorced"/>
    <s v="Diploma"/>
    <x v="9"/>
    <s v="Non-Travel"/>
    <n v="9"/>
    <x v="0"/>
    <x v="0"/>
    <n v="3"/>
    <n v="2"/>
    <n v="2"/>
    <n v="6"/>
    <n v="4"/>
    <n v="23"/>
    <s v="Ann Holt"/>
    <x v="0"/>
    <m/>
    <x v="1"/>
    <n v="7"/>
    <x v="2"/>
    <n v="0"/>
    <s v="6-10 Years"/>
    <n v="2"/>
    <x v="0"/>
  </r>
  <r>
    <s v="EMP1088"/>
    <s v="Sean Henry"/>
    <x v="2"/>
    <n v="20"/>
    <x v="0"/>
    <s v="Manufacturing Technician"/>
    <d v="2024-09-06T00:00:00"/>
    <n v="107950"/>
    <s v="Married"/>
    <s v="Master's"/>
    <x v="9"/>
    <s v="Travel_Rarely"/>
    <n v="18"/>
    <x v="1"/>
    <x v="3"/>
    <n v="2"/>
    <n v="2"/>
    <n v="4"/>
    <n v="1"/>
    <n v="2"/>
    <n v="20"/>
    <s v="Jeremiah Lopez"/>
    <x v="1"/>
    <d v="2025-10-26T00:00:00"/>
    <x v="2"/>
    <n v="1"/>
    <x v="0"/>
    <n v="1"/>
    <s v="1-3 Years"/>
    <n v="2.33"/>
    <x v="0"/>
  </r>
  <r>
    <s v="EMP1215"/>
    <s v="Hannah Everett"/>
    <x v="0"/>
    <n v="19"/>
    <x v="2"/>
    <s v="Data Analyst"/>
    <d v="2025-01-05T00:00:00"/>
    <n v="80835"/>
    <s v="Married"/>
    <s v="Diploma"/>
    <x v="6"/>
    <s v="Travel_Rarely"/>
    <n v="26"/>
    <x v="1"/>
    <x v="2"/>
    <n v="3"/>
    <n v="4"/>
    <n v="1"/>
    <n v="3"/>
    <n v="4"/>
    <n v="21"/>
    <s v="Mark Pierce"/>
    <x v="1"/>
    <d v="2026-05-30T00:00:00"/>
    <x v="2"/>
    <n v="1"/>
    <x v="2"/>
    <n v="1"/>
    <s v="1-3 Years"/>
    <n v="3"/>
    <x v="1"/>
  </r>
  <r>
    <s v="EMP1445"/>
    <s v="Sharon James"/>
    <x v="2"/>
    <n v="35"/>
    <x v="5"/>
    <s v="Marketing Executive"/>
    <d v="2016-02-11T00:00:00"/>
    <n v="82866"/>
    <s v="Single"/>
    <s v="Bachelor's"/>
    <x v="5"/>
    <s v="Travel_Rarely"/>
    <n v="12"/>
    <x v="0"/>
    <x v="1"/>
    <n v="2"/>
    <n v="3"/>
    <n v="2"/>
    <n v="3"/>
    <n v="7"/>
    <n v="15"/>
    <s v="Scott Taylor"/>
    <x v="0"/>
    <m/>
    <x v="0"/>
    <n v="10"/>
    <x v="2"/>
    <n v="0"/>
    <s v="6-10 Years"/>
    <n v="3"/>
    <x v="1"/>
  </r>
  <r>
    <s v="EMP1174"/>
    <s v="Mary Escobar"/>
    <x v="0"/>
    <n v="34"/>
    <x v="0"/>
    <s v="Research Scientist"/>
    <d v="2024-09-09T00:00:00"/>
    <n v="80720"/>
    <s v="Married"/>
    <s v="Bachelor's"/>
    <x v="7"/>
    <s v="Travel_Rarely"/>
    <n v="35"/>
    <x v="0"/>
    <x v="3"/>
    <n v="1"/>
    <n v="3"/>
    <n v="4"/>
    <n v="6"/>
    <n v="2"/>
    <n v="16"/>
    <s v="Kevin Thomas"/>
    <x v="0"/>
    <m/>
    <x v="1"/>
    <n v="1"/>
    <x v="2"/>
    <n v="0"/>
    <s v="1-3 Years"/>
    <n v="2.33"/>
    <x v="0"/>
  </r>
  <r>
    <s v="EMP1426"/>
    <s v="Matthew Lopez"/>
    <x v="2"/>
    <n v="42"/>
    <x v="3"/>
    <s v="Auditor"/>
    <d v="2014-10-25T00:00:00"/>
    <n v="54779"/>
    <s v="Single"/>
    <s v="Master's"/>
    <x v="2"/>
    <s v="Travel_Frequently"/>
    <n v="21"/>
    <x v="0"/>
    <x v="1"/>
    <n v="2"/>
    <n v="4"/>
    <n v="4"/>
    <n v="1"/>
    <n v="2"/>
    <n v="13"/>
    <s v="Natalie Malone"/>
    <x v="0"/>
    <m/>
    <x v="0"/>
    <n v="11"/>
    <x v="1"/>
    <n v="0"/>
    <s v="More than 10 Years"/>
    <n v="3.33"/>
    <x v="1"/>
  </r>
  <r>
    <s v="EMP2062"/>
    <s v="Donald Schneider"/>
    <x v="0"/>
    <n v="42"/>
    <x v="2"/>
    <s v="Software Engineer"/>
    <d v="2023-01-03T00:00:00"/>
    <n v="142115"/>
    <s v="Divorced"/>
    <s v="Not Specified"/>
    <x v="0"/>
    <s v="Travel_Frequently"/>
    <n v="38"/>
    <x v="0"/>
    <x v="3"/>
    <n v="1"/>
    <n v="3"/>
    <n v="2"/>
    <n v="3"/>
    <n v="6"/>
    <n v="20"/>
    <s v="Vanessa Wong"/>
    <x v="0"/>
    <m/>
    <x v="0"/>
    <n v="3"/>
    <x v="0"/>
    <n v="0"/>
    <s v="1-3 Years"/>
    <n v="2.33"/>
    <x v="0"/>
  </r>
  <r>
    <s v="EMP1119"/>
    <s v="Cynthia Durham"/>
    <x v="0"/>
    <n v="33"/>
    <x v="0"/>
    <s v="Research Scientist"/>
    <d v="2013-10-18T00:00:00"/>
    <n v="110741"/>
    <s v="Married"/>
    <s v="Master's"/>
    <x v="4"/>
    <s v="Non-Travel"/>
    <n v="1"/>
    <x v="0"/>
    <x v="1"/>
    <n v="4"/>
    <n v="3"/>
    <n v="5"/>
    <n v="6"/>
    <n v="0"/>
    <n v="19"/>
    <s v="David Scott"/>
    <x v="0"/>
    <m/>
    <x v="1"/>
    <n v="12"/>
    <x v="0"/>
    <n v="0"/>
    <s v="More than 10 Years"/>
    <n v="3.67"/>
    <x v="1"/>
  </r>
  <r>
    <s v="EMP1120"/>
    <s v="Robert Santana"/>
    <x v="2"/>
    <n v="44"/>
    <x v="3"/>
    <s v="Finance Manager"/>
    <d v="2021-10-09T00:00:00"/>
    <n v="55195"/>
    <s v="Divorced"/>
    <s v="High School"/>
    <x v="1"/>
    <s v="Travel_Rarely"/>
    <n v="4"/>
    <x v="0"/>
    <x v="1"/>
    <n v="1"/>
    <n v="2"/>
    <n v="2"/>
    <n v="2"/>
    <n v="2"/>
    <n v="22"/>
    <s v="Jeremy Reed"/>
    <x v="0"/>
    <m/>
    <x v="0"/>
    <n v="4"/>
    <x v="1"/>
    <n v="0"/>
    <s v="4-5 Years"/>
    <n v="2.33"/>
    <x v="0"/>
  </r>
  <r>
    <s v="EMP2095"/>
    <s v="Joseph Armstrong"/>
    <x v="2"/>
    <n v="34"/>
    <x v="1"/>
    <s v="Recruiter"/>
    <d v="2024-06-11T00:00:00"/>
    <n v="74274"/>
    <s v="Divorced"/>
    <s v="Diploma"/>
    <x v="6"/>
    <s v="Travel_Frequently"/>
    <n v="44"/>
    <x v="0"/>
    <x v="0"/>
    <n v="4"/>
    <n v="4"/>
    <n v="3"/>
    <n v="3"/>
    <n v="2"/>
    <n v="15"/>
    <s v="Bethany Robles"/>
    <x v="0"/>
    <m/>
    <x v="1"/>
    <n v="2"/>
    <x v="2"/>
    <n v="0"/>
    <s v="1-3 Years"/>
    <n v="3"/>
    <x v="1"/>
  </r>
  <r>
    <s v="EMP1001"/>
    <s v="Allison Hill"/>
    <x v="1"/>
    <n v="39"/>
    <x v="4"/>
    <s v="Sales Representative"/>
    <d v="2014-12-29T00:00:00"/>
    <n v="90246"/>
    <s v="Single"/>
    <s v="Bachelor's"/>
    <x v="2"/>
    <s v="Travel_Frequently"/>
    <n v="3"/>
    <x v="1"/>
    <x v="2"/>
    <n v="1"/>
    <n v="4"/>
    <n v="4"/>
    <n v="0"/>
    <n v="8"/>
    <n v="14"/>
    <s v="Stephanie Miller"/>
    <x v="1"/>
    <d v="2023-08-03T00:00:00"/>
    <x v="0"/>
    <n v="8"/>
    <x v="2"/>
    <n v="1"/>
    <s v="6-10 Years"/>
    <n v="2.33"/>
    <x v="0"/>
  </r>
  <r>
    <s v="EMP1395"/>
    <s v="Daniel Fox"/>
    <x v="2"/>
    <n v="47"/>
    <x v="5"/>
    <s v="Brand Manager"/>
    <d v="2011-09-03T00:00:00"/>
    <n v="47868"/>
    <s v="Married"/>
    <s v="Bachelor's"/>
    <x v="2"/>
    <s v="Travel_Rarely"/>
    <n v="2"/>
    <x v="1"/>
    <x v="1"/>
    <n v="3"/>
    <n v="2"/>
    <n v="3"/>
    <n v="0"/>
    <n v="1"/>
    <n v="23"/>
    <s v="Carlos Love"/>
    <x v="1"/>
    <d v="2025-06-07T00:00:00"/>
    <x v="3"/>
    <n v="13"/>
    <x v="1"/>
    <n v="1"/>
    <s v="More than 10 Years"/>
    <n v="3"/>
    <x v="1"/>
  </r>
  <r>
    <s v="EMP1402"/>
    <s v="Brenda Mcgee"/>
    <x v="1"/>
    <n v="30"/>
    <x v="4"/>
    <s v="Sales Representative"/>
    <d v="2015-03-19T00:00:00"/>
    <n v="106532"/>
    <s v="Divorced"/>
    <s v="Master's"/>
    <x v="5"/>
    <s v="Travel_Rarely"/>
    <n v="6"/>
    <x v="0"/>
    <x v="3"/>
    <n v="1"/>
    <n v="1"/>
    <n v="4"/>
    <n v="3"/>
    <n v="1"/>
    <n v="18"/>
    <s v="Mrs. Stacey Davis"/>
    <x v="0"/>
    <m/>
    <x v="1"/>
    <n v="11"/>
    <x v="0"/>
    <n v="0"/>
    <s v="More than 10 Years"/>
    <n v="1.67"/>
    <x v="2"/>
  </r>
  <r>
    <s v="EMP1405"/>
    <s v="James Payne Jr."/>
    <x v="2"/>
    <n v="35"/>
    <x v="0"/>
    <s v="Manufacturing Technician"/>
    <d v="2018-10-25T00:00:00"/>
    <n v="61241"/>
    <s v="Married"/>
    <s v="Bachelor's"/>
    <x v="2"/>
    <s v="Travel_Frequently"/>
    <n v="41"/>
    <x v="0"/>
    <x v="2"/>
    <n v="1"/>
    <n v="4"/>
    <n v="3"/>
    <n v="1"/>
    <n v="3"/>
    <n v="19"/>
    <s v="Marilyn Mcdaniel"/>
    <x v="0"/>
    <m/>
    <x v="0"/>
    <n v="7"/>
    <x v="2"/>
    <n v="0"/>
    <s v="6-10 Years"/>
    <n v="2.33"/>
    <x v="0"/>
  </r>
  <r>
    <s v="EMP1880"/>
    <s v="Jeffrey Green"/>
    <x v="0"/>
    <n v="36"/>
    <x v="0"/>
    <s v="Manufacturing Technician"/>
    <d v="2012-12-28T00:00:00"/>
    <n v="76844"/>
    <s v="Divorced"/>
    <s v="High School"/>
    <x v="3"/>
    <s v="Travel_Frequently"/>
    <n v="3"/>
    <x v="0"/>
    <x v="2"/>
    <n v="2"/>
    <n v="3"/>
    <n v="3"/>
    <n v="5"/>
    <n v="0"/>
    <n v="25"/>
    <s v="Travis Wilson"/>
    <x v="0"/>
    <m/>
    <x v="0"/>
    <n v="13"/>
    <x v="2"/>
    <n v="0"/>
    <s v="More than 10 Years"/>
    <n v="2.33"/>
    <x v="0"/>
  </r>
  <r>
    <s v="EMP1891"/>
    <s v="Pam Baker"/>
    <x v="2"/>
    <n v="29"/>
    <x v="4"/>
    <s v="Account Manager"/>
    <d v="2016-05-01T00:00:00"/>
    <n v="79634"/>
    <s v="Single"/>
    <s v="High School"/>
    <x v="4"/>
    <s v="Travel_Frequently"/>
    <n v="23"/>
    <x v="1"/>
    <x v="3"/>
    <n v="1"/>
    <n v="1"/>
    <n v="3"/>
    <n v="1"/>
    <n v="1"/>
    <n v="19"/>
    <s v="Emily Vang"/>
    <x v="0"/>
    <m/>
    <x v="1"/>
    <n v="10"/>
    <x v="2"/>
    <n v="0"/>
    <s v="6-10 Years"/>
    <n v="1.67"/>
    <x v="2"/>
  </r>
  <r>
    <s v="EMP1163"/>
    <s v="Jennifer Collins"/>
    <x v="2"/>
    <n v="21"/>
    <x v="3"/>
    <s v="Finance Manager"/>
    <d v="2016-09-23T00:00:00"/>
    <n v="60168"/>
    <s v="Divorced"/>
    <s v="Master's"/>
    <x v="9"/>
    <s v="Travel_Rarely"/>
    <n v="24"/>
    <x v="0"/>
    <x v="1"/>
    <n v="4"/>
    <n v="1"/>
    <n v="4"/>
    <n v="1"/>
    <n v="0"/>
    <n v="13"/>
    <s v="Christopher Dixon"/>
    <x v="0"/>
    <m/>
    <x v="2"/>
    <n v="9"/>
    <x v="2"/>
    <n v="0"/>
    <s v="6-10 Years"/>
    <n v="3"/>
    <x v="1"/>
  </r>
  <r>
    <s v="EMP1115"/>
    <s v="Shannon James"/>
    <x v="2"/>
    <n v="42"/>
    <x v="3"/>
    <s v="Financial Analyst"/>
    <d v="2016-05-21T00:00:00"/>
    <n v="75605"/>
    <s v="Married"/>
    <s v="Bachelor's"/>
    <x v="0"/>
    <s v="Non-Travel"/>
    <n v="40"/>
    <x v="0"/>
    <x v="1"/>
    <n v="3"/>
    <n v="3"/>
    <n v="3"/>
    <n v="2"/>
    <n v="7"/>
    <n v="20"/>
    <s v="Olivia Brennan"/>
    <x v="0"/>
    <m/>
    <x v="0"/>
    <n v="10"/>
    <x v="2"/>
    <n v="0"/>
    <s v="6-10 Years"/>
    <n v="3.33"/>
    <x v="1"/>
  </r>
  <r>
    <s v="EMP1671"/>
    <s v="Christopher Powers"/>
    <x v="2"/>
    <n v="26"/>
    <x v="4"/>
    <s v="Sales Executive"/>
    <d v="2020-10-11T00:00:00"/>
    <n v="92193"/>
    <s v="Married"/>
    <s v="Diploma"/>
    <x v="4"/>
    <s v="Non-Travel"/>
    <n v="20"/>
    <x v="0"/>
    <x v="1"/>
    <n v="3"/>
    <n v="2"/>
    <n v="1"/>
    <n v="4"/>
    <n v="2"/>
    <n v="17"/>
    <s v="Linda Cobb"/>
    <x v="0"/>
    <m/>
    <x v="1"/>
    <n v="5"/>
    <x v="2"/>
    <n v="0"/>
    <s v="4-5 Years"/>
    <n v="3"/>
    <x v="1"/>
  </r>
  <r>
    <s v="EMP1151"/>
    <s v="Holly Farmer"/>
    <x v="2"/>
    <n v="43"/>
    <x v="0"/>
    <s v="Research Scientist"/>
    <d v="2020-03-24T00:00:00"/>
    <n v="100139"/>
    <s v="Not Specified"/>
    <s v="High School"/>
    <x v="9"/>
    <s v="Travel_Rarely"/>
    <n v="3"/>
    <x v="0"/>
    <x v="3"/>
    <n v="4"/>
    <n v="1"/>
    <n v="3"/>
    <n v="0"/>
    <n v="3"/>
    <n v="23"/>
    <s v="Sarah Villegas"/>
    <x v="0"/>
    <m/>
    <x v="0"/>
    <n v="6"/>
    <x v="0"/>
    <n v="0"/>
    <s v="6-10 Years"/>
    <n v="2.67"/>
    <x v="0"/>
  </r>
  <r>
    <s v="EMP1842"/>
    <s v="Michael Keller"/>
    <x v="1"/>
    <n v="39"/>
    <x v="5"/>
    <s v="Digital Marketing Specialist"/>
    <d v="2021-11-20T00:00:00"/>
    <n v="88377"/>
    <s v="Divorced"/>
    <s v="Bachelor's"/>
    <x v="8"/>
    <s v="Travel_Frequently"/>
    <n v="44"/>
    <x v="0"/>
    <x v="0"/>
    <n v="2"/>
    <n v="2"/>
    <n v="3"/>
    <n v="6"/>
    <n v="7"/>
    <n v="12"/>
    <s v="Karen Dickerson"/>
    <x v="0"/>
    <m/>
    <x v="0"/>
    <n v="4"/>
    <x v="2"/>
    <n v="0"/>
    <s v="4-5 Years"/>
    <n v="1.67"/>
    <x v="2"/>
  </r>
  <r>
    <s v="EMP1981"/>
    <s v="Jill Walker"/>
    <x v="2"/>
    <n v="39"/>
    <x v="0"/>
    <s v="Lab Technician"/>
    <d v="2011-12-16T00:00:00"/>
    <n v="69208"/>
    <s v="Divorced"/>
    <s v="Bachelor's"/>
    <x v="10"/>
    <s v="Non-Travel"/>
    <n v="18"/>
    <x v="1"/>
    <x v="3"/>
    <n v="1"/>
    <n v="4"/>
    <n v="3"/>
    <n v="5"/>
    <n v="6"/>
    <n v="23"/>
    <s v="Thomas Howard"/>
    <x v="0"/>
    <m/>
    <x v="0"/>
    <n v="14"/>
    <x v="2"/>
    <n v="0"/>
    <s v="More than 10 Years"/>
    <n v="2.67"/>
    <x v="0"/>
  </r>
  <r>
    <s v="EMP1562"/>
    <s v="Not Specified"/>
    <x v="0"/>
    <n v="37"/>
    <x v="2"/>
    <s v="Devops Engineer"/>
    <d v="2025-01-02T00:00:00"/>
    <n v="128922"/>
    <s v="Single"/>
    <s v="Bachelor's"/>
    <x v="6"/>
    <s v="Non-Travel"/>
    <n v="8"/>
    <x v="0"/>
    <x v="0"/>
    <n v="2"/>
    <n v="4"/>
    <n v="4"/>
    <n v="6"/>
    <n v="3"/>
    <n v="18"/>
    <s v="Melanie Browning"/>
    <x v="1"/>
    <d v="2025-06-14T00:00:00"/>
    <x v="0"/>
    <n v="0"/>
    <x v="0"/>
    <n v="1"/>
    <s v="Less than 1 Year"/>
    <n v="2.33"/>
    <x v="0"/>
  </r>
  <r>
    <s v="EMP1369"/>
    <s v="John Campbell"/>
    <x v="0"/>
    <n v="37"/>
    <x v="4"/>
    <s v="Sales Representative"/>
    <d v="2024-04-07T00:00:00"/>
    <n v="77598"/>
    <s v="Married"/>
    <s v="Master's"/>
    <x v="8"/>
    <s v="Travel_Rarely"/>
    <n v="2"/>
    <x v="1"/>
    <x v="1"/>
    <n v="3"/>
    <n v="3"/>
    <n v="3"/>
    <n v="4"/>
    <n v="3"/>
    <n v="16"/>
    <s v="Juan Smith"/>
    <x v="0"/>
    <m/>
    <x v="0"/>
    <n v="2"/>
    <x v="2"/>
    <n v="0"/>
    <s v="1-3 Years"/>
    <n v="3.33"/>
    <x v="1"/>
  </r>
  <r>
    <s v="EMP1544"/>
    <s v="Diane Mcdowell"/>
    <x v="0"/>
    <n v="36"/>
    <x v="0"/>
    <s v="Research Scientist"/>
    <d v="2017-10-04T00:00:00"/>
    <n v="124536"/>
    <s v="Married"/>
    <s v="Bachelor's"/>
    <x v="8"/>
    <s v="Travel_Frequently"/>
    <n v="12"/>
    <x v="0"/>
    <x v="0"/>
    <n v="3"/>
    <n v="2"/>
    <n v="3"/>
    <n v="6"/>
    <n v="2"/>
    <n v="18"/>
    <s v="Michael Clarke"/>
    <x v="0"/>
    <m/>
    <x v="0"/>
    <n v="8"/>
    <x v="0"/>
    <n v="0"/>
    <s v="6-10 Years"/>
    <n v="2"/>
    <x v="0"/>
  </r>
  <r>
    <s v="EMP1478"/>
    <s v="Ronald Brandt"/>
    <x v="2"/>
    <n v="38"/>
    <x v="0"/>
    <s v="Lab Technician"/>
    <d v="2016-01-08T00:00:00"/>
    <n v="48965"/>
    <s v="Divorced"/>
    <s v="Master's"/>
    <x v="7"/>
    <s v="Travel_Rarely"/>
    <n v="45"/>
    <x v="0"/>
    <x v="2"/>
    <n v="3"/>
    <n v="4"/>
    <n v="1"/>
    <n v="1"/>
    <n v="2"/>
    <n v="14"/>
    <s v="Michaela Williams"/>
    <x v="0"/>
    <m/>
    <x v="0"/>
    <n v="10"/>
    <x v="1"/>
    <n v="0"/>
    <s v="6-10 Years"/>
    <n v="3"/>
    <x v="1"/>
  </r>
  <r>
    <s v="EMP2151"/>
    <s v="Charlotte Gomez"/>
    <x v="2"/>
    <n v="46"/>
    <x v="5"/>
    <s v="Marketing Executive"/>
    <d v="2013-03-05T00:00:00"/>
    <n v="53023"/>
    <s v="Married"/>
    <s v="Bachelor's"/>
    <x v="8"/>
    <s v="Non-Travel"/>
    <n v="43"/>
    <x v="1"/>
    <x v="2"/>
    <n v="1"/>
    <n v="2"/>
    <n v="3"/>
    <n v="2"/>
    <n v="0"/>
    <n v="15"/>
    <s v="Jose Hernandez"/>
    <x v="1"/>
    <d v="2019-10-24T00:00:00"/>
    <x v="3"/>
    <n v="6"/>
    <x v="1"/>
    <n v="1"/>
    <s v="6-10 Years"/>
    <n v="1.67"/>
    <x v="2"/>
  </r>
  <r>
    <s v="EMP1533"/>
    <s v="David Shepherd"/>
    <x v="0"/>
    <n v="34"/>
    <x v="7"/>
    <s v="Operations Executive"/>
    <d v="2022-05-29T00:00:00"/>
    <n v="42258"/>
    <s v="Not Specified"/>
    <s v="Bachelor's"/>
    <x v="8"/>
    <s v="Travel_Frequently"/>
    <n v="20"/>
    <x v="1"/>
    <x v="3"/>
    <n v="3"/>
    <n v="1"/>
    <n v="4"/>
    <n v="1"/>
    <n v="1"/>
    <n v="13"/>
    <s v="Mr. Daniel Martin"/>
    <x v="0"/>
    <m/>
    <x v="1"/>
    <n v="4"/>
    <x v="1"/>
    <n v="0"/>
    <s v="4-5 Years"/>
    <n v="2.33"/>
    <x v="0"/>
  </r>
  <r>
    <s v="EMP1626"/>
    <s v="Angela Brown"/>
    <x v="0"/>
    <n v="27"/>
    <x v="2"/>
    <s v="Software Engineer"/>
    <d v="2023-03-01T00:00:00"/>
    <n v="122084"/>
    <s v="Divorced"/>
    <s v="Bachelor's"/>
    <x v="3"/>
    <s v="Travel_Rarely"/>
    <n v="23"/>
    <x v="0"/>
    <x v="1"/>
    <n v="2"/>
    <n v="1"/>
    <n v="3"/>
    <n v="3"/>
    <n v="3"/>
    <n v="18"/>
    <s v="Robert Butler"/>
    <x v="0"/>
    <m/>
    <x v="1"/>
    <n v="3"/>
    <x v="0"/>
    <n v="0"/>
    <s v="1-3 Years"/>
    <n v="2.33"/>
    <x v="0"/>
  </r>
  <r>
    <s v="EMP2021"/>
    <s v="Ryan Hunt"/>
    <x v="2"/>
    <n v="36"/>
    <x v="4"/>
    <s v="Sales Representative"/>
    <d v="2021-04-07T00:00:00"/>
    <n v="78505"/>
    <s v="Single"/>
    <s v="Bachelor's"/>
    <x v="8"/>
    <s v="Non-Travel"/>
    <n v="2"/>
    <x v="0"/>
    <x v="0"/>
    <n v="1"/>
    <n v="2"/>
    <n v="2"/>
    <n v="3"/>
    <n v="0"/>
    <n v="18"/>
    <s v="Tammy Garcia"/>
    <x v="0"/>
    <m/>
    <x v="0"/>
    <n v="5"/>
    <x v="2"/>
    <n v="0"/>
    <s v="4-5 Years"/>
    <n v="1.33"/>
    <x v="2"/>
  </r>
  <r>
    <s v="EMP1513"/>
    <s v="Jacqueline Herring"/>
    <x v="0"/>
    <n v="25"/>
    <x v="5"/>
    <s v="Brand Manager"/>
    <d v="2019-12-03T00:00:00"/>
    <n v="65457"/>
    <s v="Single"/>
    <s v="Master's"/>
    <x v="8"/>
    <s v="Travel_Frequently"/>
    <n v="32"/>
    <x v="0"/>
    <x v="0"/>
    <n v="3"/>
    <n v="4"/>
    <n v="4"/>
    <n v="0"/>
    <n v="1"/>
    <n v="13"/>
    <s v="Barbara Smith"/>
    <x v="0"/>
    <m/>
    <x v="1"/>
    <n v="6"/>
    <x v="2"/>
    <n v="0"/>
    <s v="6-10 Years"/>
    <n v="2.67"/>
    <x v="0"/>
  </r>
  <r>
    <s v="EMP1840"/>
    <s v="Janet Edwards"/>
    <x v="0"/>
    <n v="45"/>
    <x v="5"/>
    <s v="Marketing Executive"/>
    <d v="2017-04-11T00:00:00"/>
    <n v="59823"/>
    <s v="Single"/>
    <s v="Not Specified"/>
    <x v="6"/>
    <s v="Not Specified"/>
    <n v="25"/>
    <x v="0"/>
    <x v="3"/>
    <n v="3"/>
    <n v="4"/>
    <n v="4"/>
    <n v="6"/>
    <n v="4"/>
    <n v="19"/>
    <s v="Andrew Hawkins"/>
    <x v="0"/>
    <m/>
    <x v="3"/>
    <n v="9"/>
    <x v="1"/>
    <n v="0"/>
    <s v="6-10 Years"/>
    <n v="3.33"/>
    <x v="1"/>
  </r>
  <r>
    <s v="EMP1073"/>
    <s v="Claudia Lyons"/>
    <x v="2"/>
    <n v="39"/>
    <x v="0"/>
    <s v="Research Scientist"/>
    <d v="2023-02-07T00:00:00"/>
    <n v="120848"/>
    <s v="Single"/>
    <s v="PhD"/>
    <x v="1"/>
    <s v="Travel_Rarely"/>
    <n v="16"/>
    <x v="0"/>
    <x v="1"/>
    <n v="3"/>
    <n v="1"/>
    <n v="4"/>
    <n v="4"/>
    <n v="0"/>
    <n v="15"/>
    <s v="Lawrence Adkins"/>
    <x v="0"/>
    <m/>
    <x v="0"/>
    <n v="3"/>
    <x v="0"/>
    <n v="0"/>
    <s v="1-3 Years"/>
    <n v="2.67"/>
    <x v="0"/>
  </r>
  <r>
    <s v="EMP1808"/>
    <s v="Julie Johnson"/>
    <x v="2"/>
    <n v="40"/>
    <x v="4"/>
    <s v="Sales Manager"/>
    <d v="2011-09-13T00:00:00"/>
    <n v="57571"/>
    <s v="Divorced"/>
    <s v="Master's"/>
    <x v="2"/>
    <s v="Travel_Rarely"/>
    <n v="3"/>
    <x v="0"/>
    <x v="3"/>
    <n v="3"/>
    <n v="3"/>
    <n v="3"/>
    <n v="4"/>
    <n v="3"/>
    <n v="19"/>
    <s v="Tyler Flowers"/>
    <x v="0"/>
    <m/>
    <x v="0"/>
    <n v="14"/>
    <x v="1"/>
    <n v="0"/>
    <s v="More than 10 Years"/>
    <n v="3"/>
    <x v="1"/>
  </r>
  <r>
    <s v="EMP1259"/>
    <s v="Audrey Harris"/>
    <x v="2"/>
    <n v="34"/>
    <x v="0"/>
    <s v="Lab Technician"/>
    <d v="2020-05-12T00:00:00"/>
    <n v="90141"/>
    <s v="Single"/>
    <s v="PhD"/>
    <x v="3"/>
    <s v="Travel_Rarely"/>
    <n v="16"/>
    <x v="0"/>
    <x v="0"/>
    <n v="1"/>
    <n v="1"/>
    <n v="2"/>
    <n v="0"/>
    <n v="7"/>
    <n v="21"/>
    <s v="Jordan Stokes"/>
    <x v="0"/>
    <m/>
    <x v="1"/>
    <n v="6"/>
    <x v="2"/>
    <n v="0"/>
    <s v="6-10 Years"/>
    <n v="1"/>
    <x v="2"/>
  </r>
  <r>
    <s v="EMP1625"/>
    <s v="Melissa Johnston"/>
    <x v="2"/>
    <n v="29"/>
    <x v="0"/>
    <s v="Research Scientist"/>
    <d v="2025-03-15T00:00:00"/>
    <n v="53257"/>
    <s v="Married"/>
    <s v="Bachelor's"/>
    <x v="5"/>
    <s v="Non-Travel"/>
    <n v="11"/>
    <x v="0"/>
    <x v="1"/>
    <n v="4"/>
    <n v="1"/>
    <n v="3"/>
    <n v="1"/>
    <n v="3"/>
    <n v="14"/>
    <s v="Elizabeth Cross"/>
    <x v="0"/>
    <m/>
    <x v="1"/>
    <n v="1"/>
    <x v="1"/>
    <n v="0"/>
    <s v="1-3 Years"/>
    <n v="3"/>
    <x v="1"/>
  </r>
  <r>
    <s v="EMP1827"/>
    <s v="Kevin Gonzales"/>
    <x v="2"/>
    <n v="35"/>
    <x v="0"/>
    <s v="Lab Technician"/>
    <d v="2025-12-13T00:00:00"/>
    <n v="67789"/>
    <s v="Not Specified"/>
    <s v="Diploma"/>
    <x v="1"/>
    <s v="Travel_Frequently"/>
    <n v="32"/>
    <x v="0"/>
    <x v="1"/>
    <n v="3"/>
    <n v="1"/>
    <n v="2"/>
    <n v="2"/>
    <n v="3"/>
    <n v="23"/>
    <s v="Henry Gray"/>
    <x v="0"/>
    <m/>
    <x v="0"/>
    <n v="0"/>
    <x v="2"/>
    <n v="0"/>
    <s v="Less than 1 Year"/>
    <n v="2.67"/>
    <x v="0"/>
  </r>
  <r>
    <s v="EMP1235"/>
    <s v="Erik Hernandez"/>
    <x v="2"/>
    <n v="32"/>
    <x v="0"/>
    <s v="Research Scientist"/>
    <d v="2021-12-18T00:00:00"/>
    <n v="108037"/>
    <s v="Divorced"/>
    <s v="High School"/>
    <x v="7"/>
    <s v="Travel_Frequently"/>
    <n v="3"/>
    <x v="1"/>
    <x v="3"/>
    <n v="2"/>
    <n v="3"/>
    <n v="4"/>
    <n v="6"/>
    <n v="6"/>
    <n v="18"/>
    <s v="Reginald Knapp"/>
    <x v="0"/>
    <m/>
    <x v="1"/>
    <n v="4"/>
    <x v="0"/>
    <n v="0"/>
    <s v="4-5 Years"/>
    <n v="2.67"/>
    <x v="0"/>
  </r>
  <r>
    <s v="EMP1617"/>
    <s v="Maurice Andrade"/>
    <x v="2"/>
    <n v="36"/>
    <x v="2"/>
    <s v="Devops Engineer"/>
    <d v="2014-02-24T00:00:00"/>
    <n v="106542"/>
    <s v="Married"/>
    <s v="PhD"/>
    <x v="7"/>
    <s v="Travel_Frequently"/>
    <n v="25"/>
    <x v="1"/>
    <x v="1"/>
    <n v="3"/>
    <n v="4"/>
    <n v="3"/>
    <n v="0"/>
    <n v="3"/>
    <n v="19"/>
    <s v="James Morgan"/>
    <x v="0"/>
    <m/>
    <x v="0"/>
    <n v="12"/>
    <x v="0"/>
    <n v="0"/>
    <s v="More than 10 Years"/>
    <n v="3.67"/>
    <x v="1"/>
  </r>
  <r>
    <s v="EMP1517"/>
    <s v="Donna Jones"/>
    <x v="2"/>
    <n v="26"/>
    <x v="2"/>
    <s v="Not Specified"/>
    <d v="2013-02-16T00:00:00"/>
    <n v="118809"/>
    <s v="Married"/>
    <s v="Master's"/>
    <x v="0"/>
    <s v="Travel_Rarely"/>
    <n v="41"/>
    <x v="1"/>
    <x v="0"/>
    <n v="4"/>
    <n v="3"/>
    <n v="3"/>
    <n v="6"/>
    <n v="4"/>
    <n v="11"/>
    <s v="Mr. Carl Rios"/>
    <x v="1"/>
    <d v="2022-12-13T00:00:00"/>
    <x v="1"/>
    <n v="9"/>
    <x v="0"/>
    <n v="1"/>
    <s v="6-10 Years"/>
    <n v="2.67"/>
    <x v="0"/>
  </r>
  <r>
    <s v="EMP2071"/>
    <s v="James Obrien"/>
    <x v="0"/>
    <n v="37"/>
    <x v="2"/>
    <s v="System Administrator"/>
    <d v="2012-09-25T00:00:00"/>
    <n v="151548"/>
    <s v="Divorced"/>
    <s v="Bachelor's"/>
    <x v="9"/>
    <s v="Travel_Rarely"/>
    <n v="35"/>
    <x v="0"/>
    <x v="2"/>
    <n v="1"/>
    <n v="4"/>
    <n v="3"/>
    <n v="6"/>
    <n v="6"/>
    <n v="18"/>
    <s v="John Moore"/>
    <x v="0"/>
    <m/>
    <x v="0"/>
    <n v="13"/>
    <x v="0"/>
    <n v="0"/>
    <s v="More than 10 Years"/>
    <n v="2.33"/>
    <x v="0"/>
  </r>
  <r>
    <s v="EMP1837"/>
    <s v="Barry Gregory"/>
    <x v="0"/>
    <n v="31"/>
    <x v="4"/>
    <s v="Sales Manager"/>
    <d v="2026-03-01T00:00:00"/>
    <n v="73913"/>
    <s v="Married"/>
    <s v="Bachelor's"/>
    <x v="4"/>
    <s v="Travel_Frequently"/>
    <n v="1"/>
    <x v="0"/>
    <x v="0"/>
    <n v="3"/>
    <n v="3"/>
    <n v="3"/>
    <n v="6"/>
    <n v="0"/>
    <n v="12"/>
    <s v="Brittany Howell"/>
    <x v="1"/>
    <d v="2026-05-10T00:00:00"/>
    <x v="1"/>
    <n v="0"/>
    <x v="2"/>
    <n v="1"/>
    <s v="Less than 1 Year"/>
    <n v="2.33"/>
    <x v="0"/>
  </r>
  <r>
    <s v="EMP1843"/>
    <s v="Jenna Simpson"/>
    <x v="2"/>
    <n v="27"/>
    <x v="0"/>
    <s v="Manufacturing Technician"/>
    <d v="2026-02-23T00:00:00"/>
    <n v="49991"/>
    <s v="Single"/>
    <s v="Master's"/>
    <x v="6"/>
    <s v="Travel_Rarely"/>
    <n v="22"/>
    <x v="0"/>
    <x v="0"/>
    <n v="3"/>
    <n v="3"/>
    <n v="3"/>
    <n v="4"/>
    <n v="5"/>
    <n v="25"/>
    <s v="William Flores"/>
    <x v="1"/>
    <d v="2026-06-19T00:00:00"/>
    <x v="1"/>
    <n v="0"/>
    <x v="1"/>
    <n v="1"/>
    <s v="Less than 1 Year"/>
    <n v="2.33"/>
    <x v="0"/>
  </r>
  <r>
    <s v="EMP1803"/>
    <s v="Anita Luna"/>
    <x v="2"/>
    <n v="43"/>
    <x v="4"/>
    <s v="Account Manager"/>
    <d v="2018-04-16T00:00:00"/>
    <n v="103408"/>
    <s v="Divorced"/>
    <s v="Bachelor's"/>
    <x v="4"/>
    <s v="Non-Travel"/>
    <n v="34"/>
    <x v="0"/>
    <x v="3"/>
    <n v="3"/>
    <n v="2"/>
    <n v="3"/>
    <n v="3"/>
    <n v="7"/>
    <n v="20"/>
    <s v="Regina Roberts PhD"/>
    <x v="0"/>
    <m/>
    <x v="0"/>
    <n v="8"/>
    <x v="0"/>
    <n v="0"/>
    <s v="6-10 Years"/>
    <n v="2.67"/>
    <x v="0"/>
  </r>
  <r>
    <s v="EMP1810"/>
    <s v="Zachary Jones"/>
    <x v="1"/>
    <n v="33"/>
    <x v="3"/>
    <s v="Financial Analyst"/>
    <d v="2022-10-14T00:00:00"/>
    <n v="119099"/>
    <s v="Single"/>
    <s v="Master's"/>
    <x v="8"/>
    <s v="Travel_Frequently"/>
    <n v="14"/>
    <x v="1"/>
    <x v="3"/>
    <n v="2"/>
    <n v="2"/>
    <n v="2"/>
    <n v="5"/>
    <n v="6"/>
    <n v="11"/>
    <s v="Sheena Burton"/>
    <x v="1"/>
    <d v="2025-01-14T00:00:00"/>
    <x v="1"/>
    <n v="2"/>
    <x v="0"/>
    <n v="1"/>
    <s v="1-3 Years"/>
    <n v="2.33"/>
    <x v="0"/>
  </r>
  <r>
    <s v="EMP1593"/>
    <s v="Denise Dean"/>
    <x v="0"/>
    <n v="45"/>
    <x v="3"/>
    <s v="Financial Analyst"/>
    <d v="2014-06-19T00:00:00"/>
    <n v="62410"/>
    <s v="Married"/>
    <s v="Master's"/>
    <x v="9"/>
    <s v="Travel_Rarely"/>
    <n v="34"/>
    <x v="0"/>
    <x v="0"/>
    <n v="2"/>
    <n v="3"/>
    <n v="3"/>
    <n v="1"/>
    <n v="4"/>
    <n v="13"/>
    <s v="Anthony Nichols"/>
    <x v="0"/>
    <m/>
    <x v="3"/>
    <n v="12"/>
    <x v="2"/>
    <n v="0"/>
    <s v="More than 10 Years"/>
    <n v="2"/>
    <x v="0"/>
  </r>
  <r>
    <s v="EMP2078"/>
    <s v="Ray Newman"/>
    <x v="0"/>
    <n v="32"/>
    <x v="7"/>
    <s v="Supply Chain Analyst"/>
    <d v="2025-05-05T00:00:00"/>
    <n v="91761"/>
    <s v="Divorced"/>
    <s v="Master's"/>
    <x v="8"/>
    <s v="Non-Travel"/>
    <n v="29"/>
    <x v="0"/>
    <x v="1"/>
    <n v="1"/>
    <n v="1"/>
    <n v="3"/>
    <n v="6"/>
    <n v="1"/>
    <n v="24"/>
    <s v="Stephanie Stone"/>
    <x v="1"/>
    <d v="2025-11-13T00:00:00"/>
    <x v="1"/>
    <n v="0"/>
    <x v="2"/>
    <n v="1"/>
    <s v="Less than 1 Year"/>
    <n v="2"/>
    <x v="0"/>
  </r>
  <r>
    <s v="EMP1502"/>
    <s v="Jill Conway"/>
    <x v="2"/>
    <n v="23"/>
    <x v="7"/>
    <s v="Supply Chain Analyst"/>
    <d v="2020-10-26T00:00:00"/>
    <n v="68965"/>
    <s v="Married"/>
    <s v="Bachelor's"/>
    <x v="9"/>
    <s v="Travel_Frequently"/>
    <n v="43"/>
    <x v="0"/>
    <x v="2"/>
    <n v="3"/>
    <n v="3"/>
    <n v="3"/>
    <n v="6"/>
    <n v="2"/>
    <n v="22"/>
    <s v="Tina Fleming"/>
    <x v="0"/>
    <m/>
    <x v="2"/>
    <n v="5"/>
    <x v="2"/>
    <n v="0"/>
    <s v="4-5 Years"/>
    <n v="2.67"/>
    <x v="0"/>
  </r>
  <r>
    <s v="EMP1539"/>
    <s v="Dale Heath"/>
    <x v="2"/>
    <n v="54"/>
    <x v="1"/>
    <s v="Recruiter"/>
    <d v="2019-03-10T00:00:00"/>
    <n v="73542"/>
    <s v="Married"/>
    <s v="PhD"/>
    <x v="8"/>
    <s v="Travel_Frequently"/>
    <n v="1"/>
    <x v="0"/>
    <x v="3"/>
    <n v="2"/>
    <n v="1"/>
    <n v="3"/>
    <n v="6"/>
    <n v="1"/>
    <n v="24"/>
    <s v="Chase Davis"/>
    <x v="0"/>
    <m/>
    <x v="3"/>
    <n v="7"/>
    <x v="2"/>
    <n v="0"/>
    <s v="6-10 Years"/>
    <n v="2"/>
    <x v="0"/>
  </r>
  <r>
    <s v="EMP1946"/>
    <s v="Edward Doyle"/>
    <x v="0"/>
    <n v="33"/>
    <x v="4"/>
    <s v="Sales Manager"/>
    <d v="2018-06-04T00:00:00"/>
    <n v="99824"/>
    <s v="Divorced"/>
    <s v="Diploma"/>
    <x v="3"/>
    <s v="Travel_Frequently"/>
    <n v="33"/>
    <x v="0"/>
    <x v="0"/>
    <n v="4"/>
    <n v="3"/>
    <n v="4"/>
    <n v="0"/>
    <n v="8"/>
    <n v="16"/>
    <s v="Dr. Virginia Cunningham"/>
    <x v="0"/>
    <m/>
    <x v="1"/>
    <n v="8"/>
    <x v="2"/>
    <n v="0"/>
    <s v="6-10 Years"/>
    <n v="2.67"/>
    <x v="0"/>
  </r>
  <r>
    <s v="EMP1729"/>
    <s v="Paul Goodwin"/>
    <x v="0"/>
    <n v="29"/>
    <x v="2"/>
    <s v="Devops Engineer"/>
    <d v="2019-08-10T00:00:00"/>
    <n v="91085"/>
    <s v="Single"/>
    <s v="Master's"/>
    <x v="3"/>
    <s v="Non-Travel"/>
    <n v="31"/>
    <x v="0"/>
    <x v="1"/>
    <n v="1"/>
    <n v="1"/>
    <n v="3"/>
    <n v="5"/>
    <n v="8"/>
    <n v="12"/>
    <s v="Michael Wells"/>
    <x v="0"/>
    <m/>
    <x v="1"/>
    <n v="7"/>
    <x v="2"/>
    <n v="0"/>
    <s v="6-10 Years"/>
    <n v="2"/>
    <x v="0"/>
  </r>
  <r>
    <s v="EMP1582"/>
    <s v="Kimberly Johnson"/>
    <x v="2"/>
    <n v="46"/>
    <x v="4"/>
    <s v="Sales Executive"/>
    <d v="2017-08-02T00:00:00"/>
    <n v="78466"/>
    <s v="Single"/>
    <s v="Bachelor's"/>
    <x v="8"/>
    <s v="Non-Travel"/>
    <n v="38"/>
    <x v="0"/>
    <x v="1"/>
    <n v="3"/>
    <n v="4"/>
    <n v="3"/>
    <n v="4"/>
    <n v="3"/>
    <n v="18"/>
    <s v="Angela Baker"/>
    <x v="0"/>
    <m/>
    <x v="3"/>
    <n v="9"/>
    <x v="2"/>
    <n v="0"/>
    <s v="6-10 Years"/>
    <n v="3.67"/>
    <x v="1"/>
  </r>
  <r>
    <s v="EMP1344"/>
    <s v="Aaron Rubio"/>
    <x v="0"/>
    <n v="51"/>
    <x v="3"/>
    <s v="Finance Manager"/>
    <d v="2014-09-06T00:00:00"/>
    <n v="113080"/>
    <s v="Divorced"/>
    <s v="Bachelor's"/>
    <x v="7"/>
    <s v="Travel_Rarely"/>
    <n v="23"/>
    <x v="0"/>
    <x v="1"/>
    <n v="3"/>
    <n v="3"/>
    <n v="3"/>
    <n v="2"/>
    <n v="4"/>
    <n v="12"/>
    <s v="Bonnie Santos"/>
    <x v="0"/>
    <m/>
    <x v="3"/>
    <n v="11"/>
    <x v="0"/>
    <n v="0"/>
    <s v="More than 10 Years"/>
    <n v="3.33"/>
    <x v="1"/>
  </r>
  <r>
    <s v="EMP1976"/>
    <s v="Michael Cooper"/>
    <x v="0"/>
    <n v="19"/>
    <x v="2"/>
    <s v="System Administrator"/>
    <d v="2015-07-25T00:00:00"/>
    <n v="64381"/>
    <s v="Single"/>
    <s v="Bachelor's"/>
    <x v="7"/>
    <s v="Not Specified"/>
    <n v="41"/>
    <x v="0"/>
    <x v="3"/>
    <n v="4"/>
    <n v="1"/>
    <n v="2"/>
    <n v="0"/>
    <n v="4"/>
    <n v="11"/>
    <s v="Not Specified"/>
    <x v="0"/>
    <m/>
    <x v="2"/>
    <n v="11"/>
    <x v="2"/>
    <n v="0"/>
    <s v="More than 10 Years"/>
    <n v="2.67"/>
    <x v="0"/>
  </r>
  <r>
    <s v="EMP1890"/>
    <s v="Seth Davenport"/>
    <x v="0"/>
    <n v="26"/>
    <x v="0"/>
    <s v="Manufacturing Technician"/>
    <d v="2022-10-26T00:00:00"/>
    <n v="72179"/>
    <s v="Married"/>
    <s v="Bachelor's"/>
    <x v="10"/>
    <s v="Travel_Frequently"/>
    <n v="45"/>
    <x v="0"/>
    <x v="3"/>
    <n v="2"/>
    <n v="3"/>
    <n v="2"/>
    <n v="3"/>
    <n v="3"/>
    <n v="22"/>
    <s v="Diane Mcdowell"/>
    <x v="0"/>
    <m/>
    <x v="1"/>
    <n v="3"/>
    <x v="2"/>
    <n v="0"/>
    <s v="1-3 Years"/>
    <n v="2.67"/>
    <x v="0"/>
  </r>
  <r>
    <s v="EMP1294"/>
    <s v="Laurie Goodwin"/>
    <x v="0"/>
    <n v="44"/>
    <x v="2"/>
    <s v="Software Engineer"/>
    <d v="2022-04-18T00:00:00"/>
    <n v="113703"/>
    <s v="Married"/>
    <s v="Master's"/>
    <x v="2"/>
    <s v="Travel_Rarely"/>
    <n v="23"/>
    <x v="1"/>
    <x v="3"/>
    <n v="1"/>
    <n v="2"/>
    <n v="4"/>
    <n v="1"/>
    <n v="0"/>
    <n v="15"/>
    <s v="Christopher Allen"/>
    <x v="1"/>
    <d v="2024-01-13T00:00:00"/>
    <x v="0"/>
    <n v="1"/>
    <x v="0"/>
    <n v="1"/>
    <s v="1-3 Years"/>
    <n v="2"/>
    <x v="0"/>
  </r>
  <r>
    <s v="EMP1365"/>
    <s v="Kenneth Sharp"/>
    <x v="0"/>
    <n v="49"/>
    <x v="0"/>
    <s v="Research Director"/>
    <d v="2015-01-26T00:00:00"/>
    <n v="104147"/>
    <s v="Divorced"/>
    <s v="Master's"/>
    <x v="2"/>
    <s v="Travel_Frequently"/>
    <n v="25"/>
    <x v="0"/>
    <x v="3"/>
    <n v="4"/>
    <n v="4"/>
    <n v="5"/>
    <n v="4"/>
    <n v="2"/>
    <n v="18"/>
    <s v="Amanda Roy"/>
    <x v="0"/>
    <m/>
    <x v="3"/>
    <n v="11"/>
    <x v="0"/>
    <n v="0"/>
    <s v="More than 10 Years"/>
    <n v="3.67"/>
    <x v="1"/>
  </r>
  <r>
    <s v="EMP1898"/>
    <s v="Brittany Miller"/>
    <x v="0"/>
    <n v="60"/>
    <x v="2"/>
    <s v="Software Engineer"/>
    <d v="2024-01-21T00:00:00"/>
    <n v="128269"/>
    <s v="Single"/>
    <s v="Bachelor's"/>
    <x v="5"/>
    <s v="Non-Travel"/>
    <n v="18"/>
    <x v="0"/>
    <x v="0"/>
    <n v="4"/>
    <n v="1"/>
    <n v="3"/>
    <n v="0"/>
    <n v="4"/>
    <n v="22"/>
    <s v="Jordan Moses"/>
    <x v="0"/>
    <m/>
    <x v="4"/>
    <n v="2"/>
    <x v="0"/>
    <n v="0"/>
    <s v="1-3 Years"/>
    <n v="2"/>
    <x v="0"/>
  </r>
  <r>
    <s v="EMP1660"/>
    <s v="Julia Henderson"/>
    <x v="0"/>
    <n v="22"/>
    <x v="4"/>
    <s v="Sales Manager"/>
    <d v="2020-10-22T00:00:00"/>
    <n v="56793"/>
    <s v="Married"/>
    <s v="Master's"/>
    <x v="8"/>
    <s v="Non-Travel"/>
    <n v="44"/>
    <x v="0"/>
    <x v="2"/>
    <n v="2"/>
    <n v="1"/>
    <n v="2"/>
    <n v="3"/>
    <n v="0"/>
    <n v="14"/>
    <s v="Jose Thomas"/>
    <x v="0"/>
    <m/>
    <x v="2"/>
    <n v="5"/>
    <x v="1"/>
    <n v="0"/>
    <s v="4-5 Years"/>
    <n v="1.67"/>
    <x v="2"/>
  </r>
  <r>
    <s v="EMP1015"/>
    <s v="Ashley Graham"/>
    <x v="0"/>
    <n v="41"/>
    <x v="7"/>
    <s v="Supply Chain Analyst"/>
    <d v="2018-06-07T00:00:00"/>
    <n v="41561"/>
    <s v="Single"/>
    <s v="Master's"/>
    <x v="7"/>
    <s v="Non-Travel"/>
    <n v="16"/>
    <x v="1"/>
    <x v="0"/>
    <n v="1"/>
    <n v="1"/>
    <n v="4"/>
    <n v="3"/>
    <n v="1"/>
    <n v="20"/>
    <s v="Deborah Mason"/>
    <x v="1"/>
    <d v="2026-04-14T00:00:00"/>
    <x v="0"/>
    <n v="7"/>
    <x v="1"/>
    <n v="1"/>
    <s v="6-10 Years"/>
    <n v="1"/>
    <x v="2"/>
  </r>
  <r>
    <s v="EMP1687"/>
    <s v="Susan Wallace"/>
    <x v="0"/>
    <n v="32"/>
    <x v="4"/>
    <s v="Sales Representative"/>
    <d v="2012-01-13T00:00:00"/>
    <n v="76122"/>
    <s v="Single"/>
    <s v="Master's"/>
    <x v="10"/>
    <s v="Travel_Rarely"/>
    <n v="33"/>
    <x v="1"/>
    <x v="0"/>
    <n v="2"/>
    <n v="4"/>
    <n v="3"/>
    <n v="5"/>
    <n v="6"/>
    <n v="13"/>
    <s v="Cheryl Mclean"/>
    <x v="1"/>
    <d v="2019-02-04T00:00:00"/>
    <x v="1"/>
    <n v="7"/>
    <x v="2"/>
    <n v="1"/>
    <s v="6-10 Years"/>
    <n v="2.33"/>
    <x v="0"/>
  </r>
  <r>
    <s v="EMP1087"/>
    <s v="Adrian Ferguson"/>
    <x v="0"/>
    <n v="41"/>
    <x v="2"/>
    <s v="Devops Engineer"/>
    <d v="2015-10-03T00:00:00"/>
    <n v="57202"/>
    <s v="Divorced"/>
    <s v="Master's"/>
    <x v="3"/>
    <s v="Travel_Frequently"/>
    <n v="20"/>
    <x v="0"/>
    <x v="0"/>
    <n v="2"/>
    <n v="1"/>
    <n v="3"/>
    <n v="4"/>
    <n v="0"/>
    <n v="13"/>
    <s v="Kristen Terry"/>
    <x v="0"/>
    <m/>
    <x v="0"/>
    <n v="10"/>
    <x v="1"/>
    <n v="0"/>
    <s v="6-10 Years"/>
    <n v="1.33"/>
    <x v="2"/>
  </r>
  <r>
    <s v="EMP1371"/>
    <s v="Christie Mccullough"/>
    <x v="0"/>
    <n v="35"/>
    <x v="0"/>
    <s v="Manufacturing Technician"/>
    <d v="2023-01-03T00:00:00"/>
    <n v="76053"/>
    <s v="Not Specified"/>
    <s v="Bachelor's"/>
    <x v="3"/>
    <s v="Travel_Frequently"/>
    <n v="5"/>
    <x v="0"/>
    <x v="2"/>
    <n v="2"/>
    <n v="1"/>
    <n v="3"/>
    <n v="0"/>
    <n v="7"/>
    <n v="19"/>
    <s v="Aaron Ortiz"/>
    <x v="0"/>
    <m/>
    <x v="0"/>
    <n v="3"/>
    <x v="2"/>
    <n v="0"/>
    <s v="1-3 Years"/>
    <n v="1.67"/>
    <x v="2"/>
  </r>
  <r>
    <s v="EMP1166"/>
    <s v="Paul Wolf MD"/>
    <x v="0"/>
    <n v="35"/>
    <x v="2"/>
    <s v="Devops Engineer"/>
    <d v="2025-06-13T00:00:00"/>
    <n v="131946"/>
    <s v="Single"/>
    <s v="PhD"/>
    <x v="2"/>
    <s v="Non-Travel"/>
    <n v="13"/>
    <x v="1"/>
    <x v="0"/>
    <n v="1"/>
    <n v="2"/>
    <n v="2"/>
    <n v="5"/>
    <n v="1"/>
    <n v="25"/>
    <s v="Lori Lin"/>
    <x v="1"/>
    <d v="2026-02-18T00:00:00"/>
    <x v="0"/>
    <n v="0"/>
    <x v="0"/>
    <n v="1"/>
    <s v="Less than 1 Year"/>
    <n v="1.33"/>
    <x v="2"/>
  </r>
  <r>
    <s v="EMP1132"/>
    <s v="Susan Turner"/>
    <x v="0"/>
    <n v="30"/>
    <x v="2"/>
    <s v="Software Engineer"/>
    <d v="2017-10-02T00:00:00"/>
    <n v="121487"/>
    <s v="Single"/>
    <s v="PhD"/>
    <x v="5"/>
    <s v="Travel_Frequently"/>
    <n v="5"/>
    <x v="0"/>
    <x v="1"/>
    <n v="2"/>
    <n v="2"/>
    <n v="3"/>
    <n v="3"/>
    <n v="5"/>
    <n v="18"/>
    <s v="Tracy Torres"/>
    <x v="0"/>
    <m/>
    <x v="1"/>
    <n v="8"/>
    <x v="0"/>
    <n v="0"/>
    <s v="6-10 Years"/>
    <n v="2.67"/>
    <x v="0"/>
  </r>
  <r>
    <s v="EMP1336"/>
    <s v="Derek Hodge"/>
    <x v="0"/>
    <n v="29"/>
    <x v="5"/>
    <s v="Brand Manager"/>
    <d v="2026-05-13T00:00:00"/>
    <n v="92580"/>
    <s v="Single"/>
    <s v="Bachelor's"/>
    <x v="8"/>
    <s v="Travel_Rarely"/>
    <n v="45"/>
    <x v="0"/>
    <x v="3"/>
    <n v="3"/>
    <n v="4"/>
    <n v="3"/>
    <n v="2"/>
    <n v="3"/>
    <n v="24"/>
    <s v="Anna Estes"/>
    <x v="0"/>
    <m/>
    <x v="1"/>
    <n v="0"/>
    <x v="2"/>
    <n v="0"/>
    <s v="Less than 1 Year"/>
    <n v="3.33"/>
    <x v="1"/>
  </r>
  <r>
    <s v="EMP1060"/>
    <s v="David Charles"/>
    <x v="0"/>
    <n v="38"/>
    <x v="4"/>
    <s v="Sales Representative"/>
    <d v="2018-06-22T00:00:00"/>
    <n v="48963"/>
    <s v="Divorced"/>
    <s v="Bachelor's"/>
    <x v="8"/>
    <s v="Travel_Frequently"/>
    <n v="20"/>
    <x v="1"/>
    <x v="2"/>
    <n v="4"/>
    <n v="1"/>
    <n v="3"/>
    <n v="4"/>
    <n v="5"/>
    <n v="17"/>
    <s v="Victoria Larson"/>
    <x v="1"/>
    <d v="2025-01-13T00:00:00"/>
    <x v="0"/>
    <n v="6"/>
    <x v="1"/>
    <n v="1"/>
    <s v="6-10 Years"/>
    <n v="2.33"/>
    <x v="0"/>
  </r>
  <r>
    <s v="EMP1710"/>
    <s v="Cameron Phillips"/>
    <x v="0"/>
    <n v="35"/>
    <x v="0"/>
    <s v="Manufacturing Technician"/>
    <d v="2017-03-03T00:00:00"/>
    <n v="123788"/>
    <s v="Divorced"/>
    <s v="Master's"/>
    <x v="4"/>
    <s v="Travel_Frequently"/>
    <n v="21"/>
    <x v="0"/>
    <x v="0"/>
    <n v="2"/>
    <n v="3"/>
    <n v="3"/>
    <n v="3"/>
    <n v="3"/>
    <n v="24"/>
    <s v="Amy Warner"/>
    <x v="0"/>
    <m/>
    <x v="0"/>
    <n v="9"/>
    <x v="0"/>
    <n v="0"/>
    <s v="6-10 Years"/>
    <n v="2"/>
    <x v="0"/>
  </r>
  <r>
    <s v="EMP2180"/>
    <s v="Miranda Ortiz"/>
    <x v="2"/>
    <n v="33"/>
    <x v="4"/>
    <s v="Sales Representative"/>
    <d v="2020-10-13T00:00:00"/>
    <n v="80874"/>
    <s v="Married"/>
    <s v="High School"/>
    <x v="8"/>
    <s v="Non-Travel"/>
    <n v="36"/>
    <x v="0"/>
    <x v="0"/>
    <n v="3"/>
    <n v="4"/>
    <n v="3"/>
    <n v="6"/>
    <n v="6"/>
    <n v="18"/>
    <s v="Anthony Cabrera"/>
    <x v="0"/>
    <m/>
    <x v="1"/>
    <n v="5"/>
    <x v="2"/>
    <n v="0"/>
    <s v="4-5 Years"/>
    <n v="2.67"/>
    <x v="0"/>
  </r>
  <r>
    <s v="EMP1677"/>
    <s v="April Johnson"/>
    <x v="0"/>
    <n v="43"/>
    <x v="3"/>
    <s v="Financial Analyst"/>
    <d v="2020-12-29T00:00:00"/>
    <n v="126843"/>
    <s v="Divorced"/>
    <s v="Bachelor's"/>
    <x v="6"/>
    <s v="Travel_Frequently"/>
    <n v="10"/>
    <x v="0"/>
    <x v="2"/>
    <n v="3"/>
    <n v="3"/>
    <n v="1"/>
    <n v="3"/>
    <n v="7"/>
    <n v="11"/>
    <s v="Ryan Marsh"/>
    <x v="0"/>
    <m/>
    <x v="0"/>
    <n v="5"/>
    <x v="0"/>
    <n v="0"/>
    <s v="4-5 Years"/>
    <n v="2.67"/>
    <x v="0"/>
  </r>
  <r>
    <s v="EMP1355"/>
    <s v="Vanessa Hatfield"/>
    <x v="2"/>
    <n v="22"/>
    <x v="1"/>
    <s v="Recruiter"/>
    <d v="2025-08-05T00:00:00"/>
    <n v="66896"/>
    <s v="Single"/>
    <s v="PhD"/>
    <x v="0"/>
    <s v="Non-Travel"/>
    <n v="2"/>
    <x v="0"/>
    <x v="2"/>
    <n v="1"/>
    <n v="1"/>
    <n v="2"/>
    <n v="2"/>
    <n v="7"/>
    <n v="17"/>
    <s v="Laura Diaz"/>
    <x v="1"/>
    <d v="2025-09-25T00:00:00"/>
    <x v="2"/>
    <n v="0"/>
    <x v="2"/>
    <n v="1"/>
    <s v="Less than 1 Year"/>
    <n v="1.33"/>
    <x v="2"/>
  </r>
  <r>
    <s v="EMP2013"/>
    <s v="Dana Williams"/>
    <x v="0"/>
    <n v="33"/>
    <x v="0"/>
    <s v="Lab Technician"/>
    <d v="2020-11-07T00:00:00"/>
    <n v="109520"/>
    <s v="Divorced"/>
    <s v="Master's"/>
    <x v="8"/>
    <s v="Non-Travel"/>
    <n v="29"/>
    <x v="1"/>
    <x v="3"/>
    <n v="1"/>
    <n v="2"/>
    <n v="3"/>
    <n v="6"/>
    <n v="2"/>
    <n v="23"/>
    <s v="Rachel Murphy"/>
    <x v="1"/>
    <d v="2021-12-13T00:00:00"/>
    <x v="1"/>
    <n v="1"/>
    <x v="0"/>
    <n v="1"/>
    <s v="1-3 Years"/>
    <n v="2"/>
    <x v="0"/>
  </r>
  <r>
    <s v="EMP1425"/>
    <s v="Annette Melton"/>
    <x v="2"/>
    <n v="48"/>
    <x v="1"/>
    <s v="Hr Manager"/>
    <d v="2013-09-01T00:00:00"/>
    <n v="48419"/>
    <s v="Single"/>
    <s v="Bachelor's"/>
    <x v="0"/>
    <s v="Travel_Rarely"/>
    <n v="37"/>
    <x v="1"/>
    <x v="2"/>
    <n v="3"/>
    <n v="2"/>
    <n v="3"/>
    <n v="3"/>
    <n v="1"/>
    <n v="18"/>
    <s v="Roger Adams"/>
    <x v="1"/>
    <d v="2026-04-30T00:00:00"/>
    <x v="3"/>
    <n v="12"/>
    <x v="1"/>
    <n v="1"/>
    <s v="More than 10 Years"/>
    <n v="2.33"/>
    <x v="0"/>
  </r>
  <r>
    <s v="EMP1293"/>
    <s v="Benjamin Frost"/>
    <x v="2"/>
    <n v="26"/>
    <x v="7"/>
    <s v="Logistics Manager"/>
    <d v="2025-01-29T00:00:00"/>
    <n v="66351"/>
    <s v="Divorced"/>
    <s v="PhD"/>
    <x v="3"/>
    <s v="Travel_Frequently"/>
    <n v="24"/>
    <x v="0"/>
    <x v="2"/>
    <n v="1"/>
    <n v="1"/>
    <n v="3"/>
    <n v="5"/>
    <n v="2"/>
    <n v="18"/>
    <s v="Timothy Edwards"/>
    <x v="1"/>
    <d v="2025-12-21T00:00:00"/>
    <x v="1"/>
    <n v="0"/>
    <x v="2"/>
    <n v="1"/>
    <s v="Less than 1 Year"/>
    <n v="1.33"/>
    <x v="2"/>
  </r>
  <r>
    <s v="EMP1042"/>
    <s v="Lauren Hernandez"/>
    <x v="0"/>
    <n v="34"/>
    <x v="3"/>
    <s v="Auditor"/>
    <d v="2013-07-25T00:00:00"/>
    <n v="107341"/>
    <s v="Married"/>
    <s v="Bachelor's"/>
    <x v="0"/>
    <s v="Non-Travel"/>
    <n v="34"/>
    <x v="0"/>
    <x v="3"/>
    <n v="1"/>
    <n v="2"/>
    <n v="3"/>
    <n v="0"/>
    <n v="0"/>
    <n v="22"/>
    <s v="Steven Flynn"/>
    <x v="0"/>
    <m/>
    <x v="1"/>
    <n v="13"/>
    <x v="0"/>
    <n v="0"/>
    <s v="More than 10 Years"/>
    <n v="2"/>
    <x v="0"/>
  </r>
  <r>
    <s v="EMP2081"/>
    <s v="Haley Thomas"/>
    <x v="0"/>
    <n v="30"/>
    <x v="0"/>
    <s v="Research Scientist"/>
    <d v="2022-10-31T00:00:00"/>
    <n v="62724"/>
    <s v="Single"/>
    <s v="Master's"/>
    <x v="7"/>
    <s v="Non-Travel"/>
    <n v="23"/>
    <x v="1"/>
    <x v="1"/>
    <n v="3"/>
    <n v="2"/>
    <n v="3"/>
    <n v="3"/>
    <n v="4"/>
    <n v="13"/>
    <s v="Eric Benitez"/>
    <x v="1"/>
    <d v="2026-05-25T00:00:00"/>
    <x v="1"/>
    <n v="3"/>
    <x v="2"/>
    <n v="1"/>
    <s v="1-3 Years"/>
    <n v="3"/>
    <x v="1"/>
  </r>
  <r>
    <s v="EMP1330"/>
    <s v="Donald Medina"/>
    <x v="1"/>
    <n v="33"/>
    <x v="1"/>
    <s v="Hr Executive"/>
    <d v="2014-03-04T00:00:00"/>
    <n v="74798"/>
    <s v="Divorced"/>
    <s v="Master's"/>
    <x v="5"/>
    <s v="Travel_Frequently"/>
    <n v="18"/>
    <x v="0"/>
    <x v="2"/>
    <n v="3"/>
    <n v="4"/>
    <n v="4"/>
    <n v="3"/>
    <n v="7"/>
    <n v="20"/>
    <s v="Patrick Cannon"/>
    <x v="0"/>
    <m/>
    <x v="1"/>
    <n v="12"/>
    <x v="2"/>
    <n v="0"/>
    <s v="More than 10 Years"/>
    <n v="3"/>
    <x v="1"/>
  </r>
  <r>
    <s v="EMP1615"/>
    <s v="Anne Hardy"/>
    <x v="2"/>
    <n v="20"/>
    <x v="7"/>
    <s v="Logistics Manager"/>
    <d v="2019-08-06T00:00:00"/>
    <n v="42243"/>
    <s v="Single"/>
    <s v="Master's"/>
    <x v="3"/>
    <s v="Non-Travel"/>
    <n v="2"/>
    <x v="1"/>
    <x v="1"/>
    <n v="3"/>
    <n v="1"/>
    <n v="1"/>
    <n v="1"/>
    <n v="8"/>
    <n v="19"/>
    <s v="Joseph Wright"/>
    <x v="0"/>
    <m/>
    <x v="2"/>
    <n v="7"/>
    <x v="1"/>
    <n v="0"/>
    <s v="6-10 Years"/>
    <n v="2.67"/>
    <x v="0"/>
  </r>
  <r>
    <s v="EMP1430"/>
    <s v="Kirk Thompson"/>
    <x v="0"/>
    <n v="33"/>
    <x v="2"/>
    <s v="Data Analyst"/>
    <d v="2024-08-25T00:00:00"/>
    <n v="98901"/>
    <s v="Single"/>
    <s v="Diploma"/>
    <x v="1"/>
    <s v="Non-Travel"/>
    <n v="7"/>
    <x v="0"/>
    <x v="3"/>
    <n v="4"/>
    <n v="1"/>
    <n v="2"/>
    <n v="2"/>
    <n v="3"/>
    <n v="17"/>
    <s v="Hannah Martin"/>
    <x v="0"/>
    <m/>
    <x v="1"/>
    <n v="2"/>
    <x v="2"/>
    <n v="0"/>
    <s v="1-3 Years"/>
    <n v="2.67"/>
    <x v="0"/>
  </r>
  <r>
    <s v="EMP1080"/>
    <s v="John Bishop"/>
    <x v="2"/>
    <n v="40"/>
    <x v="5"/>
    <s v="Digital Marketing Specialist"/>
    <d v="2017-04-26T00:00:00"/>
    <n v="66960"/>
    <s v="Single"/>
    <s v="Not Specified"/>
    <x v="7"/>
    <s v="Travel_Frequently"/>
    <n v="12"/>
    <x v="1"/>
    <x v="2"/>
    <n v="4"/>
    <n v="3"/>
    <n v="4"/>
    <n v="1"/>
    <n v="0"/>
    <n v="19"/>
    <s v="Catherine Lewis"/>
    <x v="1"/>
    <d v="2017-08-01T00:00:00"/>
    <x v="0"/>
    <n v="0"/>
    <x v="2"/>
    <n v="1"/>
    <s v="Less than 1 Year"/>
    <n v="3"/>
    <x v="1"/>
  </r>
  <r>
    <s v="EMP1694"/>
    <s v="Louis Morgan"/>
    <x v="2"/>
    <n v="34"/>
    <x v="2"/>
    <s v="Software Engineer"/>
    <d v="2018-04-13T00:00:00"/>
    <n v="72388"/>
    <s v="Single"/>
    <s v="Bachelor's"/>
    <x v="0"/>
    <s v="Travel_Frequently"/>
    <n v="18"/>
    <x v="0"/>
    <x v="3"/>
    <n v="3"/>
    <n v="2"/>
    <n v="3"/>
    <n v="6"/>
    <n v="3"/>
    <n v="15"/>
    <s v="John Lowe"/>
    <x v="0"/>
    <m/>
    <x v="1"/>
    <n v="8"/>
    <x v="2"/>
    <n v="0"/>
    <s v="6-10 Years"/>
    <n v="2.67"/>
    <x v="0"/>
  </r>
  <r>
    <s v="EMP1029"/>
    <s v="James Brown"/>
    <x v="0"/>
    <n v="35"/>
    <x v="2"/>
    <s v="Software Engineer"/>
    <d v="2017-04-26T00:00:00"/>
    <n v="83627"/>
    <s v="Single"/>
    <s v="Bachelor's"/>
    <x v="9"/>
    <s v="Non-Travel"/>
    <n v="38"/>
    <x v="0"/>
    <x v="0"/>
    <n v="3"/>
    <n v="2"/>
    <n v="2"/>
    <n v="5"/>
    <n v="6"/>
    <n v="19"/>
    <s v="Richard Gibson"/>
    <x v="1"/>
    <d v="2026-07-11T00:00:00"/>
    <x v="0"/>
    <n v="9"/>
    <x v="2"/>
    <n v="1"/>
    <s v="6-10 Years"/>
    <n v="2"/>
    <x v="0"/>
  </r>
  <r>
    <s v="EMP1708"/>
    <s v="Kenneth Gonzalez"/>
    <x v="0"/>
    <n v="26"/>
    <x v="6"/>
    <s v="Sales Executive"/>
    <d v="2021-10-30T00:00:00"/>
    <n v="43537"/>
    <s v="Divorced"/>
    <s v="High School"/>
    <x v="4"/>
    <s v="Non-Travel"/>
    <n v="18"/>
    <x v="0"/>
    <x v="0"/>
    <n v="4"/>
    <n v="3"/>
    <n v="3"/>
    <n v="1"/>
    <n v="5"/>
    <n v="19"/>
    <s v="Kelly Gentry"/>
    <x v="0"/>
    <m/>
    <x v="1"/>
    <n v="4"/>
    <x v="1"/>
    <n v="0"/>
    <s v="4-5 Years"/>
    <n v="2.67"/>
    <x v="0"/>
  </r>
  <r>
    <s v="EMP2003"/>
    <s v="Curtis Kerr"/>
    <x v="2"/>
    <n v="27"/>
    <x v="4"/>
    <s v="Account Manager"/>
    <d v="2023-05-18T00:00:00"/>
    <n v="60308"/>
    <s v="Single"/>
    <s v="High School"/>
    <x v="7"/>
    <s v="Travel_Frequently"/>
    <n v="41"/>
    <x v="1"/>
    <x v="1"/>
    <n v="2"/>
    <n v="3"/>
    <n v="3"/>
    <n v="2"/>
    <n v="8"/>
    <n v="18"/>
    <s v="Michael Neal"/>
    <x v="0"/>
    <m/>
    <x v="1"/>
    <n v="3"/>
    <x v="2"/>
    <n v="0"/>
    <s v="1-3 Years"/>
    <n v="3"/>
    <x v="1"/>
  </r>
  <r>
    <s v="EMP2186"/>
    <s v="Christopher Long"/>
    <x v="0"/>
    <n v="36"/>
    <x v="0"/>
    <s v="Research Director"/>
    <d v="2020-09-24T00:00:00"/>
    <n v="56183"/>
    <s v="Single"/>
    <s v="Bachelor's"/>
    <x v="8"/>
    <s v="Non-Travel"/>
    <n v="5"/>
    <x v="0"/>
    <x v="3"/>
    <n v="1"/>
    <n v="3"/>
    <n v="3"/>
    <n v="3"/>
    <n v="0"/>
    <n v="16"/>
    <s v="Benjamin Sanchez"/>
    <x v="0"/>
    <m/>
    <x v="0"/>
    <n v="5"/>
    <x v="1"/>
    <n v="0"/>
    <s v="4-5 Years"/>
    <n v="2.33"/>
    <x v="0"/>
  </r>
  <r>
    <s v="EMP1255"/>
    <s v="Thomas Phillips"/>
    <x v="2"/>
    <n v="32"/>
    <x v="0"/>
    <s v="Lab Technician"/>
    <d v="2020-10-31T00:00:00"/>
    <n v="50206"/>
    <s v="Married"/>
    <s v="Bachelor's"/>
    <x v="6"/>
    <s v="Travel_Frequently"/>
    <n v="10"/>
    <x v="0"/>
    <x v="0"/>
    <n v="3"/>
    <n v="3"/>
    <n v="3"/>
    <n v="0"/>
    <n v="5"/>
    <n v="14"/>
    <s v="Casey Hernandez"/>
    <x v="0"/>
    <m/>
    <x v="1"/>
    <n v="5"/>
    <x v="1"/>
    <n v="0"/>
    <s v="4-5 Years"/>
    <n v="2.33"/>
    <x v="0"/>
  </r>
  <r>
    <s v="EMP1161"/>
    <s v="Michelle Butler"/>
    <x v="1"/>
    <n v="25"/>
    <x v="4"/>
    <s v="Sales Executive"/>
    <d v="2013-05-19T00:00:00"/>
    <n v="106525"/>
    <s v="Married"/>
    <s v="Bachelor's"/>
    <x v="4"/>
    <s v="Travel_Frequently"/>
    <n v="13"/>
    <x v="0"/>
    <x v="1"/>
    <n v="1"/>
    <n v="4"/>
    <n v="4"/>
    <n v="0"/>
    <n v="5"/>
    <n v="17"/>
    <s v="Frederick Solis"/>
    <x v="0"/>
    <m/>
    <x v="1"/>
    <n v="13"/>
    <x v="0"/>
    <n v="0"/>
    <s v="More than 10 Years"/>
    <n v="3"/>
    <x v="1"/>
  </r>
  <r>
    <s v="EMP1459"/>
    <s v="Christina Warner"/>
    <x v="0"/>
    <n v="41"/>
    <x v="0"/>
    <s v="Lab Technician"/>
    <d v="2016-01-26T00:00:00"/>
    <n v="67063"/>
    <s v="Divorced"/>
    <s v="Master's"/>
    <x v="7"/>
    <s v="Travel_Rarely"/>
    <n v="17"/>
    <x v="1"/>
    <x v="3"/>
    <n v="3"/>
    <n v="4"/>
    <n v="3"/>
    <n v="6"/>
    <n v="2"/>
    <n v="17"/>
    <s v="Jon Clark"/>
    <x v="0"/>
    <m/>
    <x v="0"/>
    <n v="10"/>
    <x v="2"/>
    <n v="0"/>
    <s v="6-10 Years"/>
    <n v="3.33"/>
    <x v="1"/>
  </r>
  <r>
    <s v="EMP1384"/>
    <s v="Carl Stein"/>
    <x v="1"/>
    <n v="29"/>
    <x v="0"/>
    <s v="Research Scientist"/>
    <d v="2024-01-14T00:00:00"/>
    <n v="41561"/>
    <s v="Single"/>
    <s v="Diploma"/>
    <x v="3"/>
    <s v="Non-Travel"/>
    <n v="40"/>
    <x v="0"/>
    <x v="1"/>
    <n v="3"/>
    <n v="1"/>
    <n v="4"/>
    <n v="2"/>
    <n v="2"/>
    <n v="19"/>
    <s v="Andrew Murray"/>
    <x v="0"/>
    <m/>
    <x v="1"/>
    <n v="2"/>
    <x v="1"/>
    <n v="0"/>
    <s v="1-3 Years"/>
    <n v="2.67"/>
    <x v="0"/>
  </r>
  <r>
    <s v="EMP1314"/>
    <s v="Matthew Williams"/>
    <x v="0"/>
    <n v="32"/>
    <x v="7"/>
    <s v="Logistics Manager"/>
    <d v="2026-05-03T00:00:00"/>
    <n v="51074"/>
    <s v="Married"/>
    <s v="PhD"/>
    <x v="1"/>
    <s v="Travel_Rarely"/>
    <n v="35"/>
    <x v="0"/>
    <x v="0"/>
    <n v="3"/>
    <n v="3"/>
    <n v="2"/>
    <n v="1"/>
    <n v="1"/>
    <n v="16"/>
    <s v="Paul Sheppard"/>
    <x v="1"/>
    <d v="2026-07-23T00:00:00"/>
    <x v="1"/>
    <n v="0"/>
    <x v="1"/>
    <n v="1"/>
    <s v="Less than 1 Year"/>
    <n v="2.33"/>
    <x v="0"/>
  </r>
  <r>
    <s v="EMP1085"/>
    <s v="Bryan Herrera"/>
    <x v="2"/>
    <n v="28"/>
    <x v="4"/>
    <s v="Sales Manager"/>
    <d v="2023-01-13T00:00:00"/>
    <n v="71864"/>
    <s v="Married"/>
    <s v="Bachelor's"/>
    <x v="3"/>
    <s v="Travel_Frequently"/>
    <n v="44"/>
    <x v="0"/>
    <x v="2"/>
    <n v="4"/>
    <n v="1"/>
    <n v="2"/>
    <n v="2"/>
    <n v="5"/>
    <n v="25"/>
    <s v="Daniel Washington"/>
    <x v="0"/>
    <m/>
    <x v="1"/>
    <n v="3"/>
    <x v="2"/>
    <n v="0"/>
    <s v="1-3 Years"/>
    <n v="2.33"/>
    <x v="0"/>
  </r>
  <r>
    <s v="EMP1575"/>
    <s v="Deanna Smith"/>
    <x v="0"/>
    <n v="27"/>
    <x v="0"/>
    <s v="Lab Technician"/>
    <d v="2013-06-21T00:00:00"/>
    <n v="128096"/>
    <s v="Married"/>
    <s v="Master's"/>
    <x v="9"/>
    <s v="Travel_Frequently"/>
    <n v="44"/>
    <x v="0"/>
    <x v="0"/>
    <n v="3"/>
    <n v="4"/>
    <n v="3"/>
    <n v="3"/>
    <n v="8"/>
    <n v="19"/>
    <s v="Tracey Gonzalez"/>
    <x v="0"/>
    <m/>
    <x v="1"/>
    <n v="13"/>
    <x v="0"/>
    <n v="0"/>
    <s v="More than 10 Years"/>
    <n v="2.67"/>
    <x v="0"/>
  </r>
  <r>
    <s v="EMP1763"/>
    <s v="Destiny Lee"/>
    <x v="2"/>
    <n v="33"/>
    <x v="3"/>
    <s v="Accountant"/>
    <d v="2023-07-19T00:00:00"/>
    <n v="121351"/>
    <s v="Divorced"/>
    <s v="Bachelor's"/>
    <x v="9"/>
    <s v="Travel_Rarely"/>
    <n v="42"/>
    <x v="0"/>
    <x v="0"/>
    <n v="2"/>
    <n v="4"/>
    <n v="4"/>
    <n v="1"/>
    <n v="0"/>
    <n v="18"/>
    <s v="Tracy Wells"/>
    <x v="0"/>
    <m/>
    <x v="1"/>
    <n v="3"/>
    <x v="0"/>
    <n v="0"/>
    <s v="1-3 Years"/>
    <n v="2.33"/>
    <x v="0"/>
  </r>
  <r>
    <s v="EMP1137"/>
    <s v="Linda Smith"/>
    <x v="0"/>
    <n v="34"/>
    <x v="0"/>
    <s v="Research Scientist"/>
    <d v="2023-05-27T00:00:00"/>
    <n v="42047"/>
    <s v="Married"/>
    <s v="Master's"/>
    <x v="4"/>
    <s v="Non-Travel"/>
    <n v="22"/>
    <x v="0"/>
    <x v="3"/>
    <n v="1"/>
    <n v="3"/>
    <n v="4"/>
    <n v="3"/>
    <n v="2"/>
    <n v="14"/>
    <s v="Cameron Cunningham"/>
    <x v="0"/>
    <m/>
    <x v="1"/>
    <n v="3"/>
    <x v="1"/>
    <n v="0"/>
    <s v="1-3 Years"/>
    <n v="2.33"/>
    <x v="0"/>
  </r>
  <r>
    <s v="EMP1112"/>
    <s v="Veronica Simpson"/>
    <x v="0"/>
    <n v="29"/>
    <x v="4"/>
    <s v="Sales Manager"/>
    <d v="2012-03-19T00:00:00"/>
    <n v="100089"/>
    <s v="Married"/>
    <s v="Master's"/>
    <x v="6"/>
    <s v="Travel_Frequently"/>
    <n v="6"/>
    <x v="0"/>
    <x v="0"/>
    <n v="1"/>
    <n v="2"/>
    <n v="3"/>
    <n v="3"/>
    <n v="6"/>
    <n v="20"/>
    <s v="Leslie Kane"/>
    <x v="0"/>
    <m/>
    <x v="1"/>
    <n v="14"/>
    <x v="0"/>
    <n v="0"/>
    <s v="More than 10 Years"/>
    <n v="1.33"/>
    <x v="2"/>
  </r>
  <r>
    <s v="EMP1195"/>
    <s v="Andrew Payne"/>
    <x v="2"/>
    <n v="34"/>
    <x v="4"/>
    <s v="Account Manager"/>
    <d v="2023-10-19T00:00:00"/>
    <n v="39660"/>
    <s v="Married"/>
    <s v="Bachelor's"/>
    <x v="0"/>
    <s v="Travel_Frequently"/>
    <n v="4"/>
    <x v="0"/>
    <x v="3"/>
    <n v="2"/>
    <n v="1"/>
    <n v="4"/>
    <n v="3"/>
    <n v="5"/>
    <n v="24"/>
    <s v="Richard Marshall"/>
    <x v="0"/>
    <m/>
    <x v="1"/>
    <n v="2"/>
    <x v="1"/>
    <n v="0"/>
    <s v="1-3 Years"/>
    <n v="2"/>
    <x v="0"/>
  </r>
  <r>
    <s v="EMP1853"/>
    <s v="Joshua Gonzalez"/>
    <x v="2"/>
    <n v="38"/>
    <x v="2"/>
    <s v="Software Engineer"/>
    <d v="2017-08-31T00:00:00"/>
    <n v="126537"/>
    <s v="Married"/>
    <s v="Master's"/>
    <x v="6"/>
    <s v="Travel_Rarely"/>
    <n v="3"/>
    <x v="1"/>
    <x v="3"/>
    <n v="4"/>
    <n v="4"/>
    <n v="5"/>
    <n v="0"/>
    <n v="1"/>
    <n v="13"/>
    <s v="Jody Hines"/>
    <x v="0"/>
    <m/>
    <x v="0"/>
    <n v="9"/>
    <x v="0"/>
    <n v="0"/>
    <s v="6-10 Years"/>
    <n v="3.67"/>
    <x v="1"/>
  </r>
  <r>
    <s v="EMP1179"/>
    <s v="Sandy Stephenson"/>
    <x v="0"/>
    <n v="26"/>
    <x v="0"/>
    <s v="Manufacturing Technician"/>
    <d v="2012-03-23T00:00:00"/>
    <n v="65915"/>
    <s v="Single"/>
    <s v="High School"/>
    <x v="3"/>
    <s v="Non-Travel"/>
    <n v="13"/>
    <x v="0"/>
    <x v="2"/>
    <n v="4"/>
    <n v="1"/>
    <n v="3"/>
    <n v="3"/>
    <n v="4"/>
    <n v="13"/>
    <s v="Ralph Anderson"/>
    <x v="0"/>
    <m/>
    <x v="1"/>
    <n v="14"/>
    <x v="2"/>
    <n v="0"/>
    <s v="More than 10 Years"/>
    <n v="2.33"/>
    <x v="0"/>
  </r>
  <r>
    <s v="EMP1556"/>
    <s v="Victor Hill"/>
    <x v="2"/>
    <n v="44"/>
    <x v="2"/>
    <s v="Software Engineer"/>
    <d v="2020-09-16T00:00:00"/>
    <n v="140752"/>
    <s v="Single"/>
    <s v="Diploma"/>
    <x v="1"/>
    <s v="Travel_Rarely"/>
    <n v="20"/>
    <x v="1"/>
    <x v="3"/>
    <n v="1"/>
    <n v="4"/>
    <n v="3"/>
    <n v="2"/>
    <n v="4"/>
    <n v="25"/>
    <s v="Timothy Andrews"/>
    <x v="0"/>
    <m/>
    <x v="0"/>
    <n v="5"/>
    <x v="0"/>
    <n v="0"/>
    <s v="4-5 Years"/>
    <n v="2.67"/>
    <x v="0"/>
  </r>
  <r>
    <s v="EMP1724"/>
    <s v="Sarah Ramirez"/>
    <x v="0"/>
    <n v="42"/>
    <x v="3"/>
    <s v="Accountant"/>
    <d v="2013-08-22T00:00:00"/>
    <n v="85824"/>
    <s v="Divorced"/>
    <s v="Bachelor's"/>
    <x v="7"/>
    <s v="Travel_Rarely"/>
    <n v="18"/>
    <x v="0"/>
    <x v="0"/>
    <n v="4"/>
    <n v="3"/>
    <n v="4"/>
    <n v="1"/>
    <n v="6"/>
    <n v="20"/>
    <s v="Scott Smith"/>
    <x v="0"/>
    <m/>
    <x v="0"/>
    <n v="13"/>
    <x v="2"/>
    <n v="0"/>
    <s v="More than 10 Years"/>
    <n v="2.67"/>
    <x v="0"/>
  </r>
  <r>
    <s v="EMP1860"/>
    <s v="David Lara"/>
    <x v="0"/>
    <n v="40"/>
    <x v="2"/>
    <s v="System Administrator"/>
    <d v="2021-06-28T00:00:00"/>
    <n v="120703"/>
    <s v="Divorced"/>
    <s v="Bachelor's"/>
    <x v="4"/>
    <s v="Travel_Frequently"/>
    <n v="29"/>
    <x v="0"/>
    <x v="3"/>
    <n v="3"/>
    <n v="4"/>
    <n v="3"/>
    <n v="5"/>
    <n v="5"/>
    <n v="21"/>
    <s v="Samuel Stuart"/>
    <x v="0"/>
    <m/>
    <x v="0"/>
    <n v="5"/>
    <x v="0"/>
    <n v="0"/>
    <s v="4-5 Years"/>
    <n v="3.33"/>
    <x v="1"/>
  </r>
  <r>
    <s v="EMP1497"/>
    <s v="Justin Anderson"/>
    <x v="0"/>
    <n v="45"/>
    <x v="4"/>
    <s v="Sales Manager"/>
    <d v="2020-05-17T00:00:00"/>
    <n v="71695"/>
    <s v="Single"/>
    <s v="PhD"/>
    <x v="2"/>
    <s v="Travel_Rarely"/>
    <n v="35"/>
    <x v="0"/>
    <x v="3"/>
    <n v="1"/>
    <n v="3"/>
    <n v="4"/>
    <n v="4"/>
    <n v="7"/>
    <n v="17"/>
    <s v="Gary Mckinney"/>
    <x v="0"/>
    <m/>
    <x v="3"/>
    <n v="6"/>
    <x v="2"/>
    <n v="0"/>
    <s v="6-10 Years"/>
    <n v="2.33"/>
    <x v="0"/>
  </r>
  <r>
    <s v="EMP1904"/>
    <s v="Katherine Mcclure"/>
    <x v="2"/>
    <n v="42"/>
    <x v="3"/>
    <s v="Financial Analyst"/>
    <d v="2018-10-09T00:00:00"/>
    <n v="133552"/>
    <s v="Married"/>
    <s v="Bachelor's"/>
    <x v="3"/>
    <s v="Travel_Frequently"/>
    <n v="41"/>
    <x v="0"/>
    <x v="1"/>
    <n v="4"/>
    <n v="3"/>
    <n v="2"/>
    <n v="1"/>
    <n v="6"/>
    <n v="23"/>
    <s v="Jenny Avila"/>
    <x v="0"/>
    <m/>
    <x v="0"/>
    <n v="7"/>
    <x v="0"/>
    <n v="0"/>
    <s v="6-10 Years"/>
    <n v="3.67"/>
    <x v="1"/>
  </r>
  <r>
    <s v="EMP1806"/>
    <s v="Thomas Perry"/>
    <x v="2"/>
    <n v="32"/>
    <x v="3"/>
    <s v="Financial Analyst"/>
    <d v="2019-12-15T00:00:00"/>
    <n v="51705"/>
    <s v="Divorced"/>
    <s v="High School"/>
    <x v="2"/>
    <s v="Travel_Frequently"/>
    <n v="3"/>
    <x v="0"/>
    <x v="1"/>
    <n v="1"/>
    <n v="1"/>
    <n v="1"/>
    <n v="3"/>
    <n v="6"/>
    <n v="18"/>
    <s v="Nicole Taylor"/>
    <x v="0"/>
    <m/>
    <x v="1"/>
    <n v="6"/>
    <x v="1"/>
    <n v="0"/>
    <s v="6-10 Years"/>
    <n v="2"/>
    <x v="0"/>
  </r>
  <r>
    <s v="EMP1130"/>
    <s v="Jordan Chambers"/>
    <x v="0"/>
    <n v="32"/>
    <x v="4"/>
    <s v="Sales Representative"/>
    <d v="2021-09-10T00:00:00"/>
    <n v="77207"/>
    <s v="Married"/>
    <s v="PhD"/>
    <x v="9"/>
    <s v="Travel_Frequently"/>
    <n v="41"/>
    <x v="0"/>
    <x v="3"/>
    <n v="3"/>
    <n v="1"/>
    <n v="3"/>
    <n v="2"/>
    <n v="3"/>
    <n v="13"/>
    <s v="Samantha Bentley"/>
    <x v="0"/>
    <m/>
    <x v="1"/>
    <n v="4"/>
    <x v="2"/>
    <n v="0"/>
    <s v="4-5 Years"/>
    <n v="2.33"/>
    <x v="0"/>
  </r>
  <r>
    <s v="EMP1716"/>
    <s v="Henry Lopez"/>
    <x v="0"/>
    <n v="35"/>
    <x v="2"/>
    <s v="Devops Engineer"/>
    <d v="2020-09-06T00:00:00"/>
    <n v="79052"/>
    <s v="Divorced"/>
    <s v="Bachelor's"/>
    <x v="0"/>
    <s v="Not Specified"/>
    <n v="43"/>
    <x v="0"/>
    <x v="1"/>
    <n v="3"/>
    <n v="4"/>
    <n v="2"/>
    <n v="3"/>
    <n v="0"/>
    <n v="14"/>
    <s v="Sarah Young"/>
    <x v="0"/>
    <m/>
    <x v="0"/>
    <n v="5"/>
    <x v="2"/>
    <n v="0"/>
    <s v="4-5 Years"/>
    <n v="3.67"/>
    <x v="1"/>
  </r>
  <r>
    <s v="EMP1338"/>
    <s v="Sandra Juarez"/>
    <x v="2"/>
    <n v="35"/>
    <x v="0"/>
    <s v="Lab Technician"/>
    <d v="2021-10-01T00:00:00"/>
    <n v="49979"/>
    <s v="Divorced"/>
    <s v="Master's"/>
    <x v="2"/>
    <s v="Not Specified"/>
    <n v="23"/>
    <x v="0"/>
    <x v="1"/>
    <n v="4"/>
    <n v="1"/>
    <n v="1"/>
    <n v="3"/>
    <n v="8"/>
    <n v="18"/>
    <s v="Kenneth Adams MD"/>
    <x v="0"/>
    <m/>
    <x v="0"/>
    <n v="4"/>
    <x v="1"/>
    <n v="0"/>
    <s v="4-5 Years"/>
    <n v="3"/>
    <x v="1"/>
  </r>
  <r>
    <s v="EMP1609"/>
    <s v="Kimberly Hughes"/>
    <x v="0"/>
    <n v="19"/>
    <x v="4"/>
    <s v="Sales Executive"/>
    <d v="2019-06-25T00:00:00"/>
    <n v="60692"/>
    <s v="Single"/>
    <s v="Master's"/>
    <x v="0"/>
    <s v="Travel_Rarely"/>
    <n v="14"/>
    <x v="1"/>
    <x v="2"/>
    <n v="4"/>
    <n v="1"/>
    <n v="3"/>
    <n v="6"/>
    <n v="6"/>
    <n v="21"/>
    <s v="Lisa Morris"/>
    <x v="1"/>
    <d v="2023-01-20T00:00:00"/>
    <x v="2"/>
    <n v="3"/>
    <x v="2"/>
    <n v="1"/>
    <s v="1-3 Years"/>
    <n v="2.33"/>
    <x v="0"/>
  </r>
  <r>
    <s v="EMP1125"/>
    <s v="Mary Massey"/>
    <x v="1"/>
    <n v="25"/>
    <x v="5"/>
    <s v="Not Specified"/>
    <d v="2021-01-13T00:00:00"/>
    <n v="86524"/>
    <s v="Divorced"/>
    <s v="Not Specified"/>
    <x v="2"/>
    <s v="Non-Travel"/>
    <n v="21"/>
    <x v="0"/>
    <x v="3"/>
    <n v="4"/>
    <n v="4"/>
    <n v="4"/>
    <n v="3"/>
    <n v="8"/>
    <n v="25"/>
    <s v="Maria Parker"/>
    <x v="0"/>
    <m/>
    <x v="1"/>
    <n v="5"/>
    <x v="2"/>
    <n v="0"/>
    <s v="4-5 Years"/>
    <n v="3.67"/>
    <x v="1"/>
  </r>
  <r>
    <s v="EMP1196"/>
    <s v="Lynn Cain"/>
    <x v="2"/>
    <n v="48"/>
    <x v="4"/>
    <s v="Sales Representative"/>
    <d v="2012-08-08T00:00:00"/>
    <n v="82361"/>
    <s v="Divorced"/>
    <s v="Bachelor's"/>
    <x v="2"/>
    <s v="Travel_Frequently"/>
    <n v="1"/>
    <x v="1"/>
    <x v="2"/>
    <n v="3"/>
    <n v="4"/>
    <n v="3"/>
    <n v="5"/>
    <n v="7"/>
    <n v="18"/>
    <s v="Edward Williams"/>
    <x v="1"/>
    <d v="2023-07-08T00:00:00"/>
    <x v="3"/>
    <n v="10"/>
    <x v="2"/>
    <n v="1"/>
    <s v="6-10 Years"/>
    <n v="3"/>
    <x v="1"/>
  </r>
  <r>
    <s v="EMP1227"/>
    <s v="Angel Gordon"/>
    <x v="2"/>
    <n v="37"/>
    <x v="4"/>
    <s v="Sales Executive"/>
    <d v="2023-01-25T00:00:00"/>
    <n v="42268"/>
    <s v="Married"/>
    <s v="Bachelor's"/>
    <x v="7"/>
    <s v="Travel_Rarely"/>
    <n v="22"/>
    <x v="0"/>
    <x v="1"/>
    <n v="1"/>
    <n v="3"/>
    <n v="2"/>
    <n v="0"/>
    <n v="1"/>
    <n v="17"/>
    <s v="William Becker"/>
    <x v="0"/>
    <m/>
    <x v="0"/>
    <n v="3"/>
    <x v="1"/>
    <n v="0"/>
    <s v="1-3 Years"/>
    <n v="2.67"/>
    <x v="0"/>
  </r>
  <r>
    <s v="EMP1690"/>
    <s v="Melissa Wheeler"/>
    <x v="1"/>
    <n v="50"/>
    <x v="3"/>
    <s v="Accountant"/>
    <d v="2012-12-17T00:00:00"/>
    <n v="75857"/>
    <s v="Single"/>
    <s v="PhD"/>
    <x v="5"/>
    <s v="Travel_Frequently"/>
    <n v="36"/>
    <x v="0"/>
    <x v="0"/>
    <n v="1"/>
    <n v="2"/>
    <n v="4"/>
    <n v="2"/>
    <n v="7"/>
    <n v="25"/>
    <s v="Joseph Hopkins"/>
    <x v="1"/>
    <d v="2019-05-11T00:00:00"/>
    <x v="3"/>
    <n v="6"/>
    <x v="2"/>
    <n v="1"/>
    <s v="6-10 Years"/>
    <n v="1.33"/>
    <x v="2"/>
  </r>
  <r>
    <s v="EMP1269"/>
    <s v="Scott Brown"/>
    <x v="0"/>
    <n v="41"/>
    <x v="5"/>
    <s v="Marketing Executive"/>
    <d v="2019-03-07T00:00:00"/>
    <n v="99364"/>
    <s v="Divorced"/>
    <s v="Master's"/>
    <x v="9"/>
    <s v="Non-Travel"/>
    <n v="24"/>
    <x v="0"/>
    <x v="0"/>
    <n v="1"/>
    <n v="4"/>
    <n v="1"/>
    <n v="2"/>
    <n v="1"/>
    <n v="22"/>
    <s v="Robert Dennis"/>
    <x v="0"/>
    <m/>
    <x v="0"/>
    <n v="7"/>
    <x v="2"/>
    <n v="0"/>
    <s v="6-10 Years"/>
    <n v="2"/>
    <x v="0"/>
  </r>
  <r>
    <s v="EMP1153"/>
    <s v="Ellen Morgan"/>
    <x v="2"/>
    <n v="23"/>
    <x v="3"/>
    <s v="Accountant"/>
    <d v="2011-10-03T00:00:00"/>
    <n v="137873"/>
    <s v="Divorced"/>
    <s v="High School"/>
    <x v="3"/>
    <s v="Travel_Frequently"/>
    <n v="12"/>
    <x v="1"/>
    <x v="3"/>
    <n v="4"/>
    <n v="2"/>
    <n v="3"/>
    <n v="3"/>
    <n v="1"/>
    <n v="21"/>
    <s v="Jennifer Thomas"/>
    <x v="1"/>
    <d v="2024-09-21T00:00:00"/>
    <x v="2"/>
    <n v="12"/>
    <x v="0"/>
    <n v="1"/>
    <s v="More than 10 Years"/>
    <n v="3"/>
    <x v="1"/>
  </r>
  <r>
    <s v="EMP1910"/>
    <s v="Clarence Long"/>
    <x v="2"/>
    <n v="29"/>
    <x v="0"/>
    <s v="Manufacturing Technician"/>
    <d v="2012-11-26T00:00:00"/>
    <n v="64296"/>
    <s v="Single"/>
    <s v="Master's"/>
    <x v="7"/>
    <s v="Non-Travel"/>
    <n v="7"/>
    <x v="0"/>
    <x v="1"/>
    <n v="3"/>
    <n v="4"/>
    <n v="5"/>
    <n v="4"/>
    <n v="5"/>
    <n v="18"/>
    <s v="Elizabeth Matthews"/>
    <x v="0"/>
    <m/>
    <x v="1"/>
    <n v="13"/>
    <x v="2"/>
    <n v="0"/>
    <s v="More than 10 Years"/>
    <n v="3.67"/>
    <x v="1"/>
  </r>
  <r>
    <s v="EMP1585"/>
    <s v="Jeremy Montes"/>
    <x v="0"/>
    <n v="44"/>
    <x v="2"/>
    <s v="System Administrator"/>
    <d v="2022-01-26T00:00:00"/>
    <n v="75482"/>
    <s v="Married"/>
    <s v="Bachelor's"/>
    <x v="1"/>
    <s v="Travel_Rarely"/>
    <n v="30"/>
    <x v="0"/>
    <x v="2"/>
    <n v="4"/>
    <n v="4"/>
    <n v="3"/>
    <n v="5"/>
    <n v="8"/>
    <n v="22"/>
    <s v="Kyle Welch"/>
    <x v="0"/>
    <m/>
    <x v="0"/>
    <n v="4"/>
    <x v="2"/>
    <n v="0"/>
    <s v="4-5 Years"/>
    <n v="3.33"/>
    <x v="1"/>
  </r>
  <r>
    <s v="EMP1951"/>
    <s v="Jonathan Henderson"/>
    <x v="2"/>
    <n v="27"/>
    <x v="4"/>
    <s v="Sales Executive"/>
    <d v="2018-03-24T00:00:00"/>
    <n v="56529"/>
    <s v="Married"/>
    <s v="Bachelor's"/>
    <x v="9"/>
    <s v="Travel_Rarely"/>
    <n v="25"/>
    <x v="1"/>
    <x v="1"/>
    <n v="3"/>
    <n v="2"/>
    <n v="3"/>
    <n v="5"/>
    <n v="1"/>
    <n v="20"/>
    <s v="Katherine Mcpherson"/>
    <x v="0"/>
    <m/>
    <x v="1"/>
    <n v="8"/>
    <x v="1"/>
    <n v="0"/>
    <s v="6-10 Years"/>
    <n v="3"/>
    <x v="1"/>
  </r>
  <r>
    <s v="EMP1104"/>
    <s v="Christina Dunn"/>
    <x v="2"/>
    <n v="23"/>
    <x v="5"/>
    <s v="Marketing Executive"/>
    <d v="2025-07-02T00:00:00"/>
    <n v="80257"/>
    <s v="Single"/>
    <s v="Bachelor's"/>
    <x v="6"/>
    <s v="Non-Travel"/>
    <n v="35"/>
    <x v="0"/>
    <x v="2"/>
    <n v="1"/>
    <n v="4"/>
    <n v="2"/>
    <n v="3"/>
    <n v="8"/>
    <n v="13"/>
    <s v="Barbara Dudley"/>
    <x v="1"/>
    <d v="2026-01-04T00:00:00"/>
    <x v="2"/>
    <n v="0"/>
    <x v="2"/>
    <n v="1"/>
    <s v="Less than 1 Year"/>
    <n v="2.33"/>
    <x v="0"/>
  </r>
  <r>
    <s v="EMP1594"/>
    <s v="Brian Adams"/>
    <x v="0"/>
    <n v="40"/>
    <x v="3"/>
    <s v="Finance Manager"/>
    <d v="2022-05-02T00:00:00"/>
    <n v="121047"/>
    <s v="Divorced"/>
    <s v="Master's"/>
    <x v="2"/>
    <s v="Travel_Rarely"/>
    <n v="28"/>
    <x v="1"/>
    <x v="1"/>
    <n v="2"/>
    <n v="2"/>
    <n v="2"/>
    <n v="5"/>
    <n v="4"/>
    <n v="13"/>
    <s v="Chris Snyder"/>
    <x v="1"/>
    <d v="2025-06-25T00:00:00"/>
    <x v="0"/>
    <n v="3"/>
    <x v="0"/>
    <n v="1"/>
    <s v="1-3 Years"/>
    <n v="2.67"/>
    <x v="0"/>
  </r>
  <r>
    <s v="EMP2120"/>
    <s v="John Newman"/>
    <x v="0"/>
    <n v="35"/>
    <x v="3"/>
    <s v="Accountant"/>
    <d v="2018-02-17T00:00:00"/>
    <n v="51568"/>
    <s v="Single"/>
    <s v="Bachelor's"/>
    <x v="5"/>
    <s v="Travel_Rarely"/>
    <n v="26"/>
    <x v="0"/>
    <x v="0"/>
    <n v="4"/>
    <n v="4"/>
    <n v="5"/>
    <n v="4"/>
    <n v="0"/>
    <n v="18"/>
    <s v="Ariana Brown"/>
    <x v="0"/>
    <m/>
    <x v="0"/>
    <n v="8"/>
    <x v="1"/>
    <n v="0"/>
    <s v="6-10 Years"/>
    <n v="3"/>
    <x v="1"/>
  </r>
  <r>
    <s v="EMP1787"/>
    <s v="Donald Terry"/>
    <x v="2"/>
    <n v="19"/>
    <x v="4"/>
    <s v="Sales Executive"/>
    <d v="2019-01-25T00:00:00"/>
    <n v="77123"/>
    <s v="Divorced"/>
    <s v="Bachelor's"/>
    <x v="7"/>
    <s v="Non-Travel"/>
    <n v="37"/>
    <x v="0"/>
    <x v="1"/>
    <n v="1"/>
    <n v="2"/>
    <n v="5"/>
    <n v="3"/>
    <n v="6"/>
    <n v="24"/>
    <s v="Kelly Burton"/>
    <x v="0"/>
    <m/>
    <x v="2"/>
    <n v="7"/>
    <x v="2"/>
    <n v="0"/>
    <s v="6-10 Years"/>
    <n v="2.33"/>
    <x v="0"/>
  </r>
  <r>
    <s v="EMP2018"/>
    <s v="Laura Walls"/>
    <x v="2"/>
    <n v="35"/>
    <x v="2"/>
    <s v="System Administrator"/>
    <d v="2017-03-30T00:00:00"/>
    <n v="69600"/>
    <s v="Divorced"/>
    <s v="Master's"/>
    <x v="7"/>
    <s v="Non-Travel"/>
    <n v="14"/>
    <x v="0"/>
    <x v="0"/>
    <n v="3"/>
    <n v="1"/>
    <n v="3"/>
    <n v="1"/>
    <n v="1"/>
    <n v="21"/>
    <s v="Brandy Miller"/>
    <x v="0"/>
    <m/>
    <x v="0"/>
    <n v="9"/>
    <x v="2"/>
    <n v="0"/>
    <s v="6-10 Years"/>
    <n v="1.67"/>
    <x v="2"/>
  </r>
  <r>
    <s v="EMP1885"/>
    <s v="Michael Mcdaniel"/>
    <x v="2"/>
    <n v="28"/>
    <x v="0"/>
    <s v="Research Director"/>
    <d v="2022-04-21T00:00:00"/>
    <n v="122268"/>
    <s v="Divorced"/>
    <s v="Not Specified"/>
    <x v="7"/>
    <s v="Travel_Rarely"/>
    <n v="23"/>
    <x v="0"/>
    <x v="2"/>
    <n v="2"/>
    <n v="2"/>
    <n v="4"/>
    <n v="4"/>
    <n v="0"/>
    <n v="22"/>
    <s v="Nancy Scott"/>
    <x v="0"/>
    <m/>
    <x v="1"/>
    <n v="4"/>
    <x v="0"/>
    <n v="0"/>
    <s v="4-5 Years"/>
    <n v="2"/>
    <x v="0"/>
  </r>
  <r>
    <s v="EMP1777"/>
    <s v="Michael Hodge"/>
    <x v="0"/>
    <n v="28"/>
    <x v="7"/>
    <s v="Logistics Manager"/>
    <d v="2022-10-23T00:00:00"/>
    <n v="54459"/>
    <s v="Married"/>
    <s v="Bachelor's"/>
    <x v="1"/>
    <s v="Travel_Frequently"/>
    <n v="36"/>
    <x v="1"/>
    <x v="0"/>
    <n v="4"/>
    <n v="4"/>
    <n v="3"/>
    <n v="0"/>
    <n v="6"/>
    <n v="13"/>
    <s v="Raymond Sawyer"/>
    <x v="1"/>
    <d v="2022-11-26T00:00:00"/>
    <x v="1"/>
    <n v="0"/>
    <x v="1"/>
    <n v="1"/>
    <s v="Less than 1 Year"/>
    <n v="3"/>
    <x v="1"/>
  </r>
  <r>
    <s v="EMP1949"/>
    <s v="Heather Garcia"/>
    <x v="0"/>
    <n v="23"/>
    <x v="2"/>
    <s v="Devops Engineer"/>
    <d v="2022-04-12T00:00:00"/>
    <n v="118628"/>
    <s v="Married"/>
    <s v="Master's"/>
    <x v="10"/>
    <s v="Non-Travel"/>
    <n v="36"/>
    <x v="0"/>
    <x v="0"/>
    <n v="2"/>
    <n v="3"/>
    <n v="4"/>
    <n v="5"/>
    <n v="4"/>
    <n v="22"/>
    <s v="Angela Brown"/>
    <x v="0"/>
    <m/>
    <x v="2"/>
    <n v="4"/>
    <x v="0"/>
    <n v="0"/>
    <s v="4-5 Years"/>
    <n v="2"/>
    <x v="0"/>
  </r>
  <r>
    <s v="EMP1850"/>
    <s v="Sara Herrera"/>
    <x v="0"/>
    <n v="40"/>
    <x v="2"/>
    <s v="System Administrator"/>
    <d v="2015-12-13T00:00:00"/>
    <n v="146837"/>
    <s v="Divorced"/>
    <s v="High School"/>
    <x v="0"/>
    <s v="Non-Travel"/>
    <n v="4"/>
    <x v="0"/>
    <x v="0"/>
    <n v="3"/>
    <n v="3"/>
    <n v="3"/>
    <n v="3"/>
    <n v="2"/>
    <n v="22"/>
    <s v="Zachary Morales"/>
    <x v="0"/>
    <m/>
    <x v="0"/>
    <n v="10"/>
    <x v="0"/>
    <n v="0"/>
    <s v="6-10 Years"/>
    <n v="2.33"/>
    <x v="0"/>
  </r>
  <r>
    <s v="EMP1895"/>
    <s v="Catherine Jackson"/>
    <x v="2"/>
    <n v="40"/>
    <x v="1"/>
    <s v="Hr Business Partner"/>
    <d v="2019-04-03T00:00:00"/>
    <n v="51722"/>
    <s v="Married"/>
    <s v="Bachelor's"/>
    <x v="3"/>
    <s v="Travel_Rarely"/>
    <n v="26"/>
    <x v="1"/>
    <x v="0"/>
    <n v="1"/>
    <n v="1"/>
    <n v="5"/>
    <n v="2"/>
    <n v="1"/>
    <n v="19"/>
    <s v="Laurie Silva"/>
    <x v="1"/>
    <d v="2021-04-10T00:00:00"/>
    <x v="0"/>
    <n v="2"/>
    <x v="1"/>
    <n v="1"/>
    <s v="1-3 Years"/>
    <n v="1"/>
    <x v="2"/>
  </r>
  <r>
    <s v="EMP1228"/>
    <s v="William Long"/>
    <x v="0"/>
    <n v="41"/>
    <x v="0"/>
    <s v="Lab Technician"/>
    <d v="2023-07-10T00:00:00"/>
    <n v="92800"/>
    <s v="Married"/>
    <s v="High School"/>
    <x v="6"/>
    <s v="Travel_Frequently"/>
    <n v="37"/>
    <x v="1"/>
    <x v="2"/>
    <n v="2"/>
    <n v="4"/>
    <n v="4"/>
    <n v="6"/>
    <n v="3"/>
    <n v="21"/>
    <s v="Nicole Gonzalez"/>
    <x v="1"/>
    <d v="2024-08-02T00:00:00"/>
    <x v="0"/>
    <n v="1"/>
    <x v="2"/>
    <n v="1"/>
    <s v="1-3 Years"/>
    <n v="2.67"/>
    <x v="0"/>
  </r>
  <r>
    <s v="EMP2142"/>
    <s v="Theresa Martin"/>
    <x v="2"/>
    <n v="33"/>
    <x v="2"/>
    <s v="Devops Engineer"/>
    <d v="2012-07-08T00:00:00"/>
    <n v="72689"/>
    <s v="Married"/>
    <s v="Bachelor's"/>
    <x v="8"/>
    <s v="Travel_Rarely"/>
    <n v="23"/>
    <x v="0"/>
    <x v="3"/>
    <n v="4"/>
    <n v="1"/>
    <n v="5"/>
    <n v="3"/>
    <n v="1"/>
    <n v="11"/>
    <s v="Not Specified"/>
    <x v="0"/>
    <m/>
    <x v="1"/>
    <n v="14"/>
    <x v="2"/>
    <n v="0"/>
    <s v="More than 10 Years"/>
    <n v="2.67"/>
    <x v="0"/>
  </r>
  <r>
    <s v="EMP1302"/>
    <s v="Erika Cruz"/>
    <x v="2"/>
    <n v="43"/>
    <x v="0"/>
    <s v="Research Director"/>
    <d v="2016-01-07T00:00:00"/>
    <n v="76798"/>
    <s v="Single"/>
    <s v="Not Specified"/>
    <x v="4"/>
    <s v="Travel_Rarely"/>
    <n v="28"/>
    <x v="0"/>
    <x v="0"/>
    <n v="3"/>
    <n v="1"/>
    <n v="2"/>
    <n v="2"/>
    <n v="8"/>
    <n v="19"/>
    <s v="Bradley Santana"/>
    <x v="0"/>
    <m/>
    <x v="0"/>
    <n v="10"/>
    <x v="2"/>
    <n v="0"/>
    <s v="6-10 Years"/>
    <n v="1.67"/>
    <x v="2"/>
  </r>
  <r>
    <s v="EMP1855"/>
    <s v="Timothy Patel"/>
    <x v="2"/>
    <n v="41"/>
    <x v="0"/>
    <s v="Research Director"/>
    <d v="2020-10-29T00:00:00"/>
    <n v="98164"/>
    <s v="Divorced"/>
    <s v="PhD"/>
    <x v="1"/>
    <s v="Travel_Rarely"/>
    <n v="37"/>
    <x v="0"/>
    <x v="2"/>
    <n v="1"/>
    <n v="1"/>
    <n v="3"/>
    <n v="6"/>
    <n v="4"/>
    <n v="14"/>
    <s v="Jessica Knight"/>
    <x v="0"/>
    <m/>
    <x v="0"/>
    <n v="5"/>
    <x v="2"/>
    <n v="0"/>
    <s v="4-5 Years"/>
    <n v="1.33"/>
    <x v="2"/>
  </r>
  <r>
    <s v="EMP1276"/>
    <s v="Lindsey Russo"/>
    <x v="2"/>
    <n v="22"/>
    <x v="4"/>
    <s v="Sales Executive"/>
    <d v="2014-06-21T00:00:00"/>
    <n v="83385"/>
    <s v="Divorced"/>
    <s v="Diploma"/>
    <x v="0"/>
    <s v="Travel_Frequently"/>
    <n v="4"/>
    <x v="0"/>
    <x v="3"/>
    <n v="2"/>
    <n v="4"/>
    <n v="3"/>
    <n v="4"/>
    <n v="5"/>
    <n v="12"/>
    <s v="Misty Hansen"/>
    <x v="0"/>
    <m/>
    <x v="2"/>
    <n v="12"/>
    <x v="2"/>
    <n v="0"/>
    <s v="More than 10 Years"/>
    <n v="3"/>
    <x v="1"/>
  </r>
  <r>
    <s v="EMP1127"/>
    <s v="Valerie Schmidt"/>
    <x v="0"/>
    <n v="34"/>
    <x v="1"/>
    <s v="Recruiter"/>
    <d v="2025-04-16T00:00:00"/>
    <n v="32553"/>
    <s v="Divorced"/>
    <s v="Diploma"/>
    <x v="5"/>
    <s v="Travel_Frequently"/>
    <n v="4"/>
    <x v="0"/>
    <x v="2"/>
    <n v="2"/>
    <n v="2"/>
    <n v="3"/>
    <n v="4"/>
    <n v="8"/>
    <n v="12"/>
    <s v="Roger Olson"/>
    <x v="1"/>
    <d v="2026-06-06T00:00:00"/>
    <x v="1"/>
    <n v="1"/>
    <x v="1"/>
    <n v="1"/>
    <s v="1-3 Years"/>
    <n v="2"/>
    <x v="0"/>
  </r>
  <r>
    <s v="EMP1406"/>
    <s v="Benjamin Singleton"/>
    <x v="0"/>
    <n v="36"/>
    <x v="3"/>
    <s v="Financial Analyst"/>
    <d v="2016-01-23T00:00:00"/>
    <n v="56980"/>
    <s v="Divorced"/>
    <s v="Diploma"/>
    <x v="0"/>
    <s v="Travel_Frequently"/>
    <n v="2"/>
    <x v="0"/>
    <x v="0"/>
    <n v="3"/>
    <n v="2"/>
    <n v="4"/>
    <n v="6"/>
    <n v="2"/>
    <n v="17"/>
    <s v="Not Specified"/>
    <x v="0"/>
    <m/>
    <x v="0"/>
    <n v="10"/>
    <x v="1"/>
    <n v="0"/>
    <s v="6-10 Years"/>
    <n v="2"/>
    <x v="0"/>
  </r>
  <r>
    <s v="EMP1776"/>
    <s v="Tiffany Anderson"/>
    <x v="0"/>
    <n v="44"/>
    <x v="4"/>
    <s v="Not Specified"/>
    <d v="2016-01-28T00:00:00"/>
    <n v="45213"/>
    <s v="Single"/>
    <s v="Bachelor's"/>
    <x v="7"/>
    <s v="Travel_Frequently"/>
    <n v="10"/>
    <x v="0"/>
    <x v="3"/>
    <n v="1"/>
    <n v="3"/>
    <n v="3"/>
    <n v="1"/>
    <n v="8"/>
    <n v="19"/>
    <s v="Ann Castillo"/>
    <x v="0"/>
    <m/>
    <x v="0"/>
    <n v="10"/>
    <x v="1"/>
    <n v="0"/>
    <s v="6-10 Years"/>
    <n v="2.33"/>
    <x v="0"/>
  </r>
  <r>
    <s v="EMP1822"/>
    <s v="Amy Wilson"/>
    <x v="0"/>
    <n v="32"/>
    <x v="5"/>
    <s v="Brand Manager"/>
    <d v="2015-06-09T00:00:00"/>
    <n v="91365"/>
    <s v="Not Specified"/>
    <s v="Not Specified"/>
    <x v="5"/>
    <s v="Non-Travel"/>
    <n v="5"/>
    <x v="0"/>
    <x v="3"/>
    <n v="2"/>
    <n v="2"/>
    <n v="3"/>
    <n v="6"/>
    <n v="1"/>
    <n v="21"/>
    <s v="Michael Webster"/>
    <x v="0"/>
    <m/>
    <x v="1"/>
    <n v="11"/>
    <x v="2"/>
    <n v="0"/>
    <s v="More than 10 Years"/>
    <n v="2.33"/>
    <x v="0"/>
  </r>
  <r>
    <s v="EMP1712"/>
    <s v="James James"/>
    <x v="2"/>
    <n v="47"/>
    <x v="1"/>
    <s v="Recruiter"/>
    <d v="2019-10-18T00:00:00"/>
    <n v="71661"/>
    <s v="Married"/>
    <s v="Bachelor's"/>
    <x v="4"/>
    <s v="Travel_Frequently"/>
    <n v="1"/>
    <x v="0"/>
    <x v="1"/>
    <n v="3"/>
    <n v="4"/>
    <n v="3"/>
    <n v="4"/>
    <n v="2"/>
    <n v="25"/>
    <s v="Karen Lopez"/>
    <x v="0"/>
    <m/>
    <x v="3"/>
    <n v="6"/>
    <x v="2"/>
    <n v="0"/>
    <s v="6-10 Years"/>
    <n v="3.67"/>
    <x v="1"/>
  </r>
  <r>
    <s v="EMP1766"/>
    <s v="Steven Griffith"/>
    <x v="0"/>
    <n v="19"/>
    <x v="6"/>
    <s v="Manufacturing Technician"/>
    <d v="2020-07-03T00:00:00"/>
    <n v="45005"/>
    <s v="Divorced"/>
    <s v="Bachelor's"/>
    <x v="1"/>
    <s v="Non-Travel"/>
    <n v="23"/>
    <x v="0"/>
    <x v="3"/>
    <n v="2"/>
    <n v="4"/>
    <n v="3"/>
    <n v="6"/>
    <n v="4"/>
    <n v="13"/>
    <s v="Not Specified"/>
    <x v="0"/>
    <m/>
    <x v="2"/>
    <n v="6"/>
    <x v="1"/>
    <n v="0"/>
    <s v="6-10 Years"/>
    <n v="3"/>
    <x v="1"/>
  </r>
  <r>
    <s v="EMP1750"/>
    <s v="Zachary Johnson"/>
    <x v="0"/>
    <n v="52"/>
    <x v="1"/>
    <s v="Recruiter"/>
    <d v="2012-07-01T00:00:00"/>
    <n v="63040"/>
    <s v="Single"/>
    <s v="Master's"/>
    <x v="9"/>
    <s v="Non-Travel"/>
    <n v="12"/>
    <x v="0"/>
    <x v="3"/>
    <n v="2"/>
    <n v="4"/>
    <n v="4"/>
    <n v="3"/>
    <n v="0"/>
    <n v="18"/>
    <s v="Amanda Wilson"/>
    <x v="0"/>
    <m/>
    <x v="3"/>
    <n v="14"/>
    <x v="2"/>
    <n v="0"/>
    <s v="More than 10 Years"/>
    <n v="3"/>
    <x v="1"/>
  </r>
  <r>
    <s v="EMP2145"/>
    <s v="Patrick Tapia"/>
    <x v="2"/>
    <n v="39"/>
    <x v="2"/>
    <s v="System Administrator"/>
    <d v="2023-12-12T00:00:00"/>
    <n v="135850"/>
    <s v="Single"/>
    <s v="Bachelor's"/>
    <x v="7"/>
    <s v="Non-Travel"/>
    <n v="35"/>
    <x v="0"/>
    <x v="1"/>
    <n v="2"/>
    <n v="1"/>
    <n v="3"/>
    <n v="2"/>
    <n v="3"/>
    <n v="11"/>
    <s v="Kelsey Lynch"/>
    <x v="0"/>
    <m/>
    <x v="0"/>
    <n v="2"/>
    <x v="0"/>
    <n v="0"/>
    <s v="1-3 Years"/>
    <n v="2.33"/>
    <x v="0"/>
  </r>
  <r>
    <s v="EMP1037"/>
    <s v="Michele Carr"/>
    <x v="2"/>
    <n v="35"/>
    <x v="2"/>
    <s v="Devops Engineer"/>
    <d v="2026-05-23T00:00:00"/>
    <n v="86416"/>
    <s v="Married"/>
    <s v="Bachelor's"/>
    <x v="7"/>
    <s v="Travel_Rarely"/>
    <n v="29"/>
    <x v="1"/>
    <x v="1"/>
    <n v="2"/>
    <n v="2"/>
    <n v="2"/>
    <n v="4"/>
    <n v="4"/>
    <n v="23"/>
    <s v="Robert Evans"/>
    <x v="1"/>
    <d v="2026-07-27T00:00:00"/>
    <x v="0"/>
    <n v="0"/>
    <x v="2"/>
    <n v="1"/>
    <s v="Less than 1 Year"/>
    <n v="2.67"/>
    <x v="0"/>
  </r>
  <r>
    <s v="EMP1140"/>
    <s v="Adrian Tyler"/>
    <x v="0"/>
    <n v="27"/>
    <x v="4"/>
    <s v="Sales Representative"/>
    <d v="2015-03-19T00:00:00"/>
    <n v="105608"/>
    <s v="Single"/>
    <s v="High School"/>
    <x v="9"/>
    <s v="Non-Travel"/>
    <n v="4"/>
    <x v="0"/>
    <x v="2"/>
    <n v="3"/>
    <n v="4"/>
    <n v="2"/>
    <n v="3"/>
    <n v="0"/>
    <n v="12"/>
    <s v="Christopher Williams"/>
    <x v="0"/>
    <m/>
    <x v="1"/>
    <n v="11"/>
    <x v="0"/>
    <n v="0"/>
    <s v="More than 10 Years"/>
    <n v="3"/>
    <x v="1"/>
  </r>
  <r>
    <s v="EMP1304"/>
    <s v="Arthur Hamilton MD"/>
    <x v="0"/>
    <n v="40"/>
    <x v="3"/>
    <s v="Auditor"/>
    <d v="2018-11-20T00:00:00"/>
    <n v="126787"/>
    <s v="Married"/>
    <s v="PhD"/>
    <x v="3"/>
    <s v="Travel_Rarely"/>
    <n v="16"/>
    <x v="0"/>
    <x v="0"/>
    <n v="3"/>
    <n v="4"/>
    <n v="4"/>
    <n v="4"/>
    <n v="1"/>
    <n v="12"/>
    <s v="David Wright"/>
    <x v="0"/>
    <m/>
    <x v="0"/>
    <n v="7"/>
    <x v="0"/>
    <n v="0"/>
    <s v="6-10 Years"/>
    <n v="2.67"/>
    <x v="0"/>
  </r>
  <r>
    <s v="EMP1268"/>
    <s v="Kyle Warner"/>
    <x v="0"/>
    <n v="39"/>
    <x v="0"/>
    <s v="Research Director"/>
    <d v="2012-05-22T00:00:00"/>
    <n v="58124"/>
    <s v="Divorced"/>
    <s v="Bachelor's"/>
    <x v="5"/>
    <s v="Travel_Frequently"/>
    <n v="5"/>
    <x v="0"/>
    <x v="2"/>
    <n v="3"/>
    <n v="4"/>
    <n v="3"/>
    <n v="5"/>
    <n v="2"/>
    <n v="20"/>
    <s v="Jennifer Young"/>
    <x v="0"/>
    <m/>
    <x v="0"/>
    <n v="14"/>
    <x v="1"/>
    <n v="0"/>
    <s v="More than 10 Years"/>
    <n v="3"/>
    <x v="1"/>
  </r>
  <r>
    <s v="EMP1835"/>
    <s v="Maria Ross"/>
    <x v="0"/>
    <n v="35"/>
    <x v="0"/>
    <s v="Research Director"/>
    <d v="2018-10-05T00:00:00"/>
    <n v="83084"/>
    <s v="Married"/>
    <s v="Not Specified"/>
    <x v="5"/>
    <s v="Non-Travel"/>
    <n v="32"/>
    <x v="0"/>
    <x v="0"/>
    <n v="2"/>
    <n v="2"/>
    <n v="4"/>
    <n v="2"/>
    <n v="4"/>
    <n v="23"/>
    <s v="Jennifer Washington"/>
    <x v="0"/>
    <m/>
    <x v="0"/>
    <n v="7"/>
    <x v="2"/>
    <n v="0"/>
    <s v="6-10 Years"/>
    <n v="1.67"/>
    <x v="2"/>
  </r>
  <r>
    <s v="EMP1534"/>
    <s v="Alison Williams"/>
    <x v="0"/>
    <n v="26"/>
    <x v="0"/>
    <s v="Lab Technician"/>
    <d v="2020-03-20T00:00:00"/>
    <n v="104490"/>
    <s v="Divorced"/>
    <s v="Bachelor's"/>
    <x v="8"/>
    <s v="Travel_Frequently"/>
    <n v="34"/>
    <x v="0"/>
    <x v="3"/>
    <n v="2"/>
    <n v="1"/>
    <n v="3"/>
    <n v="0"/>
    <n v="4"/>
    <n v="17"/>
    <s v="Mark Williams"/>
    <x v="0"/>
    <m/>
    <x v="1"/>
    <n v="6"/>
    <x v="0"/>
    <n v="0"/>
    <s v="6-10 Years"/>
    <n v="2"/>
    <x v="0"/>
  </r>
  <r>
    <s v="EMP1546"/>
    <s v="Matthew King"/>
    <x v="2"/>
    <n v="26"/>
    <x v="4"/>
    <s v="Account Manager"/>
    <d v="2024-06-01T00:00:00"/>
    <n v="77940"/>
    <s v="Single"/>
    <s v="Master's"/>
    <x v="5"/>
    <s v="Travel_Rarely"/>
    <n v="29"/>
    <x v="1"/>
    <x v="3"/>
    <n v="2"/>
    <n v="1"/>
    <n v="3"/>
    <n v="1"/>
    <n v="8"/>
    <n v="11"/>
    <s v="Jacob Hill"/>
    <x v="0"/>
    <m/>
    <x v="1"/>
    <n v="2"/>
    <x v="2"/>
    <n v="0"/>
    <s v="1-3 Years"/>
    <n v="2"/>
    <x v="0"/>
  </r>
  <r>
    <s v="EMP1213"/>
    <s v="Haley Humphrey"/>
    <x v="2"/>
    <n v="44"/>
    <x v="2"/>
    <s v="It Support"/>
    <d v="2023-04-21T00:00:00"/>
    <n v="73017"/>
    <s v="Married"/>
    <s v="Master's"/>
    <x v="10"/>
    <s v="Travel_Frequently"/>
    <n v="42"/>
    <x v="1"/>
    <x v="3"/>
    <n v="1"/>
    <n v="4"/>
    <n v="3"/>
    <n v="2"/>
    <n v="5"/>
    <n v="14"/>
    <s v="Catherine Burch"/>
    <x v="0"/>
    <m/>
    <x v="0"/>
    <n v="3"/>
    <x v="2"/>
    <n v="0"/>
    <s v="1-3 Years"/>
    <n v="2.67"/>
    <x v="0"/>
  </r>
  <r>
    <s v="EMP1897"/>
    <s v="Allison Maldonado"/>
    <x v="2"/>
    <n v="52"/>
    <x v="0"/>
    <s v="Lab Technician"/>
    <d v="2021-10-25T00:00:00"/>
    <n v="72844"/>
    <s v="Single"/>
    <s v="Master's"/>
    <x v="9"/>
    <s v="Travel_Rarely"/>
    <n v="2"/>
    <x v="0"/>
    <x v="2"/>
    <n v="4"/>
    <n v="4"/>
    <n v="3"/>
    <n v="3"/>
    <n v="8"/>
    <n v="14"/>
    <s v="Kevin Bean"/>
    <x v="0"/>
    <m/>
    <x v="3"/>
    <n v="4"/>
    <x v="2"/>
    <n v="0"/>
    <s v="4-5 Years"/>
    <n v="3.33"/>
    <x v="1"/>
  </r>
  <r>
    <s v="EMP1469"/>
    <s v="Megan Saunders"/>
    <x v="2"/>
    <n v="37"/>
    <x v="2"/>
    <s v="Data Analyst"/>
    <d v="2020-04-07T00:00:00"/>
    <n v="54851"/>
    <s v="Divorced"/>
    <s v="High School"/>
    <x v="6"/>
    <s v="Non-Travel"/>
    <n v="9"/>
    <x v="0"/>
    <x v="0"/>
    <n v="2"/>
    <n v="1"/>
    <n v="3"/>
    <n v="3"/>
    <n v="4"/>
    <n v="17"/>
    <s v="Vanessa Santiago"/>
    <x v="0"/>
    <m/>
    <x v="0"/>
    <n v="6"/>
    <x v="1"/>
    <n v="0"/>
    <s v="6-10 Years"/>
    <n v="1.33"/>
    <x v="2"/>
  </r>
  <r>
    <s v="EMP1199"/>
    <s v="Natalie Kline"/>
    <x v="2"/>
    <n v="22"/>
    <x v="2"/>
    <s v="Data Analyst"/>
    <d v="2017-06-06T00:00:00"/>
    <n v="62811"/>
    <s v="Single"/>
    <s v="Master's"/>
    <x v="4"/>
    <s v="Travel_Rarely"/>
    <n v="34"/>
    <x v="1"/>
    <x v="2"/>
    <n v="1"/>
    <n v="3"/>
    <n v="5"/>
    <n v="6"/>
    <n v="1"/>
    <n v="21"/>
    <s v="Jonathan Glass MD"/>
    <x v="1"/>
    <d v="2026-06-03T00:00:00"/>
    <x v="2"/>
    <n v="8"/>
    <x v="2"/>
    <n v="1"/>
    <s v="6-10 Years"/>
    <n v="2"/>
    <x v="0"/>
  </r>
  <r>
    <s v="EMP2048"/>
    <s v="Daniel Johnson"/>
    <x v="2"/>
    <n v="44"/>
    <x v="0"/>
    <s v="Research Director"/>
    <d v="2021-09-25T00:00:00"/>
    <n v="113760"/>
    <s v="Married"/>
    <s v="Diploma"/>
    <x v="2"/>
    <s v="Travel_Rarely"/>
    <n v="23"/>
    <x v="1"/>
    <x v="1"/>
    <n v="2"/>
    <n v="3"/>
    <n v="5"/>
    <n v="2"/>
    <n v="5"/>
    <n v="22"/>
    <s v="Michael Copeland"/>
    <x v="0"/>
    <m/>
    <x v="0"/>
    <n v="4"/>
    <x v="0"/>
    <n v="0"/>
    <s v="4-5 Years"/>
    <n v="3"/>
    <x v="1"/>
  </r>
  <r>
    <s v="EMP1868"/>
    <s v="Sarah Bates"/>
    <x v="0"/>
    <n v="42"/>
    <x v="5"/>
    <s v="Marketing Executive"/>
    <d v="2025-09-12T00:00:00"/>
    <n v="81650"/>
    <s v="Divorced"/>
    <s v="Bachelor's"/>
    <x v="1"/>
    <s v="Travel_Frequently"/>
    <n v="26"/>
    <x v="1"/>
    <x v="3"/>
    <n v="4"/>
    <n v="4"/>
    <n v="4"/>
    <n v="4"/>
    <n v="2"/>
    <n v="18"/>
    <s v="Cynthia Tran"/>
    <x v="1"/>
    <d v="2026-05-13T00:00:00"/>
    <x v="0"/>
    <n v="0"/>
    <x v="2"/>
    <n v="1"/>
    <s v="Less than 1 Year"/>
    <n v="3.67"/>
    <x v="1"/>
  </r>
  <r>
    <s v="EMP1673"/>
    <s v="Jeffery Pierce"/>
    <x v="0"/>
    <n v="38"/>
    <x v="0"/>
    <s v="Lab Technician"/>
    <d v="2016-01-12T00:00:00"/>
    <n v="54971"/>
    <s v="Single"/>
    <s v="Master's"/>
    <x v="6"/>
    <s v="Non-Travel"/>
    <n v="22"/>
    <x v="0"/>
    <x v="3"/>
    <n v="3"/>
    <n v="2"/>
    <n v="1"/>
    <n v="6"/>
    <n v="4"/>
    <n v="21"/>
    <s v="Michael Hill"/>
    <x v="0"/>
    <m/>
    <x v="0"/>
    <n v="10"/>
    <x v="1"/>
    <n v="0"/>
    <s v="6-10 Years"/>
    <n v="2.67"/>
    <x v="0"/>
  </r>
  <r>
    <s v="EMP1917"/>
    <s v="Alex Martin"/>
    <x v="0"/>
    <n v="19"/>
    <x v="5"/>
    <s v="Marketing Executive"/>
    <d v="2013-12-08T00:00:00"/>
    <n v="77630"/>
    <s v="Divorced"/>
    <s v="Bachelor's"/>
    <x v="4"/>
    <s v="Non-Travel"/>
    <n v="2"/>
    <x v="1"/>
    <x v="2"/>
    <n v="3"/>
    <n v="2"/>
    <n v="2"/>
    <n v="2"/>
    <n v="4"/>
    <n v="14"/>
    <s v="Kaitlyn Heath"/>
    <x v="1"/>
    <d v="2022-11-17T00:00:00"/>
    <x v="2"/>
    <n v="8"/>
    <x v="2"/>
    <n v="1"/>
    <s v="6-10 Years"/>
    <n v="2.33"/>
    <x v="0"/>
  </r>
  <r>
    <s v="EMP1528"/>
    <s v="Terry Ward"/>
    <x v="2"/>
    <n v="19"/>
    <x v="2"/>
    <s v="Data Analyst"/>
    <d v="2018-09-02T00:00:00"/>
    <n v="100527"/>
    <s v="Divorced"/>
    <s v="Master's"/>
    <x v="6"/>
    <s v="Travel_Frequently"/>
    <n v="23"/>
    <x v="0"/>
    <x v="0"/>
    <n v="1"/>
    <n v="3"/>
    <n v="5"/>
    <n v="2"/>
    <n v="5"/>
    <n v="19"/>
    <s v="Anthony Hooper"/>
    <x v="0"/>
    <m/>
    <x v="2"/>
    <n v="7"/>
    <x v="0"/>
    <n v="0"/>
    <s v="6-10 Years"/>
    <n v="1.67"/>
    <x v="2"/>
  </r>
  <r>
    <s v="EMP1676"/>
    <s v="Heather Anderson DDS"/>
    <x v="0"/>
    <n v="20"/>
    <x v="2"/>
    <s v="System Administrator"/>
    <d v="2019-06-01T00:00:00"/>
    <n v="123761"/>
    <s v="Single"/>
    <s v="Bachelor's"/>
    <x v="7"/>
    <s v="Travel_Frequently"/>
    <n v="20"/>
    <x v="1"/>
    <x v="2"/>
    <n v="4"/>
    <n v="1"/>
    <n v="4"/>
    <n v="2"/>
    <n v="7"/>
    <n v="17"/>
    <s v="Christopher Lynch DDS"/>
    <x v="1"/>
    <d v="2023-12-30T00:00:00"/>
    <x v="2"/>
    <n v="4"/>
    <x v="0"/>
    <n v="1"/>
    <s v="4-5 Years"/>
    <n v="2.33"/>
    <x v="0"/>
  </r>
  <r>
    <s v="EMP2074"/>
    <s v="Keith Lee"/>
    <x v="0"/>
    <n v="33"/>
    <x v="0"/>
    <s v="Research Director"/>
    <d v="2018-03-04T00:00:00"/>
    <n v="115629"/>
    <s v="Single"/>
    <s v="Not Specified"/>
    <x v="9"/>
    <s v="Travel_Rarely"/>
    <n v="35"/>
    <x v="0"/>
    <x v="3"/>
    <n v="1"/>
    <n v="4"/>
    <n v="3"/>
    <n v="5"/>
    <n v="7"/>
    <n v="17"/>
    <s v="Thomas Bowen"/>
    <x v="0"/>
    <m/>
    <x v="1"/>
    <n v="8"/>
    <x v="0"/>
    <n v="0"/>
    <s v="6-10 Years"/>
    <n v="2.67"/>
    <x v="0"/>
  </r>
  <r>
    <s v="EMP1815"/>
    <s v="Anne Carpenter"/>
    <x v="2"/>
    <n v="24"/>
    <x v="0"/>
    <s v="Research Director"/>
    <d v="2023-12-12T00:00:00"/>
    <n v="99514"/>
    <s v="Single"/>
    <s v="Master's"/>
    <x v="5"/>
    <s v="Not Specified"/>
    <n v="27"/>
    <x v="1"/>
    <x v="1"/>
    <n v="3"/>
    <n v="1"/>
    <n v="1"/>
    <n v="2"/>
    <n v="6"/>
    <n v="17"/>
    <s v="Joseph Watson"/>
    <x v="0"/>
    <m/>
    <x v="2"/>
    <n v="2"/>
    <x v="2"/>
    <n v="0"/>
    <s v="1-3 Years"/>
    <n v="2.67"/>
    <x v="0"/>
  </r>
  <r>
    <s v="EMP1242"/>
    <s v="John Harris"/>
    <x v="0"/>
    <n v="36"/>
    <x v="2"/>
    <s v="It Support"/>
    <d v="2019-09-12T00:00:00"/>
    <n v="141955"/>
    <s v="Single"/>
    <s v="High School"/>
    <x v="9"/>
    <s v="Travel_Frequently"/>
    <n v="8"/>
    <x v="0"/>
    <x v="3"/>
    <n v="1"/>
    <n v="3"/>
    <n v="3"/>
    <n v="6"/>
    <n v="2"/>
    <n v="19"/>
    <s v="Melissa Taylor"/>
    <x v="0"/>
    <m/>
    <x v="0"/>
    <n v="6"/>
    <x v="0"/>
    <n v="0"/>
    <s v="6-10 Years"/>
    <n v="2.33"/>
    <x v="0"/>
  </r>
  <r>
    <s v="EMP1343"/>
    <s v="Michael Williams"/>
    <x v="2"/>
    <n v="34"/>
    <x v="7"/>
    <s v="Supply Chain Analyst"/>
    <d v="2013-02-23T00:00:00"/>
    <n v="45319"/>
    <s v="Married"/>
    <s v="Diploma"/>
    <x v="6"/>
    <s v="Travel_Rarely"/>
    <n v="40"/>
    <x v="1"/>
    <x v="0"/>
    <n v="4"/>
    <n v="1"/>
    <n v="3"/>
    <n v="1"/>
    <n v="8"/>
    <n v="15"/>
    <s v="Not Specified"/>
    <x v="1"/>
    <d v="2023-09-29T00:00:00"/>
    <x v="1"/>
    <n v="10"/>
    <x v="1"/>
    <n v="1"/>
    <s v="6-10 Years"/>
    <n v="2"/>
    <x v="0"/>
  </r>
  <r>
    <s v="EMP1550"/>
    <s v="Caitlyn Oconnell"/>
    <x v="2"/>
    <n v="28"/>
    <x v="0"/>
    <s v="Research Director"/>
    <d v="2011-09-28T00:00:00"/>
    <n v="67408"/>
    <s v="Divorced"/>
    <s v="High School"/>
    <x v="7"/>
    <s v="Travel_Rarely"/>
    <n v="39"/>
    <x v="1"/>
    <x v="0"/>
    <n v="4"/>
    <n v="2"/>
    <n v="3"/>
    <n v="2"/>
    <n v="1"/>
    <n v="20"/>
    <s v="Timothy Graham"/>
    <x v="1"/>
    <d v="2013-02-05T00:00:00"/>
    <x v="1"/>
    <n v="1"/>
    <x v="2"/>
    <n v="1"/>
    <s v="1-3 Years"/>
    <n v="2.33"/>
    <x v="0"/>
  </r>
  <r>
    <s v="EMP1387"/>
    <s v="Juan Brown"/>
    <x v="0"/>
    <n v="26"/>
    <x v="5"/>
    <s v="Digital Marketing Specialist"/>
    <d v="2015-11-02T00:00:00"/>
    <n v="59689"/>
    <s v="Single"/>
    <s v="Master's"/>
    <x v="0"/>
    <s v="Travel_Frequently"/>
    <n v="27"/>
    <x v="1"/>
    <x v="1"/>
    <n v="1"/>
    <n v="3"/>
    <n v="3"/>
    <n v="0"/>
    <n v="2"/>
    <n v="12"/>
    <s v="Curtis Wilkerson"/>
    <x v="0"/>
    <m/>
    <x v="1"/>
    <n v="10"/>
    <x v="1"/>
    <n v="0"/>
    <s v="6-10 Years"/>
    <n v="2.67"/>
    <x v="0"/>
  </r>
  <r>
    <s v="EMP2124"/>
    <s v="Carl Harris"/>
    <x v="0"/>
    <n v="50"/>
    <x v="4"/>
    <s v="Not Specified"/>
    <d v="2014-01-25T00:00:00"/>
    <n v="43263"/>
    <s v="Divorced"/>
    <s v="High School"/>
    <x v="1"/>
    <s v="Travel_Rarely"/>
    <n v="32"/>
    <x v="1"/>
    <x v="3"/>
    <n v="3"/>
    <n v="3"/>
    <n v="1"/>
    <n v="6"/>
    <n v="8"/>
    <n v="13"/>
    <s v="Sarah Johnson"/>
    <x v="0"/>
    <m/>
    <x v="3"/>
    <n v="12"/>
    <x v="1"/>
    <n v="0"/>
    <s v="More than 10 Years"/>
    <n v="3"/>
    <x v="1"/>
  </r>
  <r>
    <s v="EMP1207"/>
    <s v="Zachary Mitchell"/>
    <x v="2"/>
    <n v="19"/>
    <x v="0"/>
    <s v="Manufacturing Technician"/>
    <d v="2025-05-02T00:00:00"/>
    <n v="103047"/>
    <s v="Divorced"/>
    <s v="Master's"/>
    <x v="9"/>
    <s v="Non-Travel"/>
    <n v="3"/>
    <x v="0"/>
    <x v="3"/>
    <n v="1"/>
    <n v="2"/>
    <n v="2"/>
    <n v="1"/>
    <n v="1"/>
    <n v="25"/>
    <s v="Bryan Farrell MD"/>
    <x v="0"/>
    <m/>
    <x v="2"/>
    <n v="1"/>
    <x v="0"/>
    <n v="0"/>
    <s v="1-3 Years"/>
    <n v="2"/>
    <x v="0"/>
  </r>
  <r>
    <s v="EMP1296"/>
    <s v="Kathryn Mccann"/>
    <x v="0"/>
    <n v="41"/>
    <x v="4"/>
    <s v="Sales Manager"/>
    <d v="2012-06-18T00:00:00"/>
    <n v="83028"/>
    <s v="Single"/>
    <s v="Bachelor's"/>
    <x v="6"/>
    <s v="Travel_Rarely"/>
    <n v="31"/>
    <x v="1"/>
    <x v="1"/>
    <n v="1"/>
    <n v="2"/>
    <n v="3"/>
    <n v="4"/>
    <n v="6"/>
    <n v="21"/>
    <s v="Ryan Peterson"/>
    <x v="0"/>
    <m/>
    <x v="0"/>
    <n v="14"/>
    <x v="2"/>
    <n v="0"/>
    <s v="More than 10 Years"/>
    <n v="2.33"/>
    <x v="0"/>
  </r>
  <r>
    <s v="EMP1696"/>
    <s v="Lisa Edwards"/>
    <x v="0"/>
    <n v="28"/>
    <x v="4"/>
    <s v="Sales Executive"/>
    <d v="2023-11-10T00:00:00"/>
    <n v="68350"/>
    <s v="Not Specified"/>
    <s v="Bachelor's"/>
    <x v="6"/>
    <s v="Not Specified"/>
    <n v="2"/>
    <x v="0"/>
    <x v="3"/>
    <n v="2"/>
    <n v="2"/>
    <n v="5"/>
    <n v="4"/>
    <n v="2"/>
    <n v="12"/>
    <s v="Megan Ferguson"/>
    <x v="0"/>
    <m/>
    <x v="1"/>
    <n v="2"/>
    <x v="2"/>
    <n v="0"/>
    <s v="1-3 Years"/>
    <n v="2.33"/>
    <x v="0"/>
  </r>
  <r>
    <s v="EMP2059"/>
    <s v="Crystal Matthews"/>
    <x v="0"/>
    <n v="40"/>
    <x v="0"/>
    <s v="Manufacturing Technician"/>
    <d v="2026-05-29T00:00:00"/>
    <n v="76257"/>
    <s v="Single"/>
    <s v="PhD"/>
    <x v="0"/>
    <s v="Travel_Frequently"/>
    <n v="19"/>
    <x v="0"/>
    <x v="3"/>
    <n v="3"/>
    <n v="3"/>
    <n v="4"/>
    <n v="1"/>
    <n v="4"/>
    <n v="23"/>
    <s v="Luis Mosley"/>
    <x v="0"/>
    <m/>
    <x v="0"/>
    <n v="0"/>
    <x v="2"/>
    <n v="0"/>
    <s v="Less than 1 Year"/>
    <n v="3"/>
    <x v="1"/>
  </r>
  <r>
    <s v="EMP1074"/>
    <s v="Robert Oconnell"/>
    <x v="2"/>
    <n v="34"/>
    <x v="1"/>
    <s v="Hr Executive"/>
    <d v="2013-04-11T00:00:00"/>
    <n v="56377"/>
    <s v="Divorced"/>
    <s v="Bachelor's"/>
    <x v="2"/>
    <s v="Non-Travel"/>
    <n v="37"/>
    <x v="0"/>
    <x v="2"/>
    <n v="3"/>
    <n v="1"/>
    <n v="3"/>
    <n v="0"/>
    <n v="0"/>
    <n v="14"/>
    <s v="Michael Rubio"/>
    <x v="1"/>
    <d v="2013-08-14T00:00:00"/>
    <x v="1"/>
    <n v="0"/>
    <x v="1"/>
    <n v="1"/>
    <s v="Less than 1 Year"/>
    <n v="2"/>
    <x v="0"/>
  </r>
  <r>
    <s v="EMP1606"/>
    <s v="Gregory Oconnor"/>
    <x v="2"/>
    <n v="33"/>
    <x v="3"/>
    <s v="Finance Manager"/>
    <d v="2015-10-09T00:00:00"/>
    <n v="132278"/>
    <s v="Divorced"/>
    <s v="Bachelor's"/>
    <x v="7"/>
    <s v="Travel_Rarely"/>
    <n v="1"/>
    <x v="1"/>
    <x v="2"/>
    <n v="1"/>
    <n v="3"/>
    <n v="4"/>
    <n v="3"/>
    <n v="6"/>
    <n v="17"/>
    <s v="Suzanne Spencer"/>
    <x v="0"/>
    <m/>
    <x v="1"/>
    <n v="10"/>
    <x v="0"/>
    <n v="0"/>
    <s v="6-10 Years"/>
    <n v="2"/>
    <x v="0"/>
  </r>
  <r>
    <s v="EMP1105"/>
    <s v="Cynthia Moore"/>
    <x v="2"/>
    <n v="47"/>
    <x v="0"/>
    <s v="Manufacturing Technician"/>
    <d v="2019-11-18T00:00:00"/>
    <n v="85436"/>
    <s v="Married"/>
    <s v="Bachelor's"/>
    <x v="6"/>
    <s v="Non-Travel"/>
    <n v="21"/>
    <x v="0"/>
    <x v="3"/>
    <n v="2"/>
    <n v="3"/>
    <n v="4"/>
    <n v="6"/>
    <n v="3"/>
    <n v="22"/>
    <s v="Anna Gay"/>
    <x v="0"/>
    <m/>
    <x v="3"/>
    <n v="6"/>
    <x v="2"/>
    <n v="0"/>
    <s v="6-10 Years"/>
    <n v="2.67"/>
    <x v="0"/>
  </r>
  <r>
    <s v="EMP2051"/>
    <s v="William Rogers"/>
    <x v="0"/>
    <n v="39"/>
    <x v="0"/>
    <s v="Manufacturing Technician"/>
    <d v="2014-07-13T00:00:00"/>
    <n v="124782"/>
    <s v="Divorced"/>
    <s v="High School"/>
    <x v="8"/>
    <s v="Travel_Frequently"/>
    <n v="7"/>
    <x v="0"/>
    <x v="2"/>
    <n v="3"/>
    <n v="3"/>
    <n v="4"/>
    <n v="3"/>
    <n v="5"/>
    <n v="25"/>
    <s v="Connie Khan"/>
    <x v="0"/>
    <m/>
    <x v="0"/>
    <n v="12"/>
    <x v="0"/>
    <n v="0"/>
    <s v="More than 10 Years"/>
    <n v="2.67"/>
    <x v="0"/>
  </r>
  <r>
    <s v="EMP2025"/>
    <s v="Jose Juarez"/>
    <x v="1"/>
    <n v="35"/>
    <x v="0"/>
    <s v="Manufacturing Technician"/>
    <d v="2013-11-21T00:00:00"/>
    <n v="64223"/>
    <s v="Married"/>
    <s v="Master's"/>
    <x v="1"/>
    <s v="Travel_Rarely"/>
    <n v="15"/>
    <x v="0"/>
    <x v="2"/>
    <n v="2"/>
    <n v="4"/>
    <n v="3"/>
    <n v="6"/>
    <n v="6"/>
    <n v="14"/>
    <s v="Darrell Curry"/>
    <x v="0"/>
    <m/>
    <x v="0"/>
    <n v="12"/>
    <x v="2"/>
    <n v="0"/>
    <s v="More than 10 Years"/>
    <n v="2.67"/>
    <x v="0"/>
  </r>
  <r>
    <s v="EMP1017"/>
    <s v="Kimberly Osborne"/>
    <x v="2"/>
    <n v="21"/>
    <x v="0"/>
    <s v="Research Director"/>
    <d v="2019-07-29T00:00:00"/>
    <n v="112543"/>
    <s v="Divorced"/>
    <s v="Bachelor's"/>
    <x v="2"/>
    <s v="Non-Travel"/>
    <n v="16"/>
    <x v="0"/>
    <x v="3"/>
    <n v="2"/>
    <n v="1"/>
    <n v="3"/>
    <n v="5"/>
    <n v="7"/>
    <n v="21"/>
    <s v="Fred Smith"/>
    <x v="0"/>
    <m/>
    <x v="2"/>
    <n v="7"/>
    <x v="0"/>
    <n v="0"/>
    <s v="6-10 Years"/>
    <n v="2"/>
    <x v="0"/>
  </r>
  <r>
    <s v="EMP1440"/>
    <s v="Laura Lee"/>
    <x v="0"/>
    <n v="38"/>
    <x v="4"/>
    <s v="Sales Representative"/>
    <d v="2022-07-02T00:00:00"/>
    <n v="93482"/>
    <s v="Divorced"/>
    <s v="Master's"/>
    <x v="1"/>
    <s v="Travel_Rarely"/>
    <n v="28"/>
    <x v="0"/>
    <x v="2"/>
    <n v="4"/>
    <n v="3"/>
    <n v="5"/>
    <n v="0"/>
    <n v="3"/>
    <n v="24"/>
    <s v="Rachel Knox"/>
    <x v="1"/>
    <d v="2023-06-05T00:00:00"/>
    <x v="0"/>
    <n v="0"/>
    <x v="2"/>
    <n v="1"/>
    <s v="Less than 1 Year"/>
    <n v="3"/>
    <x v="1"/>
  </r>
  <r>
    <s v="EMP1092"/>
    <s v="Lisa Singh"/>
    <x v="2"/>
    <n v="29"/>
    <x v="2"/>
    <s v="It Support"/>
    <d v="2025-10-19T00:00:00"/>
    <n v="116986"/>
    <s v="Single"/>
    <s v="Bachelor's"/>
    <x v="5"/>
    <s v="Travel_Rarely"/>
    <n v="44"/>
    <x v="0"/>
    <x v="1"/>
    <n v="3"/>
    <n v="4"/>
    <n v="4"/>
    <n v="6"/>
    <n v="3"/>
    <n v="13"/>
    <s v="Daniel Guerrero"/>
    <x v="0"/>
    <m/>
    <x v="1"/>
    <n v="0"/>
    <x v="0"/>
    <n v="0"/>
    <s v="Less than 1 Year"/>
    <n v="3.67"/>
    <x v="1"/>
  </r>
  <r>
    <s v="EMP1089"/>
    <s v="Todd Woods"/>
    <x v="2"/>
    <n v="35"/>
    <x v="4"/>
    <s v="Sales Representative"/>
    <d v="2023-12-05T00:00:00"/>
    <n v="85664"/>
    <s v="Divorced"/>
    <s v="Master's"/>
    <x v="9"/>
    <s v="Travel_Frequently"/>
    <n v="10"/>
    <x v="0"/>
    <x v="3"/>
    <n v="3"/>
    <n v="2"/>
    <n v="3"/>
    <n v="3"/>
    <n v="5"/>
    <n v="21"/>
    <s v="Benjamin Soto"/>
    <x v="0"/>
    <m/>
    <x v="0"/>
    <n v="2"/>
    <x v="2"/>
    <n v="0"/>
    <s v="1-3 Years"/>
    <n v="2.67"/>
    <x v="0"/>
  </r>
  <r>
    <s v="EMP2058"/>
    <s v="Samuel Olson"/>
    <x v="2"/>
    <n v="47"/>
    <x v="0"/>
    <s v="Research Director"/>
    <d v="2016-08-29T00:00:00"/>
    <n v="98968"/>
    <s v="Married"/>
    <s v="PhD"/>
    <x v="9"/>
    <s v="Travel_Rarely"/>
    <n v="20"/>
    <x v="0"/>
    <x v="0"/>
    <n v="2"/>
    <n v="2"/>
    <n v="4"/>
    <n v="4"/>
    <n v="4"/>
    <n v="21"/>
    <s v="Lauren Reyes"/>
    <x v="0"/>
    <m/>
    <x v="3"/>
    <n v="10"/>
    <x v="2"/>
    <n v="0"/>
    <s v="6-10 Years"/>
    <n v="1.67"/>
    <x v="2"/>
  </r>
  <r>
    <s v="EMP1909"/>
    <s v="Laura King"/>
    <x v="0"/>
    <n v="35"/>
    <x v="2"/>
    <s v="Software Engineer"/>
    <d v="2015-06-19T00:00:00"/>
    <n v="124509"/>
    <s v="Married"/>
    <s v="PhD"/>
    <x v="6"/>
    <s v="Travel_Frequently"/>
    <n v="3"/>
    <x v="0"/>
    <x v="0"/>
    <n v="3"/>
    <n v="2"/>
    <n v="3"/>
    <n v="0"/>
    <n v="0"/>
    <n v="11"/>
    <s v="Ashley Stanley"/>
    <x v="1"/>
    <d v="2016-05-18T00:00:00"/>
    <x v="0"/>
    <n v="0"/>
    <x v="0"/>
    <n v="1"/>
    <s v="Less than 1 Year"/>
    <n v="2"/>
    <x v="0"/>
  </r>
  <r>
    <s v="EMP1451"/>
    <s v="James Chapman"/>
    <x v="0"/>
    <n v="49"/>
    <x v="0"/>
    <s v="Lab Technician"/>
    <d v="2014-02-26T00:00:00"/>
    <n v="80563"/>
    <s v="Single"/>
    <s v="Bachelor's"/>
    <x v="1"/>
    <s v="Non-Travel"/>
    <n v="11"/>
    <x v="0"/>
    <x v="3"/>
    <n v="1"/>
    <n v="2"/>
    <n v="5"/>
    <n v="1"/>
    <n v="3"/>
    <n v="13"/>
    <s v="Elizabeth Carter"/>
    <x v="0"/>
    <m/>
    <x v="3"/>
    <n v="12"/>
    <x v="2"/>
    <n v="0"/>
    <s v="More than 10 Years"/>
    <n v="2"/>
    <x v="0"/>
  </r>
  <r>
    <s v="EMP1718"/>
    <s v="John Vaughn"/>
    <x v="2"/>
    <n v="35"/>
    <x v="2"/>
    <s v="It Support"/>
    <d v="2013-10-13T00:00:00"/>
    <n v="89264"/>
    <s v="Married"/>
    <s v="Not Specified"/>
    <x v="2"/>
    <s v="Travel_Rarely"/>
    <n v="5"/>
    <x v="0"/>
    <x v="2"/>
    <n v="4"/>
    <n v="4"/>
    <n v="3"/>
    <n v="4"/>
    <n v="1"/>
    <n v="20"/>
    <s v="Victoria Terrell"/>
    <x v="0"/>
    <m/>
    <x v="0"/>
    <n v="12"/>
    <x v="2"/>
    <n v="0"/>
    <s v="More than 10 Years"/>
    <n v="3.33"/>
    <x v="1"/>
  </r>
  <r>
    <s v="EMP1103"/>
    <s v="Mary Daniels MD"/>
    <x v="0"/>
    <n v="32"/>
    <x v="1"/>
    <s v="Hr Manager"/>
    <d v="2014-06-18T00:00:00"/>
    <n v="61672"/>
    <s v="Single"/>
    <s v="Bachelor's"/>
    <x v="1"/>
    <s v="Travel_Frequently"/>
    <n v="21"/>
    <x v="0"/>
    <x v="1"/>
    <n v="4"/>
    <n v="4"/>
    <n v="3"/>
    <n v="0"/>
    <n v="1"/>
    <n v="23"/>
    <s v="Peter Garrett"/>
    <x v="0"/>
    <m/>
    <x v="1"/>
    <n v="12"/>
    <x v="2"/>
    <n v="0"/>
    <s v="More than 10 Years"/>
    <n v="4"/>
    <x v="1"/>
  </r>
  <r>
    <s v="EMP1239"/>
    <s v="Elizabeth Roberts"/>
    <x v="2"/>
    <n v="19"/>
    <x v="5"/>
    <s v="Digital Marketing Specialist"/>
    <d v="2014-10-03T00:00:00"/>
    <n v="76392"/>
    <s v="Married"/>
    <s v="High School"/>
    <x v="6"/>
    <s v="Non-Travel"/>
    <n v="7"/>
    <x v="0"/>
    <x v="0"/>
    <n v="1"/>
    <n v="2"/>
    <n v="3"/>
    <n v="2"/>
    <n v="1"/>
    <n v="25"/>
    <s v="Gregory Peck"/>
    <x v="1"/>
    <d v="2023-02-24T00:00:00"/>
    <x v="2"/>
    <n v="8"/>
    <x v="2"/>
    <n v="1"/>
    <s v="6-10 Years"/>
    <n v="1.33"/>
    <x v="2"/>
  </r>
  <r>
    <s v="EMP1069"/>
    <s v="James Elliott"/>
    <x v="0"/>
    <n v="35"/>
    <x v="0"/>
    <s v="Research Scientist"/>
    <d v="2012-01-25T00:00:00"/>
    <n v="97773"/>
    <s v="Married"/>
    <s v="Bachelor's"/>
    <x v="9"/>
    <s v="Travel_Frequently"/>
    <n v="30"/>
    <x v="0"/>
    <x v="3"/>
    <n v="3"/>
    <n v="3"/>
    <n v="3"/>
    <n v="0"/>
    <n v="7"/>
    <n v="21"/>
    <s v="Brandy Murray"/>
    <x v="0"/>
    <m/>
    <x v="0"/>
    <n v="14"/>
    <x v="2"/>
    <n v="0"/>
    <s v="More than 10 Years"/>
    <n v="3"/>
    <x v="1"/>
  </r>
  <r>
    <s v="EMP1943"/>
    <s v="Beth Braun"/>
    <x v="2"/>
    <n v="45"/>
    <x v="4"/>
    <s v="Sales Representative"/>
    <d v="2015-11-25T00:00:00"/>
    <n v="52838"/>
    <s v="Divorced"/>
    <s v="Bachelor's"/>
    <x v="8"/>
    <s v="Travel_Frequently"/>
    <n v="5"/>
    <x v="0"/>
    <x v="2"/>
    <n v="3"/>
    <n v="3"/>
    <n v="2"/>
    <n v="3"/>
    <n v="1"/>
    <n v="20"/>
    <s v="Juan Boyd"/>
    <x v="0"/>
    <m/>
    <x v="3"/>
    <n v="10"/>
    <x v="1"/>
    <n v="0"/>
    <s v="6-10 Years"/>
    <n v="2.67"/>
    <x v="0"/>
  </r>
  <r>
    <s v="EMP1247"/>
    <s v="Carrie Khan"/>
    <x v="0"/>
    <n v="35"/>
    <x v="0"/>
    <s v="Lab Technician"/>
    <d v="2014-04-14T00:00:00"/>
    <n v="97184"/>
    <s v="Single"/>
    <s v="Diploma"/>
    <x v="6"/>
    <s v="Travel_Rarely"/>
    <n v="39"/>
    <x v="0"/>
    <x v="2"/>
    <n v="3"/>
    <n v="1"/>
    <n v="3"/>
    <n v="3"/>
    <n v="3"/>
    <n v="11"/>
    <s v="Jennifer Simpson DVM"/>
    <x v="1"/>
    <d v="2025-09-01T00:00:00"/>
    <x v="0"/>
    <n v="11"/>
    <x v="2"/>
    <n v="1"/>
    <s v="More than 10 Years"/>
    <n v="2"/>
    <x v="0"/>
  </r>
  <r>
    <s v="EMP1939"/>
    <s v="Kelly Phillips"/>
    <x v="0"/>
    <n v="39"/>
    <x v="3"/>
    <s v="Auditor"/>
    <d v="2017-08-29T00:00:00"/>
    <n v="67440"/>
    <s v="Married"/>
    <s v="Master's"/>
    <x v="5"/>
    <s v="Non-Travel"/>
    <n v="4"/>
    <x v="0"/>
    <x v="1"/>
    <n v="2"/>
    <n v="3"/>
    <n v="3"/>
    <n v="2"/>
    <n v="2"/>
    <n v="21"/>
    <s v="Kristen Torres"/>
    <x v="0"/>
    <m/>
    <x v="0"/>
    <n v="9"/>
    <x v="2"/>
    <n v="0"/>
    <s v="6-10 Years"/>
    <n v="3"/>
    <x v="1"/>
  </r>
  <r>
    <s v="EMP2092"/>
    <s v="Cole Andersen"/>
    <x v="0"/>
    <n v="32"/>
    <x v="7"/>
    <s v="Supply Chain Analyst"/>
    <d v="2025-12-12T00:00:00"/>
    <n v="78927"/>
    <s v="Divorced"/>
    <s v="Bachelor's"/>
    <x v="6"/>
    <s v="Travel_Rarely"/>
    <n v="3"/>
    <x v="0"/>
    <x v="2"/>
    <n v="3"/>
    <n v="1"/>
    <n v="5"/>
    <n v="3"/>
    <n v="5"/>
    <n v="20"/>
    <s v="Isaac Williams"/>
    <x v="1"/>
    <d v="2026-07-12T00:00:00"/>
    <x v="1"/>
    <n v="0"/>
    <x v="2"/>
    <n v="1"/>
    <s v="Less than 1 Year"/>
    <n v="2"/>
    <x v="0"/>
  </r>
  <r>
    <s v="EMP1158"/>
    <s v="Aimee Turner"/>
    <x v="2"/>
    <n v="46"/>
    <x v="0"/>
    <s v="Research Director"/>
    <d v="2014-10-25T00:00:00"/>
    <n v="52630"/>
    <s v="Single"/>
    <s v="High School"/>
    <x v="3"/>
    <s v="Travel_Rarely"/>
    <n v="30"/>
    <x v="0"/>
    <x v="3"/>
    <n v="3"/>
    <n v="2"/>
    <n v="4"/>
    <n v="0"/>
    <n v="1"/>
    <n v="13"/>
    <s v="David Murphy"/>
    <x v="0"/>
    <m/>
    <x v="3"/>
    <n v="11"/>
    <x v="1"/>
    <n v="0"/>
    <s v="More than 10 Years"/>
    <n v="2.67"/>
    <x v="0"/>
  </r>
  <r>
    <s v="EMP1480"/>
    <s v="Jenna Bryant"/>
    <x v="0"/>
    <n v="54"/>
    <x v="2"/>
    <s v="It Support"/>
    <d v="2023-04-27T00:00:00"/>
    <n v="106137"/>
    <s v="Divorced"/>
    <s v="High School"/>
    <x v="8"/>
    <s v="Non-Travel"/>
    <n v="24"/>
    <x v="0"/>
    <x v="1"/>
    <n v="3"/>
    <n v="3"/>
    <n v="2"/>
    <n v="6"/>
    <n v="7"/>
    <n v="24"/>
    <s v="Ashley Perry"/>
    <x v="0"/>
    <m/>
    <x v="3"/>
    <n v="3"/>
    <x v="0"/>
    <n v="0"/>
    <s v="1-3 Years"/>
    <n v="3.33"/>
    <x v="1"/>
  </r>
  <r>
    <s v="EMP1839"/>
    <s v="Dennis Cooper PhD"/>
    <x v="2"/>
    <n v="39"/>
    <x v="2"/>
    <s v="System Administrator"/>
    <d v="2019-10-26T00:00:00"/>
    <n v="88824"/>
    <s v="Divorced"/>
    <s v="Master's"/>
    <x v="7"/>
    <s v="Travel_Frequently"/>
    <n v="22"/>
    <x v="0"/>
    <x v="2"/>
    <n v="2"/>
    <n v="3"/>
    <n v="3"/>
    <n v="6"/>
    <n v="1"/>
    <n v="16"/>
    <s v="Not Specified"/>
    <x v="0"/>
    <m/>
    <x v="0"/>
    <n v="6"/>
    <x v="2"/>
    <n v="0"/>
    <s v="6-10 Years"/>
    <n v="2.33"/>
    <x v="0"/>
  </r>
  <r>
    <s v="EMP1646"/>
    <s v="Lori Perez"/>
    <x v="2"/>
    <n v="37"/>
    <x v="1"/>
    <s v="Hr Executive"/>
    <d v="2015-04-01T00:00:00"/>
    <n v="48378"/>
    <s v="Divorced"/>
    <s v="PhD"/>
    <x v="9"/>
    <s v="Travel_Frequently"/>
    <n v="27"/>
    <x v="0"/>
    <x v="3"/>
    <n v="2"/>
    <n v="4"/>
    <n v="4"/>
    <n v="0"/>
    <n v="6"/>
    <n v="23"/>
    <s v="Wesley Browning"/>
    <x v="0"/>
    <m/>
    <x v="0"/>
    <n v="11"/>
    <x v="1"/>
    <n v="0"/>
    <s v="More than 10 Years"/>
    <n v="3"/>
    <x v="1"/>
  </r>
  <r>
    <s v="EMP1006"/>
    <s v="Laura Bush"/>
    <x v="0"/>
    <n v="30"/>
    <x v="3"/>
    <s v="Financial Analyst"/>
    <d v="2012-05-06T00:00:00"/>
    <n v="93236"/>
    <s v="Single"/>
    <s v="Master's"/>
    <x v="3"/>
    <s v="Travel_Rarely"/>
    <n v="13"/>
    <x v="1"/>
    <x v="3"/>
    <n v="1"/>
    <n v="3"/>
    <n v="4"/>
    <n v="1"/>
    <n v="4"/>
    <n v="18"/>
    <s v="Dylan Miller"/>
    <x v="0"/>
    <m/>
    <x v="1"/>
    <n v="14"/>
    <x v="2"/>
    <n v="0"/>
    <s v="More than 10 Years"/>
    <n v="2.33"/>
    <x v="0"/>
  </r>
  <r>
    <s v="EMP2098"/>
    <s v="Timothy Orr"/>
    <x v="0"/>
    <n v="31"/>
    <x v="4"/>
    <s v="Sales Representative"/>
    <d v="2023-02-04T00:00:00"/>
    <n v="71864"/>
    <s v="Single"/>
    <s v="Master's"/>
    <x v="0"/>
    <s v="Non-Travel"/>
    <n v="34"/>
    <x v="0"/>
    <x v="3"/>
    <n v="3"/>
    <n v="3"/>
    <n v="4"/>
    <n v="3"/>
    <n v="8"/>
    <n v="13"/>
    <s v="David Alvarez"/>
    <x v="0"/>
    <m/>
    <x v="1"/>
    <n v="3"/>
    <x v="2"/>
    <n v="0"/>
    <s v="1-3 Years"/>
    <n v="3"/>
    <x v="1"/>
  </r>
  <r>
    <s v="EMP1872"/>
    <s v="Andrew Delacruz"/>
    <x v="0"/>
    <n v="41"/>
    <x v="3"/>
    <s v="Accountant"/>
    <d v="2023-12-11T00:00:00"/>
    <n v="83472"/>
    <s v="Married"/>
    <s v="High School"/>
    <x v="5"/>
    <s v="Travel_Frequently"/>
    <n v="4"/>
    <x v="0"/>
    <x v="2"/>
    <n v="3"/>
    <n v="4"/>
    <n v="3"/>
    <n v="0"/>
    <n v="7"/>
    <n v="18"/>
    <s v="Kaitlin Gutierrez"/>
    <x v="0"/>
    <m/>
    <x v="0"/>
    <n v="2"/>
    <x v="2"/>
    <n v="0"/>
    <s v="1-3 Years"/>
    <n v="3"/>
    <x v="1"/>
  </r>
  <r>
    <s v="EMP1966"/>
    <s v="Christopher Mendez"/>
    <x v="0"/>
    <n v="34"/>
    <x v="1"/>
    <s v="Hr Executive"/>
    <d v="2016-07-07T00:00:00"/>
    <n v="39489"/>
    <s v="Married"/>
    <s v="PhD"/>
    <x v="2"/>
    <s v="Non-Travel"/>
    <n v="8"/>
    <x v="0"/>
    <x v="2"/>
    <n v="3"/>
    <n v="3"/>
    <n v="1"/>
    <n v="0"/>
    <n v="2"/>
    <n v="17"/>
    <s v="Anthony Price"/>
    <x v="0"/>
    <m/>
    <x v="1"/>
    <n v="10"/>
    <x v="1"/>
    <n v="0"/>
    <s v="6-10 Years"/>
    <n v="2.67"/>
    <x v="0"/>
  </r>
  <r>
    <s v="EMP1019"/>
    <s v="John Jones"/>
    <x v="0"/>
    <n v="37"/>
    <x v="3"/>
    <s v="Accountant"/>
    <d v="2023-01-04T00:00:00"/>
    <n v="51633"/>
    <s v="Married"/>
    <s v="Not Specified"/>
    <x v="4"/>
    <s v="Non-Travel"/>
    <n v="38"/>
    <x v="0"/>
    <x v="1"/>
    <n v="4"/>
    <n v="3"/>
    <n v="3"/>
    <n v="4"/>
    <n v="1"/>
    <n v="23"/>
    <s v="Betty Alvarez"/>
    <x v="0"/>
    <m/>
    <x v="0"/>
    <n v="3"/>
    <x v="1"/>
    <n v="0"/>
    <s v="1-3 Years"/>
    <n v="3.67"/>
    <x v="1"/>
  </r>
  <r>
    <s v="EMP2017"/>
    <s v="Amanda Robinson"/>
    <x v="2"/>
    <n v="38"/>
    <x v="3"/>
    <s v="Finance Manager"/>
    <d v="2014-09-10T00:00:00"/>
    <n v="107420"/>
    <s v="Divorced"/>
    <s v="Bachelor's"/>
    <x v="4"/>
    <s v="Travel_Rarely"/>
    <n v="38"/>
    <x v="0"/>
    <x v="1"/>
    <n v="4"/>
    <n v="3"/>
    <n v="3"/>
    <n v="2"/>
    <n v="4"/>
    <n v="23"/>
    <s v="Jennifer Torres"/>
    <x v="0"/>
    <m/>
    <x v="0"/>
    <n v="11"/>
    <x v="0"/>
    <n v="0"/>
    <s v="More than 10 Years"/>
    <n v="3.67"/>
    <x v="1"/>
  </r>
  <r>
    <s v="EMP1122"/>
    <s v="Kenneth Andrews"/>
    <x v="2"/>
    <n v="35"/>
    <x v="5"/>
    <s v="Digital Marketing Specialist"/>
    <d v="2026-06-22T00:00:00"/>
    <n v="61775"/>
    <s v="Married"/>
    <s v="Diploma"/>
    <x v="6"/>
    <s v="Travel_Rarely"/>
    <n v="32"/>
    <x v="1"/>
    <x v="3"/>
    <n v="1"/>
    <n v="2"/>
    <n v="3"/>
    <n v="5"/>
    <n v="3"/>
    <n v="18"/>
    <s v="Mary Hill"/>
    <x v="1"/>
    <d v="2026-07-12T00:00:00"/>
    <x v="0"/>
    <n v="0"/>
    <x v="2"/>
    <n v="1"/>
    <s v="Less than 1 Year"/>
    <n v="2"/>
    <x v="0"/>
  </r>
  <r>
    <s v="EMP1947"/>
    <s v="Lori Ferguson"/>
    <x v="2"/>
    <n v="31"/>
    <x v="3"/>
    <s v="Finance Manager"/>
    <d v="2020-07-19T00:00:00"/>
    <n v="112003"/>
    <s v="Divorced"/>
    <s v="Master's"/>
    <x v="0"/>
    <s v="Non-Travel"/>
    <n v="12"/>
    <x v="0"/>
    <x v="2"/>
    <n v="4"/>
    <n v="1"/>
    <n v="3"/>
    <n v="6"/>
    <n v="3"/>
    <n v="18"/>
    <s v="Dustin Glover"/>
    <x v="0"/>
    <m/>
    <x v="1"/>
    <n v="6"/>
    <x v="0"/>
    <n v="0"/>
    <s v="6-10 Years"/>
    <n v="2.33"/>
    <x v="0"/>
  </r>
  <r>
    <s v="EMP1662"/>
    <s v="Jason Hayes"/>
    <x v="0"/>
    <n v="36"/>
    <x v="4"/>
    <s v="Account Manager"/>
    <d v="2014-05-01T00:00:00"/>
    <n v="94587"/>
    <s v="Married"/>
    <s v="Bachelor's"/>
    <x v="7"/>
    <s v="Travel_Rarely"/>
    <n v="2"/>
    <x v="0"/>
    <x v="1"/>
    <n v="4"/>
    <n v="3"/>
    <n v="5"/>
    <n v="0"/>
    <n v="3"/>
    <n v="19"/>
    <s v="Michelle Harris"/>
    <x v="0"/>
    <m/>
    <x v="0"/>
    <n v="12"/>
    <x v="2"/>
    <n v="0"/>
    <s v="More than 10 Years"/>
    <n v="3.67"/>
    <x v="1"/>
  </r>
  <r>
    <s v="EMP2016"/>
    <s v="Mr. Frank Brooks DDS"/>
    <x v="2"/>
    <n v="48"/>
    <x v="2"/>
    <s v="System Administrator"/>
    <d v="2022-05-04T00:00:00"/>
    <n v="127253"/>
    <s v="Divorced"/>
    <s v="PhD"/>
    <x v="9"/>
    <s v="Travel_Rarely"/>
    <n v="42"/>
    <x v="0"/>
    <x v="3"/>
    <n v="1"/>
    <n v="3"/>
    <n v="3"/>
    <n v="1"/>
    <n v="7"/>
    <n v="12"/>
    <s v="Derrick Morales DVM"/>
    <x v="0"/>
    <m/>
    <x v="3"/>
    <n v="4"/>
    <x v="0"/>
    <n v="0"/>
    <s v="4-5 Years"/>
    <n v="2.33"/>
    <x v="0"/>
  </r>
  <r>
    <s v="EMP1275"/>
    <s v="Tammy Boone"/>
    <x v="1"/>
    <n v="28"/>
    <x v="0"/>
    <s v="Manufacturing Technician"/>
    <d v="2013-01-15T00:00:00"/>
    <n v="98098"/>
    <s v="Married"/>
    <s v="Bachelor's"/>
    <x v="4"/>
    <s v="Travel_Frequently"/>
    <n v="35"/>
    <x v="0"/>
    <x v="0"/>
    <n v="4"/>
    <n v="3"/>
    <n v="4"/>
    <n v="2"/>
    <n v="2"/>
    <n v="17"/>
    <s v="Cheryl Adams"/>
    <x v="0"/>
    <m/>
    <x v="1"/>
    <n v="13"/>
    <x v="2"/>
    <n v="0"/>
    <s v="More than 10 Years"/>
    <n v="2.67"/>
    <x v="0"/>
  </r>
  <r>
    <s v="EMP1434"/>
    <s v="Elizabeth Rasmussen"/>
    <x v="0"/>
    <n v="38"/>
    <x v="4"/>
    <s v="Sales Executive"/>
    <d v="2021-04-02T00:00:00"/>
    <n v="68827"/>
    <s v="Single"/>
    <s v="Diploma"/>
    <x v="8"/>
    <s v="Travel_Rarely"/>
    <n v="3"/>
    <x v="0"/>
    <x v="2"/>
    <n v="4"/>
    <n v="1"/>
    <n v="4"/>
    <n v="3"/>
    <n v="1"/>
    <n v="15"/>
    <s v="James Bailey"/>
    <x v="0"/>
    <m/>
    <x v="0"/>
    <n v="5"/>
    <x v="2"/>
    <n v="0"/>
    <s v="4-5 Years"/>
    <n v="2.33"/>
    <x v="0"/>
  </r>
  <r>
    <s v="EMP1812"/>
    <s v="Shawn Taylor"/>
    <x v="0"/>
    <n v="24"/>
    <x v="4"/>
    <s v="Sales Manager"/>
    <d v="2014-02-05T00:00:00"/>
    <n v="56115"/>
    <s v="Single"/>
    <s v="Diploma"/>
    <x v="9"/>
    <s v="Not Specified"/>
    <n v="37"/>
    <x v="1"/>
    <x v="2"/>
    <n v="2"/>
    <n v="3"/>
    <n v="2"/>
    <n v="6"/>
    <n v="4"/>
    <n v="18"/>
    <s v="Thomas Kelly"/>
    <x v="1"/>
    <d v="2017-07-10T00:00:00"/>
    <x v="2"/>
    <n v="3"/>
    <x v="1"/>
    <n v="1"/>
    <s v="1-3 Years"/>
    <n v="2.33"/>
    <x v="0"/>
  </r>
  <r>
    <s v="EMP2150"/>
    <s v="Luke Freeman"/>
    <x v="2"/>
    <n v="25"/>
    <x v="0"/>
    <s v="Lab Technician"/>
    <d v="2016-12-20T00:00:00"/>
    <n v="61487"/>
    <s v="Married"/>
    <s v="Bachelor's"/>
    <x v="2"/>
    <s v="Travel_Rarely"/>
    <n v="28"/>
    <x v="1"/>
    <x v="2"/>
    <n v="3"/>
    <n v="1"/>
    <n v="3"/>
    <n v="5"/>
    <n v="4"/>
    <n v="14"/>
    <s v="Hector Smith"/>
    <x v="1"/>
    <d v="2022-12-08T00:00:00"/>
    <x v="1"/>
    <n v="5"/>
    <x v="2"/>
    <n v="1"/>
    <s v="4-5 Years"/>
    <n v="2"/>
    <x v="0"/>
  </r>
  <r>
    <s v="EMP1312"/>
    <s v="William Mendoza"/>
    <x v="2"/>
    <n v="35"/>
    <x v="0"/>
    <s v="Lab Technician"/>
    <d v="2017-08-22T00:00:00"/>
    <n v="48772"/>
    <s v="Married"/>
    <s v="Master's"/>
    <x v="5"/>
    <s v="Non-Travel"/>
    <n v="33"/>
    <x v="1"/>
    <x v="0"/>
    <n v="2"/>
    <n v="3"/>
    <n v="4"/>
    <n v="5"/>
    <n v="4"/>
    <n v="25"/>
    <s v="Melissa Stephens"/>
    <x v="1"/>
    <d v="2022-03-18T00:00:00"/>
    <x v="0"/>
    <n v="4"/>
    <x v="1"/>
    <n v="1"/>
    <s v="4-5 Years"/>
    <n v="2"/>
    <x v="0"/>
  </r>
  <r>
    <s v="EMP2134"/>
    <s v="Adam Bennett"/>
    <x v="2"/>
    <n v="37"/>
    <x v="5"/>
    <s v="Digital Marketing Specialist"/>
    <d v="2026-02-11T00:00:00"/>
    <n v="78065"/>
    <s v="Married"/>
    <s v="Bachelor's"/>
    <x v="0"/>
    <s v="Travel_Frequently"/>
    <n v="23"/>
    <x v="1"/>
    <x v="0"/>
    <n v="2"/>
    <n v="1"/>
    <n v="5"/>
    <n v="2"/>
    <n v="6"/>
    <n v="19"/>
    <s v="Timothy Thompson"/>
    <x v="1"/>
    <d v="2026-04-28T00:00:00"/>
    <x v="0"/>
    <n v="0"/>
    <x v="2"/>
    <n v="1"/>
    <s v="Less than 1 Year"/>
    <n v="1.33"/>
    <x v="2"/>
  </r>
  <r>
    <s v="EMP2146"/>
    <s v="Traci Craig"/>
    <x v="2"/>
    <n v="35"/>
    <x v="4"/>
    <s v="Sales Representative"/>
    <d v="2024-10-26T00:00:00"/>
    <n v="84076"/>
    <s v="Divorced"/>
    <s v="Bachelor's"/>
    <x v="9"/>
    <s v="Travel_Frequently"/>
    <n v="15"/>
    <x v="0"/>
    <x v="0"/>
    <n v="2"/>
    <n v="4"/>
    <n v="3"/>
    <n v="6"/>
    <n v="0"/>
    <n v="23"/>
    <s v="Courtney Jones"/>
    <x v="0"/>
    <m/>
    <x v="0"/>
    <n v="1"/>
    <x v="2"/>
    <n v="0"/>
    <s v="1-3 Years"/>
    <n v="2.33"/>
    <x v="0"/>
  </r>
  <r>
    <s v="EMP1781"/>
    <s v="Ashley Diaz"/>
    <x v="0"/>
    <n v="35"/>
    <x v="3"/>
    <s v="Auditor"/>
    <d v="2020-11-24T00:00:00"/>
    <n v="67527"/>
    <s v="Divorced"/>
    <s v="Bachelor's"/>
    <x v="4"/>
    <s v="Travel_Rarely"/>
    <n v="24"/>
    <x v="0"/>
    <x v="1"/>
    <n v="3"/>
    <n v="4"/>
    <n v="2"/>
    <n v="3"/>
    <n v="4"/>
    <n v="16"/>
    <s v="Christopher Hansen"/>
    <x v="0"/>
    <m/>
    <x v="0"/>
    <n v="5"/>
    <x v="2"/>
    <n v="0"/>
    <s v="4-5 Years"/>
    <n v="3.67"/>
    <x v="1"/>
  </r>
  <r>
    <s v="EMP1547"/>
    <s v="Nicole Gutierrez"/>
    <x v="2"/>
    <n v="45"/>
    <x v="0"/>
    <s v="Research Scientist"/>
    <d v="2023-05-10T00:00:00"/>
    <n v="83084"/>
    <s v="Married"/>
    <s v="Master's"/>
    <x v="3"/>
    <s v="Travel_Rarely"/>
    <n v="29"/>
    <x v="1"/>
    <x v="1"/>
    <n v="4"/>
    <n v="4"/>
    <n v="2"/>
    <n v="6"/>
    <n v="2"/>
    <n v="19"/>
    <s v="Mr. Justin King"/>
    <x v="0"/>
    <m/>
    <x v="3"/>
    <n v="3"/>
    <x v="2"/>
    <n v="0"/>
    <s v="1-3 Years"/>
    <n v="4"/>
    <x v="1"/>
  </r>
  <r>
    <s v="EMP1182"/>
    <s v="Emily Stokes"/>
    <x v="0"/>
    <n v="25"/>
    <x v="5"/>
    <s v="Digital Marketing Specialist"/>
    <d v="2018-08-29T00:00:00"/>
    <n v="76250"/>
    <s v="Single"/>
    <s v="Diploma"/>
    <x v="0"/>
    <s v="Not Specified"/>
    <n v="31"/>
    <x v="0"/>
    <x v="0"/>
    <n v="4"/>
    <n v="3"/>
    <n v="3"/>
    <n v="4"/>
    <n v="6"/>
    <n v="15"/>
    <s v="Travis Joyce"/>
    <x v="1"/>
    <d v="2025-05-05T00:00:00"/>
    <x v="1"/>
    <n v="6"/>
    <x v="2"/>
    <n v="1"/>
    <s v="6-10 Years"/>
    <n v="2.67"/>
    <x v="0"/>
  </r>
  <r>
    <s v="EMP1185"/>
    <s v="Phillip Nelson"/>
    <x v="0"/>
    <n v="40"/>
    <x v="0"/>
    <s v="Research Director"/>
    <d v="2025-03-03T00:00:00"/>
    <n v="54918"/>
    <s v="Married"/>
    <s v="Master's"/>
    <x v="6"/>
    <s v="Travel_Rarely"/>
    <n v="8"/>
    <x v="0"/>
    <x v="3"/>
    <n v="4"/>
    <n v="4"/>
    <n v="4"/>
    <n v="5"/>
    <n v="6"/>
    <n v="11"/>
    <s v="Jeffrey Potts"/>
    <x v="0"/>
    <m/>
    <x v="0"/>
    <n v="1"/>
    <x v="1"/>
    <n v="0"/>
    <s v="1-3 Years"/>
    <n v="3.67"/>
    <x v="1"/>
  </r>
  <r>
    <s v="EMP1407"/>
    <s v="James Dennis"/>
    <x v="0"/>
    <n v="32"/>
    <x v="1"/>
    <s v="Hr Manager"/>
    <d v="2019-10-28T00:00:00"/>
    <n v="85569"/>
    <s v="Married"/>
    <s v="Bachelor's"/>
    <x v="2"/>
    <s v="Non-Travel"/>
    <n v="10"/>
    <x v="0"/>
    <x v="2"/>
    <n v="2"/>
    <n v="3"/>
    <n v="2"/>
    <n v="3"/>
    <n v="0"/>
    <n v="18"/>
    <s v="Anna Wheeler"/>
    <x v="0"/>
    <m/>
    <x v="1"/>
    <n v="6"/>
    <x v="2"/>
    <n v="0"/>
    <s v="6-10 Years"/>
    <n v="2.33"/>
    <x v="0"/>
  </r>
  <r>
    <s v="EMP1720"/>
    <s v="Angela Schultz"/>
    <x v="2"/>
    <n v="38"/>
    <x v="3"/>
    <s v="Accountant"/>
    <d v="2023-07-27T00:00:00"/>
    <n v="105044"/>
    <s v="Married"/>
    <s v="Bachelor's"/>
    <x v="0"/>
    <s v="Travel_Rarely"/>
    <n v="30"/>
    <x v="0"/>
    <x v="3"/>
    <n v="2"/>
    <n v="4"/>
    <n v="4"/>
    <n v="1"/>
    <n v="4"/>
    <n v="14"/>
    <s v="Not Specified"/>
    <x v="0"/>
    <m/>
    <x v="0"/>
    <n v="3"/>
    <x v="0"/>
    <n v="0"/>
    <s v="1-3 Years"/>
    <n v="3"/>
    <x v="1"/>
  </r>
  <r>
    <s v="EMP2023"/>
    <s v="Michael Bolton"/>
    <x v="1"/>
    <n v="27"/>
    <x v="0"/>
    <s v="Research Scientist"/>
    <d v="2026-07-23T00:00:00"/>
    <n v="64476"/>
    <s v="Single"/>
    <s v="Bachelor's"/>
    <x v="10"/>
    <s v="Non-Travel"/>
    <n v="13"/>
    <x v="0"/>
    <x v="1"/>
    <n v="1"/>
    <n v="1"/>
    <n v="4"/>
    <n v="5"/>
    <n v="4"/>
    <n v="23"/>
    <s v="Nancy Gaines"/>
    <x v="0"/>
    <m/>
    <x v="1"/>
    <n v="0"/>
    <x v="2"/>
    <n v="0"/>
    <s v="Less than 1 Year"/>
    <n v="2"/>
    <x v="0"/>
  </r>
  <r>
    <s v="EMP1607"/>
    <s v="Christopher Phillips"/>
    <x v="2"/>
    <n v="43"/>
    <x v="4"/>
    <s v="Account Manager"/>
    <d v="2015-08-04T00:00:00"/>
    <n v="70717"/>
    <s v="Not Specified"/>
    <s v="Not Specified"/>
    <x v="2"/>
    <s v="Travel_Frequently"/>
    <n v="30"/>
    <x v="0"/>
    <x v="3"/>
    <n v="2"/>
    <n v="3"/>
    <n v="3"/>
    <n v="3"/>
    <n v="0"/>
    <n v="13"/>
    <s v="Aaron Little"/>
    <x v="0"/>
    <m/>
    <x v="0"/>
    <n v="11"/>
    <x v="2"/>
    <n v="0"/>
    <s v="More than 10 Years"/>
    <n v="2.67"/>
    <x v="0"/>
  </r>
  <r>
    <s v="EMP1693"/>
    <s v="Gregory Flores"/>
    <x v="2"/>
    <n v="22"/>
    <x v="7"/>
    <s v="Operations Executive"/>
    <d v="2013-10-10T00:00:00"/>
    <n v="78190"/>
    <s v="Single"/>
    <s v="Bachelor's"/>
    <x v="6"/>
    <s v="Non-Travel"/>
    <n v="44"/>
    <x v="0"/>
    <x v="3"/>
    <n v="3"/>
    <n v="4"/>
    <n v="4"/>
    <n v="6"/>
    <n v="1"/>
    <n v="23"/>
    <s v="Diane Sanchez"/>
    <x v="0"/>
    <m/>
    <x v="2"/>
    <n v="12"/>
    <x v="2"/>
    <n v="0"/>
    <s v="More than 10 Years"/>
    <n v="3.33"/>
    <x v="1"/>
  </r>
  <r>
    <s v="EMP1521"/>
    <s v="Eric Arnold"/>
    <x v="2"/>
    <n v="29"/>
    <x v="7"/>
    <s v="Supply Chain Analyst"/>
    <d v="2014-04-14T00:00:00"/>
    <n v="82910"/>
    <s v="Married"/>
    <s v="High School"/>
    <x v="2"/>
    <s v="Travel_Frequently"/>
    <n v="12"/>
    <x v="0"/>
    <x v="2"/>
    <n v="3"/>
    <n v="2"/>
    <n v="3"/>
    <n v="0"/>
    <n v="0"/>
    <n v="14"/>
    <s v="Sarah Trevino"/>
    <x v="0"/>
    <m/>
    <x v="1"/>
    <n v="12"/>
    <x v="2"/>
    <n v="0"/>
    <s v="More than 10 Years"/>
    <n v="2.33"/>
    <x v="0"/>
  </r>
  <r>
    <s v="EMP1866"/>
    <s v="Katherine Brooks"/>
    <x v="2"/>
    <n v="29"/>
    <x v="4"/>
    <s v="Sales Representative"/>
    <d v="2025-10-25T00:00:00"/>
    <n v="71134"/>
    <s v="Divorced"/>
    <s v="Bachelor's"/>
    <x v="6"/>
    <s v="Travel_Rarely"/>
    <n v="23"/>
    <x v="0"/>
    <x v="0"/>
    <n v="1"/>
    <n v="2"/>
    <n v="4"/>
    <n v="0"/>
    <n v="6"/>
    <n v="19"/>
    <s v="Michael Richmond"/>
    <x v="1"/>
    <d v="2026-01-31T00:00:00"/>
    <x v="1"/>
    <n v="0"/>
    <x v="2"/>
    <n v="1"/>
    <s v="Less than 1 Year"/>
    <n v="1.33"/>
    <x v="2"/>
  </r>
  <r>
    <s v="EMP2004"/>
    <s v="Ms. Erin Lane"/>
    <x v="2"/>
    <n v="34"/>
    <x v="0"/>
    <s v="Manufacturing Technician"/>
    <d v="2026-01-11T00:00:00"/>
    <n v="113404"/>
    <s v="Single"/>
    <s v="Bachelor's"/>
    <x v="3"/>
    <s v="Travel_Rarely"/>
    <n v="37"/>
    <x v="0"/>
    <x v="3"/>
    <n v="3"/>
    <n v="1"/>
    <n v="3"/>
    <n v="3"/>
    <n v="2"/>
    <n v="24"/>
    <s v="Jennifer Martin"/>
    <x v="0"/>
    <m/>
    <x v="1"/>
    <n v="0"/>
    <x v="0"/>
    <n v="0"/>
    <s v="Less than 1 Year"/>
    <n v="2.33"/>
    <x v="0"/>
  </r>
  <r>
    <s v="EMP1381"/>
    <s v="Jared Chavez"/>
    <x v="2"/>
    <n v="28"/>
    <x v="0"/>
    <s v="Research Scientist"/>
    <d v="2022-10-28T00:00:00"/>
    <n v="58116"/>
    <s v="Married"/>
    <s v="PhD"/>
    <x v="4"/>
    <s v="Travel_Frequently"/>
    <n v="34"/>
    <x v="0"/>
    <x v="2"/>
    <n v="3"/>
    <n v="3"/>
    <n v="3"/>
    <n v="4"/>
    <n v="3"/>
    <n v="17"/>
    <s v="Not Specified"/>
    <x v="0"/>
    <m/>
    <x v="1"/>
    <n v="3"/>
    <x v="1"/>
    <n v="0"/>
    <s v="1-3 Years"/>
    <n v="2.67"/>
    <x v="0"/>
  </r>
  <r>
    <s v="EMP1428"/>
    <s v="Alyssa Lee"/>
    <x v="2"/>
    <n v="53"/>
    <x v="5"/>
    <s v="Digital Marketing Specialist"/>
    <d v="2024-02-02T00:00:00"/>
    <n v="77806"/>
    <s v="Single"/>
    <s v="Bachelor's"/>
    <x v="9"/>
    <s v="Travel_Frequently"/>
    <n v="39"/>
    <x v="0"/>
    <x v="3"/>
    <n v="4"/>
    <n v="3"/>
    <n v="2"/>
    <n v="1"/>
    <n v="2"/>
    <n v="12"/>
    <s v="Danielle Bryant"/>
    <x v="0"/>
    <m/>
    <x v="3"/>
    <n v="2"/>
    <x v="2"/>
    <n v="0"/>
    <s v="1-3 Years"/>
    <n v="3.33"/>
    <x v="1"/>
  </r>
  <r>
    <s v="EMP1079"/>
    <s v="Mr. Nicholas Adams"/>
    <x v="2"/>
    <n v="38"/>
    <x v="0"/>
    <s v="Manufacturing Technician"/>
    <d v="2024-05-14T00:00:00"/>
    <n v="97841"/>
    <s v="Divorced"/>
    <s v="Bachelor's"/>
    <x v="0"/>
    <s v="Non-Travel"/>
    <n v="21"/>
    <x v="0"/>
    <x v="3"/>
    <n v="2"/>
    <n v="1"/>
    <n v="3"/>
    <n v="6"/>
    <n v="7"/>
    <n v="19"/>
    <s v="Not Specified"/>
    <x v="0"/>
    <m/>
    <x v="0"/>
    <n v="2"/>
    <x v="2"/>
    <n v="0"/>
    <s v="1-3 Years"/>
    <n v="2"/>
    <x v="0"/>
  </r>
  <r>
    <s v="EMP2010"/>
    <s v="Jamie Cobb"/>
    <x v="2"/>
    <n v="24"/>
    <x v="4"/>
    <s v="Account Manager"/>
    <d v="2013-04-26T00:00:00"/>
    <n v="67123"/>
    <s v="Married"/>
    <s v="Master's"/>
    <x v="8"/>
    <s v="Not Specified"/>
    <n v="22"/>
    <x v="1"/>
    <x v="0"/>
    <n v="1"/>
    <n v="1"/>
    <n v="3"/>
    <n v="1"/>
    <n v="4"/>
    <n v="11"/>
    <s v="David Pacheco"/>
    <x v="1"/>
    <d v="2025-10-23T00:00:00"/>
    <x v="2"/>
    <n v="12"/>
    <x v="2"/>
    <n v="1"/>
    <s v="More than 10 Years"/>
    <n v="1"/>
    <x v="2"/>
  </r>
  <r>
    <s v="EMP2198"/>
    <s v="Matthew Flores"/>
    <x v="2"/>
    <n v="45"/>
    <x v="4"/>
    <s v="Sales Manager"/>
    <d v="2017-06-28T00:00:00"/>
    <n v="77519"/>
    <s v="Married"/>
    <s v="Master's"/>
    <x v="2"/>
    <s v="Non-Travel"/>
    <n v="5"/>
    <x v="0"/>
    <x v="3"/>
    <n v="2"/>
    <n v="3"/>
    <n v="5"/>
    <n v="2"/>
    <n v="4"/>
    <n v="14"/>
    <s v="Rachel Mendoza"/>
    <x v="0"/>
    <m/>
    <x v="3"/>
    <n v="9"/>
    <x v="2"/>
    <n v="0"/>
    <s v="6-10 Years"/>
    <n v="2.67"/>
    <x v="0"/>
  </r>
  <r>
    <s v="EMP1608"/>
    <s v="Cody Smith"/>
    <x v="2"/>
    <n v="27"/>
    <x v="4"/>
    <s v="Sales Manager"/>
    <d v="2024-06-11T00:00:00"/>
    <n v="37688"/>
    <s v="Married"/>
    <s v="Bachelor's"/>
    <x v="4"/>
    <s v="Travel_Frequently"/>
    <n v="5"/>
    <x v="1"/>
    <x v="1"/>
    <n v="3"/>
    <n v="3"/>
    <n v="3"/>
    <n v="1"/>
    <n v="0"/>
    <n v="12"/>
    <s v="Cynthia Le"/>
    <x v="0"/>
    <m/>
    <x v="1"/>
    <n v="2"/>
    <x v="1"/>
    <n v="0"/>
    <s v="1-3 Years"/>
    <n v="3.33"/>
    <x v="1"/>
  </r>
  <r>
    <s v="EMP2076"/>
    <s v="Andrew Li"/>
    <x v="0"/>
    <n v="28"/>
    <x v="0"/>
    <s v="Research Director"/>
    <d v="2021-01-28T00:00:00"/>
    <n v="61893"/>
    <s v="Single"/>
    <s v="Bachelor's"/>
    <x v="10"/>
    <s v="Travel_Rarely"/>
    <n v="6"/>
    <x v="0"/>
    <x v="1"/>
    <n v="4"/>
    <n v="4"/>
    <n v="2"/>
    <n v="3"/>
    <n v="4"/>
    <n v="21"/>
    <s v="Melissa Brewer"/>
    <x v="0"/>
    <m/>
    <x v="1"/>
    <n v="5"/>
    <x v="2"/>
    <n v="0"/>
    <s v="4-5 Years"/>
    <n v="4"/>
    <x v="1"/>
  </r>
  <r>
    <s v="EMP2104"/>
    <s v="Emma Diaz"/>
    <x v="1"/>
    <n v="25"/>
    <x v="4"/>
    <s v="Sales Manager"/>
    <d v="2021-10-18T00:00:00"/>
    <n v="50157"/>
    <s v="Single"/>
    <s v="Bachelor's"/>
    <x v="3"/>
    <s v="Travel_Frequently"/>
    <n v="25"/>
    <x v="0"/>
    <x v="3"/>
    <n v="3"/>
    <n v="3"/>
    <n v="3"/>
    <n v="1"/>
    <n v="1"/>
    <n v="13"/>
    <s v="Kelly Guzman"/>
    <x v="0"/>
    <m/>
    <x v="1"/>
    <n v="4"/>
    <x v="1"/>
    <n v="0"/>
    <s v="4-5 Years"/>
    <n v="3"/>
    <x v="1"/>
  </r>
  <r>
    <s v="EMP2064"/>
    <s v="Danielle Mcdaniel"/>
    <x v="0"/>
    <n v="32"/>
    <x v="4"/>
    <s v="Account Manager"/>
    <d v="2022-05-25T00:00:00"/>
    <n v="53612"/>
    <s v="Single"/>
    <s v="Master's"/>
    <x v="0"/>
    <s v="Not Specified"/>
    <n v="35"/>
    <x v="0"/>
    <x v="1"/>
    <n v="4"/>
    <n v="1"/>
    <n v="3"/>
    <n v="6"/>
    <n v="0"/>
    <n v="11"/>
    <s v="Jane Morris"/>
    <x v="0"/>
    <m/>
    <x v="1"/>
    <n v="4"/>
    <x v="1"/>
    <n v="0"/>
    <s v="4-5 Years"/>
    <n v="3"/>
    <x v="1"/>
  </r>
  <r>
    <s v="EMP1959"/>
    <s v="David Foster"/>
    <x v="2"/>
    <n v="44"/>
    <x v="2"/>
    <s v="It Support"/>
    <d v="2019-09-25T00:00:00"/>
    <n v="77259"/>
    <s v="Divorced"/>
    <s v="Master's"/>
    <x v="3"/>
    <s v="Travel_Frequently"/>
    <n v="43"/>
    <x v="0"/>
    <x v="2"/>
    <n v="4"/>
    <n v="1"/>
    <n v="3"/>
    <n v="5"/>
    <n v="8"/>
    <n v="25"/>
    <s v="Nancy Brewer"/>
    <x v="1"/>
    <d v="2026-05-16T00:00:00"/>
    <x v="0"/>
    <n v="6"/>
    <x v="2"/>
    <n v="1"/>
    <s v="6-10 Years"/>
    <n v="2.33"/>
    <x v="0"/>
  </r>
  <r>
    <s v="EMP1560"/>
    <s v="Mark Gamble"/>
    <x v="0"/>
    <n v="32"/>
    <x v="4"/>
    <s v="Sales Executive"/>
    <d v="2021-10-05T00:00:00"/>
    <n v="54721"/>
    <s v="Married"/>
    <s v="Bachelor's"/>
    <x v="5"/>
    <s v="Travel_Frequently"/>
    <n v="23"/>
    <x v="1"/>
    <x v="2"/>
    <n v="4"/>
    <n v="2"/>
    <n v="3"/>
    <n v="1"/>
    <n v="0"/>
    <n v="24"/>
    <s v="Tyler Black"/>
    <x v="1"/>
    <d v="2022-11-20T00:00:00"/>
    <x v="1"/>
    <n v="1"/>
    <x v="1"/>
    <n v="1"/>
    <s v="1-3 Years"/>
    <n v="2.67"/>
    <x v="0"/>
  </r>
  <r>
    <s v="EMP1847"/>
    <s v="Scott Bradley"/>
    <x v="1"/>
    <n v="19"/>
    <x v="7"/>
    <s v="Logistics Manager"/>
    <d v="2025-02-09T00:00:00"/>
    <n v="33409"/>
    <s v="Married"/>
    <s v="Bachelor's"/>
    <x v="3"/>
    <s v="Non-Travel"/>
    <n v="28"/>
    <x v="0"/>
    <x v="3"/>
    <n v="3"/>
    <n v="3"/>
    <n v="3"/>
    <n v="4"/>
    <n v="4"/>
    <n v="11"/>
    <s v="Michael Chapman"/>
    <x v="0"/>
    <m/>
    <x v="2"/>
    <n v="1"/>
    <x v="1"/>
    <n v="0"/>
    <s v="1-3 Years"/>
    <n v="3"/>
    <x v="1"/>
  </r>
  <r>
    <s v="EMP1691"/>
    <s v="Kenneth Collins"/>
    <x v="2"/>
    <n v="29"/>
    <x v="0"/>
    <s v="Lab Technician"/>
    <d v="2024-12-21T00:00:00"/>
    <n v="51405"/>
    <s v="Divorced"/>
    <s v="High School"/>
    <x v="4"/>
    <s v="Travel_Rarely"/>
    <n v="14"/>
    <x v="0"/>
    <x v="3"/>
    <n v="4"/>
    <n v="4"/>
    <n v="4"/>
    <n v="5"/>
    <n v="3"/>
    <n v="13"/>
    <s v="Corey Hill"/>
    <x v="0"/>
    <m/>
    <x v="1"/>
    <n v="1"/>
    <x v="1"/>
    <n v="0"/>
    <s v="1-3 Years"/>
    <n v="3.67"/>
    <x v="1"/>
  </r>
  <r>
    <s v="EMP2179"/>
    <s v="April Bailey"/>
    <x v="0"/>
    <n v="26"/>
    <x v="0"/>
    <s v="Research Director"/>
    <d v="2020-09-09T00:00:00"/>
    <n v="93834"/>
    <s v="Divorced"/>
    <s v="High School"/>
    <x v="0"/>
    <s v="Travel_Rarely"/>
    <n v="23"/>
    <x v="0"/>
    <x v="0"/>
    <n v="4"/>
    <n v="3"/>
    <n v="2"/>
    <n v="4"/>
    <n v="1"/>
    <n v="24"/>
    <s v="Bradley Thornton"/>
    <x v="0"/>
    <m/>
    <x v="1"/>
    <n v="5"/>
    <x v="2"/>
    <n v="0"/>
    <s v="4-5 Years"/>
    <n v="2.67"/>
    <x v="0"/>
  </r>
  <r>
    <s v="EMP2132"/>
    <s v="Willie Hamilton"/>
    <x v="0"/>
    <n v="46"/>
    <x v="1"/>
    <s v="Recruiter"/>
    <d v="2012-01-19T00:00:00"/>
    <n v="60396"/>
    <s v="Single"/>
    <s v="Bachelor's"/>
    <x v="4"/>
    <s v="Non-Travel"/>
    <n v="2"/>
    <x v="0"/>
    <x v="1"/>
    <n v="4"/>
    <n v="3"/>
    <n v="3"/>
    <n v="6"/>
    <n v="2"/>
    <n v="16"/>
    <s v="Angela Martinez"/>
    <x v="0"/>
    <m/>
    <x v="3"/>
    <n v="14"/>
    <x v="2"/>
    <n v="0"/>
    <s v="More than 10 Years"/>
    <n v="3.67"/>
    <x v="1"/>
  </r>
  <r>
    <s v="EMP1437"/>
    <s v="Margaret Hensley MD"/>
    <x v="2"/>
    <n v="29"/>
    <x v="4"/>
    <s v="Account Manager"/>
    <d v="2022-04-09T00:00:00"/>
    <n v="93615"/>
    <s v="Married"/>
    <s v="Not Specified"/>
    <x v="0"/>
    <s v="Travel_Frequently"/>
    <n v="35"/>
    <x v="0"/>
    <x v="3"/>
    <n v="1"/>
    <n v="1"/>
    <n v="5"/>
    <n v="1"/>
    <n v="2"/>
    <n v="23"/>
    <s v="Elizabeth Hernandez"/>
    <x v="0"/>
    <m/>
    <x v="1"/>
    <n v="4"/>
    <x v="2"/>
    <n v="0"/>
    <s v="4-5 Years"/>
    <n v="1.67"/>
    <x v="2"/>
  </r>
  <r>
    <s v="EMP1491"/>
    <s v="Elizabeth Molina"/>
    <x v="0"/>
    <n v="28"/>
    <x v="5"/>
    <s v="Digital Marketing Specialist"/>
    <d v="2012-02-23T00:00:00"/>
    <n v="85700"/>
    <s v="Single"/>
    <s v="Bachelor's"/>
    <x v="3"/>
    <s v="Non-Travel"/>
    <n v="2"/>
    <x v="0"/>
    <x v="3"/>
    <n v="2"/>
    <n v="2"/>
    <n v="4"/>
    <n v="1"/>
    <n v="8"/>
    <n v="15"/>
    <s v="Ashley Parrish"/>
    <x v="0"/>
    <m/>
    <x v="1"/>
    <n v="14"/>
    <x v="2"/>
    <n v="0"/>
    <s v="More than 10 Years"/>
    <n v="2.33"/>
    <x v="0"/>
  </r>
  <r>
    <s v="EMP2113"/>
    <s v="Michael Carter"/>
    <x v="0"/>
    <n v="29"/>
    <x v="1"/>
    <s v="Hr Executive"/>
    <d v="2013-10-28T00:00:00"/>
    <n v="65771"/>
    <s v="Divorced"/>
    <s v="Master's"/>
    <x v="3"/>
    <s v="Travel_Rarely"/>
    <n v="16"/>
    <x v="1"/>
    <x v="3"/>
    <n v="1"/>
    <n v="3"/>
    <n v="3"/>
    <n v="5"/>
    <n v="5"/>
    <n v="13"/>
    <s v="Paul Moss"/>
    <x v="0"/>
    <m/>
    <x v="1"/>
    <n v="12"/>
    <x v="2"/>
    <n v="0"/>
    <s v="More than 10 Years"/>
    <n v="2.33"/>
    <x v="0"/>
  </r>
  <r>
    <s v="EMP1070"/>
    <s v="James Lewis"/>
    <x v="0"/>
    <n v="48"/>
    <x v="4"/>
    <s v="Sales Manager"/>
    <d v="2016-07-15T00:00:00"/>
    <n v="52780"/>
    <s v="Married"/>
    <s v="Bachelor's"/>
    <x v="6"/>
    <s v="Not Specified"/>
    <n v="42"/>
    <x v="0"/>
    <x v="3"/>
    <n v="3"/>
    <n v="1"/>
    <n v="2"/>
    <n v="5"/>
    <n v="2"/>
    <n v="11"/>
    <s v="Jamie Walton"/>
    <x v="0"/>
    <m/>
    <x v="3"/>
    <n v="10"/>
    <x v="1"/>
    <n v="0"/>
    <s v="6-10 Years"/>
    <n v="2.33"/>
    <x v="0"/>
  </r>
  <r>
    <s v="EMP1809"/>
    <s v="Matthew Stafford"/>
    <x v="0"/>
    <n v="30"/>
    <x v="4"/>
    <s v="Sales Manager"/>
    <d v="2017-11-20T00:00:00"/>
    <n v="90332"/>
    <s v="Married"/>
    <s v="Bachelor's"/>
    <x v="0"/>
    <s v="Travel_Rarely"/>
    <n v="22"/>
    <x v="0"/>
    <x v="0"/>
    <n v="1"/>
    <n v="2"/>
    <n v="1"/>
    <n v="3"/>
    <n v="0"/>
    <n v="25"/>
    <s v="Michael Sanchez Jr."/>
    <x v="0"/>
    <m/>
    <x v="1"/>
    <n v="8"/>
    <x v="2"/>
    <n v="0"/>
    <s v="6-10 Years"/>
    <n v="1.33"/>
    <x v="2"/>
  </r>
  <r>
    <s v="EMP1012"/>
    <s v="Jennifer Robinson"/>
    <x v="2"/>
    <n v="32"/>
    <x v="0"/>
    <s v="Research Director"/>
    <d v="2026-07-18T00:00:00"/>
    <n v="48664"/>
    <s v="Single"/>
    <s v="Bachelor's"/>
    <x v="5"/>
    <s v="Travel_Frequently"/>
    <n v="10"/>
    <x v="1"/>
    <x v="2"/>
    <n v="2"/>
    <n v="2"/>
    <n v="4"/>
    <n v="6"/>
    <n v="1"/>
    <n v="18"/>
    <s v="Anthony Rodriguez"/>
    <x v="1"/>
    <d v="2026-08-09T00:00:00"/>
    <x v="1"/>
    <n v="0"/>
    <x v="1"/>
    <n v="1"/>
    <s v="Less than 1 Year"/>
    <n v="2"/>
    <x v="0"/>
  </r>
  <r>
    <s v="EMP1145"/>
    <s v="Larry Garcia"/>
    <x v="0"/>
    <n v="48"/>
    <x v="0"/>
    <s v="Research Scientist"/>
    <d v="2022-02-17T00:00:00"/>
    <n v="79626"/>
    <s v="Single"/>
    <s v="PhD"/>
    <x v="2"/>
    <s v="Non-Travel"/>
    <n v="40"/>
    <x v="0"/>
    <x v="0"/>
    <n v="1"/>
    <n v="3"/>
    <n v="3"/>
    <n v="3"/>
    <n v="7"/>
    <n v="19"/>
    <s v="Marilyn Mack"/>
    <x v="0"/>
    <m/>
    <x v="3"/>
    <n v="4"/>
    <x v="2"/>
    <n v="0"/>
    <s v="4-5 Years"/>
    <n v="1.67"/>
    <x v="2"/>
  </r>
  <r>
    <s v="EMP1918"/>
    <s v="Christina Hudson"/>
    <x v="2"/>
    <n v="38"/>
    <x v="0"/>
    <s v="Research Director"/>
    <d v="2024-02-07T00:00:00"/>
    <n v="91806"/>
    <s v="Divorced"/>
    <s v="Diploma"/>
    <x v="1"/>
    <s v="Travel_Rarely"/>
    <n v="42"/>
    <x v="0"/>
    <x v="0"/>
    <n v="1"/>
    <n v="1"/>
    <n v="1"/>
    <n v="3"/>
    <n v="5"/>
    <n v="18"/>
    <s v="Mark Marquez"/>
    <x v="1"/>
    <d v="2024-03-25T00:00:00"/>
    <x v="0"/>
    <n v="0"/>
    <x v="2"/>
    <n v="1"/>
    <s v="Less than 1 Year"/>
    <n v="1"/>
    <x v="2"/>
  </r>
  <r>
    <s v="EMP1640"/>
    <s v="Samuel Keller"/>
    <x v="2"/>
    <n v="25"/>
    <x v="4"/>
    <s v="Sales Manager"/>
    <d v="2024-07-22T00:00:00"/>
    <n v="87429"/>
    <s v="Single"/>
    <s v="PhD"/>
    <x v="9"/>
    <s v="Travel_Rarely"/>
    <n v="32"/>
    <x v="0"/>
    <x v="3"/>
    <n v="3"/>
    <n v="3"/>
    <n v="2"/>
    <n v="5"/>
    <n v="7"/>
    <n v="24"/>
    <s v="Sean Banks"/>
    <x v="0"/>
    <m/>
    <x v="1"/>
    <n v="2"/>
    <x v="2"/>
    <n v="0"/>
    <s v="1-3 Years"/>
    <n v="3"/>
    <x v="1"/>
  </r>
  <r>
    <s v="EMP1177"/>
    <s v="Maria Henderson"/>
    <x v="0"/>
    <n v="38"/>
    <x v="2"/>
    <s v="System Administrator"/>
    <d v="2017-01-22T00:00:00"/>
    <n v="70916"/>
    <s v="Married"/>
    <s v="Master's"/>
    <x v="8"/>
    <s v="Non-Travel"/>
    <n v="18"/>
    <x v="0"/>
    <x v="1"/>
    <n v="2"/>
    <n v="2"/>
    <n v="2"/>
    <n v="3"/>
    <n v="3"/>
    <n v="20"/>
    <s v="Christopher Lewis"/>
    <x v="0"/>
    <m/>
    <x v="0"/>
    <n v="9"/>
    <x v="2"/>
    <n v="0"/>
    <s v="6-10 Years"/>
    <n v="2.67"/>
    <x v="0"/>
  </r>
  <r>
    <s v="EMP1995"/>
    <s v="Jessica Turner"/>
    <x v="2"/>
    <n v="42"/>
    <x v="2"/>
    <s v="It Support"/>
    <d v="2021-01-02T00:00:00"/>
    <n v="69948"/>
    <s v="Married"/>
    <s v="Master's"/>
    <x v="5"/>
    <s v="Travel_Frequently"/>
    <n v="14"/>
    <x v="0"/>
    <x v="1"/>
    <n v="4"/>
    <n v="4"/>
    <n v="4"/>
    <n v="6"/>
    <n v="1"/>
    <n v="22"/>
    <s v="Michael Hansen"/>
    <x v="0"/>
    <m/>
    <x v="0"/>
    <n v="5"/>
    <x v="2"/>
    <n v="0"/>
    <s v="4-5 Years"/>
    <n v="4"/>
    <x v="1"/>
  </r>
  <r>
    <s v="EMP1441"/>
    <s v="Katie Bruce"/>
    <x v="0"/>
    <n v="44"/>
    <x v="5"/>
    <s v="Brand Manager"/>
    <d v="2024-03-15T00:00:00"/>
    <n v="51097"/>
    <s v="Single"/>
    <s v="Master's"/>
    <x v="8"/>
    <s v="Travel_Rarely"/>
    <n v="17"/>
    <x v="0"/>
    <x v="3"/>
    <n v="3"/>
    <n v="2"/>
    <n v="4"/>
    <n v="3"/>
    <n v="0"/>
    <n v="24"/>
    <s v="Catherine Davis"/>
    <x v="0"/>
    <m/>
    <x v="0"/>
    <n v="2"/>
    <x v="1"/>
    <n v="0"/>
    <s v="1-3 Years"/>
    <n v="2.67"/>
    <x v="0"/>
  </r>
  <r>
    <s v="EMP1522"/>
    <s v="Joshua Baker"/>
    <x v="0"/>
    <n v="32"/>
    <x v="0"/>
    <s v="Manufacturing Technician"/>
    <d v="2024-11-19T00:00:00"/>
    <n v="81951"/>
    <s v="Divorced"/>
    <s v="Diploma"/>
    <x v="9"/>
    <s v="Travel_Rarely"/>
    <n v="9"/>
    <x v="0"/>
    <x v="0"/>
    <n v="4"/>
    <n v="2"/>
    <n v="2"/>
    <n v="1"/>
    <n v="7"/>
    <n v="12"/>
    <s v="Albert Hunter"/>
    <x v="1"/>
    <d v="2025-01-07T00:00:00"/>
    <x v="1"/>
    <n v="0"/>
    <x v="2"/>
    <n v="1"/>
    <s v="Less than 1 Year"/>
    <n v="2.33"/>
    <x v="0"/>
  </r>
  <r>
    <s v="EMP2005"/>
    <s v="Richard Williams"/>
    <x v="0"/>
    <n v="42"/>
    <x v="2"/>
    <s v="Software Engineer"/>
    <d v="2014-12-08T00:00:00"/>
    <n v="149269"/>
    <s v="Married"/>
    <s v="Master's"/>
    <x v="2"/>
    <s v="Non-Travel"/>
    <n v="41"/>
    <x v="0"/>
    <x v="0"/>
    <n v="4"/>
    <n v="3"/>
    <n v="3"/>
    <n v="6"/>
    <n v="7"/>
    <n v="14"/>
    <s v="Daniel Hall"/>
    <x v="0"/>
    <m/>
    <x v="0"/>
    <n v="11"/>
    <x v="0"/>
    <n v="0"/>
    <s v="More than 10 Years"/>
    <n v="2.67"/>
    <x v="0"/>
  </r>
  <r>
    <s v="EMP1144"/>
    <s v="Ana Hill"/>
    <x v="0"/>
    <n v="35"/>
    <x v="4"/>
    <s v="Not Specified"/>
    <d v="2021-02-08T00:00:00"/>
    <n v="101374"/>
    <s v="Single"/>
    <s v="High School"/>
    <x v="8"/>
    <s v="Travel_Rarely"/>
    <n v="43"/>
    <x v="1"/>
    <x v="3"/>
    <n v="2"/>
    <n v="4"/>
    <n v="3"/>
    <n v="6"/>
    <n v="6"/>
    <n v="20"/>
    <s v="Zachary Schmidt"/>
    <x v="1"/>
    <d v="2024-02-26T00:00:00"/>
    <x v="0"/>
    <n v="3"/>
    <x v="0"/>
    <n v="1"/>
    <s v="1-3 Years"/>
    <n v="3"/>
    <x v="1"/>
  </r>
  <r>
    <s v="EMP1754"/>
    <s v="Kevin Meyers"/>
    <x v="2"/>
    <n v="35"/>
    <x v="0"/>
    <s v="Research Director"/>
    <d v="2013-04-01T00:00:00"/>
    <n v="59530"/>
    <s v="Not Specified"/>
    <s v="Master's"/>
    <x v="6"/>
    <s v="Travel_Frequently"/>
    <n v="3"/>
    <x v="0"/>
    <x v="3"/>
    <n v="3"/>
    <n v="2"/>
    <n v="4"/>
    <n v="3"/>
    <n v="7"/>
    <n v="16"/>
    <s v="Robert Walker PhD"/>
    <x v="0"/>
    <m/>
    <x v="0"/>
    <n v="13"/>
    <x v="1"/>
    <n v="0"/>
    <s v="More than 10 Years"/>
    <n v="2.67"/>
    <x v="0"/>
  </r>
  <r>
    <s v="EMP1520"/>
    <s v="Jessica Larsen"/>
    <x v="2"/>
    <n v="48"/>
    <x v="0"/>
    <s v="Lab Technician"/>
    <d v="2013-08-31T00:00:00"/>
    <n v="53666"/>
    <s v="Divorced"/>
    <s v="Master's"/>
    <x v="0"/>
    <s v="Non-Travel"/>
    <n v="45"/>
    <x v="1"/>
    <x v="3"/>
    <n v="1"/>
    <n v="4"/>
    <n v="2"/>
    <n v="4"/>
    <n v="3"/>
    <n v="13"/>
    <s v="Sherry Ford"/>
    <x v="0"/>
    <m/>
    <x v="3"/>
    <n v="13"/>
    <x v="1"/>
    <n v="0"/>
    <s v="More than 10 Years"/>
    <n v="2.67"/>
    <x v="0"/>
  </r>
  <r>
    <s v="EMP1823"/>
    <s v="Tamara Harris"/>
    <x v="2"/>
    <n v="41"/>
    <x v="2"/>
    <s v="System Administrator"/>
    <d v="2025-02-08T00:00:00"/>
    <n v="97572"/>
    <s v="Divorced"/>
    <s v="Bachelor's"/>
    <x v="4"/>
    <s v="Travel_Rarely"/>
    <n v="24"/>
    <x v="0"/>
    <x v="0"/>
    <n v="2"/>
    <n v="1"/>
    <n v="5"/>
    <n v="1"/>
    <n v="7"/>
    <n v="17"/>
    <s v="Brandon Singleton"/>
    <x v="1"/>
    <d v="2025-05-24T00:00:00"/>
    <x v="0"/>
    <n v="0"/>
    <x v="2"/>
    <n v="1"/>
    <s v="Less than 1 Year"/>
    <n v="1.33"/>
    <x v="2"/>
  </r>
  <r>
    <s v="EMP1429"/>
    <s v="Michele Hill"/>
    <x v="2"/>
    <n v="32"/>
    <x v="4"/>
    <s v="Sales Manager"/>
    <d v="2023-12-13T00:00:00"/>
    <n v="51880"/>
    <s v="Divorced"/>
    <s v="Bachelor's"/>
    <x v="0"/>
    <s v="Travel_Frequently"/>
    <n v="35"/>
    <x v="0"/>
    <x v="2"/>
    <n v="3"/>
    <n v="2"/>
    <n v="3"/>
    <n v="0"/>
    <n v="2"/>
    <n v="23"/>
    <s v="Becky Johnson"/>
    <x v="1"/>
    <d v="2025-04-27T00:00:00"/>
    <x v="1"/>
    <n v="1"/>
    <x v="1"/>
    <n v="1"/>
    <s v="1-3 Years"/>
    <n v="2.33"/>
    <x v="0"/>
  </r>
  <r>
    <s v="EMP1613"/>
    <s v="Steve Miller PhD"/>
    <x v="0"/>
    <n v="42"/>
    <x v="2"/>
    <s v="System Administrator"/>
    <d v="2012-07-26T00:00:00"/>
    <n v="76092"/>
    <s v="Divorced"/>
    <s v="Bachelor's"/>
    <x v="8"/>
    <s v="Non-Travel"/>
    <n v="25"/>
    <x v="0"/>
    <x v="3"/>
    <n v="2"/>
    <n v="2"/>
    <n v="3"/>
    <n v="6"/>
    <n v="3"/>
    <n v="18"/>
    <s v="Teresa Perry"/>
    <x v="0"/>
    <m/>
    <x v="0"/>
    <n v="14"/>
    <x v="2"/>
    <n v="0"/>
    <s v="More than 10 Years"/>
    <n v="2.33"/>
    <x v="0"/>
  </r>
  <r>
    <s v="EMP2033"/>
    <s v="Katherine Lopez"/>
    <x v="2"/>
    <n v="28"/>
    <x v="1"/>
    <s v="Hr Executive"/>
    <d v="2012-09-12T00:00:00"/>
    <n v="44475"/>
    <s v="Single"/>
    <s v="Not Specified"/>
    <x v="1"/>
    <s v="Travel_Rarely"/>
    <n v="8"/>
    <x v="0"/>
    <x v="0"/>
    <n v="2"/>
    <n v="1"/>
    <n v="3"/>
    <n v="4"/>
    <n v="5"/>
    <n v="20"/>
    <s v="Diane Hall"/>
    <x v="0"/>
    <m/>
    <x v="1"/>
    <n v="13"/>
    <x v="1"/>
    <n v="0"/>
    <s v="More than 10 Years"/>
    <n v="1.33"/>
    <x v="2"/>
  </r>
  <r>
    <s v="EMP1157"/>
    <s v="Douglas Gregory"/>
    <x v="2"/>
    <n v="33"/>
    <x v="2"/>
    <s v="Software Engineer"/>
    <d v="2018-12-03T00:00:00"/>
    <n v="92139"/>
    <s v="Single"/>
    <s v="Bachelor's"/>
    <x v="5"/>
    <s v="Travel_Frequently"/>
    <n v="4"/>
    <x v="0"/>
    <x v="3"/>
    <n v="1"/>
    <n v="3"/>
    <n v="4"/>
    <n v="0"/>
    <n v="5"/>
    <n v="16"/>
    <s v="Amber Foster"/>
    <x v="0"/>
    <m/>
    <x v="1"/>
    <n v="7"/>
    <x v="2"/>
    <n v="0"/>
    <s v="6-10 Years"/>
    <n v="2.33"/>
    <x v="0"/>
  </r>
  <r>
    <s v="EMP1540"/>
    <s v="Lucas Williams"/>
    <x v="0"/>
    <n v="29"/>
    <x v="5"/>
    <s v="Brand Manager"/>
    <d v="2023-05-11T00:00:00"/>
    <n v="82086"/>
    <s v="Single"/>
    <s v="Master's"/>
    <x v="6"/>
    <s v="Travel_Frequently"/>
    <n v="21"/>
    <x v="1"/>
    <x v="2"/>
    <n v="4"/>
    <n v="1"/>
    <n v="3"/>
    <n v="6"/>
    <n v="1"/>
    <n v="13"/>
    <s v="John Anderson"/>
    <x v="1"/>
    <d v="2025-01-08T00:00:00"/>
    <x v="1"/>
    <n v="1"/>
    <x v="2"/>
    <n v="1"/>
    <s v="1-3 Years"/>
    <n v="2.33"/>
    <x v="0"/>
  </r>
  <r>
    <s v="EMP1462"/>
    <s v="John Garcia"/>
    <x v="1"/>
    <n v="32"/>
    <x v="0"/>
    <s v="Research Director"/>
    <d v="2014-04-08T00:00:00"/>
    <n v="83084"/>
    <s v="Single"/>
    <s v="Master's"/>
    <x v="5"/>
    <s v="Travel_Frequently"/>
    <n v="29"/>
    <x v="0"/>
    <x v="3"/>
    <n v="4"/>
    <n v="3"/>
    <n v="1"/>
    <n v="4"/>
    <n v="0"/>
    <n v="25"/>
    <s v="Robert Edwards"/>
    <x v="1"/>
    <d v="2014-10-03T00:00:00"/>
    <x v="1"/>
    <n v="0"/>
    <x v="2"/>
    <n v="1"/>
    <s v="Less than 1 Year"/>
    <n v="3.33"/>
    <x v="1"/>
  </r>
  <r>
    <s v="EMP1577"/>
    <s v="Stacy James"/>
    <x v="2"/>
    <n v="41"/>
    <x v="0"/>
    <s v="Manufacturing Technician"/>
    <d v="2015-12-09T00:00:00"/>
    <n v="129279"/>
    <s v="Married"/>
    <s v="Bachelor's"/>
    <x v="9"/>
    <s v="Travel_Frequently"/>
    <n v="18"/>
    <x v="0"/>
    <x v="1"/>
    <n v="3"/>
    <n v="3"/>
    <n v="3"/>
    <n v="5"/>
    <n v="2"/>
    <n v="25"/>
    <s v="Brianna Jackson"/>
    <x v="0"/>
    <m/>
    <x v="0"/>
    <n v="10"/>
    <x v="0"/>
    <n v="0"/>
    <s v="6-10 Years"/>
    <n v="3.33"/>
    <x v="1"/>
  </r>
  <r>
    <s v="EMP1256"/>
    <s v="Lisa Perry"/>
    <x v="2"/>
    <n v="25"/>
    <x v="6"/>
    <s v="Sales Manager"/>
    <d v="2019-11-09T00:00:00"/>
    <n v="70845"/>
    <s v="Divorced"/>
    <s v="Master's"/>
    <x v="4"/>
    <s v="Non-Travel"/>
    <n v="2"/>
    <x v="0"/>
    <x v="1"/>
    <n v="3"/>
    <n v="3"/>
    <n v="3"/>
    <n v="3"/>
    <n v="4"/>
    <n v="13"/>
    <s v="Joshua Beck"/>
    <x v="0"/>
    <m/>
    <x v="1"/>
    <n v="6"/>
    <x v="2"/>
    <n v="0"/>
    <s v="6-10 Years"/>
    <n v="3.33"/>
    <x v="1"/>
  </r>
  <r>
    <s v="EMP1980"/>
    <s v="Heather Thompson"/>
    <x v="0"/>
    <n v="40"/>
    <x v="3"/>
    <s v="Finance Manager"/>
    <d v="2023-02-13T00:00:00"/>
    <n v="59269"/>
    <s v="Single"/>
    <s v="High School"/>
    <x v="3"/>
    <s v="Travel_Rarely"/>
    <n v="28"/>
    <x v="0"/>
    <x v="2"/>
    <n v="2"/>
    <n v="3"/>
    <n v="4"/>
    <n v="5"/>
    <n v="5"/>
    <n v="12"/>
    <s v="Alejandra Ford"/>
    <x v="0"/>
    <m/>
    <x v="0"/>
    <n v="3"/>
    <x v="1"/>
    <n v="0"/>
    <s v="1-3 Years"/>
    <n v="2.33"/>
    <x v="0"/>
  </r>
  <r>
    <s v="EMP2007"/>
    <s v="William Cox"/>
    <x v="2"/>
    <n v="45"/>
    <x v="3"/>
    <s v="Finance Manager"/>
    <d v="2012-10-05T00:00:00"/>
    <n v="92134"/>
    <s v="Divorced"/>
    <s v="Bachelor's"/>
    <x v="4"/>
    <s v="Travel_Frequently"/>
    <n v="24"/>
    <x v="1"/>
    <x v="3"/>
    <n v="2"/>
    <n v="1"/>
    <n v="3"/>
    <n v="3"/>
    <n v="2"/>
    <n v="17"/>
    <s v="Dylan Lee"/>
    <x v="1"/>
    <d v="2013-03-06T00:00:00"/>
    <x v="3"/>
    <n v="0"/>
    <x v="2"/>
    <n v="1"/>
    <s v="Less than 1 Year"/>
    <n v="2"/>
    <x v="0"/>
  </r>
  <r>
    <s v="EMP1561"/>
    <s v="Ronnie Wright"/>
    <x v="2"/>
    <n v="33"/>
    <x v="1"/>
    <s v="Hr Manager"/>
    <d v="2013-01-18T00:00:00"/>
    <n v="84194"/>
    <s v="Divorced"/>
    <s v="Master's"/>
    <x v="6"/>
    <s v="Non-Travel"/>
    <n v="2"/>
    <x v="0"/>
    <x v="2"/>
    <n v="4"/>
    <n v="4"/>
    <n v="4"/>
    <n v="6"/>
    <n v="4"/>
    <n v="20"/>
    <s v="Samantha Jones"/>
    <x v="0"/>
    <m/>
    <x v="1"/>
    <n v="13"/>
    <x v="2"/>
    <n v="0"/>
    <s v="More than 10 Years"/>
    <n v="3.33"/>
    <x v="1"/>
  </r>
  <r>
    <s v="EMP1209"/>
    <s v="Stephanie York"/>
    <x v="0"/>
    <n v="20"/>
    <x v="3"/>
    <s v="Financial Analyst"/>
    <d v="2022-04-13T00:00:00"/>
    <n v="55841"/>
    <s v="Single"/>
    <s v="Not Specified"/>
    <x v="2"/>
    <s v="Travel_Rarely"/>
    <n v="24"/>
    <x v="0"/>
    <x v="2"/>
    <n v="4"/>
    <n v="1"/>
    <n v="5"/>
    <n v="3"/>
    <n v="7"/>
    <n v="13"/>
    <s v="Marcia Leon"/>
    <x v="0"/>
    <m/>
    <x v="2"/>
    <n v="4"/>
    <x v="1"/>
    <n v="0"/>
    <s v="4-5 Years"/>
    <n v="2.33"/>
    <x v="0"/>
  </r>
  <r>
    <s v="EMP1911"/>
    <s v="Michael Hanson"/>
    <x v="0"/>
    <n v="19"/>
    <x v="3"/>
    <s v="Accountant"/>
    <d v="2015-08-14T00:00:00"/>
    <n v="62692"/>
    <s v="Married"/>
    <s v="Diploma"/>
    <x v="1"/>
    <s v="Travel_Rarely"/>
    <n v="34"/>
    <x v="1"/>
    <x v="3"/>
    <n v="3"/>
    <n v="4"/>
    <n v="4"/>
    <n v="3"/>
    <n v="6"/>
    <n v="22"/>
    <s v="Shelby Lopez"/>
    <x v="0"/>
    <m/>
    <x v="2"/>
    <n v="11"/>
    <x v="2"/>
    <n v="0"/>
    <s v="More than 10 Years"/>
    <n v="3.33"/>
    <x v="1"/>
  </r>
  <r>
    <s v="EMP1002"/>
    <s v="Allen Robinson"/>
    <x v="2"/>
    <n v="33"/>
    <x v="1"/>
    <s v="Hr Executive"/>
    <d v="2019-03-15T00:00:00"/>
    <n v="43331"/>
    <s v="Married"/>
    <s v="Bachelor's"/>
    <x v="6"/>
    <s v="Non-Travel"/>
    <n v="7"/>
    <x v="1"/>
    <x v="2"/>
    <n v="1"/>
    <n v="2"/>
    <n v="4"/>
    <n v="2"/>
    <n v="5"/>
    <n v="14"/>
    <s v="Matthew Gardner"/>
    <x v="1"/>
    <d v="2019-05-26T00:00:00"/>
    <x v="1"/>
    <n v="0"/>
    <x v="1"/>
    <n v="1"/>
    <s v="Less than 1 Year"/>
    <n v="1.67"/>
    <x v="2"/>
  </r>
  <r>
    <s v="EMP1270"/>
    <s v="Kyle Chambers"/>
    <x v="0"/>
    <n v="38"/>
    <x v="3"/>
    <s v="Auditor"/>
    <d v="2016-06-12T00:00:00"/>
    <n v="110301"/>
    <s v="Not Specified"/>
    <s v="PhD"/>
    <x v="3"/>
    <s v="Non-Travel"/>
    <n v="23"/>
    <x v="1"/>
    <x v="2"/>
    <n v="4"/>
    <n v="3"/>
    <n v="3"/>
    <n v="3"/>
    <n v="6"/>
    <n v="21"/>
    <s v="Charles Keller"/>
    <x v="0"/>
    <m/>
    <x v="0"/>
    <n v="10"/>
    <x v="0"/>
    <n v="0"/>
    <s v="6-10 Years"/>
    <n v="3"/>
    <x v="1"/>
  </r>
  <r>
    <s v="EMP1266"/>
    <s v="Samantha Wright"/>
    <x v="2"/>
    <n v="46"/>
    <x v="4"/>
    <s v="Sales Manager"/>
    <d v="2016-10-29T00:00:00"/>
    <n v="54967"/>
    <s v="Divorced"/>
    <s v="Bachelor's"/>
    <x v="1"/>
    <s v="Non-Travel"/>
    <n v="40"/>
    <x v="0"/>
    <x v="3"/>
    <n v="1"/>
    <n v="4"/>
    <n v="3"/>
    <n v="1"/>
    <n v="1"/>
    <n v="19"/>
    <s v="Timothy Hardy"/>
    <x v="0"/>
    <m/>
    <x v="3"/>
    <n v="9"/>
    <x v="1"/>
    <n v="0"/>
    <s v="6-10 Years"/>
    <n v="2.67"/>
    <x v="0"/>
  </r>
  <r>
    <s v="EMP1915"/>
    <s v="Brian Smith"/>
    <x v="0"/>
    <n v="45"/>
    <x v="0"/>
    <s v="Research Scientist"/>
    <d v="2026-02-21T00:00:00"/>
    <n v="113670"/>
    <s v="Divorced"/>
    <s v="Bachelor's"/>
    <x v="8"/>
    <s v="Travel_Rarely"/>
    <n v="17"/>
    <x v="0"/>
    <x v="3"/>
    <n v="2"/>
    <n v="2"/>
    <n v="3"/>
    <n v="3"/>
    <n v="1"/>
    <n v="11"/>
    <s v="Christine Wong"/>
    <x v="0"/>
    <m/>
    <x v="3"/>
    <n v="0"/>
    <x v="0"/>
    <n v="0"/>
    <s v="Less than 1 Year"/>
    <n v="2.33"/>
    <x v="0"/>
  </r>
  <r>
    <s v="EMP1231"/>
    <s v="Kim Erickson"/>
    <x v="0"/>
    <n v="30"/>
    <x v="4"/>
    <s v="Sales Representative"/>
    <d v="2016-02-19T00:00:00"/>
    <n v="56696"/>
    <s v="Divorced"/>
    <s v="Master's"/>
    <x v="1"/>
    <s v="Travel_Rarely"/>
    <n v="12"/>
    <x v="1"/>
    <x v="1"/>
    <n v="3"/>
    <n v="4"/>
    <n v="3"/>
    <n v="5"/>
    <n v="7"/>
    <n v="13"/>
    <s v="Isabella Nunez"/>
    <x v="0"/>
    <m/>
    <x v="1"/>
    <n v="10"/>
    <x v="1"/>
    <n v="0"/>
    <s v="6-10 Years"/>
    <n v="3.67"/>
    <x v="1"/>
  </r>
  <r>
    <s v="EMP1637"/>
    <s v="Daniel Medina"/>
    <x v="0"/>
    <n v="31"/>
    <x v="0"/>
    <s v="Manufacturing Technician"/>
    <d v="2014-09-14T00:00:00"/>
    <n v="63267"/>
    <s v="Divorced"/>
    <s v="Master's"/>
    <x v="2"/>
    <s v="Non-Travel"/>
    <n v="23"/>
    <x v="1"/>
    <x v="1"/>
    <n v="4"/>
    <n v="4"/>
    <n v="4"/>
    <n v="5"/>
    <n v="3"/>
    <n v="13"/>
    <s v="Deanna Webb"/>
    <x v="0"/>
    <m/>
    <x v="1"/>
    <n v="11"/>
    <x v="2"/>
    <n v="0"/>
    <s v="More than 10 Years"/>
    <n v="4"/>
    <x v="1"/>
  </r>
  <r>
    <s v="EMP2197"/>
    <s v="Tasha Cochran"/>
    <x v="2"/>
    <n v="34"/>
    <x v="2"/>
    <s v="It Support"/>
    <d v="2022-04-10T00:00:00"/>
    <n v="99137"/>
    <s v="Married"/>
    <s v="Bachelor's"/>
    <x v="6"/>
    <s v="Travel_Rarely"/>
    <n v="39"/>
    <x v="0"/>
    <x v="3"/>
    <n v="3"/>
    <n v="2"/>
    <n v="1"/>
    <n v="1"/>
    <n v="6"/>
    <n v="21"/>
    <s v="Aaron Fitzpatrick"/>
    <x v="0"/>
    <m/>
    <x v="1"/>
    <n v="4"/>
    <x v="2"/>
    <n v="0"/>
    <s v="4-5 Years"/>
    <n v="2.67"/>
    <x v="0"/>
  </r>
  <r>
    <s v="EMP1865"/>
    <s v="Jay Thomas"/>
    <x v="0"/>
    <n v="47"/>
    <x v="7"/>
    <s v="Operations Executive"/>
    <d v="2014-04-11T00:00:00"/>
    <n v="97171"/>
    <s v="Single"/>
    <s v="Master's"/>
    <x v="9"/>
    <s v="Travel_Rarely"/>
    <n v="43"/>
    <x v="0"/>
    <x v="3"/>
    <n v="2"/>
    <n v="2"/>
    <n v="4"/>
    <n v="6"/>
    <n v="1"/>
    <n v="23"/>
    <s v="Jessica King"/>
    <x v="0"/>
    <m/>
    <x v="3"/>
    <n v="12"/>
    <x v="2"/>
    <n v="0"/>
    <s v="More than 10 Years"/>
    <n v="2.33"/>
    <x v="0"/>
  </r>
  <r>
    <s v="EMP2067"/>
    <s v="Nathan Sanchez"/>
    <x v="2"/>
    <n v="36"/>
    <x v="2"/>
    <s v="It Support"/>
    <d v="2014-04-18T00:00:00"/>
    <n v="141290"/>
    <s v="Single"/>
    <s v="Diploma"/>
    <x v="6"/>
    <s v="Non-Travel"/>
    <n v="17"/>
    <x v="1"/>
    <x v="0"/>
    <n v="1"/>
    <n v="4"/>
    <n v="5"/>
    <n v="2"/>
    <n v="6"/>
    <n v="20"/>
    <s v="Jerome Reid"/>
    <x v="1"/>
    <d v="2017-05-16T00:00:00"/>
    <x v="0"/>
    <n v="3"/>
    <x v="0"/>
    <n v="1"/>
    <s v="1-3 Years"/>
    <n v="2"/>
    <x v="0"/>
  </r>
  <r>
    <s v="EMP1874"/>
    <s v="Robin Rojas"/>
    <x v="2"/>
    <n v="35"/>
    <x v="0"/>
    <s v="Lab Technician"/>
    <d v="2018-06-04T00:00:00"/>
    <n v="118855"/>
    <s v="Divorced"/>
    <s v="Bachelor's"/>
    <x v="3"/>
    <s v="Non-Travel"/>
    <n v="3"/>
    <x v="1"/>
    <x v="3"/>
    <n v="4"/>
    <n v="4"/>
    <n v="2"/>
    <n v="5"/>
    <n v="8"/>
    <n v="12"/>
    <s v="Anthony May"/>
    <x v="0"/>
    <m/>
    <x v="0"/>
    <n v="8"/>
    <x v="0"/>
    <n v="0"/>
    <s v="6-10 Years"/>
    <n v="3.67"/>
    <x v="1"/>
  </r>
  <r>
    <s v="EMP2085"/>
    <s v="Lori Oneill"/>
    <x v="2"/>
    <n v="34"/>
    <x v="5"/>
    <s v="Brand Manager"/>
    <d v="2014-02-21T00:00:00"/>
    <n v="65392"/>
    <s v="Single"/>
    <s v="Diploma"/>
    <x v="1"/>
    <s v="Travel_Frequently"/>
    <n v="15"/>
    <x v="0"/>
    <x v="1"/>
    <n v="3"/>
    <n v="3"/>
    <n v="5"/>
    <n v="3"/>
    <n v="3"/>
    <n v="12"/>
    <s v="James Hill"/>
    <x v="0"/>
    <m/>
    <x v="1"/>
    <n v="12"/>
    <x v="2"/>
    <n v="0"/>
    <s v="More than 10 Years"/>
    <n v="3.33"/>
    <x v="1"/>
  </r>
  <r>
    <s v="EMP1399"/>
    <s v="Melissa Mcfarland"/>
    <x v="0"/>
    <n v="46"/>
    <x v="5"/>
    <s v="Brand Manager"/>
    <d v="2023-05-28T00:00:00"/>
    <n v="68775"/>
    <s v="Married"/>
    <s v="Diploma"/>
    <x v="3"/>
    <s v="Travel_Frequently"/>
    <n v="41"/>
    <x v="1"/>
    <x v="0"/>
    <n v="1"/>
    <n v="3"/>
    <n v="4"/>
    <n v="3"/>
    <n v="7"/>
    <n v="25"/>
    <s v="Casey Parker"/>
    <x v="1"/>
    <d v="2024-02-17T00:00:00"/>
    <x v="3"/>
    <n v="0"/>
    <x v="2"/>
    <n v="1"/>
    <s v="Less than 1 Year"/>
    <n v="1.67"/>
    <x v="2"/>
  </r>
  <r>
    <s v="EMP2107"/>
    <s v="William Martinez"/>
    <x v="0"/>
    <n v="45"/>
    <x v="0"/>
    <s v="Research Scientist"/>
    <d v="2026-07-14T00:00:00"/>
    <n v="68914"/>
    <s v="Divorced"/>
    <s v="Bachelor's"/>
    <x v="6"/>
    <s v="Non-Travel"/>
    <n v="37"/>
    <x v="0"/>
    <x v="0"/>
    <n v="2"/>
    <n v="3"/>
    <n v="3"/>
    <n v="1"/>
    <n v="0"/>
    <n v="14"/>
    <s v="Ronald Simpson"/>
    <x v="1"/>
    <d v="2026-08-16T00:00:00"/>
    <x v="3"/>
    <n v="0"/>
    <x v="2"/>
    <n v="1"/>
    <s v="Less than 1 Year"/>
    <n v="2"/>
    <x v="0"/>
  </r>
  <r>
    <s v="EMP1046"/>
    <s v="Ashley Brennan"/>
    <x v="0"/>
    <n v="41"/>
    <x v="0"/>
    <s v="Research Scientist"/>
    <d v="2024-06-21T00:00:00"/>
    <n v="70596"/>
    <s v="Single"/>
    <s v="Bachelor's"/>
    <x v="4"/>
    <s v="Travel_Frequently"/>
    <n v="4"/>
    <x v="0"/>
    <x v="1"/>
    <n v="2"/>
    <n v="3"/>
    <n v="5"/>
    <n v="5"/>
    <n v="7"/>
    <n v="15"/>
    <s v="Robert Stevens"/>
    <x v="0"/>
    <m/>
    <x v="0"/>
    <n v="2"/>
    <x v="2"/>
    <n v="0"/>
    <s v="1-3 Years"/>
    <n v="3"/>
    <x v="1"/>
  </r>
  <r>
    <s v="EMP1162"/>
    <s v="Sandra Gillespie"/>
    <x v="2"/>
    <n v="33"/>
    <x v="4"/>
    <s v="Account Manager"/>
    <d v="2012-12-23T00:00:00"/>
    <n v="57882"/>
    <s v="Divorced"/>
    <s v="Bachelor's"/>
    <x v="4"/>
    <s v="Non-Travel"/>
    <n v="12"/>
    <x v="1"/>
    <x v="1"/>
    <n v="3"/>
    <n v="4"/>
    <n v="3"/>
    <n v="1"/>
    <n v="4"/>
    <n v="24"/>
    <s v="Dana Chapman"/>
    <x v="0"/>
    <m/>
    <x v="1"/>
    <n v="13"/>
    <x v="1"/>
    <n v="0"/>
    <s v="More than 10 Years"/>
    <n v="3.67"/>
    <x v="1"/>
  </r>
  <r>
    <s v="EMP1992"/>
    <s v="David Rodriguez"/>
    <x v="1"/>
    <n v="35"/>
    <x v="6"/>
    <s v="Research Director"/>
    <d v="2015-03-21T00:00:00"/>
    <n v="91589"/>
    <s v="Divorced"/>
    <s v="Master's"/>
    <x v="9"/>
    <s v="Travel_Frequently"/>
    <n v="17"/>
    <x v="1"/>
    <x v="1"/>
    <n v="3"/>
    <n v="1"/>
    <n v="3"/>
    <n v="5"/>
    <n v="6"/>
    <n v="18"/>
    <s v="Anthony Cook"/>
    <x v="0"/>
    <m/>
    <x v="0"/>
    <n v="11"/>
    <x v="2"/>
    <n v="0"/>
    <s v="More than 10 Years"/>
    <n v="2.67"/>
    <x v="0"/>
  </r>
  <r>
    <s v="EMP1728"/>
    <s v="Nicholas Reed"/>
    <x v="0"/>
    <n v="42"/>
    <x v="2"/>
    <s v="Devops Engineer"/>
    <d v="2021-03-30T00:00:00"/>
    <n v="112804"/>
    <s v="Divorced"/>
    <s v="Bachelor's"/>
    <x v="3"/>
    <s v="Travel_Rarely"/>
    <n v="7"/>
    <x v="1"/>
    <x v="0"/>
    <n v="3"/>
    <n v="4"/>
    <n v="2"/>
    <n v="6"/>
    <n v="4"/>
    <n v="19"/>
    <s v="Christopher Ross"/>
    <x v="1"/>
    <d v="2025-05-03T00:00:00"/>
    <x v="0"/>
    <n v="4"/>
    <x v="0"/>
    <n v="1"/>
    <s v="4-5 Years"/>
    <n v="2.67"/>
    <x v="0"/>
  </r>
  <r>
    <s v="EMP1630"/>
    <s v="Carlos Miller"/>
    <x v="0"/>
    <n v="34"/>
    <x v="2"/>
    <s v="Software Engineer"/>
    <d v="2020-03-09T00:00:00"/>
    <n v="60965"/>
    <s v="Single"/>
    <s v="Not Specified"/>
    <x v="5"/>
    <s v="Travel_Frequently"/>
    <n v="40"/>
    <x v="1"/>
    <x v="3"/>
    <n v="4"/>
    <n v="4"/>
    <n v="3"/>
    <n v="5"/>
    <n v="4"/>
    <n v="12"/>
    <s v="James Miller"/>
    <x v="0"/>
    <m/>
    <x v="1"/>
    <n v="6"/>
    <x v="2"/>
    <n v="0"/>
    <s v="6-10 Years"/>
    <n v="3.67"/>
    <x v="1"/>
  </r>
  <r>
    <s v="EMP1289"/>
    <s v="Jake Sullivan"/>
    <x v="2"/>
    <n v="19"/>
    <x v="4"/>
    <s v="Account Manager"/>
    <d v="2020-02-03T00:00:00"/>
    <n v="71785"/>
    <s v="Married"/>
    <s v="Master's"/>
    <x v="6"/>
    <s v="Travel_Frequently"/>
    <n v="34"/>
    <x v="0"/>
    <x v="3"/>
    <n v="3"/>
    <n v="3"/>
    <n v="2"/>
    <n v="5"/>
    <n v="2"/>
    <n v="13"/>
    <s v="Courtney Sutton DVM"/>
    <x v="0"/>
    <m/>
    <x v="2"/>
    <n v="6"/>
    <x v="2"/>
    <n v="0"/>
    <s v="6-10 Years"/>
    <n v="3"/>
    <x v="1"/>
  </r>
  <r>
    <s v="EMP2060"/>
    <s v="Oscar Todd"/>
    <x v="2"/>
    <n v="27"/>
    <x v="0"/>
    <s v="Research Scientist"/>
    <d v="2020-11-28T00:00:00"/>
    <n v="112186"/>
    <s v="Single"/>
    <s v="High School"/>
    <x v="2"/>
    <s v="Non-Travel"/>
    <n v="42"/>
    <x v="0"/>
    <x v="1"/>
    <n v="3"/>
    <n v="4"/>
    <n v="4"/>
    <n v="2"/>
    <n v="3"/>
    <n v="17"/>
    <s v="James Phillips"/>
    <x v="0"/>
    <m/>
    <x v="1"/>
    <n v="5"/>
    <x v="0"/>
    <n v="0"/>
    <s v="4-5 Years"/>
    <n v="3.67"/>
    <x v="1"/>
  </r>
  <r>
    <s v="EMP2187"/>
    <s v="Tracy Garcia"/>
    <x v="2"/>
    <n v="34"/>
    <x v="7"/>
    <s v="Supply Chain Analyst"/>
    <d v="2019-07-10T00:00:00"/>
    <n v="45711"/>
    <s v="Married"/>
    <s v="Bachelor's"/>
    <x v="7"/>
    <s v="Travel_Frequently"/>
    <n v="13"/>
    <x v="0"/>
    <x v="3"/>
    <n v="1"/>
    <n v="3"/>
    <n v="3"/>
    <n v="6"/>
    <n v="1"/>
    <n v="16"/>
    <s v="Rhonda Morrison"/>
    <x v="0"/>
    <m/>
    <x v="1"/>
    <n v="7"/>
    <x v="1"/>
    <n v="0"/>
    <s v="6-10 Years"/>
    <n v="2.33"/>
    <x v="0"/>
  </r>
  <r>
    <s v="EMP1576"/>
    <s v="Mariah Thompson"/>
    <x v="0"/>
    <n v="40"/>
    <x v="0"/>
    <s v="Manufacturing Technician"/>
    <d v="2023-04-21T00:00:00"/>
    <n v="68161"/>
    <s v="Divorced"/>
    <s v="Master's"/>
    <x v="2"/>
    <s v="Travel_Frequently"/>
    <n v="39"/>
    <x v="0"/>
    <x v="0"/>
    <n v="1"/>
    <n v="1"/>
    <n v="3"/>
    <n v="6"/>
    <n v="4"/>
    <n v="24"/>
    <s v="Michael Freeman"/>
    <x v="0"/>
    <m/>
    <x v="0"/>
    <n v="3"/>
    <x v="2"/>
    <n v="0"/>
    <s v="1-3 Years"/>
    <n v="1"/>
    <x v="2"/>
  </r>
  <r>
    <s v="EMP1851"/>
    <s v="Patrick Davis"/>
    <x v="2"/>
    <n v="20"/>
    <x v="0"/>
    <s v="Research Director"/>
    <d v="2024-04-03T00:00:00"/>
    <n v="76479"/>
    <s v="Married"/>
    <s v="High School"/>
    <x v="3"/>
    <s v="Travel_Rarely"/>
    <n v="9"/>
    <x v="0"/>
    <x v="1"/>
    <n v="1"/>
    <n v="3"/>
    <n v="3"/>
    <n v="4"/>
    <n v="6"/>
    <n v="12"/>
    <s v="George Jones"/>
    <x v="0"/>
    <m/>
    <x v="2"/>
    <n v="2"/>
    <x v="2"/>
    <n v="0"/>
    <s v="1-3 Years"/>
    <n v="2.67"/>
    <x v="0"/>
  </r>
  <r>
    <s v="EMP1912"/>
    <s v="Paul Munoz"/>
    <x v="2"/>
    <n v="44"/>
    <x v="2"/>
    <s v="System Administrator"/>
    <d v="2024-08-31T00:00:00"/>
    <n v="62433"/>
    <s v="Divorced"/>
    <s v="Bachelor's"/>
    <x v="9"/>
    <s v="Travel_Frequently"/>
    <n v="34"/>
    <x v="0"/>
    <x v="2"/>
    <n v="4"/>
    <n v="3"/>
    <n v="2"/>
    <n v="1"/>
    <n v="2"/>
    <n v="25"/>
    <s v="Abigail Wilson"/>
    <x v="1"/>
    <d v="2024-11-16T00:00:00"/>
    <x v="0"/>
    <n v="0"/>
    <x v="2"/>
    <n v="1"/>
    <s v="Less than 1 Year"/>
    <n v="3"/>
    <x v="1"/>
  </r>
  <r>
    <s v="EMP1933"/>
    <s v="Chad Allison"/>
    <x v="2"/>
    <n v="30"/>
    <x v="2"/>
    <s v="Software Engineer"/>
    <d v="2018-03-19T00:00:00"/>
    <n v="110668"/>
    <s v="Married"/>
    <s v="Master's"/>
    <x v="0"/>
    <s v="Non-Travel"/>
    <n v="25"/>
    <x v="1"/>
    <x v="3"/>
    <n v="2"/>
    <n v="2"/>
    <n v="2"/>
    <n v="4"/>
    <n v="0"/>
    <n v="25"/>
    <s v="Randy Sanchez"/>
    <x v="0"/>
    <m/>
    <x v="1"/>
    <n v="8"/>
    <x v="0"/>
    <n v="0"/>
    <s v="6-10 Years"/>
    <n v="2.33"/>
    <x v="0"/>
  </r>
  <r>
    <s v="EMP1248"/>
    <s v="Tammy Mcdowell"/>
    <x v="2"/>
    <n v="44"/>
    <x v="1"/>
    <s v="Hr Manager"/>
    <d v="2011-10-20T00:00:00"/>
    <n v="43176"/>
    <s v="Divorced"/>
    <s v="Bachelor's"/>
    <x v="4"/>
    <s v="Travel_Frequently"/>
    <n v="36"/>
    <x v="0"/>
    <x v="1"/>
    <n v="4"/>
    <n v="3"/>
    <n v="3"/>
    <n v="1"/>
    <n v="5"/>
    <n v="21"/>
    <s v="Ashley Bird"/>
    <x v="0"/>
    <m/>
    <x v="0"/>
    <n v="14"/>
    <x v="1"/>
    <n v="0"/>
    <s v="More than 10 Years"/>
    <n v="3.67"/>
    <x v="1"/>
  </r>
  <r>
    <s v="EMP1477"/>
    <s v="Lisa Kennedy"/>
    <x v="0"/>
    <n v="40"/>
    <x v="0"/>
    <s v="Lab Technician"/>
    <d v="2021-06-19T00:00:00"/>
    <n v="60540"/>
    <s v="Divorced"/>
    <s v="Master's"/>
    <x v="1"/>
    <s v="Travel_Rarely"/>
    <n v="14"/>
    <x v="1"/>
    <x v="0"/>
    <n v="2"/>
    <n v="1"/>
    <n v="3"/>
    <n v="1"/>
    <n v="0"/>
    <n v="14"/>
    <s v="Peter Walker"/>
    <x v="1"/>
    <d v="2025-03-09T00:00:00"/>
    <x v="0"/>
    <n v="3"/>
    <x v="2"/>
    <n v="1"/>
    <s v="1-3 Years"/>
    <n v="1.33"/>
    <x v="2"/>
  </r>
  <r>
    <s v="EMP1086"/>
    <s v="Vanessa Warren"/>
    <x v="0"/>
    <n v="32"/>
    <x v="0"/>
    <s v="Manufacturing Technician"/>
    <d v="2015-11-20T00:00:00"/>
    <n v="85534"/>
    <s v="Divorced"/>
    <s v="Master's"/>
    <x v="8"/>
    <s v="Non-Travel"/>
    <n v="10"/>
    <x v="0"/>
    <x v="1"/>
    <n v="3"/>
    <n v="4"/>
    <n v="1"/>
    <n v="3"/>
    <n v="5"/>
    <n v="22"/>
    <s v="Cory Perez"/>
    <x v="0"/>
    <m/>
    <x v="1"/>
    <n v="10"/>
    <x v="2"/>
    <n v="0"/>
    <s v="6-10 Years"/>
    <n v="3.67"/>
    <x v="1"/>
  </r>
  <r>
    <s v="EMP1470"/>
    <s v="Joseph Haynes"/>
    <x v="0"/>
    <n v="47"/>
    <x v="6"/>
    <s v="Research Scientist"/>
    <d v="2013-01-30T00:00:00"/>
    <n v="127856"/>
    <s v="Married"/>
    <s v="Bachelor's"/>
    <x v="2"/>
    <s v="Travel_Rarely"/>
    <n v="2"/>
    <x v="0"/>
    <x v="2"/>
    <n v="3"/>
    <n v="1"/>
    <n v="3"/>
    <n v="0"/>
    <n v="6"/>
    <n v="17"/>
    <s v="Danielle Reed"/>
    <x v="0"/>
    <m/>
    <x v="3"/>
    <n v="13"/>
    <x v="0"/>
    <n v="0"/>
    <s v="More than 10 Years"/>
    <n v="2"/>
    <x v="0"/>
  </r>
  <r>
    <s v="EMP1226"/>
    <s v="Stephen Luna"/>
    <x v="2"/>
    <n v="50"/>
    <x v="3"/>
    <s v="Financial Analyst"/>
    <d v="2023-01-22T00:00:00"/>
    <n v="79434"/>
    <s v="Single"/>
    <s v="Master's"/>
    <x v="0"/>
    <s v="Non-Travel"/>
    <n v="39"/>
    <x v="1"/>
    <x v="2"/>
    <n v="2"/>
    <n v="2"/>
    <n v="2"/>
    <n v="5"/>
    <n v="6"/>
    <n v="12"/>
    <s v="Kelly Lee"/>
    <x v="1"/>
    <d v="2024-05-17T00:00:00"/>
    <x v="3"/>
    <n v="1"/>
    <x v="2"/>
    <n v="1"/>
    <s v="1-3 Years"/>
    <n v="2"/>
    <x v="0"/>
  </r>
  <r>
    <s v="EMP1775"/>
    <s v="Robert Nicholson"/>
    <x v="0"/>
    <n v="38"/>
    <x v="1"/>
    <s v="Hr Business Partner"/>
    <d v="2018-05-31T00:00:00"/>
    <n v="39917"/>
    <s v="Divorced"/>
    <s v="PhD"/>
    <x v="6"/>
    <s v="Travel_Frequently"/>
    <n v="21"/>
    <x v="0"/>
    <x v="0"/>
    <n v="4"/>
    <n v="3"/>
    <n v="5"/>
    <n v="6"/>
    <n v="8"/>
    <n v="16"/>
    <s v="Justin Smith"/>
    <x v="0"/>
    <m/>
    <x v="0"/>
    <n v="8"/>
    <x v="1"/>
    <n v="0"/>
    <s v="6-10 Years"/>
    <n v="2.67"/>
    <x v="0"/>
  </r>
  <r>
    <s v="EMP1332"/>
    <s v="Nathan Payne"/>
    <x v="0"/>
    <n v="39"/>
    <x v="2"/>
    <s v="Not Specified"/>
    <d v="2026-06-06T00:00:00"/>
    <n v="68178"/>
    <s v="Not Specified"/>
    <s v="Bachelor's"/>
    <x v="1"/>
    <s v="Travel_Frequently"/>
    <n v="42"/>
    <x v="1"/>
    <x v="3"/>
    <n v="2"/>
    <n v="3"/>
    <n v="3"/>
    <n v="2"/>
    <n v="0"/>
    <n v="25"/>
    <s v="Nicole Evans"/>
    <x v="1"/>
    <d v="2026-06-14T00:00:00"/>
    <x v="0"/>
    <n v="0"/>
    <x v="2"/>
    <n v="1"/>
    <s v="Less than 1 Year"/>
    <n v="2.67"/>
    <x v="0"/>
  </r>
  <r>
    <s v="EMP1234"/>
    <s v="Sarah Hernandez"/>
    <x v="0"/>
    <n v="38"/>
    <x v="0"/>
    <s v="Research Director"/>
    <d v="2021-10-26T00:00:00"/>
    <n v="51503"/>
    <s v="Married"/>
    <s v="High School"/>
    <x v="1"/>
    <s v="Non-Travel"/>
    <n v="38"/>
    <x v="0"/>
    <x v="3"/>
    <n v="3"/>
    <n v="2"/>
    <n v="3"/>
    <n v="5"/>
    <n v="1"/>
    <n v="11"/>
    <s v="Travis Rodriguez"/>
    <x v="0"/>
    <m/>
    <x v="0"/>
    <n v="4"/>
    <x v="1"/>
    <n v="0"/>
    <s v="4-5 Years"/>
    <n v="2.67"/>
    <x v="0"/>
  </r>
  <r>
    <s v="EMP1589"/>
    <s v="Jeffrey Carter"/>
    <x v="1"/>
    <n v="24"/>
    <x v="1"/>
    <s v="Recruiter"/>
    <d v="2015-02-10T00:00:00"/>
    <n v="56934"/>
    <s v="Divorced"/>
    <s v="Bachelor's"/>
    <x v="8"/>
    <s v="Travel_Frequently"/>
    <n v="2"/>
    <x v="0"/>
    <x v="1"/>
    <n v="3"/>
    <n v="4"/>
    <n v="4"/>
    <n v="3"/>
    <n v="4"/>
    <n v="20"/>
    <s v="James Jenkins"/>
    <x v="0"/>
    <m/>
    <x v="2"/>
    <n v="11"/>
    <x v="1"/>
    <n v="0"/>
    <s v="More than 10 Years"/>
    <n v="3.67"/>
    <x v="1"/>
  </r>
  <r>
    <s v="EMP1476"/>
    <s v="Michael Clements"/>
    <x v="0"/>
    <n v="37"/>
    <x v="2"/>
    <s v="Software Engineer"/>
    <d v="2017-01-30T00:00:00"/>
    <n v="110360"/>
    <s v="Married"/>
    <s v="Bachelor's"/>
    <x v="4"/>
    <s v="Not Specified"/>
    <n v="29"/>
    <x v="0"/>
    <x v="1"/>
    <n v="2"/>
    <n v="3"/>
    <n v="4"/>
    <n v="3"/>
    <n v="5"/>
    <n v="17"/>
    <s v="Daniel Gibson"/>
    <x v="0"/>
    <m/>
    <x v="0"/>
    <n v="9"/>
    <x v="0"/>
    <n v="0"/>
    <s v="6-10 Years"/>
    <n v="3"/>
    <x v="1"/>
  </r>
  <r>
    <s v="EMP1600"/>
    <s v="Sharon Robinson"/>
    <x v="0"/>
    <n v="30"/>
    <x v="5"/>
    <s v="Marketing Executive"/>
    <d v="2013-05-07T00:00:00"/>
    <n v="53864"/>
    <s v="Married"/>
    <s v="Master's"/>
    <x v="7"/>
    <s v="Non-Travel"/>
    <n v="14"/>
    <x v="1"/>
    <x v="2"/>
    <n v="3"/>
    <n v="4"/>
    <n v="5"/>
    <n v="2"/>
    <n v="7"/>
    <n v="16"/>
    <s v="Erika Jackson"/>
    <x v="0"/>
    <m/>
    <x v="1"/>
    <n v="13"/>
    <x v="1"/>
    <n v="0"/>
    <s v="More than 10 Years"/>
    <n v="3"/>
    <x v="1"/>
  </r>
  <r>
    <s v="EMP1422"/>
    <s v="Hailey Jenkins"/>
    <x v="2"/>
    <n v="45"/>
    <x v="4"/>
    <s v="Sales Representative"/>
    <d v="2017-05-18T00:00:00"/>
    <n v="104392"/>
    <s v="Married"/>
    <s v="Bachelor's"/>
    <x v="2"/>
    <s v="Travel_Frequently"/>
    <n v="44"/>
    <x v="0"/>
    <x v="0"/>
    <n v="4"/>
    <n v="2"/>
    <n v="3"/>
    <n v="4"/>
    <n v="6"/>
    <n v="17"/>
    <s v="Amanda Hill"/>
    <x v="1"/>
    <d v="2021-11-20T00:00:00"/>
    <x v="3"/>
    <n v="4"/>
    <x v="0"/>
    <n v="1"/>
    <s v="4-5 Years"/>
    <n v="2.33"/>
    <x v="0"/>
  </r>
  <r>
    <s v="EMP1183"/>
    <s v="Douglas Reyes"/>
    <x v="2"/>
    <n v="28"/>
    <x v="3"/>
    <s v="Finance Manager"/>
    <d v="2019-07-14T00:00:00"/>
    <n v="126327"/>
    <s v="Single"/>
    <s v="Bachelor's"/>
    <x v="9"/>
    <s v="Non-Travel"/>
    <n v="44"/>
    <x v="0"/>
    <x v="2"/>
    <n v="1"/>
    <n v="3"/>
    <n v="3"/>
    <n v="3"/>
    <n v="4"/>
    <n v="11"/>
    <s v="Ruth Solis"/>
    <x v="0"/>
    <m/>
    <x v="1"/>
    <n v="7"/>
    <x v="0"/>
    <n v="0"/>
    <s v="6-10 Years"/>
    <n v="2"/>
    <x v="0"/>
  </r>
  <r>
    <s v="EMP1989"/>
    <s v="Donald Fisher"/>
    <x v="2"/>
    <n v="35"/>
    <x v="4"/>
    <s v="Sales Executive"/>
    <d v="2018-05-11T00:00:00"/>
    <n v="74656"/>
    <s v="Divorced"/>
    <s v="Bachelor's"/>
    <x v="2"/>
    <s v="Non-Travel"/>
    <n v="15"/>
    <x v="0"/>
    <x v="3"/>
    <n v="4"/>
    <n v="1"/>
    <n v="3"/>
    <n v="4"/>
    <n v="6"/>
    <n v="22"/>
    <s v="Cory Miller"/>
    <x v="0"/>
    <m/>
    <x v="0"/>
    <n v="8"/>
    <x v="2"/>
    <n v="0"/>
    <s v="6-10 Years"/>
    <n v="2.67"/>
    <x v="0"/>
  </r>
  <r>
    <s v="EMP2001"/>
    <s v="Patricia Hernandez"/>
    <x v="2"/>
    <n v="44"/>
    <x v="0"/>
    <s v="Manufacturing Technician"/>
    <d v="2016-04-07T00:00:00"/>
    <n v="84050"/>
    <s v="Single"/>
    <s v="Bachelor's"/>
    <x v="8"/>
    <s v="Not Specified"/>
    <n v="37"/>
    <x v="0"/>
    <x v="1"/>
    <n v="2"/>
    <n v="3"/>
    <n v="5"/>
    <n v="4"/>
    <n v="1"/>
    <n v="20"/>
    <s v="Jacob Smith"/>
    <x v="0"/>
    <m/>
    <x v="0"/>
    <n v="10"/>
    <x v="2"/>
    <n v="0"/>
    <s v="6-10 Years"/>
    <n v="3"/>
    <x v="1"/>
  </r>
  <r>
    <s v="EMP1050"/>
    <s v="Larry Dixon"/>
    <x v="0"/>
    <n v="30"/>
    <x v="3"/>
    <s v="Accountant"/>
    <d v="2017-05-29T00:00:00"/>
    <n v="95493"/>
    <s v="Divorced"/>
    <s v="Master's"/>
    <x v="9"/>
    <s v="Travel_Frequently"/>
    <n v="7"/>
    <x v="0"/>
    <x v="0"/>
    <n v="3"/>
    <n v="4"/>
    <n v="2"/>
    <n v="1"/>
    <n v="6"/>
    <n v="21"/>
    <s v="Dawn Fletcher"/>
    <x v="0"/>
    <m/>
    <x v="1"/>
    <n v="9"/>
    <x v="2"/>
    <n v="0"/>
    <s v="6-10 Years"/>
    <n v="2.67"/>
    <x v="0"/>
  </r>
  <r>
    <s v="EMP2139"/>
    <s v="Vanessa Zimmerman"/>
    <x v="0"/>
    <n v="20"/>
    <x v="3"/>
    <s v="Accountant"/>
    <d v="2015-05-19T00:00:00"/>
    <n v="81933"/>
    <s v="Married"/>
    <s v="Master's"/>
    <x v="6"/>
    <s v="Travel_Frequently"/>
    <n v="22"/>
    <x v="0"/>
    <x v="2"/>
    <n v="2"/>
    <n v="1"/>
    <n v="4"/>
    <n v="2"/>
    <n v="6"/>
    <n v="24"/>
    <s v="Catherine Andersen"/>
    <x v="1"/>
    <d v="2022-04-01T00:00:00"/>
    <x v="2"/>
    <n v="6"/>
    <x v="2"/>
    <n v="1"/>
    <s v="6-10 Years"/>
    <n v="1.67"/>
    <x v="2"/>
  </r>
  <r>
    <s v="EMP2030"/>
    <s v="Tammy Hernandez"/>
    <x v="2"/>
    <n v="39"/>
    <x v="4"/>
    <s v="Account Manager"/>
    <d v="2025-11-15T00:00:00"/>
    <n v="45020"/>
    <s v="Married"/>
    <s v="Master's"/>
    <x v="0"/>
    <s v="Non-Travel"/>
    <n v="28"/>
    <x v="0"/>
    <x v="3"/>
    <n v="3"/>
    <n v="1"/>
    <n v="3"/>
    <n v="0"/>
    <n v="3"/>
    <n v="18"/>
    <s v="Lindsey Franklin"/>
    <x v="1"/>
    <d v="2026-02-18T00:00:00"/>
    <x v="0"/>
    <n v="0"/>
    <x v="1"/>
    <n v="1"/>
    <s v="Less than 1 Year"/>
    <n v="2.33"/>
    <x v="0"/>
  </r>
  <r>
    <s v="EMP1530"/>
    <s v="Holly Valdez"/>
    <x v="2"/>
    <n v="36"/>
    <x v="4"/>
    <s v="Sales Executive"/>
    <d v="2024-02-16T00:00:00"/>
    <n v="99401"/>
    <s v="Single"/>
    <s v="Bachelor's"/>
    <x v="8"/>
    <s v="Non-Travel"/>
    <n v="37"/>
    <x v="0"/>
    <x v="0"/>
    <n v="3"/>
    <n v="3"/>
    <n v="3"/>
    <n v="3"/>
    <n v="0"/>
    <n v="18"/>
    <s v="Jamie Solomon"/>
    <x v="0"/>
    <m/>
    <x v="0"/>
    <n v="2"/>
    <x v="2"/>
    <n v="0"/>
    <s v="1-3 Years"/>
    <n v="2.33"/>
    <x v="0"/>
  </r>
  <r>
    <s v="EMP1487"/>
    <s v="Michael Zavala"/>
    <x v="0"/>
    <n v="37"/>
    <x v="5"/>
    <s v="Digital Marketing Specialist"/>
    <d v="2021-05-12T00:00:00"/>
    <n v="101208"/>
    <s v="Not Specified"/>
    <s v="Master's"/>
    <x v="3"/>
    <s v="Non-Travel"/>
    <n v="22"/>
    <x v="0"/>
    <x v="3"/>
    <n v="4"/>
    <n v="3"/>
    <n v="3"/>
    <n v="0"/>
    <n v="3"/>
    <n v="11"/>
    <s v="Kathy Benson"/>
    <x v="0"/>
    <m/>
    <x v="0"/>
    <n v="5"/>
    <x v="0"/>
    <n v="0"/>
    <s v="4-5 Years"/>
    <n v="3.33"/>
    <x v="1"/>
  </r>
  <r>
    <s v="EMP1498"/>
    <s v="Christian Morris"/>
    <x v="1"/>
    <n v="36"/>
    <x v="3"/>
    <s v="Finance Manager"/>
    <d v="2012-06-03T00:00:00"/>
    <n v="61415"/>
    <s v="Single"/>
    <s v="Bachelor's"/>
    <x v="3"/>
    <s v="Non-Travel"/>
    <n v="9"/>
    <x v="0"/>
    <x v="1"/>
    <n v="1"/>
    <n v="4"/>
    <n v="4"/>
    <n v="4"/>
    <n v="2"/>
    <n v="22"/>
    <s v="Lisa Stanley"/>
    <x v="0"/>
    <m/>
    <x v="0"/>
    <n v="14"/>
    <x v="2"/>
    <n v="0"/>
    <s v="More than 10 Years"/>
    <n v="3"/>
    <x v="1"/>
  </r>
  <r>
    <s v="EMP1107"/>
    <s v="Mrs. Kristen Reyes"/>
    <x v="2"/>
    <n v="36"/>
    <x v="1"/>
    <s v="Recruiter"/>
    <d v="2025-06-01T00:00:00"/>
    <n v="30589"/>
    <s v="Divorced"/>
    <s v="Diploma"/>
    <x v="0"/>
    <s v="Travel_Frequently"/>
    <n v="7"/>
    <x v="0"/>
    <x v="1"/>
    <n v="1"/>
    <n v="3"/>
    <n v="4"/>
    <n v="2"/>
    <n v="8"/>
    <n v="20"/>
    <s v="Sherry Shields"/>
    <x v="0"/>
    <m/>
    <x v="0"/>
    <n v="1"/>
    <x v="1"/>
    <n v="0"/>
    <s v="1-3 Years"/>
    <n v="2.67"/>
    <x v="0"/>
  </r>
  <r>
    <s v="EMP1444"/>
    <s v="Julie Delacruz"/>
    <x v="0"/>
    <n v="28"/>
    <x v="0"/>
    <s v="Manufacturing Technician"/>
    <d v="2020-05-14T00:00:00"/>
    <n v="83084"/>
    <s v="Married"/>
    <s v="PhD"/>
    <x v="5"/>
    <s v="Travel_Rarely"/>
    <n v="21"/>
    <x v="1"/>
    <x v="1"/>
    <n v="1"/>
    <n v="3"/>
    <n v="3"/>
    <n v="2"/>
    <n v="8"/>
    <n v="25"/>
    <s v="Andrea Preston"/>
    <x v="0"/>
    <m/>
    <x v="1"/>
    <n v="6"/>
    <x v="2"/>
    <n v="0"/>
    <s v="6-10 Years"/>
    <n v="2.67"/>
    <x v="0"/>
  </r>
  <r>
    <s v="EMP1647"/>
    <s v="Joshua Clark"/>
    <x v="0"/>
    <n v="36"/>
    <x v="0"/>
    <s v="Manufacturing Technician"/>
    <d v="2013-09-24T00:00:00"/>
    <n v="107441"/>
    <s v="Married"/>
    <s v="High School"/>
    <x v="8"/>
    <s v="Travel_Rarely"/>
    <n v="42"/>
    <x v="0"/>
    <x v="0"/>
    <n v="2"/>
    <n v="4"/>
    <n v="3"/>
    <n v="3"/>
    <n v="4"/>
    <n v="19"/>
    <s v="Rebecca Huffman"/>
    <x v="0"/>
    <m/>
    <x v="0"/>
    <n v="12"/>
    <x v="0"/>
    <n v="0"/>
    <s v="More than 10 Years"/>
    <n v="2.33"/>
    <x v="0"/>
  </r>
  <r>
    <s v="EMP2037"/>
    <s v="Desiree Smith"/>
    <x v="0"/>
    <n v="32"/>
    <x v="1"/>
    <s v="Hr Manager"/>
    <d v="2013-10-16T00:00:00"/>
    <n v="92356"/>
    <s v="Divorced"/>
    <s v="Bachelor's"/>
    <x v="4"/>
    <s v="Travel_Frequently"/>
    <n v="29"/>
    <x v="0"/>
    <x v="3"/>
    <n v="3"/>
    <n v="1"/>
    <n v="2"/>
    <n v="3"/>
    <n v="3"/>
    <n v="19"/>
    <s v="James Aguirre"/>
    <x v="0"/>
    <m/>
    <x v="1"/>
    <n v="12"/>
    <x v="2"/>
    <n v="0"/>
    <s v="More than 10 Years"/>
    <n v="2.33"/>
    <x v="0"/>
  </r>
  <r>
    <s v="EMP1727"/>
    <s v="Brittany Crawford"/>
    <x v="0"/>
    <n v="32"/>
    <x v="6"/>
    <s v="Data Analyst"/>
    <d v="2026-06-27T00:00:00"/>
    <n v="60702"/>
    <s v="Single"/>
    <s v="Master's"/>
    <x v="3"/>
    <s v="Non-Travel"/>
    <n v="2"/>
    <x v="0"/>
    <x v="2"/>
    <n v="4"/>
    <n v="2"/>
    <n v="5"/>
    <n v="5"/>
    <n v="8"/>
    <n v="21"/>
    <s v="Jeremiah Walsh"/>
    <x v="1"/>
    <d v="2026-08-16T00:00:00"/>
    <x v="1"/>
    <n v="0"/>
    <x v="2"/>
    <n v="1"/>
    <s v="Less than 1 Year"/>
    <n v="2.67"/>
    <x v="0"/>
  </r>
  <r>
    <s v="EMP1283"/>
    <s v="Katherine Jackson"/>
    <x v="2"/>
    <n v="35"/>
    <x v="6"/>
    <s v="Software Engineer"/>
    <d v="2023-07-10T00:00:00"/>
    <n v="64753"/>
    <s v="Married"/>
    <s v="Bachelor's"/>
    <x v="5"/>
    <s v="Non-Travel"/>
    <n v="44"/>
    <x v="0"/>
    <x v="0"/>
    <n v="4"/>
    <n v="2"/>
    <n v="3"/>
    <n v="5"/>
    <n v="7"/>
    <n v="15"/>
    <s v="Katherine Stark"/>
    <x v="1"/>
    <d v="2024-01-20T00:00:00"/>
    <x v="0"/>
    <n v="0"/>
    <x v="2"/>
    <n v="1"/>
    <s v="Less than 1 Year"/>
    <n v="2.33"/>
    <x v="0"/>
  </r>
  <r>
    <s v="EMP1030"/>
    <s v="Tyler Cowan"/>
    <x v="2"/>
    <n v="32"/>
    <x v="4"/>
    <s v="Sales Representative"/>
    <d v="2019-12-15T00:00:00"/>
    <n v="98129"/>
    <s v="Single"/>
    <s v="PhD"/>
    <x v="2"/>
    <s v="Travel_Frequently"/>
    <n v="45"/>
    <x v="0"/>
    <x v="3"/>
    <n v="4"/>
    <n v="1"/>
    <n v="3"/>
    <n v="6"/>
    <n v="3"/>
    <n v="17"/>
    <s v="Brittney Phillips"/>
    <x v="0"/>
    <m/>
    <x v="1"/>
    <n v="6"/>
    <x v="2"/>
    <n v="0"/>
    <s v="6-10 Years"/>
    <n v="2.67"/>
    <x v="0"/>
  </r>
  <r>
    <s v="EMP1170"/>
    <s v="Robert Pearson"/>
    <x v="0"/>
    <n v="35"/>
    <x v="2"/>
    <s v="It Support"/>
    <d v="2016-06-16T00:00:00"/>
    <n v="141820"/>
    <s v="Single"/>
    <s v="Master's"/>
    <x v="7"/>
    <s v="Non-Travel"/>
    <n v="23"/>
    <x v="0"/>
    <x v="1"/>
    <n v="3"/>
    <n v="4"/>
    <n v="3"/>
    <n v="5"/>
    <n v="4"/>
    <n v="20"/>
    <s v="Chris Brown"/>
    <x v="0"/>
    <m/>
    <x v="0"/>
    <n v="10"/>
    <x v="0"/>
    <n v="0"/>
    <s v="6-10 Years"/>
    <n v="3.67"/>
    <x v="1"/>
  </r>
  <r>
    <s v="EMP2002"/>
    <s v="Meghan Brown"/>
    <x v="2"/>
    <n v="29"/>
    <x v="5"/>
    <s v="Brand Manager"/>
    <d v="2019-03-25T00:00:00"/>
    <n v="101106"/>
    <s v="Divorced"/>
    <s v="High School"/>
    <x v="0"/>
    <s v="Travel_Rarely"/>
    <n v="39"/>
    <x v="0"/>
    <x v="1"/>
    <n v="3"/>
    <n v="1"/>
    <n v="3"/>
    <n v="5"/>
    <n v="3"/>
    <n v="17"/>
    <s v="Shannon Henderson"/>
    <x v="0"/>
    <m/>
    <x v="1"/>
    <n v="7"/>
    <x v="0"/>
    <n v="0"/>
    <s v="6-10 Years"/>
    <n v="2.67"/>
    <x v="0"/>
  </r>
  <r>
    <s v="EMP1101"/>
    <s v="Shannon Rivera"/>
    <x v="0"/>
    <n v="38"/>
    <x v="4"/>
    <s v="Sales Representative"/>
    <d v="2022-01-04T00:00:00"/>
    <n v="67230"/>
    <s v="Divorced"/>
    <s v="Bachelor's"/>
    <x v="3"/>
    <s v="Travel_Frequently"/>
    <n v="21"/>
    <x v="0"/>
    <x v="3"/>
    <n v="3"/>
    <n v="1"/>
    <n v="3"/>
    <n v="0"/>
    <n v="4"/>
    <n v="13"/>
    <s v="Tony Cervantes"/>
    <x v="0"/>
    <m/>
    <x v="0"/>
    <n v="4"/>
    <x v="2"/>
    <n v="0"/>
    <s v="4-5 Years"/>
    <n v="2.33"/>
    <x v="0"/>
  </r>
  <r>
    <s v="EMP1198"/>
    <s v="Howard Norman"/>
    <x v="0"/>
    <n v="33"/>
    <x v="6"/>
    <s v="Auditor"/>
    <d v="2024-07-30T00:00:00"/>
    <n v="101801"/>
    <s v="Married"/>
    <s v="Not Specified"/>
    <x v="2"/>
    <s v="Travel_Rarely"/>
    <n v="28"/>
    <x v="1"/>
    <x v="1"/>
    <n v="1"/>
    <n v="3"/>
    <n v="3"/>
    <n v="3"/>
    <n v="5"/>
    <n v="19"/>
    <s v="Caleb Richardson"/>
    <x v="0"/>
    <m/>
    <x v="1"/>
    <n v="2"/>
    <x v="0"/>
    <n v="0"/>
    <s v="1-3 Years"/>
    <n v="2.67"/>
    <x v="0"/>
  </r>
  <r>
    <s v="EMP1496"/>
    <s v="Christopher Fleming"/>
    <x v="0"/>
    <n v="40"/>
    <x v="4"/>
    <s v="Sales Manager"/>
    <d v="2014-06-14T00:00:00"/>
    <n v="68224"/>
    <s v="Single"/>
    <s v="Bachelor's"/>
    <x v="3"/>
    <s v="Travel_Frequently"/>
    <n v="28"/>
    <x v="0"/>
    <x v="3"/>
    <n v="4"/>
    <n v="2"/>
    <n v="4"/>
    <n v="3"/>
    <n v="2"/>
    <n v="24"/>
    <s v="Jose Bennett"/>
    <x v="0"/>
    <m/>
    <x v="0"/>
    <n v="12"/>
    <x v="2"/>
    <n v="0"/>
    <s v="More than 10 Years"/>
    <n v="3"/>
    <x v="1"/>
  </r>
  <r>
    <s v="EMP1648"/>
    <s v="Michael Mills"/>
    <x v="0"/>
    <n v="46"/>
    <x v="4"/>
    <s v="Account Manager"/>
    <d v="2013-09-05T00:00:00"/>
    <n v="71864"/>
    <s v="Married"/>
    <s v="PhD"/>
    <x v="6"/>
    <s v="Non-Travel"/>
    <n v="9"/>
    <x v="1"/>
    <x v="1"/>
    <n v="2"/>
    <n v="1"/>
    <n v="3"/>
    <n v="4"/>
    <n v="8"/>
    <n v="18"/>
    <s v="Brianna Fitzpatrick"/>
    <x v="1"/>
    <d v="2026-08-10T00:00:00"/>
    <x v="3"/>
    <n v="12"/>
    <x v="2"/>
    <n v="1"/>
    <s v="More than 10 Years"/>
    <n v="2.33"/>
    <x v="0"/>
  </r>
  <r>
    <s v="EMP1988"/>
    <s v="Zachary Hill"/>
    <x v="2"/>
    <n v="29"/>
    <x v="3"/>
    <s v="Financial Analyst"/>
    <d v="2021-10-23T00:00:00"/>
    <n v="101350"/>
    <s v="Married"/>
    <s v="High School"/>
    <x v="1"/>
    <s v="Travel_Frequently"/>
    <n v="36"/>
    <x v="1"/>
    <x v="2"/>
    <n v="2"/>
    <n v="4"/>
    <n v="3"/>
    <n v="4"/>
    <n v="7"/>
    <n v="18"/>
    <s v="Peter Stephenson"/>
    <x v="1"/>
    <d v="2024-01-28T00:00:00"/>
    <x v="1"/>
    <n v="2"/>
    <x v="0"/>
    <n v="1"/>
    <s v="1-3 Years"/>
    <n v="2.67"/>
    <x v="0"/>
  </r>
  <r>
    <s v="EMP1045"/>
    <s v="Norman Cook"/>
    <x v="2"/>
    <n v="45"/>
    <x v="0"/>
    <s v="Manufacturing Technician"/>
    <d v="2025-07-20T00:00:00"/>
    <n v="58996"/>
    <s v="Married"/>
    <s v="Bachelor's"/>
    <x v="4"/>
    <s v="Non-Travel"/>
    <n v="27"/>
    <x v="1"/>
    <x v="0"/>
    <n v="2"/>
    <n v="4"/>
    <n v="4"/>
    <n v="2"/>
    <n v="5"/>
    <n v="22"/>
    <s v="Rita Adams"/>
    <x v="1"/>
    <d v="2026-06-11T00:00:00"/>
    <x v="3"/>
    <n v="0"/>
    <x v="1"/>
    <n v="1"/>
    <s v="Less than 1 Year"/>
    <n v="2.33"/>
    <x v="0"/>
  </r>
  <r>
    <s v="EMP1711"/>
    <s v="Heather Callahan"/>
    <x v="2"/>
    <n v="25"/>
    <x v="2"/>
    <s v="Data Analyst"/>
    <d v="2024-07-30T00:00:00"/>
    <n v="105050"/>
    <s v="Married"/>
    <s v="Bachelor's"/>
    <x v="9"/>
    <s v="Travel_Rarely"/>
    <n v="22"/>
    <x v="0"/>
    <x v="0"/>
    <n v="4"/>
    <n v="1"/>
    <n v="5"/>
    <n v="4"/>
    <n v="5"/>
    <n v="24"/>
    <s v="Michael Long"/>
    <x v="0"/>
    <m/>
    <x v="1"/>
    <n v="2"/>
    <x v="0"/>
    <n v="0"/>
    <s v="1-3 Years"/>
    <n v="2"/>
    <x v="0"/>
  </r>
  <r>
    <s v="EMP1374"/>
    <s v="Thomas Merritt"/>
    <x v="2"/>
    <n v="37"/>
    <x v="4"/>
    <s v="Sales Manager"/>
    <d v="2019-06-02T00:00:00"/>
    <n v="51682"/>
    <s v="Single"/>
    <s v="Master's"/>
    <x v="6"/>
    <s v="Non-Travel"/>
    <n v="2"/>
    <x v="1"/>
    <x v="0"/>
    <n v="3"/>
    <n v="1"/>
    <n v="2"/>
    <n v="3"/>
    <n v="6"/>
    <n v="16"/>
    <s v="William Miller"/>
    <x v="1"/>
    <d v="2024-06-30T00:00:00"/>
    <x v="0"/>
    <n v="5"/>
    <x v="1"/>
    <n v="1"/>
    <s v="4-5 Years"/>
    <n v="1.67"/>
    <x v="2"/>
  </r>
  <r>
    <s v="EMP1679"/>
    <s v="Jonathon Nguyen"/>
    <x v="0"/>
    <n v="35"/>
    <x v="7"/>
    <s v="Operations Executive"/>
    <d v="2011-10-03T00:00:00"/>
    <n v="45337"/>
    <s v="Married"/>
    <s v="PhD"/>
    <x v="9"/>
    <s v="Travel_Rarely"/>
    <n v="2"/>
    <x v="0"/>
    <x v="1"/>
    <n v="4"/>
    <n v="3"/>
    <n v="3"/>
    <n v="3"/>
    <n v="7"/>
    <n v="16"/>
    <s v="Gloria Ramsey"/>
    <x v="0"/>
    <m/>
    <x v="0"/>
    <n v="14"/>
    <x v="1"/>
    <n v="0"/>
    <s v="More than 10 Years"/>
    <n v="3.67"/>
    <x v="1"/>
  </r>
  <r>
    <s v="EMP1567"/>
    <s v="Michael Thompson"/>
    <x v="0"/>
    <n v="37"/>
    <x v="2"/>
    <s v="It Support"/>
    <d v="2026-03-25T00:00:00"/>
    <n v="103407"/>
    <s v="Divorced"/>
    <s v="Master's"/>
    <x v="5"/>
    <s v="Travel_Rarely"/>
    <n v="33"/>
    <x v="1"/>
    <x v="3"/>
    <n v="4"/>
    <n v="3"/>
    <n v="3"/>
    <n v="3"/>
    <n v="4"/>
    <n v="21"/>
    <s v="Michael Smith"/>
    <x v="1"/>
    <d v="2026-07-14T00:00:00"/>
    <x v="0"/>
    <n v="0"/>
    <x v="0"/>
    <n v="1"/>
    <s v="Less than 1 Year"/>
    <n v="3.33"/>
    <x v="1"/>
  </r>
  <r>
    <s v="EMP1848"/>
    <s v="Mrs. Jeanette Armstrong"/>
    <x v="0"/>
    <n v="48"/>
    <x v="0"/>
    <s v="Manufacturing Technician"/>
    <d v="2023-09-21T00:00:00"/>
    <n v="77611"/>
    <s v="Divorced"/>
    <s v="Master's"/>
    <x v="9"/>
    <s v="Travel_Rarely"/>
    <n v="32"/>
    <x v="1"/>
    <x v="0"/>
    <n v="2"/>
    <n v="2"/>
    <n v="3"/>
    <n v="5"/>
    <n v="1"/>
    <n v="14"/>
    <s v="Gabriella Shaw"/>
    <x v="1"/>
    <d v="2024-01-06T00:00:00"/>
    <x v="3"/>
    <n v="0"/>
    <x v="2"/>
    <n v="1"/>
    <s v="Less than 1 Year"/>
    <n v="1.67"/>
    <x v="2"/>
  </r>
  <r>
    <s v="EMP1461"/>
    <s v="Brandon Hunt"/>
    <x v="0"/>
    <n v="28"/>
    <x v="2"/>
    <s v="System Administrator"/>
    <d v="2022-06-16T00:00:00"/>
    <n v="96238"/>
    <s v="Married"/>
    <s v="Master's"/>
    <x v="10"/>
    <s v="Non-Travel"/>
    <n v="41"/>
    <x v="0"/>
    <x v="0"/>
    <n v="2"/>
    <n v="2"/>
    <n v="4"/>
    <n v="2"/>
    <n v="4"/>
    <n v="22"/>
    <s v="David Hinton"/>
    <x v="1"/>
    <d v="2022-11-18T00:00:00"/>
    <x v="1"/>
    <n v="0"/>
    <x v="2"/>
    <n v="1"/>
    <s v="Less than 1 Year"/>
    <n v="1.67"/>
    <x v="2"/>
  </r>
  <r>
    <s v="EMP1040"/>
    <s v="Donald Smith"/>
    <x v="2"/>
    <n v="38"/>
    <x v="4"/>
    <s v="Sales Representative"/>
    <d v="2023-03-02T00:00:00"/>
    <n v="58844"/>
    <s v="Single"/>
    <s v="Master's"/>
    <x v="1"/>
    <s v="Travel_Frequently"/>
    <n v="41"/>
    <x v="0"/>
    <x v="2"/>
    <n v="4"/>
    <n v="4"/>
    <n v="4"/>
    <n v="6"/>
    <n v="7"/>
    <n v="11"/>
    <s v="Deborah Figueroa"/>
    <x v="0"/>
    <m/>
    <x v="0"/>
    <n v="3"/>
    <x v="1"/>
    <n v="0"/>
    <s v="1-3 Years"/>
    <n v="3.33"/>
    <x v="1"/>
  </r>
  <r>
    <s v="EMP1435"/>
    <s v="John Byrd"/>
    <x v="2"/>
    <n v="44"/>
    <x v="0"/>
    <s v="Lab Technician"/>
    <d v="2023-12-17T00:00:00"/>
    <n v="57316"/>
    <s v="Divorced"/>
    <s v="Diploma"/>
    <x v="7"/>
    <s v="Travel_Frequently"/>
    <n v="26"/>
    <x v="1"/>
    <x v="0"/>
    <n v="3"/>
    <n v="4"/>
    <n v="4"/>
    <n v="0"/>
    <n v="3"/>
    <n v="18"/>
    <s v="Jorge Bates"/>
    <x v="1"/>
    <d v="2025-01-12T00:00:00"/>
    <x v="0"/>
    <n v="1"/>
    <x v="1"/>
    <n v="1"/>
    <s v="1-3 Years"/>
    <n v="2.67"/>
    <x v="0"/>
  </r>
  <r>
    <s v="EMP1974"/>
    <s v="Not Specified"/>
    <x v="2"/>
    <n v="39"/>
    <x v="5"/>
    <s v="Marketing Executive"/>
    <d v="2012-05-04T00:00:00"/>
    <n v="113662"/>
    <s v="Married"/>
    <s v="Master's"/>
    <x v="8"/>
    <s v="Travel_Frequently"/>
    <n v="2"/>
    <x v="1"/>
    <x v="3"/>
    <n v="4"/>
    <n v="4"/>
    <n v="3"/>
    <n v="6"/>
    <n v="4"/>
    <n v="15"/>
    <s v="Kristine Turner"/>
    <x v="0"/>
    <m/>
    <x v="0"/>
    <n v="14"/>
    <x v="0"/>
    <n v="0"/>
    <s v="More than 10 Years"/>
    <n v="3.67"/>
    <x v="1"/>
  </r>
  <r>
    <s v="EMP2008"/>
    <s v="Pamela Williams"/>
    <x v="2"/>
    <n v="30"/>
    <x v="0"/>
    <s v="Lab Technician"/>
    <d v="2012-02-08T00:00:00"/>
    <n v="96270"/>
    <s v="Single"/>
    <s v="High School"/>
    <x v="8"/>
    <s v="Travel_Frequently"/>
    <n v="7"/>
    <x v="1"/>
    <x v="2"/>
    <n v="2"/>
    <n v="4"/>
    <n v="3"/>
    <n v="1"/>
    <n v="0"/>
    <n v="24"/>
    <s v="Stephen Higgins"/>
    <x v="1"/>
    <d v="2014-12-26T00:00:00"/>
    <x v="1"/>
    <n v="2"/>
    <x v="2"/>
    <n v="1"/>
    <s v="1-3 Years"/>
    <n v="2.67"/>
    <x v="0"/>
  </r>
  <r>
    <s v="EMP1457"/>
    <s v="Mary Nelson"/>
    <x v="0"/>
    <n v="44"/>
    <x v="7"/>
    <s v="Operations Executive"/>
    <d v="2020-09-12T00:00:00"/>
    <n v="72470"/>
    <s v="Divorced"/>
    <s v="Master's"/>
    <x v="9"/>
    <s v="Non-Travel"/>
    <n v="23"/>
    <x v="0"/>
    <x v="3"/>
    <n v="3"/>
    <n v="1"/>
    <n v="1"/>
    <n v="0"/>
    <n v="4"/>
    <n v="11"/>
    <s v="Ronald Garcia"/>
    <x v="0"/>
    <m/>
    <x v="0"/>
    <n v="5"/>
    <x v="2"/>
    <n v="0"/>
    <s v="4-5 Years"/>
    <n v="2.33"/>
    <x v="0"/>
  </r>
  <r>
    <s v="EMP1261"/>
    <s v="Robert Reese"/>
    <x v="0"/>
    <n v="19"/>
    <x v="5"/>
    <s v="Marketing Executive"/>
    <d v="2020-04-16T00:00:00"/>
    <n v="67553"/>
    <s v="Married"/>
    <s v="Bachelor's"/>
    <x v="9"/>
    <s v="Travel_Frequently"/>
    <n v="23"/>
    <x v="0"/>
    <x v="0"/>
    <n v="4"/>
    <n v="1"/>
    <n v="3"/>
    <n v="5"/>
    <n v="4"/>
    <n v="24"/>
    <s v="Arthur Mcknight"/>
    <x v="1"/>
    <d v="2020-07-30T00:00:00"/>
    <x v="2"/>
    <n v="0"/>
    <x v="2"/>
    <n v="1"/>
    <s v="Less than 1 Year"/>
    <n v="2"/>
    <x v="0"/>
  </r>
  <r>
    <s v="EMP1036"/>
    <s v="Angel Lewis MD"/>
    <x v="2"/>
    <n v="32"/>
    <x v="3"/>
    <s v="Accountant"/>
    <d v="2025-08-02T00:00:00"/>
    <n v="116484"/>
    <s v="Single"/>
    <s v="Bachelor's"/>
    <x v="8"/>
    <s v="Travel_Frequently"/>
    <n v="39"/>
    <x v="0"/>
    <x v="3"/>
    <n v="4"/>
    <n v="2"/>
    <n v="5"/>
    <n v="6"/>
    <n v="5"/>
    <n v="24"/>
    <s v="Not Specified"/>
    <x v="1"/>
    <d v="2026-07-15T00:00:00"/>
    <x v="1"/>
    <n v="0"/>
    <x v="0"/>
    <n v="1"/>
    <s v="Less than 1 Year"/>
    <n v="3"/>
    <x v="1"/>
  </r>
  <r>
    <s v="EMP1828"/>
    <s v="Darren Rodriguez"/>
    <x v="0"/>
    <n v="48"/>
    <x v="0"/>
    <s v="Lab Technician"/>
    <d v="2026-05-09T00:00:00"/>
    <n v="38861"/>
    <s v="Divorced"/>
    <s v="Diploma"/>
    <x v="1"/>
    <s v="Travel_Rarely"/>
    <n v="1"/>
    <x v="0"/>
    <x v="3"/>
    <n v="1"/>
    <n v="1"/>
    <n v="5"/>
    <n v="6"/>
    <n v="4"/>
    <n v="24"/>
    <s v="Chad Farmer"/>
    <x v="1"/>
    <d v="2026-05-23T00:00:00"/>
    <x v="3"/>
    <n v="0"/>
    <x v="1"/>
    <n v="1"/>
    <s v="Less than 1 Year"/>
    <n v="1.67"/>
    <x v="2"/>
  </r>
  <r>
    <s v="EMP1310"/>
    <s v="Julia Erickson"/>
    <x v="2"/>
    <n v="44"/>
    <x v="7"/>
    <s v="Operations Executive"/>
    <d v="2018-03-16T00:00:00"/>
    <n v="95656"/>
    <s v="Divorced"/>
    <s v="Master's"/>
    <x v="3"/>
    <s v="Non-Travel"/>
    <n v="15"/>
    <x v="0"/>
    <x v="2"/>
    <n v="2"/>
    <n v="2"/>
    <n v="3"/>
    <n v="4"/>
    <n v="4"/>
    <n v="19"/>
    <s v="Michael Fuentes"/>
    <x v="0"/>
    <m/>
    <x v="0"/>
    <n v="8"/>
    <x v="2"/>
    <n v="0"/>
    <s v="6-10 Years"/>
    <n v="2"/>
    <x v="0"/>
  </r>
  <r>
    <s v="EMP1277"/>
    <s v="Sean Cook"/>
    <x v="2"/>
    <n v="19"/>
    <x v="1"/>
    <s v="Hr Executive"/>
    <d v="2025-12-09T00:00:00"/>
    <n v="46248"/>
    <s v="Single"/>
    <s v="Bachelor's"/>
    <x v="4"/>
    <s v="Travel_Rarely"/>
    <n v="33"/>
    <x v="0"/>
    <x v="3"/>
    <n v="4"/>
    <n v="1"/>
    <n v="2"/>
    <n v="6"/>
    <n v="6"/>
    <n v="12"/>
    <s v="Tonya Wilson"/>
    <x v="1"/>
    <d v="2025-12-13T00:00:00"/>
    <x v="2"/>
    <n v="0"/>
    <x v="1"/>
    <n v="1"/>
    <s v="Less than 1 Year"/>
    <n v="2.67"/>
    <x v="0"/>
  </r>
  <r>
    <s v="EMP1655"/>
    <s v="Virginia Todd"/>
    <x v="2"/>
    <n v="38"/>
    <x v="2"/>
    <s v="It Support"/>
    <d v="2012-08-25T00:00:00"/>
    <n v="118540"/>
    <s v="Married"/>
    <s v="High School"/>
    <x v="0"/>
    <s v="Travel_Frequently"/>
    <n v="12"/>
    <x v="0"/>
    <x v="2"/>
    <n v="3"/>
    <n v="3"/>
    <n v="4"/>
    <n v="0"/>
    <n v="8"/>
    <n v="23"/>
    <s v="Victoria Camacho"/>
    <x v="0"/>
    <m/>
    <x v="0"/>
    <n v="14"/>
    <x v="0"/>
    <n v="0"/>
    <s v="More than 10 Years"/>
    <n v="2.67"/>
    <x v="0"/>
  </r>
  <r>
    <s v="EMP1623"/>
    <s v="Henry Taylor"/>
    <x v="2"/>
    <n v="35"/>
    <x v="6"/>
    <s v="Brand Manager"/>
    <d v="2017-02-20T00:00:00"/>
    <n v="99281"/>
    <s v="Divorced"/>
    <s v="PhD"/>
    <x v="9"/>
    <s v="Travel_Rarely"/>
    <n v="12"/>
    <x v="0"/>
    <x v="3"/>
    <n v="1"/>
    <n v="3"/>
    <n v="4"/>
    <n v="4"/>
    <n v="6"/>
    <n v="20"/>
    <s v="Crystal Shepherd"/>
    <x v="0"/>
    <m/>
    <x v="0"/>
    <n v="9"/>
    <x v="2"/>
    <n v="0"/>
    <s v="6-10 Years"/>
    <n v="2.33"/>
    <x v="0"/>
  </r>
  <r>
    <s v="EMP1845"/>
    <s v="Brent Reed"/>
    <x v="2"/>
    <n v="53"/>
    <x v="4"/>
    <s v="Sales Manager"/>
    <d v="2016-12-29T00:00:00"/>
    <n v="44382"/>
    <s v="Divorced"/>
    <s v="Bachelor's"/>
    <x v="5"/>
    <s v="Travel_Frequently"/>
    <n v="14"/>
    <x v="0"/>
    <x v="0"/>
    <n v="2"/>
    <n v="2"/>
    <n v="1"/>
    <n v="0"/>
    <n v="2"/>
    <n v="25"/>
    <s v="Matthew Wright"/>
    <x v="0"/>
    <m/>
    <x v="3"/>
    <n v="9"/>
    <x v="1"/>
    <n v="0"/>
    <s v="6-10 Years"/>
    <n v="1.67"/>
    <x v="2"/>
  </r>
  <r>
    <s v="EMP1394"/>
    <s v="Chelsea Travis"/>
    <x v="0"/>
    <n v="40"/>
    <x v="0"/>
    <s v="Manufacturing Technician"/>
    <d v="2024-10-24T00:00:00"/>
    <n v="53797"/>
    <s v="Divorced"/>
    <s v="Bachelor's"/>
    <x v="1"/>
    <s v="Non-Travel"/>
    <n v="41"/>
    <x v="1"/>
    <x v="2"/>
    <n v="2"/>
    <n v="3"/>
    <n v="1"/>
    <n v="3"/>
    <n v="6"/>
    <n v="11"/>
    <s v="John Davis"/>
    <x v="1"/>
    <d v="2025-09-21T00:00:00"/>
    <x v="0"/>
    <n v="0"/>
    <x v="1"/>
    <n v="1"/>
    <s v="Less than 1 Year"/>
    <n v="2.33"/>
    <x v="0"/>
  </r>
  <r>
    <s v="EMP1108"/>
    <s v="Richard Perry"/>
    <x v="2"/>
    <n v="29"/>
    <x v="3"/>
    <s v="Auditor"/>
    <d v="2025-08-07T00:00:00"/>
    <n v="127472"/>
    <s v="Single"/>
    <s v="Master's"/>
    <x v="8"/>
    <s v="Non-Travel"/>
    <n v="14"/>
    <x v="0"/>
    <x v="0"/>
    <n v="4"/>
    <n v="4"/>
    <n v="3"/>
    <n v="1"/>
    <n v="0"/>
    <n v="13"/>
    <s v="Diane Evans"/>
    <x v="1"/>
    <d v="2026-02-20T00:00:00"/>
    <x v="1"/>
    <n v="0"/>
    <x v="0"/>
    <n v="1"/>
    <s v="Less than 1 Year"/>
    <n v="3"/>
    <x v="1"/>
  </r>
  <r>
    <s v="EMP1350"/>
    <s v="Jessica Bowen"/>
    <x v="2"/>
    <n v="39"/>
    <x v="4"/>
    <s v="Account Manager"/>
    <d v="2021-01-12T00:00:00"/>
    <n v="77761"/>
    <s v="Divorced"/>
    <s v="Bachelor's"/>
    <x v="9"/>
    <s v="Travel_Rarely"/>
    <n v="18"/>
    <x v="0"/>
    <x v="3"/>
    <n v="4"/>
    <n v="2"/>
    <n v="2"/>
    <n v="1"/>
    <n v="3"/>
    <n v="21"/>
    <s v="Jason Parks"/>
    <x v="0"/>
    <m/>
    <x v="0"/>
    <n v="5"/>
    <x v="2"/>
    <n v="0"/>
    <s v="4-5 Years"/>
    <n v="3"/>
    <x v="1"/>
  </r>
  <r>
    <s v="EMP1525"/>
    <s v="Jordan Sanders"/>
    <x v="0"/>
    <n v="22"/>
    <x v="4"/>
    <s v="Account Manager"/>
    <d v="2019-02-26T00:00:00"/>
    <n v="62331"/>
    <s v="Married"/>
    <s v="High School"/>
    <x v="7"/>
    <s v="Travel_Rarely"/>
    <n v="30"/>
    <x v="0"/>
    <x v="0"/>
    <n v="3"/>
    <n v="3"/>
    <n v="5"/>
    <n v="6"/>
    <n v="8"/>
    <n v="12"/>
    <s v="Sarah Drake"/>
    <x v="0"/>
    <m/>
    <x v="2"/>
    <n v="7"/>
    <x v="2"/>
    <n v="0"/>
    <s v="6-10 Years"/>
    <n v="2.33"/>
    <x v="0"/>
  </r>
  <r>
    <s v="EMP1785"/>
    <s v="Kim Carter"/>
    <x v="2"/>
    <n v="35"/>
    <x v="1"/>
    <s v="Hr Business Partner"/>
    <d v="2020-12-04T00:00:00"/>
    <n v="54059"/>
    <s v="Divorced"/>
    <s v="PhD"/>
    <x v="9"/>
    <s v="Travel_Frequently"/>
    <n v="44"/>
    <x v="0"/>
    <x v="3"/>
    <n v="1"/>
    <n v="1"/>
    <n v="3"/>
    <n v="1"/>
    <n v="1"/>
    <n v="21"/>
    <s v="Theresa Lamb"/>
    <x v="0"/>
    <m/>
    <x v="0"/>
    <n v="5"/>
    <x v="1"/>
    <n v="0"/>
    <s v="4-5 Years"/>
    <n v="1.67"/>
    <x v="2"/>
  </r>
  <r>
    <s v="EMP1048"/>
    <s v="Diana May"/>
    <x v="0"/>
    <n v="54"/>
    <x v="3"/>
    <s v="Accountant"/>
    <d v="2017-08-16T00:00:00"/>
    <n v="78102"/>
    <s v="Divorced"/>
    <s v="Bachelor's"/>
    <x v="9"/>
    <s v="Travel_Rarely"/>
    <n v="37"/>
    <x v="0"/>
    <x v="1"/>
    <n v="2"/>
    <n v="1"/>
    <n v="2"/>
    <n v="2"/>
    <n v="6"/>
    <n v="13"/>
    <s v="Ms. Teresa Wilson"/>
    <x v="0"/>
    <m/>
    <x v="3"/>
    <n v="9"/>
    <x v="2"/>
    <n v="0"/>
    <s v="6-10 Years"/>
    <n v="2.33"/>
    <x v="0"/>
  </r>
  <r>
    <s v="EMP1204"/>
    <s v="Amanda Jones"/>
    <x v="2"/>
    <n v="34"/>
    <x v="0"/>
    <s v="Manufacturing Technician"/>
    <d v="2023-04-12T00:00:00"/>
    <n v="121190"/>
    <s v="Married"/>
    <s v="Bachelor's"/>
    <x v="8"/>
    <s v="Travel_Rarely"/>
    <n v="16"/>
    <x v="0"/>
    <x v="3"/>
    <n v="2"/>
    <n v="4"/>
    <n v="3"/>
    <n v="4"/>
    <n v="2"/>
    <n v="25"/>
    <s v="James Bradley"/>
    <x v="0"/>
    <m/>
    <x v="1"/>
    <n v="3"/>
    <x v="0"/>
    <n v="0"/>
    <s v="1-3 Years"/>
    <n v="3"/>
    <x v="1"/>
  </r>
  <r>
    <s v="EMP1022"/>
    <s v="George Chapman"/>
    <x v="2"/>
    <n v="43"/>
    <x v="2"/>
    <s v="It Support"/>
    <d v="2015-02-04T00:00:00"/>
    <n v="89706"/>
    <s v="Divorced"/>
    <s v="Master's"/>
    <x v="5"/>
    <s v="Travel_Frequently"/>
    <n v="8"/>
    <x v="0"/>
    <x v="1"/>
    <n v="3"/>
    <n v="4"/>
    <n v="2"/>
    <n v="2"/>
    <n v="8"/>
    <n v="22"/>
    <s v="Benjamin Welch"/>
    <x v="0"/>
    <m/>
    <x v="0"/>
    <n v="11"/>
    <x v="2"/>
    <n v="0"/>
    <s v="More than 10 Years"/>
    <n v="3.67"/>
    <x v="1"/>
  </r>
  <r>
    <s v="EMP1403"/>
    <s v="Margaret Tanner"/>
    <x v="0"/>
    <n v="39"/>
    <x v="5"/>
    <s v="Digital Marketing Specialist"/>
    <d v="2018-04-29T00:00:00"/>
    <n v="87698"/>
    <s v="Single"/>
    <s v="Bachelor's"/>
    <x v="1"/>
    <s v="Non-Travel"/>
    <n v="4"/>
    <x v="0"/>
    <x v="1"/>
    <n v="3"/>
    <n v="2"/>
    <n v="3"/>
    <n v="6"/>
    <n v="8"/>
    <n v="18"/>
    <s v="David Jones"/>
    <x v="0"/>
    <m/>
    <x v="0"/>
    <n v="8"/>
    <x v="2"/>
    <n v="0"/>
    <s v="6-10 Years"/>
    <n v="3"/>
    <x v="1"/>
  </r>
  <r>
    <s v="EMP2108"/>
    <s v="Jamie Zavala"/>
    <x v="0"/>
    <n v="30"/>
    <x v="0"/>
    <s v="Research Director"/>
    <d v="2016-08-19T00:00:00"/>
    <n v="92459"/>
    <s v="Not Specified"/>
    <s v="Bachelor's"/>
    <x v="3"/>
    <s v="Non-Travel"/>
    <n v="25"/>
    <x v="0"/>
    <x v="3"/>
    <n v="3"/>
    <n v="3"/>
    <n v="4"/>
    <n v="0"/>
    <n v="8"/>
    <n v="12"/>
    <s v="Christine Oconnor"/>
    <x v="0"/>
    <m/>
    <x v="1"/>
    <n v="10"/>
    <x v="2"/>
    <n v="0"/>
    <s v="6-10 Years"/>
    <n v="3"/>
    <x v="1"/>
  </r>
  <r>
    <s v="EMP2155"/>
    <s v="Patrick Santana"/>
    <x v="2"/>
    <n v="35"/>
    <x v="7"/>
    <s v="Not Specified"/>
    <d v="2014-01-20T00:00:00"/>
    <n v="61157"/>
    <s v="Married"/>
    <s v="High School"/>
    <x v="9"/>
    <s v="Travel_Frequently"/>
    <n v="27"/>
    <x v="1"/>
    <x v="2"/>
    <n v="4"/>
    <n v="3"/>
    <n v="3"/>
    <n v="0"/>
    <n v="5"/>
    <n v="18"/>
    <s v="Maurice Baker"/>
    <x v="1"/>
    <d v="2016-07-24T00:00:00"/>
    <x v="0"/>
    <n v="2"/>
    <x v="2"/>
    <n v="1"/>
    <s v="1-3 Years"/>
    <n v="3"/>
    <x v="1"/>
  </r>
  <r>
    <s v="EMP1990"/>
    <s v="Allison Mclaughlin"/>
    <x v="0"/>
    <n v="19"/>
    <x v="1"/>
    <s v="Hr Manager"/>
    <d v="2026-04-03T00:00:00"/>
    <n v="70457"/>
    <s v="Married"/>
    <s v="Master's"/>
    <x v="5"/>
    <s v="Travel_Frequently"/>
    <n v="27"/>
    <x v="1"/>
    <x v="0"/>
    <n v="3"/>
    <n v="3"/>
    <n v="2"/>
    <n v="2"/>
    <n v="6"/>
    <n v="22"/>
    <s v="David Martin"/>
    <x v="1"/>
    <d v="2026-06-05T00:00:00"/>
    <x v="2"/>
    <n v="0"/>
    <x v="2"/>
    <n v="1"/>
    <s v="Less than 1 Year"/>
    <n v="2.33"/>
    <x v="0"/>
  </r>
  <r>
    <s v="EMP1742"/>
    <s v="Kenneth King"/>
    <x v="0"/>
    <n v="24"/>
    <x v="4"/>
    <s v="Sales Executive"/>
    <d v="2018-04-25T00:00:00"/>
    <n v="75555"/>
    <s v="Married"/>
    <s v="Bachelor's"/>
    <x v="7"/>
    <s v="Travel_Frequently"/>
    <n v="17"/>
    <x v="0"/>
    <x v="3"/>
    <n v="2"/>
    <n v="3"/>
    <n v="1"/>
    <n v="4"/>
    <n v="7"/>
    <n v="11"/>
    <s v="Brittany Bowman"/>
    <x v="0"/>
    <m/>
    <x v="2"/>
    <n v="8"/>
    <x v="2"/>
    <n v="0"/>
    <s v="6-10 Years"/>
    <n v="2.67"/>
    <x v="0"/>
  </r>
  <r>
    <s v="EMP2148"/>
    <s v="Joshua Miranda"/>
    <x v="2"/>
    <n v="50"/>
    <x v="0"/>
    <s v="Manufacturing Technician"/>
    <d v="2013-06-03T00:00:00"/>
    <n v="122978"/>
    <s v="Married"/>
    <s v="Master's"/>
    <x v="8"/>
    <s v="Non-Travel"/>
    <n v="6"/>
    <x v="0"/>
    <x v="1"/>
    <n v="2"/>
    <n v="3"/>
    <n v="4"/>
    <n v="1"/>
    <n v="2"/>
    <n v="21"/>
    <s v="Edward Lewis"/>
    <x v="0"/>
    <m/>
    <x v="3"/>
    <n v="13"/>
    <x v="0"/>
    <n v="0"/>
    <s v="More than 10 Years"/>
    <n v="3"/>
    <x v="1"/>
  </r>
  <r>
    <s v="EMP1034"/>
    <s v="Kelly Donovan"/>
    <x v="2"/>
    <n v="37"/>
    <x v="5"/>
    <s v="Brand Manager"/>
    <d v="2014-09-17T00:00:00"/>
    <n v="107427"/>
    <s v="Single"/>
    <s v="Master's"/>
    <x v="1"/>
    <s v="Non-Travel"/>
    <n v="13"/>
    <x v="0"/>
    <x v="2"/>
    <n v="3"/>
    <n v="3"/>
    <n v="3"/>
    <n v="6"/>
    <n v="7"/>
    <n v="18"/>
    <s v="Cynthia Foster"/>
    <x v="0"/>
    <m/>
    <x v="0"/>
    <n v="11"/>
    <x v="0"/>
    <n v="0"/>
    <s v="More than 10 Years"/>
    <n v="2.67"/>
    <x v="0"/>
  </r>
  <r>
    <s v="EMP1788"/>
    <s v="Wayne Weaver"/>
    <x v="2"/>
    <n v="36"/>
    <x v="0"/>
    <s v="Research Scientist"/>
    <d v="2013-08-19T00:00:00"/>
    <n v="54847"/>
    <s v="Not Specified"/>
    <s v="Master's"/>
    <x v="8"/>
    <s v="Travel_Rarely"/>
    <n v="14"/>
    <x v="0"/>
    <x v="2"/>
    <n v="2"/>
    <n v="3"/>
    <n v="3"/>
    <n v="4"/>
    <n v="7"/>
    <n v="15"/>
    <s v="Jeremy Newman"/>
    <x v="0"/>
    <m/>
    <x v="0"/>
    <n v="13"/>
    <x v="1"/>
    <n v="0"/>
    <s v="More than 10 Years"/>
    <n v="2.33"/>
    <x v="0"/>
  </r>
  <r>
    <s v="EMP1924"/>
    <s v="Toni Whitaker"/>
    <x v="2"/>
    <n v="35"/>
    <x v="4"/>
    <s v="Account Manager"/>
    <d v="2021-09-14T00:00:00"/>
    <n v="86157"/>
    <s v="Married"/>
    <s v="Bachelor's"/>
    <x v="1"/>
    <s v="Travel_Rarely"/>
    <n v="29"/>
    <x v="0"/>
    <x v="0"/>
    <n v="2"/>
    <n v="1"/>
    <n v="3"/>
    <n v="6"/>
    <n v="7"/>
    <n v="23"/>
    <s v="Rebecca Marsh"/>
    <x v="0"/>
    <m/>
    <x v="0"/>
    <n v="4"/>
    <x v="2"/>
    <n v="0"/>
    <s v="4-5 Years"/>
    <n v="1.33"/>
    <x v="2"/>
  </r>
  <r>
    <s v="EMP2175"/>
    <s v="Richard Morales"/>
    <x v="2"/>
    <n v="36"/>
    <x v="4"/>
    <s v="Account Manager"/>
    <d v="2015-09-18T00:00:00"/>
    <n v="76142"/>
    <s v="Single"/>
    <s v="Master's"/>
    <x v="10"/>
    <s v="Not Specified"/>
    <n v="22"/>
    <x v="0"/>
    <x v="3"/>
    <n v="1"/>
    <n v="1"/>
    <n v="4"/>
    <n v="5"/>
    <n v="4"/>
    <n v="16"/>
    <s v="Christopher Robinson"/>
    <x v="0"/>
    <m/>
    <x v="0"/>
    <n v="10"/>
    <x v="2"/>
    <n v="0"/>
    <s v="6-10 Years"/>
    <n v="1.67"/>
    <x v="2"/>
  </r>
  <r>
    <s v="EMP1580"/>
    <s v="Heidi Matthews"/>
    <x v="2"/>
    <n v="43"/>
    <x v="4"/>
    <s v="Sales Executive"/>
    <d v="2026-01-25T00:00:00"/>
    <n v="71864"/>
    <s v="Divorced"/>
    <s v="Bachelor's"/>
    <x v="0"/>
    <s v="Travel_Rarely"/>
    <n v="41"/>
    <x v="0"/>
    <x v="0"/>
    <n v="4"/>
    <n v="3"/>
    <n v="4"/>
    <n v="3"/>
    <n v="6"/>
    <n v="18"/>
    <s v="Alexander Luna"/>
    <x v="1"/>
    <d v="2026-04-25T00:00:00"/>
    <x v="0"/>
    <n v="0"/>
    <x v="2"/>
    <n v="1"/>
    <s v="Less than 1 Year"/>
    <n v="2.67"/>
    <x v="0"/>
  </r>
  <r>
    <s v="EMP1482"/>
    <s v="Jonathan Moreno"/>
    <x v="0"/>
    <n v="49"/>
    <x v="2"/>
    <s v="Software Engineer"/>
    <d v="2012-05-21T00:00:00"/>
    <n v="124434"/>
    <s v="Married"/>
    <s v="High School"/>
    <x v="1"/>
    <s v="Non-Travel"/>
    <n v="40"/>
    <x v="1"/>
    <x v="1"/>
    <n v="1"/>
    <n v="1"/>
    <n v="5"/>
    <n v="2"/>
    <n v="4"/>
    <n v="14"/>
    <s v="Karen Romero"/>
    <x v="1"/>
    <d v="2025-09-27T00:00:00"/>
    <x v="3"/>
    <n v="13"/>
    <x v="0"/>
    <n v="1"/>
    <s v="More than 10 Years"/>
    <n v="2"/>
    <x v="0"/>
  </r>
  <r>
    <s v="EMP1932"/>
    <s v="Brooke Carter"/>
    <x v="2"/>
    <n v="35"/>
    <x v="0"/>
    <s v="Manufacturing Technician"/>
    <d v="2018-04-01T00:00:00"/>
    <n v="51468"/>
    <s v="Single"/>
    <s v="Master's"/>
    <x v="2"/>
    <s v="Non-Travel"/>
    <n v="24"/>
    <x v="1"/>
    <x v="3"/>
    <n v="1"/>
    <n v="1"/>
    <n v="4"/>
    <n v="2"/>
    <n v="0"/>
    <n v="23"/>
    <s v="Annette Holland"/>
    <x v="1"/>
    <d v="2022-07-04T00:00:00"/>
    <x v="0"/>
    <n v="4"/>
    <x v="1"/>
    <n v="1"/>
    <s v="4-5 Years"/>
    <n v="1.67"/>
    <x v="2"/>
  </r>
  <r>
    <s v="EMP1357"/>
    <s v="Antonio Mccormick"/>
    <x v="0"/>
    <n v="37"/>
    <x v="1"/>
    <s v="Hr Business Partner"/>
    <d v="2019-03-22T00:00:00"/>
    <n v="91734"/>
    <s v="Married"/>
    <s v="Master's"/>
    <x v="6"/>
    <s v="Travel_Frequently"/>
    <n v="30"/>
    <x v="0"/>
    <x v="0"/>
    <n v="1"/>
    <n v="3"/>
    <n v="3"/>
    <n v="2"/>
    <n v="8"/>
    <n v="19"/>
    <s v="Kathryn Perry"/>
    <x v="0"/>
    <m/>
    <x v="0"/>
    <n v="7"/>
    <x v="2"/>
    <n v="0"/>
    <s v="6-10 Years"/>
    <n v="1.67"/>
    <x v="2"/>
  </r>
  <r>
    <s v="EMP1760"/>
    <s v="Kelly Jenkins"/>
    <x v="2"/>
    <n v="47"/>
    <x v="5"/>
    <s v="Digital Marketing Specialist"/>
    <d v="2025-08-28T00:00:00"/>
    <n v="75970"/>
    <s v="Single"/>
    <s v="High School"/>
    <x v="1"/>
    <s v="Travel_Rarely"/>
    <n v="3"/>
    <x v="1"/>
    <x v="3"/>
    <n v="3"/>
    <n v="3"/>
    <n v="3"/>
    <n v="3"/>
    <n v="1"/>
    <n v="14"/>
    <s v="Christopher Porter"/>
    <x v="1"/>
    <d v="2026-04-09T00:00:00"/>
    <x v="3"/>
    <n v="0"/>
    <x v="2"/>
    <n v="1"/>
    <s v="Less than 1 Year"/>
    <n v="3"/>
    <x v="1"/>
  </r>
  <r>
    <s v="EMP1093"/>
    <s v="Christopher Jones"/>
    <x v="0"/>
    <n v="19"/>
    <x v="0"/>
    <s v="Lab Technician"/>
    <d v="2011-09-14T00:00:00"/>
    <n v="116072"/>
    <s v="Divorced"/>
    <s v="Bachelor's"/>
    <x v="1"/>
    <s v="Travel_Frequently"/>
    <n v="40"/>
    <x v="1"/>
    <x v="3"/>
    <n v="1"/>
    <n v="3"/>
    <n v="3"/>
    <n v="5"/>
    <n v="1"/>
    <n v="15"/>
    <s v="Doris Hall"/>
    <x v="1"/>
    <d v="2018-06-11T00:00:00"/>
    <x v="2"/>
    <n v="6"/>
    <x v="0"/>
    <n v="1"/>
    <s v="6-10 Years"/>
    <n v="2.33"/>
    <x v="0"/>
  </r>
  <r>
    <s v="EMP2176"/>
    <s v="Sherry Gibbs"/>
    <x v="2"/>
    <n v="39"/>
    <x v="4"/>
    <s v="Sales Executive"/>
    <d v="2018-06-16T00:00:00"/>
    <n v="70169"/>
    <s v="Divorced"/>
    <s v="Master's"/>
    <x v="4"/>
    <s v="Non-Travel"/>
    <n v="3"/>
    <x v="1"/>
    <x v="2"/>
    <n v="4"/>
    <n v="3"/>
    <n v="4"/>
    <n v="5"/>
    <n v="2"/>
    <n v="18"/>
    <s v="Elizabeth Robinson"/>
    <x v="1"/>
    <d v="2024-04-06T00:00:00"/>
    <x v="0"/>
    <n v="5"/>
    <x v="2"/>
    <n v="1"/>
    <s v="4-5 Years"/>
    <n v="3"/>
    <x v="1"/>
  </r>
  <r>
    <s v="EMP1804"/>
    <s v="Jessica Mosley"/>
    <x v="0"/>
    <n v="46"/>
    <x v="3"/>
    <s v="Financial Analyst"/>
    <d v="2013-09-29T00:00:00"/>
    <n v="137905"/>
    <s v="Married"/>
    <s v="High School"/>
    <x v="0"/>
    <s v="Travel_Frequently"/>
    <n v="27"/>
    <x v="0"/>
    <x v="1"/>
    <n v="3"/>
    <n v="4"/>
    <n v="3"/>
    <n v="4"/>
    <n v="8"/>
    <n v="17"/>
    <s v="Angelica Clark"/>
    <x v="0"/>
    <m/>
    <x v="3"/>
    <n v="12"/>
    <x v="0"/>
    <n v="0"/>
    <s v="More than 10 Years"/>
    <n v="3.67"/>
    <x v="1"/>
  </r>
  <r>
    <s v="EMP1746"/>
    <s v="Ann Nichols"/>
    <x v="0"/>
    <n v="30"/>
    <x v="3"/>
    <s v="Finance Manager"/>
    <d v="2025-12-31T00:00:00"/>
    <n v="92726"/>
    <s v="Single"/>
    <s v="High School"/>
    <x v="7"/>
    <s v="Non-Travel"/>
    <n v="33"/>
    <x v="0"/>
    <x v="2"/>
    <n v="4"/>
    <n v="4"/>
    <n v="4"/>
    <n v="0"/>
    <n v="6"/>
    <n v="15"/>
    <s v="Randall Holland"/>
    <x v="1"/>
    <d v="2026-01-19T00:00:00"/>
    <x v="1"/>
    <n v="0"/>
    <x v="2"/>
    <n v="1"/>
    <s v="Less than 1 Year"/>
    <n v="3.33"/>
    <x v="1"/>
  </r>
  <r>
    <s v="EMP1280"/>
    <s v="Suzanne Wood"/>
    <x v="0"/>
    <n v="44"/>
    <x v="5"/>
    <s v="Brand Manager"/>
    <d v="2017-11-02T00:00:00"/>
    <n v="71276"/>
    <s v="Divorced"/>
    <s v="Master's"/>
    <x v="1"/>
    <s v="Travel_Frequently"/>
    <n v="22"/>
    <x v="0"/>
    <x v="2"/>
    <n v="1"/>
    <n v="3"/>
    <n v="4"/>
    <n v="0"/>
    <n v="1"/>
    <n v="22"/>
    <s v="Connie Thomas"/>
    <x v="0"/>
    <m/>
    <x v="0"/>
    <n v="8"/>
    <x v="2"/>
    <n v="0"/>
    <s v="6-10 Years"/>
    <n v="2"/>
    <x v="0"/>
  </r>
  <r>
    <s v="EMP1765"/>
    <s v="Olivia Williams"/>
    <x v="0"/>
    <n v="40"/>
    <x v="0"/>
    <s v="Manufacturing Technician"/>
    <d v="2022-09-16T00:00:00"/>
    <n v="93358"/>
    <s v="Divorced"/>
    <s v="Master's"/>
    <x v="10"/>
    <s v="Travel_Frequently"/>
    <n v="40"/>
    <x v="0"/>
    <x v="0"/>
    <n v="3"/>
    <n v="2"/>
    <n v="5"/>
    <n v="2"/>
    <n v="4"/>
    <n v="17"/>
    <s v="Richard Washington"/>
    <x v="1"/>
    <d v="2026-05-14T00:00:00"/>
    <x v="0"/>
    <n v="3"/>
    <x v="2"/>
    <n v="1"/>
    <s v="1-3 Years"/>
    <n v="2"/>
    <x v="0"/>
  </r>
  <r>
    <s v="EMP1605"/>
    <s v="Steven Washington"/>
    <x v="2"/>
    <n v="34"/>
    <x v="0"/>
    <s v="Research Scientist"/>
    <d v="2018-03-10T00:00:00"/>
    <n v="66871"/>
    <s v="Single"/>
    <s v="Master's"/>
    <x v="7"/>
    <s v="Travel_Rarely"/>
    <n v="22"/>
    <x v="1"/>
    <x v="3"/>
    <n v="2"/>
    <n v="3"/>
    <n v="1"/>
    <n v="6"/>
    <n v="4"/>
    <n v="25"/>
    <s v="Michael Lopez"/>
    <x v="0"/>
    <m/>
    <x v="1"/>
    <n v="8"/>
    <x v="2"/>
    <n v="0"/>
    <s v="6-10 Years"/>
    <n v="2.67"/>
    <x v="0"/>
  </r>
  <r>
    <s v="EMP1401"/>
    <s v="Amanda Guzman"/>
    <x v="0"/>
    <n v="29"/>
    <x v="2"/>
    <s v="It Support"/>
    <d v="2025-05-27T00:00:00"/>
    <n v="131508"/>
    <s v="Married"/>
    <s v="Master's"/>
    <x v="9"/>
    <s v="Travel_Rarely"/>
    <n v="3"/>
    <x v="0"/>
    <x v="2"/>
    <n v="1"/>
    <n v="3"/>
    <n v="3"/>
    <n v="1"/>
    <n v="3"/>
    <n v="25"/>
    <s v="Connie Cunningham"/>
    <x v="0"/>
    <m/>
    <x v="1"/>
    <n v="1"/>
    <x v="0"/>
    <n v="0"/>
    <s v="1-3 Years"/>
    <n v="2"/>
    <x v="0"/>
  </r>
  <r>
    <s v="EMP1258"/>
    <s v="Amy Kelley"/>
    <x v="0"/>
    <n v="34"/>
    <x v="0"/>
    <s v="Manufacturing Technician"/>
    <d v="2019-03-16T00:00:00"/>
    <n v="61392"/>
    <s v="Single"/>
    <s v="Master's"/>
    <x v="7"/>
    <s v="Travel_Frequently"/>
    <n v="36"/>
    <x v="1"/>
    <x v="3"/>
    <n v="1"/>
    <n v="3"/>
    <n v="4"/>
    <n v="0"/>
    <n v="1"/>
    <n v="18"/>
    <s v="Brittany Murphy"/>
    <x v="0"/>
    <m/>
    <x v="1"/>
    <n v="7"/>
    <x v="2"/>
    <n v="0"/>
    <s v="6-10 Years"/>
    <n v="2.33"/>
    <x v="0"/>
  </r>
  <r>
    <s v="EMP1945"/>
    <s v="Mrs. Amy Watson"/>
    <x v="2"/>
    <n v="34"/>
    <x v="0"/>
    <s v="Not Specified"/>
    <d v="2021-01-06T00:00:00"/>
    <n v="50660"/>
    <s v="Divorced"/>
    <s v="Bachelor's"/>
    <x v="4"/>
    <s v="Travel_Frequently"/>
    <n v="40"/>
    <x v="1"/>
    <x v="3"/>
    <n v="3"/>
    <n v="4"/>
    <n v="3"/>
    <n v="2"/>
    <n v="1"/>
    <n v="11"/>
    <s v="Anthony Curtis"/>
    <x v="0"/>
    <m/>
    <x v="1"/>
    <n v="5"/>
    <x v="1"/>
    <n v="0"/>
    <s v="4-5 Years"/>
    <n v="3.33"/>
    <x v="1"/>
  </r>
  <r>
    <s v="EMP2097"/>
    <s v="Daniel Mullins"/>
    <x v="2"/>
    <n v="43"/>
    <x v="3"/>
    <s v="Finance Manager"/>
    <d v="2021-07-03T00:00:00"/>
    <n v="82741"/>
    <s v="Single"/>
    <s v="PhD"/>
    <x v="7"/>
    <s v="Travel_Rarely"/>
    <n v="16"/>
    <x v="0"/>
    <x v="0"/>
    <n v="3"/>
    <n v="3"/>
    <n v="3"/>
    <n v="2"/>
    <n v="4"/>
    <n v="19"/>
    <s v="Jeffrey Baldwin"/>
    <x v="0"/>
    <m/>
    <x v="0"/>
    <n v="5"/>
    <x v="2"/>
    <n v="0"/>
    <s v="4-5 Years"/>
    <n v="2.33"/>
    <x v="0"/>
  </r>
  <r>
    <s v="EMP2162"/>
    <s v="Andrew Mooney"/>
    <x v="2"/>
    <n v="40"/>
    <x v="1"/>
    <s v="Hr Business Partner"/>
    <d v="2025-07-10T00:00:00"/>
    <n v="60850"/>
    <s v="Not Specified"/>
    <s v="Bachelor's"/>
    <x v="0"/>
    <s v="Travel_Rarely"/>
    <n v="4"/>
    <x v="0"/>
    <x v="1"/>
    <n v="1"/>
    <n v="1"/>
    <n v="2"/>
    <n v="5"/>
    <n v="4"/>
    <n v="16"/>
    <s v="Luis Davis"/>
    <x v="0"/>
    <m/>
    <x v="0"/>
    <n v="1"/>
    <x v="2"/>
    <n v="0"/>
    <s v="1-3 Years"/>
    <n v="2"/>
    <x v="0"/>
  </r>
  <r>
    <s v="EMP1495"/>
    <s v="Maria Fischer"/>
    <x v="2"/>
    <n v="44"/>
    <x v="4"/>
    <s v="Sales Representative"/>
    <d v="2019-10-26T00:00:00"/>
    <n v="71864"/>
    <s v="Divorced"/>
    <s v="Master's"/>
    <x v="3"/>
    <s v="Travel_Frequently"/>
    <n v="28"/>
    <x v="1"/>
    <x v="1"/>
    <n v="2"/>
    <n v="4"/>
    <n v="3"/>
    <n v="5"/>
    <n v="5"/>
    <n v="17"/>
    <s v="Patty Brandt"/>
    <x v="0"/>
    <m/>
    <x v="0"/>
    <n v="6"/>
    <x v="2"/>
    <n v="0"/>
    <s v="6-10 Years"/>
    <n v="3.33"/>
    <x v="1"/>
  </r>
  <r>
    <s v="EMP1773"/>
    <s v="Danielle Murphy"/>
    <x v="1"/>
    <n v="29"/>
    <x v="5"/>
    <s v="Marketing Executive"/>
    <d v="2020-04-22T00:00:00"/>
    <n v="92932"/>
    <s v="Married"/>
    <s v="Bachelor's"/>
    <x v="5"/>
    <s v="Travel_Rarely"/>
    <n v="39"/>
    <x v="0"/>
    <x v="2"/>
    <n v="1"/>
    <n v="3"/>
    <n v="3"/>
    <n v="5"/>
    <n v="1"/>
    <n v="22"/>
    <s v="Leslie Hernandez"/>
    <x v="0"/>
    <m/>
    <x v="1"/>
    <n v="6"/>
    <x v="2"/>
    <n v="0"/>
    <s v="6-10 Years"/>
    <n v="2"/>
    <x v="0"/>
  </r>
  <r>
    <s v="EMP1551"/>
    <s v="Daniel Miller"/>
    <x v="0"/>
    <n v="46"/>
    <x v="1"/>
    <s v="Hr Manager"/>
    <d v="2012-03-23T00:00:00"/>
    <n v="78185"/>
    <s v="Single"/>
    <s v="Bachelor's"/>
    <x v="1"/>
    <s v="Non-Travel"/>
    <n v="4"/>
    <x v="0"/>
    <x v="3"/>
    <n v="2"/>
    <n v="3"/>
    <n v="3"/>
    <n v="2"/>
    <n v="3"/>
    <n v="24"/>
    <s v="William Mendez"/>
    <x v="0"/>
    <m/>
    <x v="3"/>
    <n v="14"/>
    <x v="2"/>
    <n v="0"/>
    <s v="More than 10 Years"/>
    <n v="2.67"/>
    <x v="0"/>
  </r>
  <r>
    <s v="EMP1202"/>
    <s v="Heather Bolton"/>
    <x v="2"/>
    <n v="35"/>
    <x v="4"/>
    <s v="Account Manager"/>
    <d v="2015-10-05T00:00:00"/>
    <n v="45639"/>
    <s v="Married"/>
    <s v="Bachelor's"/>
    <x v="0"/>
    <s v="Travel_Frequently"/>
    <n v="13"/>
    <x v="1"/>
    <x v="3"/>
    <n v="1"/>
    <n v="2"/>
    <n v="1"/>
    <n v="1"/>
    <n v="5"/>
    <n v="24"/>
    <s v="Theresa Jones"/>
    <x v="0"/>
    <m/>
    <x v="0"/>
    <n v="10"/>
    <x v="1"/>
    <n v="0"/>
    <s v="6-10 Years"/>
    <n v="2"/>
    <x v="0"/>
  </r>
  <r>
    <s v="EMP1313"/>
    <s v="Heather Woodard"/>
    <x v="2"/>
    <n v="31"/>
    <x v="0"/>
    <s v="Manufacturing Technician"/>
    <d v="2019-09-03T00:00:00"/>
    <n v="50442"/>
    <s v="Divorced"/>
    <s v="Master's"/>
    <x v="5"/>
    <s v="Travel_Rarely"/>
    <n v="27"/>
    <x v="0"/>
    <x v="0"/>
    <n v="4"/>
    <n v="1"/>
    <n v="4"/>
    <n v="0"/>
    <n v="3"/>
    <n v="14"/>
    <s v="Randy Sandoval"/>
    <x v="1"/>
    <d v="2024-02-18T00:00:00"/>
    <x v="1"/>
    <n v="4"/>
    <x v="1"/>
    <n v="1"/>
    <s v="4-5 Years"/>
    <n v="2"/>
    <x v="0"/>
  </r>
  <r>
    <s v="EMP1291"/>
    <s v="Christopher Porter"/>
    <x v="2"/>
    <n v="36"/>
    <x v="4"/>
    <s v="Sales Manager"/>
    <d v="2018-02-19T00:00:00"/>
    <n v="54883"/>
    <s v="Married"/>
    <s v="PhD"/>
    <x v="6"/>
    <s v="Non-Travel"/>
    <n v="11"/>
    <x v="0"/>
    <x v="0"/>
    <n v="2"/>
    <n v="2"/>
    <n v="5"/>
    <n v="0"/>
    <n v="2"/>
    <n v="19"/>
    <s v="Kylie Hodge"/>
    <x v="0"/>
    <m/>
    <x v="0"/>
    <n v="8"/>
    <x v="1"/>
    <n v="0"/>
    <s v="6-10 Years"/>
    <n v="1.67"/>
    <x v="2"/>
  </r>
  <r>
    <s v="EMP1764"/>
    <s v="Michael Williams"/>
    <x v="0"/>
    <n v="33"/>
    <x v="3"/>
    <s v="Financial Analyst"/>
    <d v="2021-04-13T00:00:00"/>
    <n v="122533"/>
    <s v="Married"/>
    <s v="Master's"/>
    <x v="6"/>
    <s v="Travel_Frequently"/>
    <n v="17"/>
    <x v="0"/>
    <x v="2"/>
    <n v="1"/>
    <n v="3"/>
    <n v="3"/>
    <n v="4"/>
    <n v="5"/>
    <n v="18"/>
    <s v="Not Specified"/>
    <x v="0"/>
    <m/>
    <x v="1"/>
    <n v="5"/>
    <x v="0"/>
    <n v="0"/>
    <s v="4-5 Years"/>
    <n v="2"/>
    <x v="0"/>
  </r>
  <r>
    <s v="EMP2137"/>
    <s v="Tracy Schmidt"/>
    <x v="0"/>
    <n v="42"/>
    <x v="2"/>
    <s v="Software Engineer"/>
    <d v="2020-07-14T00:00:00"/>
    <n v="146939"/>
    <s v="Married"/>
    <s v="Master's"/>
    <x v="7"/>
    <s v="Travel_Frequently"/>
    <n v="30"/>
    <x v="0"/>
    <x v="0"/>
    <n v="2"/>
    <n v="3"/>
    <n v="4"/>
    <n v="6"/>
    <n v="4"/>
    <n v="23"/>
    <s v="Karen Anderson"/>
    <x v="0"/>
    <m/>
    <x v="0"/>
    <n v="6"/>
    <x v="0"/>
    <n v="0"/>
    <s v="6-10 Years"/>
    <n v="2"/>
    <x v="0"/>
  </r>
  <r>
    <s v="EMP1950"/>
    <s v="Karen Griffin"/>
    <x v="2"/>
    <n v="41"/>
    <x v="1"/>
    <s v="Recruiter"/>
    <d v="2017-03-04T00:00:00"/>
    <n v="47549"/>
    <s v="Not Specified"/>
    <s v="Bachelor's"/>
    <x v="5"/>
    <s v="Non-Travel"/>
    <n v="38"/>
    <x v="0"/>
    <x v="2"/>
    <n v="1"/>
    <n v="3"/>
    <n v="3"/>
    <n v="3"/>
    <n v="6"/>
    <n v="12"/>
    <s v="Kelly Foster"/>
    <x v="1"/>
    <d v="2022-03-02T00:00:00"/>
    <x v="0"/>
    <n v="4"/>
    <x v="1"/>
    <n v="1"/>
    <s v="4-5 Years"/>
    <n v="2"/>
    <x v="0"/>
  </r>
  <r>
    <s v="EMP1184"/>
    <s v="David Davidson"/>
    <x v="2"/>
    <n v="36"/>
    <x v="6"/>
    <s v="Lab Technician"/>
    <d v="2024-09-14T00:00:00"/>
    <n v="45107"/>
    <s v="Single"/>
    <s v="Master's"/>
    <x v="5"/>
    <s v="Travel_Rarely"/>
    <n v="8"/>
    <x v="1"/>
    <x v="1"/>
    <n v="4"/>
    <n v="1"/>
    <n v="2"/>
    <n v="3"/>
    <n v="0"/>
    <n v="24"/>
    <s v="Ryan Rosales"/>
    <x v="1"/>
    <d v="2025-10-16T00:00:00"/>
    <x v="0"/>
    <n v="1"/>
    <x v="1"/>
    <n v="1"/>
    <s v="1-3 Years"/>
    <n v="3"/>
    <x v="1"/>
  </r>
  <r>
    <s v="EMP2177"/>
    <s v="Kristen Jackson"/>
    <x v="0"/>
    <n v="39"/>
    <x v="5"/>
    <s v="Digital Marketing Specialist"/>
    <d v="2012-05-05T00:00:00"/>
    <n v="114980"/>
    <s v="Married"/>
    <s v="Master's"/>
    <x v="3"/>
    <s v="Travel_Rarely"/>
    <n v="13"/>
    <x v="0"/>
    <x v="1"/>
    <n v="1"/>
    <n v="2"/>
    <n v="3"/>
    <n v="6"/>
    <n v="5"/>
    <n v="23"/>
    <s v="Not Specified"/>
    <x v="0"/>
    <m/>
    <x v="0"/>
    <n v="14"/>
    <x v="0"/>
    <n v="0"/>
    <s v="More than 10 Years"/>
    <n v="2.33"/>
    <x v="0"/>
  </r>
  <r>
    <s v="EMP2069"/>
    <s v="Paige Weiss"/>
    <x v="2"/>
    <n v="40"/>
    <x v="6"/>
    <s v="Software Engineer"/>
    <d v="2023-07-03T00:00:00"/>
    <n v="78134"/>
    <s v="Single"/>
    <s v="Bachelor's"/>
    <x v="9"/>
    <s v="Travel_Rarely"/>
    <n v="23"/>
    <x v="0"/>
    <x v="1"/>
    <n v="2"/>
    <n v="2"/>
    <n v="4"/>
    <n v="1"/>
    <n v="3"/>
    <n v="14"/>
    <s v="James Dickerson"/>
    <x v="0"/>
    <m/>
    <x v="0"/>
    <n v="3"/>
    <x v="2"/>
    <n v="0"/>
    <s v="1-3 Years"/>
    <n v="2.67"/>
    <x v="0"/>
  </r>
  <r>
    <s v="EMP2031"/>
    <s v="Veronica Harris"/>
    <x v="0"/>
    <n v="39"/>
    <x v="4"/>
    <s v="Sales Representative"/>
    <d v="2017-06-28T00:00:00"/>
    <n v="56702"/>
    <s v="Single"/>
    <s v="Bachelor's"/>
    <x v="7"/>
    <s v="Travel_Rarely"/>
    <n v="32"/>
    <x v="0"/>
    <x v="3"/>
    <n v="4"/>
    <n v="3"/>
    <n v="3"/>
    <n v="5"/>
    <n v="7"/>
    <n v="14"/>
    <s v="Chelsea Rodriguez"/>
    <x v="0"/>
    <m/>
    <x v="0"/>
    <n v="9"/>
    <x v="1"/>
    <n v="0"/>
    <s v="6-10 Years"/>
    <n v="3.33"/>
    <x v="1"/>
  </r>
  <r>
    <s v="EMP1251"/>
    <s v="Casey Chase"/>
    <x v="2"/>
    <n v="31"/>
    <x v="0"/>
    <s v="Manufacturing Technician"/>
    <d v="2025-01-16T00:00:00"/>
    <n v="58326"/>
    <s v="Single"/>
    <s v="Diploma"/>
    <x v="8"/>
    <s v="Travel_Frequently"/>
    <n v="37"/>
    <x v="1"/>
    <x v="1"/>
    <n v="4"/>
    <n v="1"/>
    <n v="3"/>
    <n v="1"/>
    <n v="6"/>
    <n v="25"/>
    <s v="Angie Caldwell"/>
    <x v="1"/>
    <d v="2026-05-20T00:00:00"/>
    <x v="1"/>
    <n v="1"/>
    <x v="1"/>
    <n v="1"/>
    <s v="1-3 Years"/>
    <n v="3"/>
    <x v="1"/>
  </r>
  <r>
    <s v="EMP1824"/>
    <s v="Tiffany Bailey"/>
    <x v="2"/>
    <n v="41"/>
    <x v="0"/>
    <s v="Manufacturing Technician"/>
    <d v="2014-01-21T00:00:00"/>
    <n v="58944"/>
    <s v="Married"/>
    <s v="Bachelor's"/>
    <x v="6"/>
    <s v="Travel_Rarely"/>
    <n v="15"/>
    <x v="0"/>
    <x v="1"/>
    <n v="4"/>
    <n v="1"/>
    <n v="3"/>
    <n v="0"/>
    <n v="0"/>
    <n v="21"/>
    <s v="Monica Allen"/>
    <x v="0"/>
    <m/>
    <x v="0"/>
    <n v="12"/>
    <x v="1"/>
    <n v="0"/>
    <s v="More than 10 Years"/>
    <n v="3"/>
    <x v="1"/>
  </r>
  <r>
    <s v="EMP2100"/>
    <s v="Tara Miranda"/>
    <x v="2"/>
    <n v="32"/>
    <x v="2"/>
    <s v="Data Analyst"/>
    <d v="2020-08-16T00:00:00"/>
    <n v="105685"/>
    <s v="Divorced"/>
    <s v="Master's"/>
    <x v="7"/>
    <s v="Travel_Frequently"/>
    <n v="29"/>
    <x v="0"/>
    <x v="2"/>
    <n v="4"/>
    <n v="3"/>
    <n v="5"/>
    <n v="3"/>
    <n v="6"/>
    <n v="15"/>
    <s v="Jamie Love"/>
    <x v="0"/>
    <m/>
    <x v="1"/>
    <n v="6"/>
    <x v="0"/>
    <n v="0"/>
    <s v="6-10 Years"/>
    <n v="3"/>
    <x v="1"/>
  </r>
  <r>
    <s v="EMP1941"/>
    <s v="Daniel Stephens"/>
    <x v="2"/>
    <n v="32"/>
    <x v="0"/>
    <s v="Lab Technician"/>
    <d v="2023-06-04T00:00:00"/>
    <n v="83084"/>
    <s v="Divorced"/>
    <s v="Bachelor's"/>
    <x v="1"/>
    <s v="Travel_Rarely"/>
    <n v="4"/>
    <x v="0"/>
    <x v="3"/>
    <n v="2"/>
    <n v="1"/>
    <n v="5"/>
    <n v="3"/>
    <n v="0"/>
    <n v="24"/>
    <s v="Melissa Barron"/>
    <x v="0"/>
    <m/>
    <x v="1"/>
    <n v="3"/>
    <x v="2"/>
    <n v="0"/>
    <s v="1-3 Years"/>
    <n v="2"/>
    <x v="0"/>
  </r>
  <r>
    <s v="EMP1392"/>
    <s v="Rebecca Kelly"/>
    <x v="2"/>
    <n v="28"/>
    <x v="0"/>
    <s v="Research Director"/>
    <d v="2024-03-07T00:00:00"/>
    <n v="73232"/>
    <s v="Divorced"/>
    <s v="High School"/>
    <x v="1"/>
    <s v="Non-Travel"/>
    <n v="28"/>
    <x v="0"/>
    <x v="2"/>
    <n v="4"/>
    <n v="2"/>
    <n v="3"/>
    <n v="4"/>
    <n v="2"/>
    <n v="14"/>
    <s v="Casey Watkins"/>
    <x v="0"/>
    <m/>
    <x v="1"/>
    <n v="2"/>
    <x v="2"/>
    <n v="0"/>
    <s v="1-3 Years"/>
    <n v="2.67"/>
    <x v="0"/>
  </r>
  <r>
    <s v="EMP2192"/>
    <s v="Jorge Copeland"/>
    <x v="2"/>
    <n v="41"/>
    <x v="2"/>
    <s v="It Support"/>
    <d v="2013-10-11T00:00:00"/>
    <n v="129168"/>
    <s v="Divorced"/>
    <s v="Not Specified"/>
    <x v="0"/>
    <s v="Travel_Frequently"/>
    <n v="45"/>
    <x v="0"/>
    <x v="3"/>
    <n v="3"/>
    <n v="3"/>
    <n v="3"/>
    <n v="2"/>
    <n v="5"/>
    <n v="11"/>
    <s v="Allison Simmons"/>
    <x v="0"/>
    <m/>
    <x v="0"/>
    <n v="12"/>
    <x v="0"/>
    <n v="0"/>
    <s v="More than 10 Years"/>
    <n v="3"/>
    <x v="1"/>
  </r>
  <r>
    <s v="EMP1905"/>
    <s v="Lisa Hamilton"/>
    <x v="0"/>
    <n v="25"/>
    <x v="2"/>
    <s v="Data Analyst"/>
    <d v="2018-01-07T00:00:00"/>
    <n v="129071"/>
    <s v="Divorced"/>
    <s v="High School"/>
    <x v="9"/>
    <s v="Travel_Frequently"/>
    <n v="24"/>
    <x v="0"/>
    <x v="1"/>
    <n v="2"/>
    <n v="1"/>
    <n v="2"/>
    <n v="2"/>
    <n v="5"/>
    <n v="22"/>
    <s v="Not Specified"/>
    <x v="0"/>
    <m/>
    <x v="1"/>
    <n v="8"/>
    <x v="0"/>
    <n v="0"/>
    <s v="6-10 Years"/>
    <n v="2.33"/>
    <x v="0"/>
  </r>
  <r>
    <s v="EMP1731"/>
    <s v="Thomas Walsh"/>
    <x v="2"/>
    <n v="23"/>
    <x v="0"/>
    <s v="Manufacturing Technician"/>
    <d v="2025-12-05T00:00:00"/>
    <n v="120602"/>
    <s v="Married"/>
    <s v="Bachelor's"/>
    <x v="2"/>
    <s v="Travel_Rarely"/>
    <n v="23"/>
    <x v="0"/>
    <x v="1"/>
    <n v="1"/>
    <n v="3"/>
    <n v="4"/>
    <n v="0"/>
    <n v="2"/>
    <n v="24"/>
    <s v="Thomas Garrison"/>
    <x v="0"/>
    <m/>
    <x v="2"/>
    <n v="0"/>
    <x v="0"/>
    <n v="0"/>
    <s v="Less than 1 Year"/>
    <n v="2.67"/>
    <x v="0"/>
  </r>
  <r>
    <s v="EMP1555"/>
    <s v="Kelly Mclaughlin"/>
    <x v="2"/>
    <n v="39"/>
    <x v="4"/>
    <s v="Sales Manager"/>
    <d v="2012-09-07T00:00:00"/>
    <n v="51330"/>
    <s v="Married"/>
    <s v="Bachelor's"/>
    <x v="10"/>
    <s v="Travel_Rarely"/>
    <n v="34"/>
    <x v="0"/>
    <x v="0"/>
    <n v="4"/>
    <n v="1"/>
    <n v="4"/>
    <n v="3"/>
    <n v="4"/>
    <n v="17"/>
    <s v="Ronald Herman"/>
    <x v="1"/>
    <d v="2013-12-11T00:00:00"/>
    <x v="0"/>
    <n v="1"/>
    <x v="1"/>
    <n v="1"/>
    <s v="1-3 Years"/>
    <n v="2"/>
    <x v="0"/>
  </r>
  <r>
    <s v="EMP1367"/>
    <s v="Natalie Barnes"/>
    <x v="0"/>
    <n v="21"/>
    <x v="1"/>
    <s v="Hr Business Partner"/>
    <d v="2016-06-18T00:00:00"/>
    <n v="45978"/>
    <s v="Married"/>
    <s v="Not Specified"/>
    <x v="3"/>
    <s v="Non-Travel"/>
    <n v="31"/>
    <x v="1"/>
    <x v="0"/>
    <n v="4"/>
    <n v="1"/>
    <n v="5"/>
    <n v="0"/>
    <n v="5"/>
    <n v="23"/>
    <s v="Denise Miller"/>
    <x v="1"/>
    <d v="2020-09-15T00:00:00"/>
    <x v="2"/>
    <n v="4"/>
    <x v="1"/>
    <n v="1"/>
    <s v="4-5 Years"/>
    <n v="2"/>
    <x v="0"/>
  </r>
  <r>
    <s v="EMP1346"/>
    <s v="James Torres"/>
    <x v="1"/>
    <n v="45"/>
    <x v="2"/>
    <s v="Software Engineer"/>
    <d v="2022-02-05T00:00:00"/>
    <n v="129559"/>
    <s v="Divorced"/>
    <s v="Bachelor's"/>
    <x v="8"/>
    <s v="Travel_Frequently"/>
    <n v="26"/>
    <x v="1"/>
    <x v="3"/>
    <n v="2"/>
    <n v="2"/>
    <n v="4"/>
    <n v="5"/>
    <n v="4"/>
    <n v="14"/>
    <s v="Michele Smith"/>
    <x v="1"/>
    <d v="2023-03-02T00:00:00"/>
    <x v="3"/>
    <n v="1"/>
    <x v="0"/>
    <n v="1"/>
    <s v="1-3 Years"/>
    <n v="2.33"/>
    <x v="0"/>
  </r>
  <r>
    <s v="EMP1536"/>
    <s v="Mary Campbell"/>
    <x v="0"/>
    <n v="20"/>
    <x v="2"/>
    <s v="It Support"/>
    <d v="2012-12-10T00:00:00"/>
    <n v="143455"/>
    <s v="Not Specified"/>
    <s v="Master's"/>
    <x v="1"/>
    <s v="Non-Travel"/>
    <n v="24"/>
    <x v="1"/>
    <x v="3"/>
    <n v="4"/>
    <n v="3"/>
    <n v="4"/>
    <n v="3"/>
    <n v="5"/>
    <n v="14"/>
    <s v="Willie Dillon"/>
    <x v="0"/>
    <m/>
    <x v="2"/>
    <n v="13"/>
    <x v="0"/>
    <n v="0"/>
    <s v="More than 10 Years"/>
    <n v="3.33"/>
    <x v="1"/>
  </r>
  <r>
    <s v="EMP1920"/>
    <s v="Lisa Gregory"/>
    <x v="0"/>
    <n v="48"/>
    <x v="1"/>
    <s v="Hr Manager"/>
    <d v="2023-11-06T00:00:00"/>
    <n v="47399"/>
    <s v="Married"/>
    <s v="Bachelor's"/>
    <x v="1"/>
    <s v="Non-Travel"/>
    <n v="6"/>
    <x v="1"/>
    <x v="3"/>
    <n v="1"/>
    <n v="1"/>
    <n v="3"/>
    <n v="6"/>
    <n v="6"/>
    <n v="25"/>
    <s v="Not Specified"/>
    <x v="0"/>
    <m/>
    <x v="3"/>
    <n v="2"/>
    <x v="1"/>
    <n v="0"/>
    <s v="1-3 Years"/>
    <n v="1.67"/>
    <x v="2"/>
  </r>
  <r>
    <s v="EMP1212"/>
    <s v="Patricia Morrow"/>
    <x v="0"/>
    <n v="24"/>
    <x v="0"/>
    <s v="Research Scientist"/>
    <d v="2012-10-05T00:00:00"/>
    <n v="77392"/>
    <s v="Divorced"/>
    <s v="Master's"/>
    <x v="6"/>
    <s v="Travel_Frequently"/>
    <n v="12"/>
    <x v="0"/>
    <x v="1"/>
    <n v="2"/>
    <n v="3"/>
    <n v="4"/>
    <n v="3"/>
    <n v="4"/>
    <n v="16"/>
    <s v="Maria Cole"/>
    <x v="0"/>
    <m/>
    <x v="2"/>
    <n v="13"/>
    <x v="2"/>
    <n v="0"/>
    <s v="More than 10 Years"/>
    <n v="3"/>
    <x v="1"/>
  </r>
  <r>
    <s v="EMP1503"/>
    <s v="Thomas Landry"/>
    <x v="0"/>
    <n v="25"/>
    <x v="0"/>
    <s v="Manufacturing Technician"/>
    <d v="2017-06-02T00:00:00"/>
    <n v="95445"/>
    <s v="Divorced"/>
    <s v="Bachelor's"/>
    <x v="9"/>
    <s v="Travel_Frequently"/>
    <n v="29"/>
    <x v="1"/>
    <x v="1"/>
    <n v="3"/>
    <n v="1"/>
    <n v="3"/>
    <n v="0"/>
    <n v="8"/>
    <n v="23"/>
    <s v="Thomas Short"/>
    <x v="1"/>
    <d v="2022-05-31T00:00:00"/>
    <x v="1"/>
    <n v="4"/>
    <x v="2"/>
    <n v="1"/>
    <s v="4-5 Years"/>
    <n v="2.67"/>
    <x v="0"/>
  </r>
  <r>
    <s v="EMP1176"/>
    <s v="Rickey Li"/>
    <x v="0"/>
    <n v="41"/>
    <x v="2"/>
    <s v="System Administrator"/>
    <d v="2021-08-29T00:00:00"/>
    <n v="61988"/>
    <s v="Divorced"/>
    <s v="Master's"/>
    <x v="6"/>
    <s v="Travel_Rarely"/>
    <n v="12"/>
    <x v="0"/>
    <x v="3"/>
    <n v="2"/>
    <n v="3"/>
    <n v="3"/>
    <n v="1"/>
    <n v="1"/>
    <n v="17"/>
    <s v="Nancy Jennings"/>
    <x v="0"/>
    <m/>
    <x v="0"/>
    <n v="5"/>
    <x v="2"/>
    <n v="0"/>
    <s v="4-5 Years"/>
    <n v="2.6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0:G37" firstHeaderRow="1" firstDataRow="3"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s>
  <rowFields count="1">
    <field x="26"/>
  </rowFields>
  <rowItems count="5">
    <i>
      <x/>
    </i>
    <i>
      <x v="1"/>
    </i>
    <i>
      <x v="2"/>
    </i>
    <i>
      <x v="3"/>
    </i>
    <i t="grand">
      <x/>
    </i>
  </rowItems>
  <colFields count="2">
    <field x="-2"/>
    <field x="22"/>
  </colFields>
  <colItems count="6">
    <i>
      <x/>
      <x/>
    </i>
    <i r="1">
      <x v="1"/>
    </i>
    <i i="1">
      <x v="1"/>
      <x/>
    </i>
    <i r="1" i="1">
      <x v="1"/>
    </i>
    <i t="grand">
      <x/>
    </i>
    <i t="grand" i="1">
      <x/>
    </i>
  </colItems>
  <dataFields count="2">
    <dataField name="Count of Attrition" fld="22" subtotal="count" baseField="0" baseItem="0"/>
    <dataField name="Count of Attrition2" fld="22" subtotal="count" showDataAs="percentOfRow" baseField="2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8:G26" firstHeaderRow="1" firstDataRow="3"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6">
        <item x="1"/>
        <item x="0"/>
        <item x="3"/>
        <item x="4"/>
        <item x="2"/>
        <item t="default"/>
      </items>
    </pivotField>
    <pivotField showAll="0"/>
    <pivotField showAll="0"/>
    <pivotField showAll="0"/>
    <pivotField showAll="0"/>
    <pivotField showAll="0"/>
    <pivotField showAll="0"/>
  </pivotFields>
  <rowFields count="1">
    <field x="24"/>
  </rowFields>
  <rowItems count="6">
    <i>
      <x/>
    </i>
    <i>
      <x v="1"/>
    </i>
    <i>
      <x v="2"/>
    </i>
    <i>
      <x v="3"/>
    </i>
    <i>
      <x v="4"/>
    </i>
    <i t="grand">
      <x/>
    </i>
  </rowItems>
  <colFields count="2">
    <field x="-2"/>
    <field x="22"/>
  </colFields>
  <colItems count="6">
    <i>
      <x/>
      <x/>
    </i>
    <i r="1">
      <x v="1"/>
    </i>
    <i i="1">
      <x v="1"/>
      <x/>
    </i>
    <i r="1" i="1">
      <x v="1"/>
    </i>
    <i t="grand">
      <x/>
    </i>
    <i t="grand" i="1">
      <x/>
    </i>
  </colItems>
  <dataFields count="2">
    <dataField name="Count of Attrition" fld="22" subtotal="count" baseField="0" baseItem="0"/>
    <dataField name="Count of Attrition2" fld="22" subtotal="count" showDataAs="percentOfRow" baseField="2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60:G66" firstHeaderRow="1" firstDataRow="3"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s>
  <rowFields count="1">
    <field x="30"/>
  </rowFields>
  <rowItems count="4">
    <i>
      <x/>
    </i>
    <i>
      <x v="1"/>
    </i>
    <i>
      <x v="2"/>
    </i>
    <i t="grand">
      <x/>
    </i>
  </rowItems>
  <colFields count="2">
    <field x="22"/>
    <field x="-2"/>
  </colFields>
  <colItems count="6">
    <i>
      <x/>
      <x/>
    </i>
    <i r="1" i="1">
      <x v="1"/>
    </i>
    <i>
      <x v="1"/>
      <x/>
    </i>
    <i r="1" i="1">
      <x v="1"/>
    </i>
    <i t="grand">
      <x/>
    </i>
    <i t="grand" i="1">
      <x/>
    </i>
  </colItems>
  <dataFields count="2">
    <dataField name="Count of Attrition" fld="22" subtotal="count" baseField="0" baseItem="0"/>
    <dataField name="Count of Attrition2" fld="22" subtotal="count" showDataAs="percentOfRow" baseField="3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0:G57" firstHeaderRow="1" firstDataRow="3"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2">
    <field x="22"/>
    <field x="-2"/>
  </colFields>
  <colItems count="6">
    <i>
      <x/>
      <x/>
    </i>
    <i r="1" i="1">
      <x v="1"/>
    </i>
    <i>
      <x v="1"/>
      <x/>
    </i>
    <i r="1" i="1">
      <x v="1"/>
    </i>
    <i t="grand">
      <x/>
    </i>
    <i t="grand" i="1">
      <x/>
    </i>
  </colItems>
  <dataFields count="2">
    <dataField name="Count of Attrition" fld="22" subtotal="count" baseField="0" baseItem="0"/>
    <dataField name="Count of Attrition2" fld="22" subtotal="count" showDataAs="percentOfRow"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Analysis"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C6" firstHeaderRow="0" firstDataRow="1"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2"/>
  </colFields>
  <colItems count="2">
    <i>
      <x/>
    </i>
    <i i="1">
      <x v="1"/>
    </i>
  </colItems>
  <dataFields count="2">
    <dataField name="Count of Attrition" fld="22" subtotal="count" baseField="0" baseItem="0"/>
    <dataField name="Count of Attrition2" fld="22" subtotal="count" showDataAs="percentOfTotal"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3:J14" firstHeaderRow="1" firstDataRow="3" firstDataCol="1"/>
  <pivotFields count="31">
    <pivotField showAll="0"/>
    <pivotField showAll="0"/>
    <pivotField showAll="0">
      <items count="4">
        <item x="2"/>
        <item x="0"/>
        <item x="1"/>
        <item t="default"/>
      </items>
    </pivotField>
    <pivotField showAll="0"/>
    <pivotField axis="axisRow" showAll="0">
      <items count="9">
        <item x="3"/>
        <item x="1"/>
        <item x="2"/>
        <item x="5"/>
        <item x="6"/>
        <item x="7"/>
        <item x="0"/>
        <item x="4"/>
        <item t="default"/>
      </items>
    </pivotField>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Fields count="2">
    <field x="22"/>
    <field x="-2"/>
  </colFields>
  <colItems count="6">
    <i>
      <x/>
      <x/>
    </i>
    <i r="1" i="1">
      <x v="1"/>
    </i>
    <i>
      <x v="1"/>
      <x/>
    </i>
    <i r="1" i="1">
      <x v="1"/>
    </i>
    <i t="grand">
      <x/>
    </i>
    <i t="grand" i="1">
      <x/>
    </i>
  </colItems>
  <dataFields count="2">
    <dataField name="Count of Attrition" fld="22" subtotal="count" baseField="0" baseItem="0"/>
    <dataField name="Count of Attrition2" fld="22" subtotal="count" showDataAs="percentOfRow" baseField="4"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41:G46" firstHeaderRow="1" firstDataRow="3" firstDataCol="1"/>
  <pivotFields count="31">
    <pivotField showAll="0"/>
    <pivotField showAll="0"/>
    <pivotField showAll="0">
      <items count="4">
        <item x="2"/>
        <item x="0"/>
        <item x="1"/>
        <item t="default"/>
      </items>
    </pivotField>
    <pivotField showAll="0"/>
    <pivotField showAll="0"/>
    <pivotField showAll="0"/>
    <pivotField numFmtId="14" showAll="0"/>
    <pivotField showAll="0"/>
    <pivotField showAll="0"/>
    <pivotField showAll="0"/>
    <pivotField showAll="0">
      <items count="12">
        <item x="5"/>
        <item x="3"/>
        <item x="8"/>
        <item x="7"/>
        <item x="4"/>
        <item x="6"/>
        <item x="9"/>
        <item x="1"/>
        <item x="2"/>
        <item x="10"/>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1">
    <field x="13"/>
  </rowFields>
  <rowItems count="3">
    <i>
      <x/>
    </i>
    <i>
      <x v="1"/>
    </i>
    <i t="grand">
      <x/>
    </i>
  </rowItems>
  <colFields count="2">
    <field x="22"/>
    <field x="-2"/>
  </colFields>
  <colItems count="6">
    <i>
      <x/>
      <x/>
    </i>
    <i r="1" i="1">
      <x v="1"/>
    </i>
    <i>
      <x v="1"/>
      <x/>
    </i>
    <i r="1" i="1">
      <x v="1"/>
    </i>
    <i t="grand">
      <x/>
    </i>
    <i t="grand" i="1">
      <x/>
    </i>
  </colItems>
  <dataFields count="2">
    <dataField name="Count of Attrition" fld="22" subtotal="count" baseField="0" baseItem="0"/>
    <dataField name="Count of Attrition2" fld="22"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926FF8-5C6E-49A4-A114-482EB176F58B}" sourceName="Gender">
  <pivotTables>
    <pivotTable tabId="3" name="PivotTable2"/>
    <pivotTable tabId="3" name="PivotAnalysis"/>
    <pivotTable tabId="3" name="PivotTable1"/>
    <pivotTable tabId="3" name="PivotTable3"/>
    <pivotTable tabId="3" name="PivotTable4"/>
    <pivotTable tabId="3" name="PivotTable5"/>
    <pivotTable tabId="3" name="PivotTable6"/>
  </pivotTables>
  <data>
    <tabular pivotCacheId="48847192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1C05E1D-89F9-42F2-8065-BDA6D844F1BB}" sourceName="City">
  <pivotTables>
    <pivotTable tabId="3" name="PivotAnalysis"/>
    <pivotTable tabId="3" name="PivotTable1"/>
    <pivotTable tabId="3" name="PivotTable2"/>
    <pivotTable tabId="3" name="PivotTable3"/>
    <pivotTable tabId="3" name="PivotTable4"/>
    <pivotTable tabId="3" name="PivotTable5"/>
    <pivotTable tabId="3" name="PivotTable6"/>
  </pivotTables>
  <data>
    <tabular pivotCacheId="488471922">
      <items count="11">
        <i x="5" s="1"/>
        <i x="3" s="1"/>
        <i x="8" s="1"/>
        <i x="7" s="1"/>
        <i x="4" s="1"/>
        <i x="6" s="1"/>
        <i x="9" s="1"/>
        <i x="1" s="1"/>
        <i x="2" s="1"/>
        <i x="1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0FA8678-EFFD-415A-8CC0-A49025AAA72A}" cache="Slicer_Gender" caption="Gender" rowHeight="241300"/>
  <slicer name="City" xr10:uid="{52877FA2-15FE-45CD-BBD8-0D3CCD640DE3}"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Data" displayName="EmployeeData" ref="A1:AE1201" totalsRowShown="0">
  <autoFilter ref="A1:AE1201" xr:uid="{00000000-0009-0000-0100-000001000000}"/>
  <tableColumns count="31">
    <tableColumn id="1" xr3:uid="{00000000-0010-0000-0000-000001000000}" name="EmployeeID"/>
    <tableColumn id="2" xr3:uid="{00000000-0010-0000-0000-000002000000}" name="Name"/>
    <tableColumn id="3" xr3:uid="{00000000-0010-0000-0000-000003000000}" name="Gender"/>
    <tableColumn id="4" xr3:uid="{00000000-0010-0000-0000-000004000000}" name="Age"/>
    <tableColumn id="5" xr3:uid="{00000000-0010-0000-0000-000005000000}" name="Department"/>
    <tableColumn id="6" xr3:uid="{00000000-0010-0000-0000-000006000000}" name="JobRole"/>
    <tableColumn id="7" xr3:uid="{00000000-0010-0000-0000-000007000000}" name="DateOfJoining" dataDxfId="8"/>
    <tableColumn id="8" xr3:uid="{00000000-0010-0000-0000-000008000000}" name="MonthlyIncome"/>
    <tableColumn id="9" xr3:uid="{00000000-0010-0000-0000-000009000000}" name="MaritalStatus"/>
    <tableColumn id="10" xr3:uid="{00000000-0010-0000-0000-00000A000000}" name="Education"/>
    <tableColumn id="11" xr3:uid="{00000000-0010-0000-0000-00000B000000}" name="City"/>
    <tableColumn id="12" xr3:uid="{00000000-0010-0000-0000-00000C000000}" name="BusinessTravel"/>
    <tableColumn id="13" xr3:uid="{00000000-0010-0000-0000-00000D000000}" name="DistanceFromHome_KM"/>
    <tableColumn id="14" xr3:uid="{00000000-0010-0000-0000-00000E000000}" name="OverTime"/>
    <tableColumn id="15" xr3:uid="{00000000-0010-0000-0000-00000F000000}" name="JobSatisfaction"/>
    <tableColumn id="16" xr3:uid="{00000000-0010-0000-0000-000010000000}" name="EnvironmentSatisfaction"/>
    <tableColumn id="17" xr3:uid="{00000000-0010-0000-0000-000011000000}" name="WorkLifeBalance"/>
    <tableColumn id="18" xr3:uid="{00000000-0010-0000-0000-000012000000}" name="PerformanceRating"/>
    <tableColumn id="19" xr3:uid="{00000000-0010-0000-0000-000013000000}" name="TrainingTimesLastYear"/>
    <tableColumn id="20" xr3:uid="{00000000-0010-0000-0000-000014000000}" name="NumCompaniesWorked"/>
    <tableColumn id="21" xr3:uid="{00000000-0010-0000-0000-000015000000}" name="PercentSalaryHike"/>
    <tableColumn id="22" xr3:uid="{00000000-0010-0000-0000-000016000000}" name="ManagerName"/>
    <tableColumn id="23" xr3:uid="{00000000-0010-0000-0000-000017000000}" name="Attrition"/>
    <tableColumn id="24" xr3:uid="{00000000-0010-0000-0000-000018000000}" name="LastWorkingDate" dataDxfId="7"/>
    <tableColumn id="27" xr3:uid="{00000000-0010-0000-0000-00001B000000}" name="Age Band" dataDxfId="6">
      <calculatedColumnFormula>IF(EmployeeData[[#This Row],[Age]]&lt;25,"Under 25",IF(EmployeeData[[#This Row],[Age]]&lt;=34,"25-34",IF(EmployeeData[[#This Row],[Age]]&lt;=44,"35-44",IF(EmployeeData[[#This Row],[Age]]&lt;=54,"45-54","55+"))))</calculatedColumnFormula>
    </tableColumn>
    <tableColumn id="25" xr3:uid="{00000000-0010-0000-0000-000019000000}" name="Tenure Years" dataDxfId="5">
      <calculatedColumnFormula>DATEDIF(EmployeeData[[#This Row],[DateOfJoining]],IF(AND(EmployeeData[[#This Row],[Attrition]]="Yes",EmployeeData[[#This Row],[LastWorkingDate]]&lt;&gt;""),EmployeeData[[#This Row],[LastWorkingDate]],TODAY()),"Y")</calculatedColumnFormula>
    </tableColumn>
    <tableColumn id="29" xr3:uid="{00000000-0010-0000-0000-00001D000000}" name="Salary Band" dataDxfId="4">
      <calculatedColumnFormula>IF(EmployeeData[[#This Row],[MonthlyIncome]]&lt;30000,"Low",IF(EmployeeData[[#This Row],[MonthlyIncome]]&lt;=60000,"Medium",IF(EmployeeData[[#This Row],[MonthlyIncome]]&lt;=100000,"High","Very High")))</calculatedColumnFormula>
    </tableColumn>
    <tableColumn id="30" xr3:uid="{00000000-0010-0000-0000-00001E000000}" name="Attrition Flag" dataDxfId="3">
      <calculatedColumnFormula>IF(EmployeeData[[#This Row],[Attrition]]="Yes",1,0)</calculatedColumnFormula>
    </tableColumn>
    <tableColumn id="32" xr3:uid="{00000000-0010-0000-0000-000020000000}" name="Tenure Band" dataDxfId="2">
      <calculatedColumnFormula>IF(EmployeeData[[#This Row],[Tenure Years]]&lt;1,"Less than 1 Year",IF(EmployeeData[[#This Row],[Tenure Years]]&lt;=3,"1-3 Years",IF(EmployeeData[[#This Row],[Tenure Years]]&lt;=5,"4-5 Years",IF(EmployeeData[[#This Row],[Tenure Years]]&lt;=10,"6-10 Years","More than 10 Years"))))</calculatedColumnFormula>
    </tableColumn>
    <tableColumn id="33" xr3:uid="{00000000-0010-0000-0000-000021000000}" name="Satisfaction Score" dataDxfId="1">
      <calculatedColumnFormula>ROUND(AVERAGE(EmployeeData[[#This Row],[JobSatisfaction]],EmployeeData[[#This Row],[EnvironmentSatisfaction]],EmployeeData[[#This Row],[WorkLifeBalance]]),2)</calculatedColumnFormula>
    </tableColumn>
    <tableColumn id="34" xr3:uid="{00000000-0010-0000-0000-000022000000}" name="Satisfaction Level" dataDxfId="0">
      <calculatedColumnFormula>IF(EmployeeData[[#This Row],[Satisfaction Score]]&lt;2,"Low",IF(EmployeeData[[#This Row],[Satisfaction Score]]&lt;3,"Medium","High"))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25"/>
  <sheetViews>
    <sheetView topLeftCell="A10" workbookViewId="0"/>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v>39</v>
      </c>
      <c r="E2" t="s">
        <v>27</v>
      </c>
      <c r="F2" t="s">
        <v>28</v>
      </c>
      <c r="G2" t="s">
        <v>29</v>
      </c>
      <c r="H2">
        <v>124035</v>
      </c>
      <c r="I2" t="s">
        <v>30</v>
      </c>
      <c r="J2" t="s">
        <v>31</v>
      </c>
      <c r="K2" t="s">
        <v>32</v>
      </c>
      <c r="L2" t="s">
        <v>33</v>
      </c>
      <c r="M2">
        <v>11</v>
      </c>
      <c r="N2" t="s">
        <v>34</v>
      </c>
      <c r="O2">
        <v>1</v>
      </c>
      <c r="P2">
        <v>4</v>
      </c>
      <c r="Q2">
        <v>3</v>
      </c>
      <c r="R2">
        <v>4</v>
      </c>
      <c r="S2">
        <v>0</v>
      </c>
      <c r="T2">
        <v>4</v>
      </c>
      <c r="U2">
        <v>16</v>
      </c>
      <c r="V2" t="s">
        <v>35</v>
      </c>
      <c r="W2" t="s">
        <v>34</v>
      </c>
    </row>
    <row r="3" spans="1:24" x14ac:dyDescent="0.25">
      <c r="A3" t="s">
        <v>36</v>
      </c>
      <c r="B3" t="s">
        <v>37</v>
      </c>
      <c r="D3">
        <v>38</v>
      </c>
      <c r="E3" t="s">
        <v>38</v>
      </c>
      <c r="F3" t="s">
        <v>39</v>
      </c>
      <c r="G3" t="s">
        <v>40</v>
      </c>
      <c r="H3" t="s">
        <v>41</v>
      </c>
      <c r="I3" t="s">
        <v>42</v>
      </c>
      <c r="J3" t="s">
        <v>31</v>
      </c>
      <c r="K3" t="s">
        <v>32</v>
      </c>
      <c r="L3" t="s">
        <v>43</v>
      </c>
      <c r="M3">
        <v>27</v>
      </c>
      <c r="N3" t="s">
        <v>34</v>
      </c>
      <c r="O3">
        <v>1</v>
      </c>
      <c r="P3">
        <v>3</v>
      </c>
      <c r="Q3">
        <v>2</v>
      </c>
      <c r="R3">
        <v>3</v>
      </c>
      <c r="S3">
        <v>6</v>
      </c>
      <c r="T3">
        <v>2</v>
      </c>
      <c r="U3">
        <v>13</v>
      </c>
      <c r="V3" t="s">
        <v>44</v>
      </c>
      <c r="W3" t="s">
        <v>45</v>
      </c>
      <c r="X3" t="s">
        <v>46</v>
      </c>
    </row>
    <row r="4" spans="1:24" x14ac:dyDescent="0.25">
      <c r="A4" t="s">
        <v>47</v>
      </c>
      <c r="B4" t="s">
        <v>48</v>
      </c>
      <c r="C4" t="s">
        <v>49</v>
      </c>
      <c r="D4">
        <v>39</v>
      </c>
      <c r="E4" t="s">
        <v>27</v>
      </c>
      <c r="F4" t="s">
        <v>50</v>
      </c>
      <c r="G4" t="s">
        <v>51</v>
      </c>
      <c r="I4" t="s">
        <v>52</v>
      </c>
      <c r="J4" t="s">
        <v>53</v>
      </c>
      <c r="K4" t="s">
        <v>54</v>
      </c>
      <c r="L4" t="s">
        <v>43</v>
      </c>
      <c r="M4">
        <v>19</v>
      </c>
      <c r="N4" t="s">
        <v>45</v>
      </c>
      <c r="O4">
        <v>4</v>
      </c>
      <c r="P4">
        <v>3</v>
      </c>
      <c r="Q4">
        <v>1</v>
      </c>
      <c r="R4">
        <v>4</v>
      </c>
      <c r="S4">
        <v>2</v>
      </c>
      <c r="T4">
        <v>1</v>
      </c>
      <c r="U4">
        <v>24</v>
      </c>
      <c r="V4" t="s">
        <v>55</v>
      </c>
      <c r="W4" t="s">
        <v>34</v>
      </c>
    </row>
    <row r="5" spans="1:24" x14ac:dyDescent="0.25">
      <c r="A5" t="s">
        <v>56</v>
      </c>
      <c r="B5" t="s">
        <v>57</v>
      </c>
      <c r="C5" t="s">
        <v>58</v>
      </c>
      <c r="D5">
        <v>31</v>
      </c>
      <c r="E5" t="s">
        <v>27</v>
      </c>
      <c r="F5" t="s">
        <v>59</v>
      </c>
      <c r="G5" t="s">
        <v>60</v>
      </c>
      <c r="H5">
        <v>86840</v>
      </c>
      <c r="I5" t="s">
        <v>52</v>
      </c>
      <c r="J5" t="s">
        <v>61</v>
      </c>
      <c r="K5" t="s">
        <v>32</v>
      </c>
      <c r="L5" t="s">
        <v>62</v>
      </c>
      <c r="M5">
        <v>35</v>
      </c>
      <c r="N5" t="s">
        <v>45</v>
      </c>
      <c r="O5">
        <v>4</v>
      </c>
      <c r="P5">
        <v>4</v>
      </c>
      <c r="Q5">
        <v>2</v>
      </c>
      <c r="S5">
        <v>4</v>
      </c>
      <c r="T5">
        <v>2</v>
      </c>
      <c r="U5">
        <v>12</v>
      </c>
      <c r="V5" t="s">
        <v>63</v>
      </c>
      <c r="W5" t="s">
        <v>45</v>
      </c>
      <c r="X5" t="s">
        <v>64</v>
      </c>
    </row>
    <row r="6" spans="1:24" x14ac:dyDescent="0.25">
      <c r="A6" t="s">
        <v>65</v>
      </c>
      <c r="B6" t="s">
        <v>66</v>
      </c>
      <c r="C6" t="s">
        <v>67</v>
      </c>
      <c r="E6" t="s">
        <v>27</v>
      </c>
      <c r="F6" t="s">
        <v>59</v>
      </c>
      <c r="G6" t="s">
        <v>68</v>
      </c>
      <c r="I6" t="s">
        <v>42</v>
      </c>
      <c r="J6" t="s">
        <v>61</v>
      </c>
      <c r="K6" t="s">
        <v>54</v>
      </c>
      <c r="L6" t="s">
        <v>43</v>
      </c>
      <c r="M6">
        <v>42</v>
      </c>
      <c r="N6" t="s">
        <v>34</v>
      </c>
      <c r="O6">
        <v>2</v>
      </c>
      <c r="P6">
        <v>2</v>
      </c>
      <c r="Q6">
        <v>2</v>
      </c>
      <c r="R6">
        <v>2</v>
      </c>
      <c r="S6">
        <v>5</v>
      </c>
      <c r="T6">
        <v>8</v>
      </c>
      <c r="U6">
        <v>16</v>
      </c>
      <c r="V6" t="s">
        <v>69</v>
      </c>
      <c r="W6" t="s">
        <v>45</v>
      </c>
      <c r="X6" t="s">
        <v>70</v>
      </c>
    </row>
    <row r="7" spans="1:24" x14ac:dyDescent="0.25">
      <c r="A7" t="s">
        <v>71</v>
      </c>
      <c r="B7" t="s">
        <v>72</v>
      </c>
      <c r="C7" t="s">
        <v>73</v>
      </c>
      <c r="D7">
        <v>32</v>
      </c>
      <c r="E7" t="s">
        <v>74</v>
      </c>
      <c r="F7" t="s">
        <v>75</v>
      </c>
      <c r="G7" t="s">
        <v>76</v>
      </c>
      <c r="H7">
        <v>86510</v>
      </c>
      <c r="I7" t="s">
        <v>30</v>
      </c>
      <c r="J7" t="s">
        <v>31</v>
      </c>
      <c r="K7" t="s">
        <v>77</v>
      </c>
      <c r="L7" t="s">
        <v>62</v>
      </c>
      <c r="M7">
        <v>29</v>
      </c>
      <c r="N7" t="s">
        <v>45</v>
      </c>
      <c r="O7">
        <v>3</v>
      </c>
      <c r="P7">
        <v>1</v>
      </c>
      <c r="Q7">
        <v>3</v>
      </c>
      <c r="R7">
        <v>1</v>
      </c>
      <c r="S7">
        <v>3</v>
      </c>
      <c r="T7">
        <v>6</v>
      </c>
      <c r="U7">
        <v>17</v>
      </c>
      <c r="V7" t="s">
        <v>78</v>
      </c>
      <c r="W7" t="s">
        <v>34</v>
      </c>
    </row>
    <row r="8" spans="1:24" x14ac:dyDescent="0.25">
      <c r="A8" t="s">
        <v>79</v>
      </c>
      <c r="B8" t="s">
        <v>80</v>
      </c>
      <c r="C8" t="s">
        <v>81</v>
      </c>
      <c r="D8">
        <v>41</v>
      </c>
      <c r="E8" t="s">
        <v>27</v>
      </c>
      <c r="F8" t="s">
        <v>59</v>
      </c>
      <c r="G8" t="s">
        <v>82</v>
      </c>
      <c r="I8" t="s">
        <v>42</v>
      </c>
      <c r="J8" t="s">
        <v>31</v>
      </c>
      <c r="K8" t="s">
        <v>83</v>
      </c>
      <c r="L8" t="s">
        <v>43</v>
      </c>
      <c r="M8">
        <v>24</v>
      </c>
      <c r="N8" t="s">
        <v>34</v>
      </c>
      <c r="O8">
        <v>4</v>
      </c>
      <c r="P8">
        <v>4</v>
      </c>
      <c r="Q8">
        <v>1</v>
      </c>
      <c r="R8">
        <v>3</v>
      </c>
      <c r="S8">
        <v>5</v>
      </c>
      <c r="T8">
        <v>0</v>
      </c>
      <c r="U8">
        <v>18</v>
      </c>
      <c r="V8" t="s">
        <v>84</v>
      </c>
      <c r="W8" t="s">
        <v>34</v>
      </c>
    </row>
    <row r="9" spans="1:24" x14ac:dyDescent="0.25">
      <c r="A9" t="s">
        <v>85</v>
      </c>
      <c r="B9" t="s">
        <v>86</v>
      </c>
      <c r="C9" t="s">
        <v>87</v>
      </c>
      <c r="D9">
        <v>27</v>
      </c>
      <c r="E9" t="s">
        <v>88</v>
      </c>
      <c r="F9" t="s">
        <v>89</v>
      </c>
      <c r="G9" t="s">
        <v>90</v>
      </c>
      <c r="H9">
        <v>52459</v>
      </c>
      <c r="I9" t="s">
        <v>30</v>
      </c>
      <c r="J9" t="s">
        <v>61</v>
      </c>
      <c r="K9" t="s">
        <v>32</v>
      </c>
      <c r="L9" t="s">
        <v>62</v>
      </c>
      <c r="M9">
        <v>1</v>
      </c>
      <c r="N9" t="s">
        <v>34</v>
      </c>
      <c r="O9">
        <v>3</v>
      </c>
      <c r="P9">
        <v>4</v>
      </c>
      <c r="Q9">
        <v>2</v>
      </c>
      <c r="R9">
        <v>3</v>
      </c>
      <c r="S9">
        <v>4</v>
      </c>
      <c r="T9">
        <v>0</v>
      </c>
      <c r="U9">
        <v>18</v>
      </c>
      <c r="V9" t="s">
        <v>91</v>
      </c>
      <c r="W9" t="s">
        <v>34</v>
      </c>
    </row>
    <row r="10" spans="1:24" x14ac:dyDescent="0.25">
      <c r="A10" t="s">
        <v>92</v>
      </c>
      <c r="B10" t="s">
        <v>93</v>
      </c>
      <c r="C10" t="s">
        <v>58</v>
      </c>
      <c r="D10">
        <v>30</v>
      </c>
      <c r="E10" t="s">
        <v>94</v>
      </c>
      <c r="F10" t="s">
        <v>95</v>
      </c>
      <c r="G10" t="s">
        <v>96</v>
      </c>
      <c r="H10">
        <v>62654</v>
      </c>
      <c r="I10" t="s">
        <v>52</v>
      </c>
      <c r="J10" t="s">
        <v>97</v>
      </c>
      <c r="K10" t="s">
        <v>98</v>
      </c>
      <c r="L10" t="s">
        <v>43</v>
      </c>
      <c r="M10">
        <v>44</v>
      </c>
      <c r="N10" t="s">
        <v>34</v>
      </c>
      <c r="O10">
        <v>3</v>
      </c>
      <c r="P10">
        <v>1</v>
      </c>
      <c r="Q10">
        <v>1</v>
      </c>
      <c r="R10">
        <v>3</v>
      </c>
      <c r="S10">
        <v>3</v>
      </c>
      <c r="T10">
        <v>1</v>
      </c>
      <c r="U10">
        <v>21</v>
      </c>
      <c r="V10" t="s">
        <v>99</v>
      </c>
      <c r="W10" t="s">
        <v>34</v>
      </c>
    </row>
    <row r="11" spans="1:24" x14ac:dyDescent="0.25">
      <c r="A11" t="s">
        <v>100</v>
      </c>
      <c r="B11" t="s">
        <v>101</v>
      </c>
      <c r="C11" t="s">
        <v>102</v>
      </c>
      <c r="D11">
        <v>39</v>
      </c>
      <c r="E11" t="s">
        <v>103</v>
      </c>
      <c r="F11" t="s">
        <v>104</v>
      </c>
      <c r="G11" t="s">
        <v>105</v>
      </c>
      <c r="H11">
        <v>41735</v>
      </c>
      <c r="I11" t="s">
        <v>42</v>
      </c>
      <c r="K11" t="s">
        <v>106</v>
      </c>
      <c r="L11" t="s">
        <v>43</v>
      </c>
      <c r="M11">
        <v>2</v>
      </c>
      <c r="N11" t="s">
        <v>34</v>
      </c>
      <c r="O11">
        <v>2</v>
      </c>
      <c r="P11">
        <v>2</v>
      </c>
      <c r="R11">
        <v>4</v>
      </c>
      <c r="S11">
        <v>6</v>
      </c>
      <c r="T11">
        <v>6</v>
      </c>
      <c r="U11">
        <v>20</v>
      </c>
      <c r="V11" t="s">
        <v>107</v>
      </c>
      <c r="W11" t="s">
        <v>34</v>
      </c>
    </row>
    <row r="12" spans="1:24" x14ac:dyDescent="0.25">
      <c r="A12" t="s">
        <v>108</v>
      </c>
      <c r="B12" t="s">
        <v>109</v>
      </c>
      <c r="C12" t="s">
        <v>87</v>
      </c>
      <c r="D12">
        <v>28</v>
      </c>
      <c r="E12" t="s">
        <v>27</v>
      </c>
      <c r="F12" t="s">
        <v>110</v>
      </c>
      <c r="G12" t="s">
        <v>111</v>
      </c>
      <c r="H12" t="s">
        <v>112</v>
      </c>
      <c r="I12" t="s">
        <v>30</v>
      </c>
      <c r="J12" t="s">
        <v>61</v>
      </c>
      <c r="K12" t="s">
        <v>113</v>
      </c>
      <c r="L12" t="s">
        <v>33</v>
      </c>
      <c r="M12">
        <v>4</v>
      </c>
      <c r="N12" t="s">
        <v>34</v>
      </c>
      <c r="O12">
        <v>2</v>
      </c>
      <c r="P12">
        <v>4</v>
      </c>
      <c r="Q12">
        <v>2</v>
      </c>
      <c r="R12">
        <v>3</v>
      </c>
      <c r="S12">
        <v>0</v>
      </c>
      <c r="T12">
        <v>8</v>
      </c>
      <c r="U12">
        <v>21</v>
      </c>
      <c r="V12" t="s">
        <v>114</v>
      </c>
      <c r="W12" t="s">
        <v>34</v>
      </c>
    </row>
    <row r="13" spans="1:24" x14ac:dyDescent="0.25">
      <c r="A13" t="s">
        <v>115</v>
      </c>
      <c r="B13" t="s">
        <v>116</v>
      </c>
      <c r="C13" t="s">
        <v>58</v>
      </c>
      <c r="D13">
        <v>31</v>
      </c>
      <c r="E13" t="s">
        <v>27</v>
      </c>
      <c r="F13" t="s">
        <v>50</v>
      </c>
      <c r="G13" t="s">
        <v>117</v>
      </c>
      <c r="H13">
        <v>111457</v>
      </c>
      <c r="I13" t="s">
        <v>42</v>
      </c>
      <c r="J13" t="s">
        <v>53</v>
      </c>
      <c r="K13" t="s">
        <v>77</v>
      </c>
      <c r="L13" t="s">
        <v>33</v>
      </c>
      <c r="M13">
        <v>34</v>
      </c>
      <c r="N13" t="s">
        <v>45</v>
      </c>
      <c r="O13">
        <v>1</v>
      </c>
      <c r="P13">
        <v>2</v>
      </c>
      <c r="Q13">
        <v>1</v>
      </c>
      <c r="R13">
        <v>3</v>
      </c>
      <c r="S13">
        <v>0</v>
      </c>
      <c r="T13">
        <v>4</v>
      </c>
      <c r="U13">
        <v>11</v>
      </c>
      <c r="V13" t="s">
        <v>118</v>
      </c>
      <c r="W13" t="s">
        <v>45</v>
      </c>
      <c r="X13" t="s">
        <v>119</v>
      </c>
    </row>
    <row r="14" spans="1:24" x14ac:dyDescent="0.25">
      <c r="A14" t="s">
        <v>120</v>
      </c>
      <c r="B14" t="s">
        <v>121</v>
      </c>
      <c r="C14" t="s">
        <v>81</v>
      </c>
      <c r="D14">
        <v>40</v>
      </c>
      <c r="E14" t="s">
        <v>122</v>
      </c>
      <c r="F14" t="s">
        <v>123</v>
      </c>
      <c r="G14" t="s">
        <v>124</v>
      </c>
      <c r="H14">
        <v>57034</v>
      </c>
      <c r="I14" t="s">
        <v>30</v>
      </c>
      <c r="J14" t="s">
        <v>61</v>
      </c>
      <c r="K14" t="s">
        <v>54</v>
      </c>
      <c r="L14" t="s">
        <v>43</v>
      </c>
      <c r="M14">
        <v>22</v>
      </c>
      <c r="N14" t="s">
        <v>34</v>
      </c>
      <c r="O14">
        <v>3</v>
      </c>
      <c r="P14">
        <v>1</v>
      </c>
      <c r="Q14">
        <v>4</v>
      </c>
      <c r="R14">
        <v>2</v>
      </c>
      <c r="S14">
        <v>1</v>
      </c>
      <c r="T14">
        <v>8</v>
      </c>
      <c r="U14">
        <v>22</v>
      </c>
      <c r="V14" t="s">
        <v>125</v>
      </c>
      <c r="W14" t="s">
        <v>34</v>
      </c>
    </row>
    <row r="15" spans="1:24" x14ac:dyDescent="0.25">
      <c r="A15" t="s">
        <v>126</v>
      </c>
      <c r="B15" t="s">
        <v>127</v>
      </c>
      <c r="C15" t="s">
        <v>26</v>
      </c>
      <c r="D15">
        <v>39</v>
      </c>
      <c r="E15" t="s">
        <v>128</v>
      </c>
      <c r="F15" t="s">
        <v>129</v>
      </c>
      <c r="G15" t="s">
        <v>130</v>
      </c>
      <c r="H15">
        <v>75286</v>
      </c>
      <c r="I15" t="s">
        <v>52</v>
      </c>
      <c r="J15" t="s">
        <v>97</v>
      </c>
      <c r="K15" t="s">
        <v>131</v>
      </c>
      <c r="L15" t="s">
        <v>62</v>
      </c>
      <c r="M15">
        <v>39</v>
      </c>
      <c r="N15" t="s">
        <v>34</v>
      </c>
      <c r="O15">
        <v>2</v>
      </c>
      <c r="P15">
        <v>4</v>
      </c>
      <c r="Q15">
        <v>3</v>
      </c>
      <c r="R15">
        <v>4</v>
      </c>
      <c r="S15">
        <v>2</v>
      </c>
      <c r="T15">
        <v>4</v>
      </c>
      <c r="U15">
        <v>19</v>
      </c>
      <c r="V15" t="s">
        <v>132</v>
      </c>
      <c r="W15" t="s">
        <v>45</v>
      </c>
      <c r="X15" t="s">
        <v>133</v>
      </c>
    </row>
    <row r="16" spans="1:24" x14ac:dyDescent="0.25">
      <c r="A16" t="s">
        <v>134</v>
      </c>
      <c r="B16" t="s">
        <v>135</v>
      </c>
      <c r="C16" t="s">
        <v>26</v>
      </c>
      <c r="D16">
        <v>37</v>
      </c>
      <c r="E16" t="s">
        <v>38</v>
      </c>
      <c r="F16" t="s">
        <v>136</v>
      </c>
      <c r="G16" t="s">
        <v>137</v>
      </c>
      <c r="H16">
        <v>65329</v>
      </c>
      <c r="I16" t="s">
        <v>42</v>
      </c>
      <c r="J16" t="s">
        <v>61</v>
      </c>
      <c r="K16" t="s">
        <v>83</v>
      </c>
      <c r="L16" t="s">
        <v>62</v>
      </c>
      <c r="M16">
        <v>37</v>
      </c>
      <c r="N16" t="s">
        <v>34</v>
      </c>
      <c r="O16">
        <v>4</v>
      </c>
      <c r="P16">
        <v>2</v>
      </c>
      <c r="Q16">
        <v>4</v>
      </c>
      <c r="R16">
        <v>4</v>
      </c>
      <c r="S16">
        <v>0</v>
      </c>
      <c r="T16">
        <v>7</v>
      </c>
      <c r="U16">
        <v>16</v>
      </c>
      <c r="V16" t="s">
        <v>138</v>
      </c>
      <c r="W16" t="s">
        <v>34</v>
      </c>
    </row>
    <row r="17" spans="1:24" x14ac:dyDescent="0.25">
      <c r="A17" t="s">
        <v>139</v>
      </c>
      <c r="B17" t="s">
        <v>140</v>
      </c>
      <c r="C17" t="s">
        <v>102</v>
      </c>
      <c r="D17">
        <v>26</v>
      </c>
      <c r="E17" t="s">
        <v>88</v>
      </c>
      <c r="F17" t="s">
        <v>141</v>
      </c>
      <c r="G17" t="s">
        <v>142</v>
      </c>
      <c r="H17">
        <v>96042</v>
      </c>
      <c r="I17" t="s">
        <v>42</v>
      </c>
      <c r="J17" t="s">
        <v>143</v>
      </c>
      <c r="K17" t="s">
        <v>113</v>
      </c>
      <c r="L17" t="s">
        <v>62</v>
      </c>
      <c r="M17">
        <v>16</v>
      </c>
      <c r="N17" t="s">
        <v>45</v>
      </c>
      <c r="O17">
        <v>4</v>
      </c>
      <c r="P17">
        <v>1</v>
      </c>
      <c r="Q17">
        <v>3</v>
      </c>
      <c r="R17">
        <v>3</v>
      </c>
      <c r="S17">
        <v>2</v>
      </c>
      <c r="T17">
        <v>5</v>
      </c>
      <c r="U17">
        <v>21</v>
      </c>
      <c r="V17" t="s">
        <v>144</v>
      </c>
      <c r="W17" t="s">
        <v>34</v>
      </c>
    </row>
    <row r="18" spans="1:24" x14ac:dyDescent="0.25">
      <c r="A18" t="s">
        <v>145</v>
      </c>
      <c r="B18" t="s">
        <v>146</v>
      </c>
      <c r="C18" t="s">
        <v>67</v>
      </c>
      <c r="D18">
        <v>19</v>
      </c>
      <c r="E18" t="s">
        <v>147</v>
      </c>
      <c r="F18" t="s">
        <v>148</v>
      </c>
      <c r="G18" t="s">
        <v>149</v>
      </c>
      <c r="H18" t="s">
        <v>150</v>
      </c>
      <c r="I18" t="s">
        <v>30</v>
      </c>
      <c r="J18" t="s">
        <v>31</v>
      </c>
      <c r="K18" t="s">
        <v>54</v>
      </c>
      <c r="L18" t="s">
        <v>62</v>
      </c>
      <c r="M18">
        <v>32</v>
      </c>
      <c r="N18" t="s">
        <v>34</v>
      </c>
      <c r="O18">
        <v>4</v>
      </c>
      <c r="P18">
        <v>1</v>
      </c>
      <c r="Q18">
        <v>2</v>
      </c>
      <c r="R18">
        <v>3</v>
      </c>
      <c r="S18">
        <v>4</v>
      </c>
      <c r="T18">
        <v>8</v>
      </c>
      <c r="U18">
        <v>13</v>
      </c>
      <c r="V18" t="s">
        <v>151</v>
      </c>
      <c r="W18" t="s">
        <v>45</v>
      </c>
      <c r="X18" t="s">
        <v>152</v>
      </c>
    </row>
    <row r="19" spans="1:24" x14ac:dyDescent="0.25">
      <c r="A19" t="s">
        <v>153</v>
      </c>
      <c r="B19" t="s">
        <v>154</v>
      </c>
      <c r="C19" t="s">
        <v>102</v>
      </c>
      <c r="D19">
        <v>41</v>
      </c>
      <c r="E19" t="s">
        <v>128</v>
      </c>
      <c r="G19" t="s">
        <v>155</v>
      </c>
      <c r="H19">
        <v>86947</v>
      </c>
      <c r="I19" t="s">
        <v>52</v>
      </c>
      <c r="J19" t="s">
        <v>31</v>
      </c>
      <c r="K19" t="s">
        <v>54</v>
      </c>
      <c r="L19" t="s">
        <v>33</v>
      </c>
      <c r="M19">
        <v>2</v>
      </c>
      <c r="N19" t="s">
        <v>45</v>
      </c>
      <c r="O19">
        <v>2</v>
      </c>
      <c r="P19">
        <v>3</v>
      </c>
      <c r="Q19">
        <v>3</v>
      </c>
      <c r="R19">
        <v>3</v>
      </c>
      <c r="S19">
        <v>5</v>
      </c>
      <c r="T19">
        <v>2</v>
      </c>
      <c r="U19">
        <v>14</v>
      </c>
      <c r="W19" t="s">
        <v>34</v>
      </c>
    </row>
    <row r="20" spans="1:24" x14ac:dyDescent="0.25">
      <c r="A20" t="s">
        <v>156</v>
      </c>
      <c r="B20" t="s">
        <v>157</v>
      </c>
      <c r="C20" t="s">
        <v>58</v>
      </c>
      <c r="D20">
        <v>30</v>
      </c>
      <c r="E20" t="s">
        <v>94</v>
      </c>
      <c r="F20" t="s">
        <v>158</v>
      </c>
      <c r="G20" t="s">
        <v>159</v>
      </c>
      <c r="H20" t="s">
        <v>160</v>
      </c>
      <c r="I20" t="s">
        <v>42</v>
      </c>
      <c r="J20" t="s">
        <v>97</v>
      </c>
      <c r="K20" t="s">
        <v>113</v>
      </c>
      <c r="L20" t="s">
        <v>33</v>
      </c>
      <c r="M20">
        <v>34</v>
      </c>
      <c r="N20" t="s">
        <v>34</v>
      </c>
      <c r="O20">
        <v>1</v>
      </c>
      <c r="P20">
        <v>2</v>
      </c>
      <c r="Q20">
        <v>4</v>
      </c>
      <c r="R20">
        <v>4</v>
      </c>
      <c r="S20">
        <v>6</v>
      </c>
      <c r="T20">
        <v>3</v>
      </c>
      <c r="U20">
        <v>18</v>
      </c>
      <c r="V20" t="s">
        <v>161</v>
      </c>
      <c r="W20" t="s">
        <v>34</v>
      </c>
    </row>
    <row r="21" spans="1:24" x14ac:dyDescent="0.25">
      <c r="A21" t="s">
        <v>162</v>
      </c>
      <c r="B21" t="s">
        <v>163</v>
      </c>
      <c r="C21" t="s">
        <v>102</v>
      </c>
      <c r="D21">
        <v>38</v>
      </c>
      <c r="E21" t="s">
        <v>88</v>
      </c>
      <c r="F21" t="s">
        <v>164</v>
      </c>
      <c r="G21" t="s">
        <v>165</v>
      </c>
      <c r="H21" t="s">
        <v>166</v>
      </c>
      <c r="I21" t="s">
        <v>30</v>
      </c>
      <c r="J21" t="s">
        <v>61</v>
      </c>
      <c r="K21" t="s">
        <v>167</v>
      </c>
      <c r="L21" t="s">
        <v>43</v>
      </c>
      <c r="M21">
        <v>1</v>
      </c>
      <c r="N21" t="s">
        <v>45</v>
      </c>
      <c r="P21">
        <v>3</v>
      </c>
      <c r="Q21">
        <v>4</v>
      </c>
      <c r="R21">
        <v>2</v>
      </c>
      <c r="S21">
        <v>6</v>
      </c>
      <c r="T21">
        <v>2</v>
      </c>
      <c r="U21">
        <v>21</v>
      </c>
      <c r="V21" t="s">
        <v>168</v>
      </c>
      <c r="W21" t="s">
        <v>45</v>
      </c>
      <c r="X21" t="s">
        <v>169</v>
      </c>
    </row>
    <row r="22" spans="1:24" x14ac:dyDescent="0.25">
      <c r="A22" t="s">
        <v>170</v>
      </c>
      <c r="B22" t="s">
        <v>171</v>
      </c>
      <c r="C22" t="s">
        <v>26</v>
      </c>
      <c r="D22">
        <v>33</v>
      </c>
      <c r="E22" t="s">
        <v>27</v>
      </c>
      <c r="F22" t="s">
        <v>172</v>
      </c>
      <c r="G22" t="s">
        <v>173</v>
      </c>
      <c r="H22" t="s">
        <v>174</v>
      </c>
      <c r="I22" t="s">
        <v>42</v>
      </c>
      <c r="J22" t="s">
        <v>61</v>
      </c>
      <c r="K22" t="s">
        <v>167</v>
      </c>
      <c r="L22" t="s">
        <v>33</v>
      </c>
      <c r="M22">
        <v>24</v>
      </c>
      <c r="N22" t="s">
        <v>45</v>
      </c>
      <c r="O22">
        <v>1</v>
      </c>
      <c r="P22">
        <v>4</v>
      </c>
      <c r="Q22">
        <v>1</v>
      </c>
      <c r="R22">
        <v>1</v>
      </c>
      <c r="S22">
        <v>1</v>
      </c>
      <c r="T22">
        <v>7</v>
      </c>
      <c r="U22">
        <v>23</v>
      </c>
      <c r="W22" t="s">
        <v>45</v>
      </c>
      <c r="X22" t="s">
        <v>175</v>
      </c>
    </row>
    <row r="23" spans="1:24" x14ac:dyDescent="0.25">
      <c r="A23" t="s">
        <v>176</v>
      </c>
      <c r="B23" t="s">
        <v>177</v>
      </c>
      <c r="C23" t="s">
        <v>73</v>
      </c>
      <c r="D23">
        <v>19</v>
      </c>
      <c r="E23" t="s">
        <v>94</v>
      </c>
      <c r="F23" t="s">
        <v>178</v>
      </c>
      <c r="G23" t="s">
        <v>179</v>
      </c>
      <c r="H23">
        <v>87597</v>
      </c>
      <c r="I23" t="s">
        <v>30</v>
      </c>
      <c r="J23" t="s">
        <v>31</v>
      </c>
      <c r="K23" t="s">
        <v>54</v>
      </c>
      <c r="L23" t="s">
        <v>43</v>
      </c>
      <c r="M23">
        <v>4</v>
      </c>
      <c r="N23" t="s">
        <v>34</v>
      </c>
      <c r="O23">
        <v>1</v>
      </c>
      <c r="P23">
        <v>4</v>
      </c>
      <c r="Q23">
        <v>1</v>
      </c>
      <c r="R23">
        <v>5</v>
      </c>
      <c r="S23">
        <v>2</v>
      </c>
      <c r="T23">
        <v>1</v>
      </c>
      <c r="U23">
        <v>17</v>
      </c>
      <c r="V23" t="s">
        <v>180</v>
      </c>
      <c r="W23" t="s">
        <v>45</v>
      </c>
      <c r="X23" t="s">
        <v>181</v>
      </c>
    </row>
    <row r="24" spans="1:24" x14ac:dyDescent="0.25">
      <c r="A24" t="s">
        <v>182</v>
      </c>
      <c r="B24" t="s">
        <v>183</v>
      </c>
      <c r="C24" t="s">
        <v>81</v>
      </c>
      <c r="D24">
        <v>32</v>
      </c>
      <c r="E24" t="s">
        <v>27</v>
      </c>
      <c r="F24" t="s">
        <v>50</v>
      </c>
      <c r="G24" t="s">
        <v>184</v>
      </c>
      <c r="I24" t="s">
        <v>42</v>
      </c>
      <c r="J24" t="s">
        <v>61</v>
      </c>
      <c r="K24" t="s">
        <v>113</v>
      </c>
      <c r="L24" t="s">
        <v>62</v>
      </c>
      <c r="N24" t="s">
        <v>34</v>
      </c>
      <c r="O24">
        <v>2</v>
      </c>
      <c r="P24">
        <v>4</v>
      </c>
      <c r="Q24">
        <v>4</v>
      </c>
      <c r="R24">
        <v>3</v>
      </c>
      <c r="S24">
        <v>5</v>
      </c>
      <c r="T24">
        <v>5</v>
      </c>
      <c r="U24">
        <v>22</v>
      </c>
      <c r="V24" t="s">
        <v>185</v>
      </c>
      <c r="W24" t="s">
        <v>34</v>
      </c>
    </row>
    <row r="25" spans="1:24" x14ac:dyDescent="0.25">
      <c r="A25" t="s">
        <v>186</v>
      </c>
      <c r="B25" t="s">
        <v>187</v>
      </c>
      <c r="C25" t="s">
        <v>73</v>
      </c>
      <c r="D25">
        <v>32</v>
      </c>
      <c r="E25" t="s">
        <v>27</v>
      </c>
      <c r="F25" t="s">
        <v>188</v>
      </c>
      <c r="G25" t="s">
        <v>189</v>
      </c>
      <c r="H25">
        <v>68416</v>
      </c>
      <c r="I25" t="s">
        <v>52</v>
      </c>
      <c r="J25" t="s">
        <v>61</v>
      </c>
      <c r="K25" t="s">
        <v>113</v>
      </c>
      <c r="L25" t="s">
        <v>62</v>
      </c>
      <c r="M25">
        <v>8</v>
      </c>
      <c r="N25" t="s">
        <v>34</v>
      </c>
      <c r="O25">
        <v>3</v>
      </c>
      <c r="P25">
        <v>4</v>
      </c>
      <c r="Q25">
        <v>1</v>
      </c>
      <c r="R25">
        <v>4</v>
      </c>
      <c r="S25">
        <v>5</v>
      </c>
      <c r="T25">
        <v>1</v>
      </c>
      <c r="U25">
        <v>25</v>
      </c>
      <c r="V25" t="s">
        <v>190</v>
      </c>
      <c r="W25" t="s">
        <v>34</v>
      </c>
    </row>
    <row r="26" spans="1:24" x14ac:dyDescent="0.25">
      <c r="A26" t="s">
        <v>191</v>
      </c>
      <c r="B26" t="s">
        <v>192</v>
      </c>
      <c r="C26" t="s">
        <v>102</v>
      </c>
      <c r="D26">
        <v>41</v>
      </c>
      <c r="E26" t="s">
        <v>88</v>
      </c>
      <c r="F26" t="s">
        <v>89</v>
      </c>
      <c r="G26" t="s">
        <v>193</v>
      </c>
      <c r="H26">
        <v>113587</v>
      </c>
      <c r="I26" t="s">
        <v>30</v>
      </c>
      <c r="J26" t="s">
        <v>143</v>
      </c>
      <c r="K26" t="s">
        <v>54</v>
      </c>
      <c r="L26" t="s">
        <v>62</v>
      </c>
      <c r="O26">
        <v>4</v>
      </c>
      <c r="P26">
        <v>4</v>
      </c>
      <c r="Q26">
        <v>2</v>
      </c>
      <c r="R26">
        <v>4</v>
      </c>
      <c r="S26">
        <v>2</v>
      </c>
      <c r="T26">
        <v>8</v>
      </c>
      <c r="U26">
        <v>13</v>
      </c>
      <c r="V26" t="s">
        <v>194</v>
      </c>
      <c r="W26" t="s">
        <v>34</v>
      </c>
    </row>
    <row r="27" spans="1:24" x14ac:dyDescent="0.25">
      <c r="A27" t="s">
        <v>195</v>
      </c>
      <c r="B27" t="s">
        <v>196</v>
      </c>
      <c r="C27" t="s">
        <v>67</v>
      </c>
      <c r="D27">
        <v>38</v>
      </c>
      <c r="E27" t="s">
        <v>197</v>
      </c>
      <c r="F27" t="s">
        <v>198</v>
      </c>
      <c r="G27" t="s">
        <v>199</v>
      </c>
      <c r="I27" t="s">
        <v>42</v>
      </c>
      <c r="J27" t="s">
        <v>53</v>
      </c>
      <c r="K27" t="s">
        <v>200</v>
      </c>
      <c r="L27" t="s">
        <v>62</v>
      </c>
      <c r="M27">
        <v>32</v>
      </c>
      <c r="N27" t="s">
        <v>34</v>
      </c>
      <c r="O27">
        <v>2</v>
      </c>
      <c r="P27">
        <v>3</v>
      </c>
      <c r="Q27">
        <v>2</v>
      </c>
      <c r="R27">
        <v>3</v>
      </c>
      <c r="S27">
        <v>2</v>
      </c>
      <c r="T27">
        <v>4</v>
      </c>
      <c r="U27">
        <v>21</v>
      </c>
      <c r="V27" t="s">
        <v>201</v>
      </c>
      <c r="W27" t="s">
        <v>45</v>
      </c>
      <c r="X27" t="s">
        <v>202</v>
      </c>
    </row>
    <row r="28" spans="1:24" x14ac:dyDescent="0.25">
      <c r="A28" t="s">
        <v>203</v>
      </c>
      <c r="B28" t="s">
        <v>204</v>
      </c>
      <c r="C28" t="s">
        <v>26</v>
      </c>
      <c r="D28">
        <v>34</v>
      </c>
      <c r="E28" t="s">
        <v>128</v>
      </c>
      <c r="F28" t="s">
        <v>123</v>
      </c>
      <c r="G28" t="s">
        <v>205</v>
      </c>
      <c r="H28">
        <v>101011</v>
      </c>
      <c r="I28" t="s">
        <v>42</v>
      </c>
      <c r="J28" t="s">
        <v>143</v>
      </c>
      <c r="K28" t="s">
        <v>131</v>
      </c>
      <c r="L28" t="s">
        <v>43</v>
      </c>
      <c r="M28">
        <v>16</v>
      </c>
      <c r="N28" t="s">
        <v>34</v>
      </c>
      <c r="O28">
        <v>2</v>
      </c>
      <c r="P28">
        <v>3</v>
      </c>
      <c r="Q28">
        <v>4</v>
      </c>
      <c r="R28">
        <v>3</v>
      </c>
      <c r="S28">
        <v>2</v>
      </c>
      <c r="T28">
        <v>7</v>
      </c>
      <c r="U28">
        <v>17</v>
      </c>
      <c r="V28" t="s">
        <v>206</v>
      </c>
      <c r="W28" t="s">
        <v>34</v>
      </c>
    </row>
    <row r="29" spans="1:24" x14ac:dyDescent="0.25">
      <c r="A29" t="s">
        <v>207</v>
      </c>
      <c r="B29" t="s">
        <v>208</v>
      </c>
      <c r="C29" t="s">
        <v>87</v>
      </c>
      <c r="D29">
        <v>34</v>
      </c>
      <c r="E29" t="s">
        <v>38</v>
      </c>
      <c r="F29" t="s">
        <v>209</v>
      </c>
      <c r="G29" t="s">
        <v>210</v>
      </c>
      <c r="H29">
        <v>68838</v>
      </c>
      <c r="I29" t="s">
        <v>52</v>
      </c>
      <c r="J29" t="s">
        <v>31</v>
      </c>
      <c r="K29" t="s">
        <v>98</v>
      </c>
      <c r="L29" t="s">
        <v>43</v>
      </c>
      <c r="M29">
        <v>7</v>
      </c>
      <c r="N29" t="s">
        <v>34</v>
      </c>
      <c r="O29">
        <v>3</v>
      </c>
      <c r="P29">
        <v>3</v>
      </c>
      <c r="Q29">
        <v>4</v>
      </c>
      <c r="R29">
        <v>2</v>
      </c>
      <c r="S29">
        <v>1</v>
      </c>
      <c r="T29">
        <v>3</v>
      </c>
      <c r="U29">
        <v>22</v>
      </c>
      <c r="V29" t="s">
        <v>211</v>
      </c>
      <c r="W29" t="s">
        <v>34</v>
      </c>
    </row>
    <row r="30" spans="1:24" x14ac:dyDescent="0.25">
      <c r="A30" t="s">
        <v>212</v>
      </c>
      <c r="B30" t="s">
        <v>213</v>
      </c>
      <c r="C30" t="s">
        <v>49</v>
      </c>
      <c r="D30">
        <v>41</v>
      </c>
      <c r="E30" t="s">
        <v>88</v>
      </c>
      <c r="F30" t="s">
        <v>214</v>
      </c>
      <c r="G30" t="s">
        <v>215</v>
      </c>
      <c r="H30">
        <v>132487</v>
      </c>
      <c r="I30" t="s">
        <v>52</v>
      </c>
      <c r="J30" t="s">
        <v>61</v>
      </c>
      <c r="K30" t="s">
        <v>113</v>
      </c>
      <c r="L30" t="s">
        <v>62</v>
      </c>
      <c r="M30">
        <v>37</v>
      </c>
      <c r="N30" t="s">
        <v>34</v>
      </c>
      <c r="O30">
        <v>1</v>
      </c>
      <c r="Q30">
        <v>2</v>
      </c>
      <c r="R30">
        <v>4</v>
      </c>
      <c r="S30">
        <v>6</v>
      </c>
      <c r="T30">
        <v>2</v>
      </c>
      <c r="U30">
        <v>22</v>
      </c>
      <c r="V30" t="s">
        <v>216</v>
      </c>
      <c r="W30" t="s">
        <v>45</v>
      </c>
      <c r="X30" t="s">
        <v>217</v>
      </c>
    </row>
    <row r="31" spans="1:24" x14ac:dyDescent="0.25">
      <c r="A31" t="s">
        <v>218</v>
      </c>
      <c r="B31" t="s">
        <v>219</v>
      </c>
      <c r="C31" t="s">
        <v>26</v>
      </c>
      <c r="D31">
        <v>45</v>
      </c>
      <c r="E31" t="s">
        <v>88</v>
      </c>
      <c r="F31" t="s">
        <v>220</v>
      </c>
      <c r="G31" t="s">
        <v>221</v>
      </c>
      <c r="H31" t="s">
        <v>222</v>
      </c>
      <c r="I31" t="s">
        <v>52</v>
      </c>
      <c r="J31" t="s">
        <v>143</v>
      </c>
      <c r="K31" t="s">
        <v>106</v>
      </c>
      <c r="L31" t="s">
        <v>33</v>
      </c>
      <c r="M31">
        <v>21</v>
      </c>
      <c r="N31" t="s">
        <v>34</v>
      </c>
      <c r="O31">
        <v>4</v>
      </c>
      <c r="P31">
        <v>2</v>
      </c>
      <c r="R31">
        <v>4</v>
      </c>
      <c r="S31">
        <v>6</v>
      </c>
      <c r="T31">
        <v>3</v>
      </c>
      <c r="U31">
        <v>15</v>
      </c>
      <c r="V31" t="s">
        <v>223</v>
      </c>
      <c r="W31" t="s">
        <v>34</v>
      </c>
    </row>
    <row r="32" spans="1:24" x14ac:dyDescent="0.25">
      <c r="A32" t="s">
        <v>224</v>
      </c>
      <c r="B32" t="s">
        <v>225</v>
      </c>
      <c r="D32">
        <v>49</v>
      </c>
      <c r="E32" t="s">
        <v>128</v>
      </c>
      <c r="F32" t="s">
        <v>226</v>
      </c>
      <c r="G32" t="s">
        <v>227</v>
      </c>
      <c r="H32">
        <v>80501</v>
      </c>
      <c r="I32" t="s">
        <v>42</v>
      </c>
      <c r="J32" t="s">
        <v>31</v>
      </c>
      <c r="K32" t="s">
        <v>77</v>
      </c>
      <c r="L32" t="s">
        <v>43</v>
      </c>
      <c r="M32">
        <v>19</v>
      </c>
      <c r="N32" t="s">
        <v>34</v>
      </c>
      <c r="O32">
        <v>3</v>
      </c>
      <c r="P32">
        <v>1</v>
      </c>
      <c r="Q32">
        <v>2</v>
      </c>
      <c r="R32">
        <v>4</v>
      </c>
      <c r="S32">
        <v>0</v>
      </c>
      <c r="T32">
        <v>6</v>
      </c>
      <c r="U32">
        <v>20</v>
      </c>
      <c r="V32" t="s">
        <v>228</v>
      </c>
      <c r="W32" t="s">
        <v>34</v>
      </c>
    </row>
    <row r="33" spans="1:24" x14ac:dyDescent="0.25">
      <c r="A33" t="s">
        <v>229</v>
      </c>
      <c r="B33" t="s">
        <v>230</v>
      </c>
      <c r="C33" t="s">
        <v>58</v>
      </c>
      <c r="D33">
        <v>22</v>
      </c>
      <c r="E33" t="s">
        <v>128</v>
      </c>
      <c r="F33" t="s">
        <v>123</v>
      </c>
      <c r="G33" t="s">
        <v>231</v>
      </c>
      <c r="I33" t="s">
        <v>42</v>
      </c>
      <c r="J33" t="s">
        <v>61</v>
      </c>
      <c r="K33" t="s">
        <v>83</v>
      </c>
      <c r="M33">
        <v>38</v>
      </c>
      <c r="N33" t="s">
        <v>34</v>
      </c>
      <c r="O33">
        <v>4</v>
      </c>
      <c r="P33">
        <v>1</v>
      </c>
      <c r="Q33">
        <v>2</v>
      </c>
      <c r="S33">
        <v>3</v>
      </c>
      <c r="V33" t="s">
        <v>232</v>
      </c>
      <c r="W33" t="s">
        <v>34</v>
      </c>
    </row>
    <row r="34" spans="1:24" x14ac:dyDescent="0.25">
      <c r="A34" t="s">
        <v>233</v>
      </c>
      <c r="B34" t="s">
        <v>234</v>
      </c>
      <c r="C34" t="s">
        <v>102</v>
      </c>
      <c r="D34">
        <v>32</v>
      </c>
      <c r="E34" t="s">
        <v>197</v>
      </c>
      <c r="F34" t="s">
        <v>235</v>
      </c>
      <c r="G34" t="s">
        <v>236</v>
      </c>
      <c r="J34" t="s">
        <v>61</v>
      </c>
      <c r="K34" t="s">
        <v>200</v>
      </c>
      <c r="L34" t="s">
        <v>62</v>
      </c>
      <c r="M34">
        <v>18</v>
      </c>
      <c r="N34" t="s">
        <v>34</v>
      </c>
      <c r="O34">
        <v>1</v>
      </c>
      <c r="P34">
        <v>4</v>
      </c>
      <c r="Q34">
        <v>3</v>
      </c>
      <c r="S34">
        <v>0</v>
      </c>
      <c r="T34">
        <v>2</v>
      </c>
      <c r="U34">
        <v>14</v>
      </c>
      <c r="V34" t="s">
        <v>237</v>
      </c>
      <c r="W34" t="s">
        <v>34</v>
      </c>
    </row>
    <row r="35" spans="1:24" x14ac:dyDescent="0.25">
      <c r="A35" t="s">
        <v>238</v>
      </c>
      <c r="B35" t="s">
        <v>239</v>
      </c>
      <c r="C35" t="s">
        <v>26</v>
      </c>
      <c r="D35">
        <v>37</v>
      </c>
      <c r="E35" t="s">
        <v>27</v>
      </c>
      <c r="F35" t="s">
        <v>240</v>
      </c>
      <c r="G35" t="s">
        <v>241</v>
      </c>
      <c r="H35">
        <v>54333</v>
      </c>
      <c r="I35" t="s">
        <v>52</v>
      </c>
      <c r="J35" t="s">
        <v>31</v>
      </c>
      <c r="K35" t="s">
        <v>54</v>
      </c>
      <c r="L35" t="s">
        <v>43</v>
      </c>
      <c r="M35">
        <v>25</v>
      </c>
      <c r="N35" t="s">
        <v>34</v>
      </c>
      <c r="O35">
        <v>2</v>
      </c>
      <c r="P35">
        <v>3</v>
      </c>
      <c r="Q35">
        <v>2</v>
      </c>
      <c r="R35">
        <v>3</v>
      </c>
      <c r="S35">
        <v>4</v>
      </c>
      <c r="T35">
        <v>3</v>
      </c>
      <c r="U35">
        <v>24</v>
      </c>
      <c r="V35" t="s">
        <v>242</v>
      </c>
      <c r="W35" t="s">
        <v>34</v>
      </c>
    </row>
    <row r="36" spans="1:24" x14ac:dyDescent="0.25">
      <c r="A36" t="s">
        <v>243</v>
      </c>
      <c r="B36" t="s">
        <v>244</v>
      </c>
      <c r="C36" t="s">
        <v>81</v>
      </c>
      <c r="D36">
        <v>41</v>
      </c>
      <c r="E36" t="s">
        <v>27</v>
      </c>
      <c r="F36" t="s">
        <v>28</v>
      </c>
      <c r="G36" t="s">
        <v>245</v>
      </c>
      <c r="H36">
        <v>87201</v>
      </c>
      <c r="I36" t="s">
        <v>30</v>
      </c>
      <c r="J36" t="s">
        <v>97</v>
      </c>
      <c r="K36" t="s">
        <v>131</v>
      </c>
      <c r="L36" t="s">
        <v>43</v>
      </c>
      <c r="M36">
        <v>3</v>
      </c>
      <c r="N36" t="s">
        <v>45</v>
      </c>
      <c r="O36">
        <v>3</v>
      </c>
      <c r="P36">
        <v>4</v>
      </c>
      <c r="Q36">
        <v>4</v>
      </c>
      <c r="S36">
        <v>4</v>
      </c>
      <c r="U36">
        <v>12</v>
      </c>
      <c r="V36" t="s">
        <v>246</v>
      </c>
      <c r="W36" t="s">
        <v>34</v>
      </c>
    </row>
    <row r="37" spans="1:24" x14ac:dyDescent="0.25">
      <c r="A37" t="s">
        <v>247</v>
      </c>
      <c r="B37" t="s">
        <v>248</v>
      </c>
      <c r="C37" t="s">
        <v>81</v>
      </c>
      <c r="D37">
        <v>34</v>
      </c>
      <c r="E37" t="s">
        <v>88</v>
      </c>
      <c r="F37" t="s">
        <v>249</v>
      </c>
      <c r="G37" t="s">
        <v>250</v>
      </c>
      <c r="H37" t="s">
        <v>251</v>
      </c>
      <c r="I37" t="s">
        <v>52</v>
      </c>
      <c r="J37" t="s">
        <v>31</v>
      </c>
      <c r="K37" t="s">
        <v>32</v>
      </c>
      <c r="L37" t="s">
        <v>62</v>
      </c>
      <c r="M37">
        <v>41</v>
      </c>
      <c r="N37" t="s">
        <v>34</v>
      </c>
      <c r="O37">
        <v>1</v>
      </c>
      <c r="P37">
        <v>4</v>
      </c>
      <c r="Q37">
        <v>4</v>
      </c>
      <c r="R37">
        <v>4</v>
      </c>
      <c r="S37">
        <v>4</v>
      </c>
      <c r="T37">
        <v>3</v>
      </c>
      <c r="U37">
        <v>21</v>
      </c>
      <c r="V37" t="s">
        <v>252</v>
      </c>
      <c r="W37" t="s">
        <v>34</v>
      </c>
    </row>
    <row r="38" spans="1:24" x14ac:dyDescent="0.25">
      <c r="A38" t="s">
        <v>253</v>
      </c>
      <c r="B38" t="s">
        <v>254</v>
      </c>
      <c r="C38" t="s">
        <v>87</v>
      </c>
      <c r="D38">
        <v>47</v>
      </c>
      <c r="F38" t="s">
        <v>255</v>
      </c>
      <c r="G38" t="s">
        <v>256</v>
      </c>
      <c r="H38" t="s">
        <v>257</v>
      </c>
      <c r="I38" t="s">
        <v>52</v>
      </c>
      <c r="J38" t="s">
        <v>143</v>
      </c>
      <c r="L38" t="s">
        <v>62</v>
      </c>
      <c r="M38">
        <v>44</v>
      </c>
      <c r="N38" t="s">
        <v>34</v>
      </c>
      <c r="O38">
        <v>4</v>
      </c>
      <c r="P38">
        <v>2</v>
      </c>
      <c r="Q38">
        <v>3</v>
      </c>
      <c r="R38">
        <v>4</v>
      </c>
      <c r="S38">
        <v>3</v>
      </c>
      <c r="T38">
        <v>2</v>
      </c>
      <c r="U38">
        <v>25</v>
      </c>
      <c r="V38" t="s">
        <v>258</v>
      </c>
      <c r="W38" t="s">
        <v>34</v>
      </c>
    </row>
    <row r="39" spans="1:24" x14ac:dyDescent="0.25">
      <c r="A39" t="s">
        <v>259</v>
      </c>
      <c r="B39" t="s">
        <v>260</v>
      </c>
      <c r="C39" t="s">
        <v>102</v>
      </c>
      <c r="D39">
        <v>58</v>
      </c>
      <c r="E39" t="s">
        <v>88</v>
      </c>
      <c r="F39" t="s">
        <v>261</v>
      </c>
      <c r="G39" t="s">
        <v>262</v>
      </c>
      <c r="H39">
        <v>111382</v>
      </c>
      <c r="I39" t="s">
        <v>30</v>
      </c>
      <c r="J39" t="s">
        <v>31</v>
      </c>
      <c r="K39" t="s">
        <v>77</v>
      </c>
      <c r="L39" t="s">
        <v>43</v>
      </c>
      <c r="M39">
        <v>39</v>
      </c>
      <c r="N39" t="s">
        <v>34</v>
      </c>
      <c r="O39">
        <v>3</v>
      </c>
      <c r="P39">
        <v>4</v>
      </c>
      <c r="R39">
        <v>5</v>
      </c>
      <c r="S39">
        <v>3</v>
      </c>
      <c r="T39">
        <v>7</v>
      </c>
      <c r="U39">
        <v>18</v>
      </c>
      <c r="V39" t="s">
        <v>263</v>
      </c>
      <c r="W39" t="s">
        <v>34</v>
      </c>
    </row>
    <row r="40" spans="1:24" x14ac:dyDescent="0.25">
      <c r="A40" t="s">
        <v>264</v>
      </c>
      <c r="B40" t="s">
        <v>265</v>
      </c>
      <c r="C40" t="s">
        <v>81</v>
      </c>
      <c r="D40">
        <v>45</v>
      </c>
      <c r="E40" t="s">
        <v>94</v>
      </c>
      <c r="F40" t="s">
        <v>266</v>
      </c>
      <c r="G40" t="s">
        <v>267</v>
      </c>
      <c r="H40">
        <v>126651</v>
      </c>
      <c r="I40" t="s">
        <v>52</v>
      </c>
      <c r="J40" t="s">
        <v>53</v>
      </c>
      <c r="K40" t="s">
        <v>32</v>
      </c>
      <c r="L40" t="s">
        <v>43</v>
      </c>
      <c r="M40">
        <v>3</v>
      </c>
      <c r="N40" t="s">
        <v>34</v>
      </c>
      <c r="O40">
        <v>3</v>
      </c>
      <c r="P40">
        <v>3</v>
      </c>
      <c r="Q40">
        <v>1</v>
      </c>
      <c r="R40">
        <v>3</v>
      </c>
      <c r="S40">
        <v>5</v>
      </c>
      <c r="T40">
        <v>5</v>
      </c>
      <c r="U40">
        <v>15</v>
      </c>
      <c r="V40" t="s">
        <v>268</v>
      </c>
      <c r="W40" t="s">
        <v>34</v>
      </c>
    </row>
    <row r="41" spans="1:24" x14ac:dyDescent="0.25">
      <c r="A41" t="s">
        <v>269</v>
      </c>
      <c r="B41" t="s">
        <v>270</v>
      </c>
      <c r="C41" t="s">
        <v>67</v>
      </c>
      <c r="D41">
        <v>48</v>
      </c>
      <c r="E41" t="s">
        <v>128</v>
      </c>
      <c r="F41" t="s">
        <v>271</v>
      </c>
      <c r="G41" t="s">
        <v>272</v>
      </c>
      <c r="H41">
        <v>61742</v>
      </c>
      <c r="I41" t="s">
        <v>30</v>
      </c>
      <c r="J41" t="s">
        <v>143</v>
      </c>
      <c r="K41" t="s">
        <v>98</v>
      </c>
      <c r="L41" t="s">
        <v>43</v>
      </c>
      <c r="M41">
        <v>19</v>
      </c>
      <c r="N41" t="s">
        <v>34</v>
      </c>
      <c r="O41">
        <v>4</v>
      </c>
      <c r="P41">
        <v>1</v>
      </c>
      <c r="Q41">
        <v>2</v>
      </c>
      <c r="R41">
        <v>3</v>
      </c>
      <c r="S41">
        <v>6</v>
      </c>
      <c r="T41">
        <v>3</v>
      </c>
      <c r="U41">
        <v>20</v>
      </c>
      <c r="V41" t="s">
        <v>273</v>
      </c>
      <c r="W41" t="s">
        <v>34</v>
      </c>
    </row>
    <row r="42" spans="1:24" x14ac:dyDescent="0.25">
      <c r="A42" t="s">
        <v>274</v>
      </c>
      <c r="B42" t="s">
        <v>275</v>
      </c>
      <c r="C42" t="s">
        <v>67</v>
      </c>
      <c r="D42">
        <v>43</v>
      </c>
      <c r="E42" t="s">
        <v>128</v>
      </c>
      <c r="F42" t="s">
        <v>271</v>
      </c>
      <c r="G42" t="s">
        <v>276</v>
      </c>
      <c r="H42">
        <v>77435</v>
      </c>
      <c r="I42" t="s">
        <v>52</v>
      </c>
      <c r="J42" t="s">
        <v>61</v>
      </c>
      <c r="K42" t="s">
        <v>32</v>
      </c>
      <c r="L42" t="s">
        <v>43</v>
      </c>
      <c r="M42">
        <v>42</v>
      </c>
      <c r="N42" t="s">
        <v>34</v>
      </c>
      <c r="O42">
        <v>1</v>
      </c>
      <c r="P42">
        <v>2</v>
      </c>
      <c r="Q42">
        <v>2</v>
      </c>
      <c r="R42">
        <v>3</v>
      </c>
      <c r="S42">
        <v>4</v>
      </c>
      <c r="T42">
        <v>2</v>
      </c>
      <c r="U42">
        <v>23</v>
      </c>
      <c r="V42" t="s">
        <v>277</v>
      </c>
      <c r="W42" t="s">
        <v>45</v>
      </c>
      <c r="X42" t="s">
        <v>278</v>
      </c>
    </row>
    <row r="43" spans="1:24" x14ac:dyDescent="0.25">
      <c r="A43" t="s">
        <v>279</v>
      </c>
      <c r="B43" t="s">
        <v>280</v>
      </c>
      <c r="C43" t="s">
        <v>102</v>
      </c>
      <c r="D43">
        <v>29</v>
      </c>
      <c r="E43" t="s">
        <v>27</v>
      </c>
      <c r="F43" t="s">
        <v>281</v>
      </c>
      <c r="G43" t="s">
        <v>282</v>
      </c>
      <c r="H43">
        <v>121515</v>
      </c>
      <c r="I43" t="s">
        <v>30</v>
      </c>
      <c r="J43" t="s">
        <v>97</v>
      </c>
      <c r="K43" t="s">
        <v>32</v>
      </c>
      <c r="L43" t="s">
        <v>43</v>
      </c>
      <c r="M43">
        <v>18</v>
      </c>
      <c r="N43" t="s">
        <v>34</v>
      </c>
      <c r="O43">
        <v>1</v>
      </c>
      <c r="P43">
        <v>3</v>
      </c>
      <c r="Q43">
        <v>2</v>
      </c>
      <c r="R43">
        <v>3</v>
      </c>
      <c r="S43">
        <v>1</v>
      </c>
      <c r="T43">
        <v>2</v>
      </c>
      <c r="U43">
        <v>14</v>
      </c>
      <c r="V43" t="s">
        <v>283</v>
      </c>
      <c r="W43" t="s">
        <v>34</v>
      </c>
    </row>
    <row r="44" spans="1:24" x14ac:dyDescent="0.25">
      <c r="A44" t="s">
        <v>284</v>
      </c>
      <c r="B44" t="s">
        <v>285</v>
      </c>
      <c r="C44" t="s">
        <v>26</v>
      </c>
      <c r="D44">
        <v>26</v>
      </c>
      <c r="E44" t="s">
        <v>88</v>
      </c>
      <c r="F44" t="s">
        <v>286</v>
      </c>
      <c r="G44" t="s">
        <v>287</v>
      </c>
      <c r="H44">
        <v>115249</v>
      </c>
      <c r="I44" t="s">
        <v>42</v>
      </c>
      <c r="K44" t="s">
        <v>131</v>
      </c>
      <c r="L44" t="s">
        <v>62</v>
      </c>
      <c r="M44">
        <v>19</v>
      </c>
      <c r="N44" t="s">
        <v>45</v>
      </c>
      <c r="O44">
        <v>4</v>
      </c>
      <c r="P44">
        <v>1</v>
      </c>
      <c r="Q44">
        <v>2</v>
      </c>
      <c r="R44">
        <v>4</v>
      </c>
      <c r="S44">
        <v>2</v>
      </c>
      <c r="T44">
        <v>1</v>
      </c>
      <c r="V44" t="s">
        <v>288</v>
      </c>
      <c r="W44" t="s">
        <v>45</v>
      </c>
      <c r="X44" t="s">
        <v>289</v>
      </c>
    </row>
    <row r="45" spans="1:24" x14ac:dyDescent="0.25">
      <c r="A45" t="s">
        <v>290</v>
      </c>
      <c r="B45" t="s">
        <v>291</v>
      </c>
      <c r="C45" t="s">
        <v>26</v>
      </c>
      <c r="D45">
        <v>48</v>
      </c>
      <c r="E45" t="s">
        <v>128</v>
      </c>
      <c r="F45" t="s">
        <v>226</v>
      </c>
      <c r="G45" t="s">
        <v>292</v>
      </c>
      <c r="H45">
        <v>89056</v>
      </c>
      <c r="I45" t="s">
        <v>30</v>
      </c>
      <c r="J45" t="s">
        <v>61</v>
      </c>
      <c r="K45" t="s">
        <v>77</v>
      </c>
      <c r="L45" t="s">
        <v>33</v>
      </c>
      <c r="M45">
        <v>24</v>
      </c>
      <c r="N45" t="s">
        <v>34</v>
      </c>
      <c r="O45">
        <v>3</v>
      </c>
      <c r="P45">
        <v>3</v>
      </c>
      <c r="Q45">
        <v>3</v>
      </c>
      <c r="R45">
        <v>2</v>
      </c>
      <c r="S45">
        <v>3</v>
      </c>
      <c r="T45">
        <v>7</v>
      </c>
      <c r="U45">
        <v>18</v>
      </c>
      <c r="V45" t="s">
        <v>293</v>
      </c>
      <c r="W45" t="s">
        <v>34</v>
      </c>
    </row>
    <row r="46" spans="1:24" x14ac:dyDescent="0.25">
      <c r="A46" t="s">
        <v>294</v>
      </c>
      <c r="B46" t="s">
        <v>295</v>
      </c>
      <c r="C46" t="s">
        <v>102</v>
      </c>
      <c r="D46">
        <v>24</v>
      </c>
      <c r="E46" t="s">
        <v>27</v>
      </c>
      <c r="F46" t="s">
        <v>110</v>
      </c>
      <c r="G46" t="s">
        <v>296</v>
      </c>
      <c r="H46" t="s">
        <v>297</v>
      </c>
      <c r="I46" t="s">
        <v>42</v>
      </c>
      <c r="J46" t="s">
        <v>61</v>
      </c>
      <c r="K46" t="s">
        <v>54</v>
      </c>
      <c r="L46" t="s">
        <v>62</v>
      </c>
      <c r="M46">
        <v>9</v>
      </c>
      <c r="N46" t="s">
        <v>34</v>
      </c>
      <c r="O46">
        <v>4</v>
      </c>
      <c r="P46">
        <v>4</v>
      </c>
      <c r="Q46">
        <v>4</v>
      </c>
      <c r="R46">
        <v>3</v>
      </c>
      <c r="S46">
        <v>5</v>
      </c>
      <c r="T46">
        <v>7</v>
      </c>
      <c r="U46">
        <v>17</v>
      </c>
      <c r="V46" t="s">
        <v>298</v>
      </c>
      <c r="W46" t="s">
        <v>34</v>
      </c>
    </row>
    <row r="47" spans="1:24" x14ac:dyDescent="0.25">
      <c r="A47" t="s">
        <v>299</v>
      </c>
      <c r="B47" t="s">
        <v>300</v>
      </c>
      <c r="C47" t="s">
        <v>73</v>
      </c>
      <c r="D47">
        <v>48</v>
      </c>
      <c r="E47" t="s">
        <v>103</v>
      </c>
      <c r="F47" t="s">
        <v>271</v>
      </c>
      <c r="G47" t="s">
        <v>301</v>
      </c>
      <c r="H47">
        <v>67220</v>
      </c>
      <c r="I47" t="s">
        <v>52</v>
      </c>
      <c r="J47" t="s">
        <v>97</v>
      </c>
      <c r="K47" t="s">
        <v>113</v>
      </c>
      <c r="L47" t="s">
        <v>62</v>
      </c>
      <c r="M47">
        <v>44</v>
      </c>
      <c r="N47" t="s">
        <v>45</v>
      </c>
      <c r="O47">
        <v>4</v>
      </c>
      <c r="P47">
        <v>3</v>
      </c>
      <c r="Q47">
        <v>1</v>
      </c>
      <c r="R47">
        <v>5</v>
      </c>
      <c r="S47">
        <v>3</v>
      </c>
      <c r="T47">
        <v>4</v>
      </c>
      <c r="U47">
        <v>14</v>
      </c>
      <c r="V47" t="s">
        <v>302</v>
      </c>
      <c r="W47" t="s">
        <v>45</v>
      </c>
      <c r="X47" t="s">
        <v>303</v>
      </c>
    </row>
    <row r="48" spans="1:24" x14ac:dyDescent="0.25">
      <c r="A48" t="s">
        <v>304</v>
      </c>
      <c r="B48" t="s">
        <v>305</v>
      </c>
      <c r="C48" t="s">
        <v>67</v>
      </c>
      <c r="D48">
        <v>32</v>
      </c>
      <c r="E48" t="s">
        <v>94</v>
      </c>
      <c r="F48" t="s">
        <v>306</v>
      </c>
      <c r="G48" t="s">
        <v>307</v>
      </c>
      <c r="H48" t="s">
        <v>308</v>
      </c>
      <c r="J48" t="s">
        <v>61</v>
      </c>
      <c r="K48" t="s">
        <v>167</v>
      </c>
      <c r="L48" t="s">
        <v>33</v>
      </c>
      <c r="M48">
        <v>2</v>
      </c>
      <c r="N48" t="s">
        <v>45</v>
      </c>
      <c r="O48">
        <v>4</v>
      </c>
      <c r="Q48">
        <v>2</v>
      </c>
      <c r="R48">
        <v>5</v>
      </c>
      <c r="S48">
        <v>0</v>
      </c>
      <c r="T48">
        <v>5</v>
      </c>
      <c r="U48">
        <v>12</v>
      </c>
      <c r="V48" t="s">
        <v>309</v>
      </c>
      <c r="W48" t="s">
        <v>45</v>
      </c>
      <c r="X48" t="s">
        <v>310</v>
      </c>
    </row>
    <row r="49" spans="1:24" x14ac:dyDescent="0.25">
      <c r="A49" t="s">
        <v>311</v>
      </c>
      <c r="B49" t="s">
        <v>312</v>
      </c>
      <c r="C49" t="s">
        <v>49</v>
      </c>
      <c r="D49">
        <v>30</v>
      </c>
      <c r="E49" t="s">
        <v>128</v>
      </c>
      <c r="F49" t="s">
        <v>226</v>
      </c>
      <c r="G49" t="s">
        <v>313</v>
      </c>
      <c r="H49">
        <v>91350</v>
      </c>
      <c r="I49" t="s">
        <v>42</v>
      </c>
      <c r="J49" t="s">
        <v>61</v>
      </c>
      <c r="K49" t="s">
        <v>77</v>
      </c>
      <c r="L49" t="s">
        <v>43</v>
      </c>
      <c r="M49">
        <v>43</v>
      </c>
      <c r="N49" t="s">
        <v>34</v>
      </c>
      <c r="O49">
        <v>3</v>
      </c>
      <c r="P49">
        <v>1</v>
      </c>
      <c r="Q49">
        <v>2</v>
      </c>
      <c r="R49">
        <v>3</v>
      </c>
      <c r="S49">
        <v>5</v>
      </c>
      <c r="T49">
        <v>6</v>
      </c>
      <c r="U49">
        <v>18</v>
      </c>
      <c r="V49" t="s">
        <v>314</v>
      </c>
      <c r="W49" t="s">
        <v>34</v>
      </c>
    </row>
    <row r="50" spans="1:24" x14ac:dyDescent="0.25">
      <c r="A50" t="s">
        <v>315</v>
      </c>
      <c r="B50" t="s">
        <v>316</v>
      </c>
      <c r="C50" t="s">
        <v>67</v>
      </c>
      <c r="D50">
        <v>34</v>
      </c>
      <c r="E50" t="s">
        <v>94</v>
      </c>
      <c r="F50" t="s">
        <v>266</v>
      </c>
      <c r="G50" t="s">
        <v>317</v>
      </c>
      <c r="H50" t="s">
        <v>318</v>
      </c>
      <c r="I50" t="s">
        <v>52</v>
      </c>
      <c r="J50" t="s">
        <v>31</v>
      </c>
      <c r="K50" t="s">
        <v>83</v>
      </c>
      <c r="L50" t="s">
        <v>33</v>
      </c>
      <c r="M50">
        <v>27</v>
      </c>
      <c r="N50" t="s">
        <v>34</v>
      </c>
      <c r="O50">
        <v>4</v>
      </c>
      <c r="P50">
        <v>2</v>
      </c>
      <c r="Q50">
        <v>2</v>
      </c>
      <c r="R50">
        <v>3</v>
      </c>
      <c r="T50">
        <v>4</v>
      </c>
      <c r="U50">
        <v>16</v>
      </c>
      <c r="V50" t="s">
        <v>319</v>
      </c>
      <c r="W50" t="s">
        <v>34</v>
      </c>
    </row>
    <row r="51" spans="1:24" x14ac:dyDescent="0.25">
      <c r="A51" t="s">
        <v>320</v>
      </c>
      <c r="B51" t="s">
        <v>321</v>
      </c>
      <c r="C51" t="s">
        <v>102</v>
      </c>
      <c r="D51">
        <v>39</v>
      </c>
      <c r="E51" t="s">
        <v>322</v>
      </c>
      <c r="F51" t="s">
        <v>323</v>
      </c>
      <c r="G51" t="s">
        <v>324</v>
      </c>
      <c r="H51">
        <v>54773</v>
      </c>
      <c r="I51" t="s">
        <v>52</v>
      </c>
      <c r="J51" t="s">
        <v>53</v>
      </c>
      <c r="K51" t="s">
        <v>200</v>
      </c>
      <c r="L51" t="s">
        <v>62</v>
      </c>
      <c r="N51" t="s">
        <v>45</v>
      </c>
      <c r="O51">
        <v>3</v>
      </c>
      <c r="P51">
        <v>3</v>
      </c>
      <c r="Q51">
        <v>3</v>
      </c>
      <c r="R51">
        <v>3</v>
      </c>
      <c r="S51">
        <v>5</v>
      </c>
      <c r="T51">
        <v>0</v>
      </c>
      <c r="U51">
        <v>17</v>
      </c>
      <c r="V51" t="s">
        <v>325</v>
      </c>
      <c r="W51" t="s">
        <v>34</v>
      </c>
    </row>
    <row r="52" spans="1:24" x14ac:dyDescent="0.25">
      <c r="A52" t="s">
        <v>326</v>
      </c>
      <c r="B52" t="s">
        <v>327</v>
      </c>
      <c r="C52" t="s">
        <v>87</v>
      </c>
      <c r="D52">
        <v>33</v>
      </c>
      <c r="E52" t="s">
        <v>128</v>
      </c>
      <c r="F52" t="s">
        <v>271</v>
      </c>
      <c r="G52" t="s">
        <v>328</v>
      </c>
      <c r="H52">
        <v>105741</v>
      </c>
      <c r="I52" t="s">
        <v>42</v>
      </c>
      <c r="J52" t="s">
        <v>31</v>
      </c>
      <c r="K52" t="s">
        <v>98</v>
      </c>
      <c r="L52" t="s">
        <v>33</v>
      </c>
      <c r="M52">
        <v>37</v>
      </c>
      <c r="N52" t="s">
        <v>34</v>
      </c>
      <c r="O52">
        <v>2</v>
      </c>
      <c r="P52">
        <v>1</v>
      </c>
      <c r="Q52">
        <v>1</v>
      </c>
      <c r="R52">
        <v>3</v>
      </c>
      <c r="S52">
        <v>4</v>
      </c>
      <c r="T52">
        <v>0</v>
      </c>
      <c r="V52" t="s">
        <v>329</v>
      </c>
      <c r="W52" t="s">
        <v>34</v>
      </c>
    </row>
    <row r="53" spans="1:24" x14ac:dyDescent="0.25">
      <c r="A53" t="s">
        <v>330</v>
      </c>
      <c r="B53" t="s">
        <v>331</v>
      </c>
      <c r="C53" t="s">
        <v>49</v>
      </c>
      <c r="E53" t="s">
        <v>332</v>
      </c>
      <c r="F53" t="s">
        <v>333</v>
      </c>
      <c r="G53" t="s">
        <v>334</v>
      </c>
      <c r="H53">
        <v>80183</v>
      </c>
      <c r="I53" t="s">
        <v>42</v>
      </c>
      <c r="J53" t="s">
        <v>143</v>
      </c>
      <c r="K53" t="s">
        <v>77</v>
      </c>
      <c r="L53" t="s">
        <v>43</v>
      </c>
      <c r="M53">
        <v>13</v>
      </c>
      <c r="N53" t="s">
        <v>34</v>
      </c>
      <c r="O53">
        <v>2</v>
      </c>
      <c r="P53">
        <v>1</v>
      </c>
      <c r="Q53">
        <v>4</v>
      </c>
      <c r="R53">
        <v>3</v>
      </c>
      <c r="S53">
        <v>3</v>
      </c>
      <c r="T53">
        <v>0</v>
      </c>
      <c r="U53">
        <v>12</v>
      </c>
      <c r="V53" t="s">
        <v>335</v>
      </c>
      <c r="W53" t="s">
        <v>34</v>
      </c>
    </row>
    <row r="54" spans="1:24" x14ac:dyDescent="0.25">
      <c r="A54" t="s">
        <v>336</v>
      </c>
      <c r="B54" t="s">
        <v>337</v>
      </c>
      <c r="C54" t="s">
        <v>58</v>
      </c>
      <c r="E54" t="s">
        <v>94</v>
      </c>
      <c r="F54" t="s">
        <v>306</v>
      </c>
      <c r="G54" t="s">
        <v>338</v>
      </c>
      <c r="H54">
        <v>61785</v>
      </c>
      <c r="I54" t="s">
        <v>30</v>
      </c>
      <c r="J54" t="s">
        <v>53</v>
      </c>
      <c r="K54" t="s">
        <v>32</v>
      </c>
      <c r="L54" t="s">
        <v>33</v>
      </c>
      <c r="M54">
        <v>14</v>
      </c>
      <c r="N54" t="s">
        <v>34</v>
      </c>
      <c r="O54">
        <v>4</v>
      </c>
      <c r="P54">
        <v>4</v>
      </c>
      <c r="Q54">
        <v>4</v>
      </c>
      <c r="R54">
        <v>3</v>
      </c>
      <c r="S54">
        <v>2</v>
      </c>
      <c r="T54">
        <v>3</v>
      </c>
      <c r="U54">
        <v>13</v>
      </c>
      <c r="V54" t="s">
        <v>339</v>
      </c>
      <c r="W54" t="s">
        <v>34</v>
      </c>
    </row>
    <row r="55" spans="1:24" x14ac:dyDescent="0.25">
      <c r="A55" t="s">
        <v>340</v>
      </c>
      <c r="B55" t="s">
        <v>341</v>
      </c>
      <c r="C55" t="s">
        <v>102</v>
      </c>
      <c r="D55">
        <v>43</v>
      </c>
      <c r="E55" t="s">
        <v>88</v>
      </c>
      <c r="F55" t="s">
        <v>141</v>
      </c>
      <c r="G55" t="s">
        <v>342</v>
      </c>
      <c r="H55">
        <v>135716</v>
      </c>
      <c r="I55" t="s">
        <v>30</v>
      </c>
      <c r="J55" t="s">
        <v>97</v>
      </c>
      <c r="L55" t="s">
        <v>33</v>
      </c>
      <c r="M55">
        <v>29</v>
      </c>
      <c r="N55" t="s">
        <v>34</v>
      </c>
      <c r="O55">
        <v>1</v>
      </c>
      <c r="P55">
        <v>3</v>
      </c>
      <c r="R55">
        <v>3</v>
      </c>
      <c r="S55">
        <v>6</v>
      </c>
      <c r="T55">
        <v>6</v>
      </c>
      <c r="U55">
        <v>19</v>
      </c>
      <c r="V55" t="s">
        <v>343</v>
      </c>
      <c r="W55" t="s">
        <v>34</v>
      </c>
    </row>
    <row r="56" spans="1:24" x14ac:dyDescent="0.25">
      <c r="A56" t="s">
        <v>344</v>
      </c>
      <c r="B56" t="s">
        <v>345</v>
      </c>
      <c r="C56" t="s">
        <v>73</v>
      </c>
      <c r="D56">
        <v>36</v>
      </c>
      <c r="E56" t="s">
        <v>38</v>
      </c>
      <c r="F56" t="s">
        <v>39</v>
      </c>
      <c r="G56" t="s">
        <v>346</v>
      </c>
      <c r="H56" t="s">
        <v>347</v>
      </c>
      <c r="I56" t="s">
        <v>30</v>
      </c>
      <c r="J56" t="s">
        <v>61</v>
      </c>
      <c r="K56" t="s">
        <v>200</v>
      </c>
      <c r="L56" t="s">
        <v>33</v>
      </c>
      <c r="M56">
        <v>15</v>
      </c>
      <c r="N56" t="s">
        <v>34</v>
      </c>
      <c r="O56">
        <v>2</v>
      </c>
      <c r="P56">
        <v>1</v>
      </c>
      <c r="R56">
        <v>2</v>
      </c>
      <c r="S56">
        <v>5</v>
      </c>
      <c r="T56">
        <v>2</v>
      </c>
      <c r="U56">
        <v>22</v>
      </c>
      <c r="V56" t="s">
        <v>348</v>
      </c>
      <c r="W56" t="s">
        <v>34</v>
      </c>
    </row>
    <row r="57" spans="1:24" x14ac:dyDescent="0.25">
      <c r="A57" t="s">
        <v>349</v>
      </c>
      <c r="B57" t="s">
        <v>350</v>
      </c>
      <c r="C57" t="s">
        <v>73</v>
      </c>
      <c r="D57">
        <v>42</v>
      </c>
      <c r="E57" t="s">
        <v>128</v>
      </c>
      <c r="F57" t="s">
        <v>351</v>
      </c>
      <c r="G57" t="s">
        <v>352</v>
      </c>
      <c r="H57">
        <v>81915</v>
      </c>
      <c r="I57" t="s">
        <v>52</v>
      </c>
      <c r="J57" t="s">
        <v>53</v>
      </c>
      <c r="K57" t="s">
        <v>106</v>
      </c>
      <c r="L57" t="s">
        <v>33</v>
      </c>
      <c r="M57">
        <v>6</v>
      </c>
      <c r="N57" t="s">
        <v>34</v>
      </c>
      <c r="O57">
        <v>3</v>
      </c>
      <c r="Q57">
        <v>1</v>
      </c>
      <c r="R57">
        <v>2</v>
      </c>
      <c r="S57">
        <v>0</v>
      </c>
      <c r="T57">
        <v>8</v>
      </c>
      <c r="U57">
        <v>11</v>
      </c>
      <c r="V57" t="s">
        <v>353</v>
      </c>
      <c r="W57" t="s">
        <v>34</v>
      </c>
    </row>
    <row r="58" spans="1:24" x14ac:dyDescent="0.25">
      <c r="A58" t="s">
        <v>354</v>
      </c>
      <c r="B58" t="s">
        <v>355</v>
      </c>
      <c r="C58" t="s">
        <v>49</v>
      </c>
      <c r="D58">
        <v>27</v>
      </c>
      <c r="E58" t="s">
        <v>94</v>
      </c>
      <c r="F58" t="s">
        <v>356</v>
      </c>
      <c r="G58" t="s">
        <v>357</v>
      </c>
      <c r="H58">
        <v>55327</v>
      </c>
      <c r="I58" t="s">
        <v>52</v>
      </c>
      <c r="J58" t="s">
        <v>61</v>
      </c>
      <c r="K58" t="s">
        <v>106</v>
      </c>
      <c r="L58" t="s">
        <v>33</v>
      </c>
      <c r="M58">
        <v>13</v>
      </c>
      <c r="N58" t="s">
        <v>34</v>
      </c>
      <c r="O58">
        <v>1</v>
      </c>
      <c r="P58">
        <v>1</v>
      </c>
      <c r="Q58">
        <v>3</v>
      </c>
      <c r="R58">
        <v>3</v>
      </c>
      <c r="T58">
        <v>1</v>
      </c>
      <c r="U58">
        <v>17</v>
      </c>
      <c r="V58" t="s">
        <v>358</v>
      </c>
      <c r="W58" t="s">
        <v>45</v>
      </c>
      <c r="X58" t="s">
        <v>359</v>
      </c>
    </row>
    <row r="59" spans="1:24" x14ac:dyDescent="0.25">
      <c r="A59" t="s">
        <v>360</v>
      </c>
      <c r="B59" t="s">
        <v>361</v>
      </c>
      <c r="C59" t="s">
        <v>26</v>
      </c>
      <c r="D59">
        <v>49</v>
      </c>
      <c r="E59" t="s">
        <v>94</v>
      </c>
      <c r="F59" t="s">
        <v>362</v>
      </c>
      <c r="G59" t="s">
        <v>363</v>
      </c>
      <c r="H59">
        <v>104107</v>
      </c>
      <c r="I59" t="s">
        <v>42</v>
      </c>
      <c r="J59" t="s">
        <v>61</v>
      </c>
      <c r="K59" t="s">
        <v>54</v>
      </c>
      <c r="M59">
        <v>20</v>
      </c>
      <c r="N59" t="s">
        <v>45</v>
      </c>
      <c r="O59">
        <v>3</v>
      </c>
      <c r="P59">
        <v>2</v>
      </c>
      <c r="Q59">
        <v>1</v>
      </c>
      <c r="R59">
        <v>1</v>
      </c>
      <c r="S59">
        <v>3</v>
      </c>
      <c r="T59">
        <v>4</v>
      </c>
      <c r="U59">
        <v>23</v>
      </c>
      <c r="V59" t="s">
        <v>364</v>
      </c>
      <c r="W59" t="s">
        <v>34</v>
      </c>
    </row>
    <row r="60" spans="1:24" x14ac:dyDescent="0.25">
      <c r="A60" t="s">
        <v>365</v>
      </c>
      <c r="B60" t="s">
        <v>366</v>
      </c>
      <c r="C60" t="s">
        <v>67</v>
      </c>
      <c r="E60" t="s">
        <v>27</v>
      </c>
      <c r="F60" t="s">
        <v>75</v>
      </c>
      <c r="G60" t="s">
        <v>367</v>
      </c>
      <c r="H60">
        <v>44219</v>
      </c>
      <c r="I60" t="s">
        <v>30</v>
      </c>
      <c r="J60" t="s">
        <v>61</v>
      </c>
      <c r="K60" t="s">
        <v>98</v>
      </c>
      <c r="L60" t="s">
        <v>33</v>
      </c>
      <c r="N60" t="s">
        <v>45</v>
      </c>
      <c r="O60">
        <v>3</v>
      </c>
      <c r="P60">
        <v>4</v>
      </c>
      <c r="Q60">
        <v>4</v>
      </c>
      <c r="R60">
        <v>5</v>
      </c>
      <c r="S60">
        <v>4</v>
      </c>
      <c r="T60">
        <v>4</v>
      </c>
      <c r="U60">
        <v>18</v>
      </c>
      <c r="V60" t="s">
        <v>368</v>
      </c>
      <c r="W60" t="s">
        <v>34</v>
      </c>
    </row>
    <row r="61" spans="1:24" x14ac:dyDescent="0.25">
      <c r="A61" t="s">
        <v>369</v>
      </c>
      <c r="B61" t="s">
        <v>370</v>
      </c>
      <c r="C61" t="s">
        <v>49</v>
      </c>
      <c r="D61">
        <v>40</v>
      </c>
      <c r="E61" t="s">
        <v>128</v>
      </c>
      <c r="F61" t="s">
        <v>226</v>
      </c>
      <c r="G61" t="s">
        <v>371</v>
      </c>
      <c r="H61">
        <v>49314</v>
      </c>
      <c r="I61" t="s">
        <v>30</v>
      </c>
      <c r="J61" t="s">
        <v>61</v>
      </c>
      <c r="K61" t="s">
        <v>77</v>
      </c>
      <c r="L61" t="s">
        <v>62</v>
      </c>
      <c r="M61">
        <v>34</v>
      </c>
      <c r="N61" t="s">
        <v>34</v>
      </c>
      <c r="O61">
        <v>1</v>
      </c>
      <c r="P61">
        <v>3</v>
      </c>
      <c r="R61">
        <v>1</v>
      </c>
      <c r="S61">
        <v>2</v>
      </c>
      <c r="T61">
        <v>5</v>
      </c>
      <c r="U61">
        <v>13</v>
      </c>
      <c r="V61" t="s">
        <v>372</v>
      </c>
      <c r="W61" t="s">
        <v>34</v>
      </c>
    </row>
    <row r="62" spans="1:24" x14ac:dyDescent="0.25">
      <c r="A62" t="s">
        <v>373</v>
      </c>
      <c r="B62" t="s">
        <v>374</v>
      </c>
      <c r="C62" t="s">
        <v>102</v>
      </c>
      <c r="D62">
        <v>45</v>
      </c>
      <c r="E62" t="s">
        <v>103</v>
      </c>
      <c r="F62" t="s">
        <v>226</v>
      </c>
      <c r="G62" t="s">
        <v>375</v>
      </c>
      <c r="H62">
        <v>58199</v>
      </c>
      <c r="I62" t="s">
        <v>30</v>
      </c>
      <c r="J62" t="s">
        <v>143</v>
      </c>
      <c r="K62" t="s">
        <v>83</v>
      </c>
      <c r="L62" t="s">
        <v>33</v>
      </c>
      <c r="M62">
        <v>15</v>
      </c>
      <c r="N62" t="s">
        <v>45</v>
      </c>
      <c r="O62">
        <v>1</v>
      </c>
      <c r="P62">
        <v>3</v>
      </c>
      <c r="Q62">
        <v>2</v>
      </c>
      <c r="R62">
        <v>3</v>
      </c>
      <c r="S62">
        <v>6</v>
      </c>
      <c r="T62">
        <v>0</v>
      </c>
      <c r="U62">
        <v>17</v>
      </c>
      <c r="V62" t="s">
        <v>376</v>
      </c>
      <c r="W62" t="s">
        <v>45</v>
      </c>
      <c r="X62" t="s">
        <v>377</v>
      </c>
    </row>
    <row r="63" spans="1:24" x14ac:dyDescent="0.25">
      <c r="A63" t="s">
        <v>378</v>
      </c>
      <c r="B63" t="s">
        <v>379</v>
      </c>
      <c r="C63" t="s">
        <v>67</v>
      </c>
      <c r="D63">
        <v>30</v>
      </c>
      <c r="E63" t="s">
        <v>27</v>
      </c>
      <c r="F63" t="s">
        <v>380</v>
      </c>
      <c r="G63" t="s">
        <v>381</v>
      </c>
      <c r="H63" t="s">
        <v>382</v>
      </c>
      <c r="I63" t="s">
        <v>52</v>
      </c>
      <c r="J63" t="s">
        <v>143</v>
      </c>
      <c r="L63" t="s">
        <v>62</v>
      </c>
      <c r="N63" t="s">
        <v>45</v>
      </c>
      <c r="O63">
        <v>2</v>
      </c>
      <c r="P63">
        <v>1</v>
      </c>
      <c r="Q63">
        <v>2</v>
      </c>
      <c r="R63">
        <v>3</v>
      </c>
      <c r="S63">
        <v>3</v>
      </c>
      <c r="T63">
        <v>8</v>
      </c>
      <c r="U63">
        <v>12</v>
      </c>
      <c r="V63" t="s">
        <v>383</v>
      </c>
      <c r="W63" t="s">
        <v>45</v>
      </c>
      <c r="X63" t="s">
        <v>384</v>
      </c>
    </row>
    <row r="64" spans="1:24" x14ac:dyDescent="0.25">
      <c r="A64" t="s">
        <v>385</v>
      </c>
      <c r="B64" t="s">
        <v>386</v>
      </c>
      <c r="C64" t="s">
        <v>102</v>
      </c>
      <c r="D64">
        <v>41</v>
      </c>
      <c r="E64" t="s">
        <v>88</v>
      </c>
      <c r="F64" t="s">
        <v>286</v>
      </c>
      <c r="G64" t="s">
        <v>387</v>
      </c>
      <c r="H64" t="s">
        <v>388</v>
      </c>
      <c r="I64" t="s">
        <v>30</v>
      </c>
      <c r="J64" t="s">
        <v>31</v>
      </c>
      <c r="K64" t="s">
        <v>77</v>
      </c>
      <c r="L64" t="s">
        <v>33</v>
      </c>
      <c r="M64">
        <v>23</v>
      </c>
      <c r="N64" t="s">
        <v>34</v>
      </c>
      <c r="O64">
        <v>1</v>
      </c>
      <c r="P64">
        <v>1</v>
      </c>
      <c r="Q64">
        <v>2</v>
      </c>
      <c r="R64">
        <v>4</v>
      </c>
      <c r="S64">
        <v>2</v>
      </c>
      <c r="T64">
        <v>4</v>
      </c>
      <c r="U64">
        <v>15</v>
      </c>
      <c r="V64" t="s">
        <v>389</v>
      </c>
      <c r="W64" t="s">
        <v>45</v>
      </c>
      <c r="X64" t="s">
        <v>390</v>
      </c>
    </row>
    <row r="65" spans="1:24" x14ac:dyDescent="0.25">
      <c r="A65" t="s">
        <v>391</v>
      </c>
      <c r="B65" t="s">
        <v>392</v>
      </c>
      <c r="C65" t="s">
        <v>102</v>
      </c>
      <c r="D65">
        <v>34</v>
      </c>
      <c r="E65" t="s">
        <v>38</v>
      </c>
      <c r="F65" t="s">
        <v>136</v>
      </c>
      <c r="G65" t="s">
        <v>393</v>
      </c>
      <c r="H65">
        <v>46686</v>
      </c>
      <c r="I65" t="s">
        <v>30</v>
      </c>
      <c r="J65" t="s">
        <v>61</v>
      </c>
      <c r="K65" t="s">
        <v>32</v>
      </c>
      <c r="L65" t="s">
        <v>33</v>
      </c>
      <c r="M65">
        <v>35</v>
      </c>
      <c r="N65" t="s">
        <v>34</v>
      </c>
      <c r="O65">
        <v>1</v>
      </c>
      <c r="P65">
        <v>2</v>
      </c>
      <c r="Q65">
        <v>4</v>
      </c>
      <c r="R65">
        <v>3</v>
      </c>
      <c r="S65">
        <v>3</v>
      </c>
      <c r="T65">
        <v>2</v>
      </c>
      <c r="U65">
        <v>16</v>
      </c>
      <c r="V65" t="s">
        <v>394</v>
      </c>
      <c r="W65" t="s">
        <v>34</v>
      </c>
    </row>
    <row r="66" spans="1:24" x14ac:dyDescent="0.25">
      <c r="A66" t="s">
        <v>395</v>
      </c>
      <c r="B66" t="s">
        <v>396</v>
      </c>
      <c r="C66" t="s">
        <v>26</v>
      </c>
      <c r="D66">
        <v>32</v>
      </c>
      <c r="E66" t="s">
        <v>128</v>
      </c>
      <c r="F66" t="s">
        <v>397</v>
      </c>
      <c r="G66" t="s">
        <v>398</v>
      </c>
      <c r="H66">
        <v>89640</v>
      </c>
      <c r="I66" t="s">
        <v>52</v>
      </c>
      <c r="J66" t="s">
        <v>31</v>
      </c>
      <c r="K66" t="s">
        <v>167</v>
      </c>
      <c r="L66" t="s">
        <v>33</v>
      </c>
      <c r="M66">
        <v>34</v>
      </c>
      <c r="N66" t="s">
        <v>45</v>
      </c>
      <c r="O66">
        <v>1</v>
      </c>
      <c r="P66">
        <v>2</v>
      </c>
      <c r="Q66">
        <v>4</v>
      </c>
      <c r="R66">
        <v>3</v>
      </c>
      <c r="S66">
        <v>5</v>
      </c>
      <c r="T66">
        <v>6</v>
      </c>
      <c r="U66">
        <v>23</v>
      </c>
      <c r="V66" t="s">
        <v>399</v>
      </c>
      <c r="W66" t="s">
        <v>45</v>
      </c>
      <c r="X66" t="s">
        <v>400</v>
      </c>
    </row>
    <row r="67" spans="1:24" x14ac:dyDescent="0.25">
      <c r="A67" t="s">
        <v>401</v>
      </c>
      <c r="B67" t="s">
        <v>402</v>
      </c>
      <c r="C67" t="s">
        <v>26</v>
      </c>
      <c r="D67">
        <v>55</v>
      </c>
      <c r="E67" t="s">
        <v>27</v>
      </c>
      <c r="F67" t="s">
        <v>172</v>
      </c>
      <c r="G67" t="s">
        <v>403</v>
      </c>
      <c r="H67">
        <v>76207</v>
      </c>
      <c r="I67" t="s">
        <v>52</v>
      </c>
      <c r="J67" t="s">
        <v>143</v>
      </c>
      <c r="K67" t="s">
        <v>200</v>
      </c>
      <c r="L67" t="s">
        <v>62</v>
      </c>
      <c r="M67">
        <v>1</v>
      </c>
      <c r="O67">
        <v>2</v>
      </c>
      <c r="P67">
        <v>3</v>
      </c>
      <c r="Q67">
        <v>4</v>
      </c>
      <c r="R67">
        <v>2</v>
      </c>
      <c r="S67">
        <v>5</v>
      </c>
      <c r="T67">
        <v>6</v>
      </c>
      <c r="U67">
        <v>14</v>
      </c>
      <c r="V67" t="s">
        <v>404</v>
      </c>
      <c r="W67" t="s">
        <v>45</v>
      </c>
      <c r="X67" t="s">
        <v>405</v>
      </c>
    </row>
    <row r="68" spans="1:24" x14ac:dyDescent="0.25">
      <c r="A68" t="s">
        <v>406</v>
      </c>
      <c r="B68" t="s">
        <v>407</v>
      </c>
      <c r="C68" t="s">
        <v>26</v>
      </c>
      <c r="D68">
        <v>22</v>
      </c>
      <c r="E68" t="s">
        <v>27</v>
      </c>
      <c r="F68" t="s">
        <v>188</v>
      </c>
      <c r="G68" t="s">
        <v>408</v>
      </c>
      <c r="H68">
        <v>60965</v>
      </c>
      <c r="I68" t="s">
        <v>30</v>
      </c>
      <c r="J68" t="s">
        <v>61</v>
      </c>
      <c r="K68" t="s">
        <v>113</v>
      </c>
      <c r="L68" t="s">
        <v>33</v>
      </c>
      <c r="M68">
        <v>18</v>
      </c>
      <c r="N68" t="s">
        <v>34</v>
      </c>
      <c r="O68">
        <v>1</v>
      </c>
      <c r="P68">
        <v>4</v>
      </c>
      <c r="Q68">
        <v>3</v>
      </c>
      <c r="R68">
        <v>2</v>
      </c>
      <c r="S68">
        <v>1</v>
      </c>
      <c r="T68">
        <v>4</v>
      </c>
      <c r="U68">
        <v>12</v>
      </c>
      <c r="V68" t="s">
        <v>409</v>
      </c>
      <c r="W68" t="s">
        <v>34</v>
      </c>
    </row>
    <row r="69" spans="1:24" x14ac:dyDescent="0.25">
      <c r="A69" t="s">
        <v>410</v>
      </c>
      <c r="B69" t="s">
        <v>411</v>
      </c>
      <c r="C69" t="s">
        <v>58</v>
      </c>
      <c r="D69">
        <v>43</v>
      </c>
      <c r="E69" t="s">
        <v>412</v>
      </c>
      <c r="F69" t="s">
        <v>413</v>
      </c>
      <c r="G69" t="s">
        <v>414</v>
      </c>
      <c r="H69">
        <v>66180</v>
      </c>
      <c r="I69" t="s">
        <v>42</v>
      </c>
      <c r="J69" t="s">
        <v>31</v>
      </c>
      <c r="K69" t="s">
        <v>98</v>
      </c>
      <c r="L69" t="s">
        <v>62</v>
      </c>
      <c r="M69">
        <v>6</v>
      </c>
      <c r="N69" t="s">
        <v>34</v>
      </c>
      <c r="O69">
        <v>2</v>
      </c>
      <c r="P69">
        <v>2</v>
      </c>
      <c r="Q69">
        <v>1</v>
      </c>
      <c r="R69">
        <v>3</v>
      </c>
      <c r="S69">
        <v>4</v>
      </c>
      <c r="T69">
        <v>3</v>
      </c>
      <c r="U69">
        <v>12</v>
      </c>
      <c r="V69" t="s">
        <v>415</v>
      </c>
      <c r="W69" t="s">
        <v>45</v>
      </c>
      <c r="X69" t="s">
        <v>416</v>
      </c>
    </row>
    <row r="70" spans="1:24" x14ac:dyDescent="0.25">
      <c r="A70" t="s">
        <v>417</v>
      </c>
      <c r="B70" t="s">
        <v>418</v>
      </c>
      <c r="C70" t="s">
        <v>26</v>
      </c>
      <c r="D70">
        <v>39</v>
      </c>
      <c r="E70" t="s">
        <v>88</v>
      </c>
      <c r="F70" t="s">
        <v>286</v>
      </c>
      <c r="G70" t="s">
        <v>419</v>
      </c>
      <c r="H70">
        <v>141093</v>
      </c>
      <c r="I70" t="s">
        <v>52</v>
      </c>
      <c r="J70" t="s">
        <v>61</v>
      </c>
      <c r="K70" t="s">
        <v>54</v>
      </c>
      <c r="L70" t="s">
        <v>33</v>
      </c>
      <c r="M70">
        <v>1</v>
      </c>
      <c r="N70" t="s">
        <v>34</v>
      </c>
      <c r="O70">
        <v>3</v>
      </c>
      <c r="P70">
        <v>2</v>
      </c>
      <c r="Q70">
        <v>4</v>
      </c>
      <c r="R70">
        <v>2</v>
      </c>
      <c r="S70">
        <v>6</v>
      </c>
      <c r="T70">
        <v>1</v>
      </c>
      <c r="U70">
        <v>20</v>
      </c>
      <c r="V70" t="s">
        <v>420</v>
      </c>
      <c r="W70" t="s">
        <v>34</v>
      </c>
    </row>
    <row r="71" spans="1:24" x14ac:dyDescent="0.25">
      <c r="A71" t="s">
        <v>421</v>
      </c>
      <c r="B71" t="s">
        <v>422</v>
      </c>
      <c r="C71" t="s">
        <v>26</v>
      </c>
      <c r="D71">
        <v>44</v>
      </c>
      <c r="E71" t="s">
        <v>128</v>
      </c>
      <c r="F71" t="s">
        <v>423</v>
      </c>
      <c r="G71" t="s">
        <v>424</v>
      </c>
      <c r="H71">
        <v>66980</v>
      </c>
      <c r="I71" t="s">
        <v>30</v>
      </c>
      <c r="K71" t="s">
        <v>98</v>
      </c>
      <c r="L71" t="s">
        <v>33</v>
      </c>
      <c r="M71">
        <v>31</v>
      </c>
      <c r="N71" t="s">
        <v>34</v>
      </c>
      <c r="O71">
        <v>1</v>
      </c>
      <c r="P71">
        <v>2</v>
      </c>
      <c r="Q71">
        <v>3</v>
      </c>
      <c r="R71">
        <v>4</v>
      </c>
      <c r="S71">
        <v>2</v>
      </c>
      <c r="T71">
        <v>3</v>
      </c>
      <c r="U71">
        <v>22</v>
      </c>
      <c r="V71" t="s">
        <v>425</v>
      </c>
      <c r="W71" t="s">
        <v>34</v>
      </c>
    </row>
    <row r="72" spans="1:24" x14ac:dyDescent="0.25">
      <c r="A72" t="s">
        <v>426</v>
      </c>
      <c r="B72" t="s">
        <v>427</v>
      </c>
      <c r="C72" t="s">
        <v>58</v>
      </c>
      <c r="D72">
        <v>26</v>
      </c>
      <c r="E72" t="s">
        <v>27</v>
      </c>
      <c r="F72" t="s">
        <v>75</v>
      </c>
      <c r="G72" t="s">
        <v>428</v>
      </c>
      <c r="H72">
        <v>77201</v>
      </c>
      <c r="I72" t="s">
        <v>30</v>
      </c>
      <c r="J72" t="s">
        <v>31</v>
      </c>
      <c r="K72" t="s">
        <v>200</v>
      </c>
      <c r="L72" t="s">
        <v>62</v>
      </c>
      <c r="M72">
        <v>41</v>
      </c>
      <c r="N72" t="s">
        <v>45</v>
      </c>
      <c r="O72">
        <v>4</v>
      </c>
      <c r="P72">
        <v>2</v>
      </c>
      <c r="Q72">
        <v>2</v>
      </c>
      <c r="R72">
        <v>5</v>
      </c>
      <c r="S72">
        <v>5</v>
      </c>
      <c r="T72">
        <v>4</v>
      </c>
      <c r="U72">
        <v>11</v>
      </c>
      <c r="V72" t="s">
        <v>429</v>
      </c>
      <c r="W72" t="s">
        <v>45</v>
      </c>
      <c r="X72" t="s">
        <v>430</v>
      </c>
    </row>
    <row r="73" spans="1:24" x14ac:dyDescent="0.25">
      <c r="A73" t="s">
        <v>431</v>
      </c>
      <c r="B73" t="s">
        <v>432</v>
      </c>
      <c r="C73" t="s">
        <v>81</v>
      </c>
      <c r="D73">
        <v>38</v>
      </c>
      <c r="E73" t="s">
        <v>322</v>
      </c>
      <c r="F73" t="s">
        <v>433</v>
      </c>
      <c r="G73" t="s">
        <v>434</v>
      </c>
      <c r="H73">
        <v>75285</v>
      </c>
      <c r="I73" t="s">
        <v>52</v>
      </c>
      <c r="J73" t="s">
        <v>31</v>
      </c>
      <c r="K73" t="s">
        <v>83</v>
      </c>
      <c r="M73">
        <v>11</v>
      </c>
      <c r="N73" t="s">
        <v>34</v>
      </c>
      <c r="O73">
        <v>3</v>
      </c>
      <c r="P73">
        <v>4</v>
      </c>
      <c r="Q73">
        <v>2</v>
      </c>
      <c r="R73">
        <v>2</v>
      </c>
      <c r="S73">
        <v>6</v>
      </c>
      <c r="T73">
        <v>6</v>
      </c>
      <c r="U73">
        <v>15</v>
      </c>
      <c r="V73" t="s">
        <v>435</v>
      </c>
      <c r="W73" t="s">
        <v>34</v>
      </c>
    </row>
    <row r="74" spans="1:24" x14ac:dyDescent="0.25">
      <c r="A74" t="s">
        <v>436</v>
      </c>
      <c r="B74" t="s">
        <v>437</v>
      </c>
      <c r="C74" t="s">
        <v>81</v>
      </c>
      <c r="D74">
        <v>38</v>
      </c>
      <c r="E74" t="s">
        <v>332</v>
      </c>
      <c r="F74" t="s">
        <v>438</v>
      </c>
      <c r="G74" t="s">
        <v>439</v>
      </c>
      <c r="H74">
        <v>78352</v>
      </c>
      <c r="I74" t="s">
        <v>52</v>
      </c>
      <c r="J74" t="s">
        <v>31</v>
      </c>
      <c r="K74" t="s">
        <v>167</v>
      </c>
      <c r="L74" t="s">
        <v>43</v>
      </c>
      <c r="M74">
        <v>4</v>
      </c>
      <c r="N74" t="s">
        <v>34</v>
      </c>
      <c r="O74">
        <v>4</v>
      </c>
      <c r="P74">
        <v>1</v>
      </c>
      <c r="Q74">
        <v>3</v>
      </c>
      <c r="R74">
        <v>3</v>
      </c>
      <c r="S74">
        <v>2</v>
      </c>
      <c r="T74">
        <v>5</v>
      </c>
      <c r="U74">
        <v>23</v>
      </c>
      <c r="V74" t="s">
        <v>440</v>
      </c>
      <c r="W74" t="s">
        <v>34</v>
      </c>
    </row>
    <row r="75" spans="1:24" x14ac:dyDescent="0.25">
      <c r="A75" t="s">
        <v>441</v>
      </c>
      <c r="B75" t="s">
        <v>442</v>
      </c>
      <c r="C75" t="s">
        <v>49</v>
      </c>
      <c r="D75">
        <v>23</v>
      </c>
      <c r="E75" t="s">
        <v>27</v>
      </c>
      <c r="F75" t="s">
        <v>28</v>
      </c>
      <c r="G75" t="s">
        <v>443</v>
      </c>
      <c r="H75">
        <v>123660</v>
      </c>
      <c r="I75" t="s">
        <v>30</v>
      </c>
      <c r="J75" t="s">
        <v>31</v>
      </c>
      <c r="K75" t="s">
        <v>200</v>
      </c>
      <c r="L75" t="s">
        <v>62</v>
      </c>
      <c r="N75" t="s">
        <v>34</v>
      </c>
      <c r="O75">
        <v>3</v>
      </c>
      <c r="P75">
        <v>1</v>
      </c>
      <c r="Q75">
        <v>1</v>
      </c>
      <c r="R75">
        <v>3</v>
      </c>
      <c r="S75">
        <v>5</v>
      </c>
      <c r="T75">
        <v>8</v>
      </c>
      <c r="U75">
        <v>17</v>
      </c>
      <c r="V75" t="s">
        <v>444</v>
      </c>
      <c r="W75" t="s">
        <v>34</v>
      </c>
    </row>
    <row r="76" spans="1:24" x14ac:dyDescent="0.25">
      <c r="A76" t="s">
        <v>445</v>
      </c>
      <c r="B76" t="s">
        <v>446</v>
      </c>
      <c r="C76" t="s">
        <v>102</v>
      </c>
      <c r="D76">
        <v>46</v>
      </c>
      <c r="E76" t="s">
        <v>197</v>
      </c>
      <c r="F76" t="s">
        <v>323</v>
      </c>
      <c r="G76" t="s">
        <v>447</v>
      </c>
      <c r="H76" t="s">
        <v>448</v>
      </c>
      <c r="I76" t="s">
        <v>42</v>
      </c>
      <c r="J76" t="s">
        <v>31</v>
      </c>
      <c r="K76" t="s">
        <v>77</v>
      </c>
      <c r="L76" t="s">
        <v>62</v>
      </c>
      <c r="M76">
        <v>37</v>
      </c>
      <c r="N76" t="s">
        <v>45</v>
      </c>
      <c r="O76">
        <v>4</v>
      </c>
      <c r="P76">
        <v>2</v>
      </c>
      <c r="Q76">
        <v>2</v>
      </c>
      <c r="R76">
        <v>3</v>
      </c>
      <c r="S76">
        <v>1</v>
      </c>
      <c r="T76">
        <v>0</v>
      </c>
      <c r="U76">
        <v>16</v>
      </c>
      <c r="V76" t="s">
        <v>449</v>
      </c>
      <c r="W76" t="s">
        <v>45</v>
      </c>
      <c r="X76" t="s">
        <v>450</v>
      </c>
    </row>
    <row r="77" spans="1:24" x14ac:dyDescent="0.25">
      <c r="A77" t="s">
        <v>451</v>
      </c>
      <c r="B77" t="s">
        <v>452</v>
      </c>
      <c r="C77" t="s">
        <v>58</v>
      </c>
      <c r="D77">
        <v>36</v>
      </c>
      <c r="E77" t="s">
        <v>27</v>
      </c>
      <c r="F77" t="s">
        <v>50</v>
      </c>
      <c r="G77" t="s">
        <v>453</v>
      </c>
      <c r="H77" t="s">
        <v>454</v>
      </c>
      <c r="I77" t="s">
        <v>42</v>
      </c>
      <c r="J77" t="s">
        <v>53</v>
      </c>
      <c r="K77" t="s">
        <v>98</v>
      </c>
      <c r="L77" t="s">
        <v>33</v>
      </c>
      <c r="M77">
        <v>41</v>
      </c>
      <c r="N77" t="s">
        <v>34</v>
      </c>
      <c r="O77">
        <v>4</v>
      </c>
      <c r="P77">
        <v>2</v>
      </c>
      <c r="Q77">
        <v>2</v>
      </c>
      <c r="R77">
        <v>3</v>
      </c>
      <c r="S77">
        <v>2</v>
      </c>
      <c r="T77">
        <v>2</v>
      </c>
      <c r="U77">
        <v>20</v>
      </c>
      <c r="W77" t="s">
        <v>34</v>
      </c>
    </row>
    <row r="78" spans="1:24" x14ac:dyDescent="0.25">
      <c r="A78" t="s">
        <v>455</v>
      </c>
      <c r="B78" t="s">
        <v>456</v>
      </c>
      <c r="C78" t="s">
        <v>67</v>
      </c>
      <c r="D78">
        <v>19</v>
      </c>
      <c r="E78" t="s">
        <v>457</v>
      </c>
      <c r="F78" t="s">
        <v>75</v>
      </c>
      <c r="G78" t="s">
        <v>458</v>
      </c>
      <c r="H78">
        <v>106575</v>
      </c>
      <c r="I78" t="s">
        <v>42</v>
      </c>
      <c r="J78" t="s">
        <v>31</v>
      </c>
      <c r="K78" t="s">
        <v>106</v>
      </c>
      <c r="L78" t="s">
        <v>62</v>
      </c>
      <c r="M78">
        <v>39</v>
      </c>
      <c r="N78" t="s">
        <v>34</v>
      </c>
      <c r="O78">
        <v>1</v>
      </c>
      <c r="P78">
        <v>3</v>
      </c>
      <c r="Q78">
        <v>3</v>
      </c>
      <c r="R78">
        <v>3</v>
      </c>
      <c r="S78">
        <v>5</v>
      </c>
      <c r="T78">
        <v>5</v>
      </c>
      <c r="U78">
        <v>15</v>
      </c>
      <c r="V78" t="s">
        <v>459</v>
      </c>
      <c r="W78" t="s">
        <v>45</v>
      </c>
      <c r="X78" t="s">
        <v>460</v>
      </c>
    </row>
    <row r="79" spans="1:24" x14ac:dyDescent="0.25">
      <c r="A79" t="s">
        <v>461</v>
      </c>
      <c r="B79" t="s">
        <v>462</v>
      </c>
      <c r="C79" t="s">
        <v>58</v>
      </c>
      <c r="D79">
        <v>19</v>
      </c>
      <c r="E79" t="s">
        <v>128</v>
      </c>
      <c r="F79" t="s">
        <v>463</v>
      </c>
      <c r="G79" t="s">
        <v>464</v>
      </c>
      <c r="H79" t="s">
        <v>465</v>
      </c>
      <c r="I79" t="s">
        <v>52</v>
      </c>
      <c r="K79" t="s">
        <v>83</v>
      </c>
      <c r="L79" t="s">
        <v>62</v>
      </c>
      <c r="M79">
        <v>35</v>
      </c>
      <c r="N79" t="s">
        <v>34</v>
      </c>
      <c r="O79">
        <v>2</v>
      </c>
      <c r="P79">
        <v>4</v>
      </c>
      <c r="Q79">
        <v>2</v>
      </c>
      <c r="R79">
        <v>4</v>
      </c>
      <c r="S79">
        <v>4</v>
      </c>
      <c r="T79">
        <v>4</v>
      </c>
      <c r="U79">
        <v>23</v>
      </c>
      <c r="V79" t="s">
        <v>466</v>
      </c>
      <c r="W79" t="s">
        <v>34</v>
      </c>
    </row>
    <row r="80" spans="1:24" x14ac:dyDescent="0.25">
      <c r="A80" t="s">
        <v>467</v>
      </c>
      <c r="B80" t="s">
        <v>468</v>
      </c>
      <c r="C80" t="s">
        <v>26</v>
      </c>
      <c r="D80">
        <v>45</v>
      </c>
      <c r="E80" t="s">
        <v>88</v>
      </c>
      <c r="F80" t="s">
        <v>469</v>
      </c>
      <c r="G80" t="s">
        <v>470</v>
      </c>
      <c r="H80">
        <v>138038</v>
      </c>
      <c r="I80" t="s">
        <v>42</v>
      </c>
      <c r="J80" t="s">
        <v>31</v>
      </c>
      <c r="K80" t="s">
        <v>83</v>
      </c>
      <c r="L80" t="s">
        <v>43</v>
      </c>
      <c r="M80">
        <v>11</v>
      </c>
      <c r="N80" t="s">
        <v>34</v>
      </c>
      <c r="O80">
        <v>3</v>
      </c>
      <c r="P80">
        <v>3</v>
      </c>
      <c r="Q80">
        <v>3</v>
      </c>
      <c r="R80">
        <v>2</v>
      </c>
      <c r="S80">
        <v>6</v>
      </c>
      <c r="T80">
        <v>5</v>
      </c>
      <c r="U80">
        <v>17</v>
      </c>
      <c r="V80" t="s">
        <v>471</v>
      </c>
      <c r="W80" t="s">
        <v>34</v>
      </c>
    </row>
    <row r="81" spans="1:24" x14ac:dyDescent="0.25">
      <c r="A81" t="s">
        <v>472</v>
      </c>
      <c r="B81" t="s">
        <v>473</v>
      </c>
      <c r="D81">
        <v>41</v>
      </c>
      <c r="E81" t="s">
        <v>27</v>
      </c>
      <c r="F81" t="s">
        <v>50</v>
      </c>
      <c r="G81" t="s">
        <v>474</v>
      </c>
      <c r="H81" t="s">
        <v>475</v>
      </c>
      <c r="I81" t="s">
        <v>30</v>
      </c>
      <c r="J81" t="s">
        <v>61</v>
      </c>
      <c r="K81" t="s">
        <v>83</v>
      </c>
      <c r="L81" t="s">
        <v>33</v>
      </c>
      <c r="M81">
        <v>22</v>
      </c>
      <c r="N81" t="s">
        <v>34</v>
      </c>
      <c r="O81">
        <v>2</v>
      </c>
      <c r="P81">
        <v>3</v>
      </c>
      <c r="Q81">
        <v>1</v>
      </c>
      <c r="R81">
        <v>2</v>
      </c>
      <c r="S81">
        <v>5</v>
      </c>
      <c r="T81">
        <v>0</v>
      </c>
      <c r="U81">
        <v>14</v>
      </c>
      <c r="V81" t="s">
        <v>476</v>
      </c>
      <c r="W81" t="s">
        <v>34</v>
      </c>
    </row>
    <row r="82" spans="1:24" x14ac:dyDescent="0.25">
      <c r="A82" t="s">
        <v>477</v>
      </c>
      <c r="B82" t="s">
        <v>478</v>
      </c>
      <c r="C82" t="s">
        <v>49</v>
      </c>
      <c r="D82">
        <v>29</v>
      </c>
      <c r="E82" t="s">
        <v>122</v>
      </c>
      <c r="F82" t="s">
        <v>123</v>
      </c>
      <c r="G82" t="s">
        <v>479</v>
      </c>
      <c r="H82">
        <v>68376</v>
      </c>
      <c r="I82" t="s">
        <v>52</v>
      </c>
      <c r="J82" t="s">
        <v>31</v>
      </c>
      <c r="K82" t="s">
        <v>113</v>
      </c>
      <c r="L82" t="s">
        <v>62</v>
      </c>
      <c r="M82">
        <v>27</v>
      </c>
      <c r="N82" t="s">
        <v>34</v>
      </c>
      <c r="O82">
        <v>3</v>
      </c>
      <c r="P82">
        <v>2</v>
      </c>
      <c r="Q82">
        <v>2</v>
      </c>
      <c r="R82">
        <v>3</v>
      </c>
      <c r="S82">
        <v>4</v>
      </c>
      <c r="T82">
        <v>5</v>
      </c>
      <c r="U82">
        <v>21</v>
      </c>
      <c r="V82" t="s">
        <v>480</v>
      </c>
      <c r="W82" t="s">
        <v>34</v>
      </c>
    </row>
    <row r="83" spans="1:24" x14ac:dyDescent="0.25">
      <c r="A83" t="s">
        <v>481</v>
      </c>
      <c r="B83" t="s">
        <v>482</v>
      </c>
      <c r="C83" t="s">
        <v>73</v>
      </c>
      <c r="D83">
        <v>37</v>
      </c>
      <c r="E83" t="s">
        <v>88</v>
      </c>
      <c r="F83" t="s">
        <v>483</v>
      </c>
      <c r="G83" t="s">
        <v>484</v>
      </c>
      <c r="H83" t="s">
        <v>485</v>
      </c>
      <c r="I83" t="s">
        <v>42</v>
      </c>
      <c r="J83" t="s">
        <v>143</v>
      </c>
      <c r="K83" t="s">
        <v>32</v>
      </c>
      <c r="M83">
        <v>21</v>
      </c>
      <c r="N83" t="s">
        <v>45</v>
      </c>
      <c r="O83">
        <v>2</v>
      </c>
      <c r="P83">
        <v>2</v>
      </c>
      <c r="Q83">
        <v>4</v>
      </c>
      <c r="R83">
        <v>3</v>
      </c>
      <c r="S83">
        <v>2</v>
      </c>
      <c r="T83">
        <v>4</v>
      </c>
      <c r="U83">
        <v>12</v>
      </c>
      <c r="V83" t="s">
        <v>486</v>
      </c>
      <c r="W83" t="s">
        <v>45</v>
      </c>
      <c r="X83" t="s">
        <v>487</v>
      </c>
    </row>
    <row r="84" spans="1:24" x14ac:dyDescent="0.25">
      <c r="A84" t="s">
        <v>488</v>
      </c>
      <c r="B84" t="s">
        <v>489</v>
      </c>
      <c r="C84" t="s">
        <v>102</v>
      </c>
      <c r="D84">
        <v>38</v>
      </c>
      <c r="E84" t="s">
        <v>88</v>
      </c>
      <c r="F84" t="s">
        <v>483</v>
      </c>
      <c r="G84" t="s">
        <v>490</v>
      </c>
      <c r="H84">
        <v>116323</v>
      </c>
      <c r="I84" t="s">
        <v>52</v>
      </c>
      <c r="J84" t="s">
        <v>31</v>
      </c>
      <c r="K84" t="s">
        <v>77</v>
      </c>
      <c r="L84" t="s">
        <v>33</v>
      </c>
      <c r="M84">
        <v>32</v>
      </c>
      <c r="N84" t="s">
        <v>34</v>
      </c>
      <c r="O84">
        <v>4</v>
      </c>
      <c r="P84">
        <v>2</v>
      </c>
      <c r="Q84">
        <v>4</v>
      </c>
      <c r="R84">
        <v>4</v>
      </c>
      <c r="S84">
        <v>0</v>
      </c>
      <c r="T84">
        <v>6</v>
      </c>
      <c r="U84">
        <v>11</v>
      </c>
      <c r="V84" t="s">
        <v>491</v>
      </c>
      <c r="W84" t="s">
        <v>34</v>
      </c>
    </row>
    <row r="85" spans="1:24" x14ac:dyDescent="0.25">
      <c r="A85" t="s">
        <v>492</v>
      </c>
      <c r="B85" t="s">
        <v>493</v>
      </c>
      <c r="C85" t="s">
        <v>102</v>
      </c>
      <c r="D85">
        <v>40</v>
      </c>
      <c r="E85" t="s">
        <v>38</v>
      </c>
      <c r="F85" t="s">
        <v>494</v>
      </c>
      <c r="G85" t="s">
        <v>495</v>
      </c>
      <c r="H85">
        <v>39877</v>
      </c>
      <c r="I85" t="s">
        <v>52</v>
      </c>
      <c r="J85" t="s">
        <v>53</v>
      </c>
      <c r="K85" t="s">
        <v>54</v>
      </c>
      <c r="L85" t="s">
        <v>62</v>
      </c>
      <c r="M85">
        <v>17</v>
      </c>
      <c r="N85" t="s">
        <v>34</v>
      </c>
      <c r="O85">
        <v>1</v>
      </c>
      <c r="P85">
        <v>2</v>
      </c>
      <c r="Q85">
        <v>4</v>
      </c>
      <c r="R85">
        <v>3</v>
      </c>
      <c r="S85">
        <v>5</v>
      </c>
      <c r="T85">
        <v>6</v>
      </c>
      <c r="U85">
        <v>22</v>
      </c>
      <c r="V85" t="s">
        <v>496</v>
      </c>
      <c r="W85" t="s">
        <v>34</v>
      </c>
    </row>
    <row r="86" spans="1:24" x14ac:dyDescent="0.25">
      <c r="A86" t="s">
        <v>497</v>
      </c>
      <c r="B86" t="s">
        <v>498</v>
      </c>
      <c r="C86" t="s">
        <v>81</v>
      </c>
      <c r="D86">
        <v>21</v>
      </c>
      <c r="E86" t="s">
        <v>128</v>
      </c>
      <c r="F86" t="s">
        <v>123</v>
      </c>
      <c r="G86" t="s">
        <v>499</v>
      </c>
      <c r="H86" t="s">
        <v>500</v>
      </c>
      <c r="I86" t="s">
        <v>52</v>
      </c>
      <c r="J86" t="s">
        <v>97</v>
      </c>
      <c r="K86" t="s">
        <v>113</v>
      </c>
      <c r="L86" t="s">
        <v>33</v>
      </c>
      <c r="M86">
        <v>2</v>
      </c>
      <c r="N86" t="s">
        <v>45</v>
      </c>
      <c r="O86">
        <v>1</v>
      </c>
      <c r="P86">
        <v>3</v>
      </c>
      <c r="Q86">
        <v>4</v>
      </c>
      <c r="R86">
        <v>3</v>
      </c>
      <c r="S86">
        <v>4</v>
      </c>
      <c r="T86">
        <v>1</v>
      </c>
      <c r="U86">
        <v>17</v>
      </c>
      <c r="V86" t="s">
        <v>501</v>
      </c>
      <c r="W86" t="s">
        <v>45</v>
      </c>
      <c r="X86" t="s">
        <v>502</v>
      </c>
    </row>
    <row r="87" spans="1:24" x14ac:dyDescent="0.25">
      <c r="A87" t="s">
        <v>503</v>
      </c>
      <c r="B87" t="s">
        <v>504</v>
      </c>
      <c r="C87" t="s">
        <v>73</v>
      </c>
      <c r="D87">
        <v>29</v>
      </c>
      <c r="E87" t="s">
        <v>505</v>
      </c>
      <c r="F87" t="s">
        <v>506</v>
      </c>
      <c r="G87" t="s">
        <v>507</v>
      </c>
      <c r="H87">
        <v>57612</v>
      </c>
      <c r="I87" t="s">
        <v>30</v>
      </c>
      <c r="J87" t="s">
        <v>53</v>
      </c>
      <c r="K87" t="s">
        <v>98</v>
      </c>
      <c r="L87" t="s">
        <v>43</v>
      </c>
      <c r="M87">
        <v>20</v>
      </c>
      <c r="N87" t="s">
        <v>34</v>
      </c>
      <c r="O87">
        <v>4</v>
      </c>
      <c r="P87">
        <v>1</v>
      </c>
      <c r="Q87">
        <v>3</v>
      </c>
      <c r="R87">
        <v>4</v>
      </c>
      <c r="S87">
        <v>3</v>
      </c>
      <c r="T87">
        <v>7</v>
      </c>
      <c r="U87">
        <v>15</v>
      </c>
      <c r="V87" t="s">
        <v>508</v>
      </c>
      <c r="W87" t="s">
        <v>34</v>
      </c>
    </row>
    <row r="88" spans="1:24" x14ac:dyDescent="0.25">
      <c r="A88" t="s">
        <v>509</v>
      </c>
      <c r="B88" t="s">
        <v>510</v>
      </c>
      <c r="C88" t="s">
        <v>49</v>
      </c>
      <c r="D88">
        <v>28</v>
      </c>
      <c r="E88" t="s">
        <v>27</v>
      </c>
      <c r="F88" t="s">
        <v>75</v>
      </c>
      <c r="G88" t="s">
        <v>511</v>
      </c>
      <c r="H88" t="s">
        <v>512</v>
      </c>
      <c r="I88" t="s">
        <v>52</v>
      </c>
      <c r="J88" t="s">
        <v>31</v>
      </c>
      <c r="K88" t="s">
        <v>200</v>
      </c>
      <c r="L88" t="s">
        <v>43</v>
      </c>
      <c r="M88">
        <v>36</v>
      </c>
      <c r="N88" t="s">
        <v>34</v>
      </c>
      <c r="O88">
        <v>4</v>
      </c>
      <c r="P88">
        <v>4</v>
      </c>
      <c r="Q88">
        <v>2</v>
      </c>
      <c r="R88">
        <v>5</v>
      </c>
      <c r="S88">
        <v>3</v>
      </c>
      <c r="T88">
        <v>6</v>
      </c>
      <c r="U88">
        <v>15</v>
      </c>
      <c r="V88" t="s">
        <v>513</v>
      </c>
      <c r="W88" t="s">
        <v>34</v>
      </c>
    </row>
    <row r="89" spans="1:24" x14ac:dyDescent="0.25">
      <c r="A89" t="s">
        <v>514</v>
      </c>
      <c r="B89" t="s">
        <v>515</v>
      </c>
      <c r="C89" t="s">
        <v>81</v>
      </c>
      <c r="D89">
        <v>26</v>
      </c>
      <c r="E89" t="s">
        <v>457</v>
      </c>
      <c r="F89" t="s">
        <v>380</v>
      </c>
      <c r="G89" t="s">
        <v>516</v>
      </c>
      <c r="H89">
        <v>100031</v>
      </c>
      <c r="I89" t="s">
        <v>52</v>
      </c>
      <c r="J89" t="s">
        <v>53</v>
      </c>
      <c r="K89" t="s">
        <v>83</v>
      </c>
      <c r="L89" t="s">
        <v>43</v>
      </c>
      <c r="M89">
        <v>5</v>
      </c>
      <c r="N89" t="s">
        <v>34</v>
      </c>
      <c r="O89">
        <v>1</v>
      </c>
      <c r="Q89">
        <v>2</v>
      </c>
      <c r="S89">
        <v>1</v>
      </c>
      <c r="T89">
        <v>6</v>
      </c>
      <c r="U89">
        <v>15</v>
      </c>
      <c r="V89" t="s">
        <v>517</v>
      </c>
      <c r="W89" t="s">
        <v>34</v>
      </c>
    </row>
    <row r="90" spans="1:24" x14ac:dyDescent="0.25">
      <c r="A90" t="s">
        <v>518</v>
      </c>
      <c r="B90" t="s">
        <v>519</v>
      </c>
      <c r="C90" t="s">
        <v>81</v>
      </c>
      <c r="D90">
        <v>30</v>
      </c>
      <c r="E90" t="s">
        <v>128</v>
      </c>
      <c r="F90" t="s">
        <v>271</v>
      </c>
      <c r="G90" t="s">
        <v>520</v>
      </c>
      <c r="H90" t="s">
        <v>521</v>
      </c>
      <c r="I90" t="s">
        <v>42</v>
      </c>
      <c r="J90" t="s">
        <v>31</v>
      </c>
      <c r="K90" t="s">
        <v>54</v>
      </c>
      <c r="M90">
        <v>39</v>
      </c>
      <c r="N90" t="s">
        <v>45</v>
      </c>
      <c r="O90">
        <v>1</v>
      </c>
      <c r="P90">
        <v>1</v>
      </c>
      <c r="Q90">
        <v>4</v>
      </c>
      <c r="R90">
        <v>1</v>
      </c>
      <c r="S90">
        <v>3</v>
      </c>
      <c r="T90">
        <v>2</v>
      </c>
      <c r="U90">
        <v>13</v>
      </c>
      <c r="V90" t="s">
        <v>522</v>
      </c>
      <c r="W90" t="s">
        <v>45</v>
      </c>
      <c r="X90" t="s">
        <v>523</v>
      </c>
    </row>
    <row r="91" spans="1:24" x14ac:dyDescent="0.25">
      <c r="A91" t="s">
        <v>524</v>
      </c>
      <c r="B91" t="s">
        <v>525</v>
      </c>
      <c r="C91" t="s">
        <v>73</v>
      </c>
      <c r="D91">
        <v>37</v>
      </c>
      <c r="E91" t="s">
        <v>332</v>
      </c>
      <c r="F91" t="s">
        <v>209</v>
      </c>
      <c r="G91" t="s">
        <v>526</v>
      </c>
      <c r="H91" t="s">
        <v>527</v>
      </c>
      <c r="I91" t="s">
        <v>42</v>
      </c>
      <c r="K91" t="s">
        <v>113</v>
      </c>
      <c r="L91" t="s">
        <v>33</v>
      </c>
      <c r="M91">
        <v>7</v>
      </c>
      <c r="N91" t="s">
        <v>34</v>
      </c>
      <c r="O91">
        <v>1</v>
      </c>
      <c r="P91">
        <v>4</v>
      </c>
      <c r="Q91">
        <v>2</v>
      </c>
      <c r="R91">
        <v>4</v>
      </c>
      <c r="S91">
        <v>4</v>
      </c>
      <c r="T91">
        <v>0</v>
      </c>
      <c r="U91">
        <v>13</v>
      </c>
      <c r="V91" t="s">
        <v>528</v>
      </c>
      <c r="W91" t="s">
        <v>34</v>
      </c>
    </row>
    <row r="92" spans="1:24" x14ac:dyDescent="0.25">
      <c r="A92" t="s">
        <v>529</v>
      </c>
      <c r="B92" t="s">
        <v>530</v>
      </c>
      <c r="C92" t="s">
        <v>26</v>
      </c>
      <c r="D92">
        <v>21</v>
      </c>
      <c r="E92" t="s">
        <v>128</v>
      </c>
      <c r="F92" t="s">
        <v>123</v>
      </c>
      <c r="G92" t="s">
        <v>531</v>
      </c>
      <c r="H92" t="s">
        <v>532</v>
      </c>
      <c r="I92" t="s">
        <v>42</v>
      </c>
      <c r="J92" t="s">
        <v>31</v>
      </c>
      <c r="K92" t="s">
        <v>98</v>
      </c>
      <c r="L92" t="s">
        <v>43</v>
      </c>
      <c r="M92">
        <v>9</v>
      </c>
      <c r="N92" t="s">
        <v>45</v>
      </c>
      <c r="O92">
        <v>1</v>
      </c>
      <c r="P92">
        <v>1</v>
      </c>
      <c r="R92">
        <v>4</v>
      </c>
      <c r="S92">
        <v>0</v>
      </c>
      <c r="T92">
        <v>2</v>
      </c>
      <c r="U92">
        <v>25</v>
      </c>
      <c r="V92" t="s">
        <v>533</v>
      </c>
      <c r="W92" t="s">
        <v>45</v>
      </c>
      <c r="X92" t="s">
        <v>534</v>
      </c>
    </row>
    <row r="93" spans="1:24" x14ac:dyDescent="0.25">
      <c r="A93" t="s">
        <v>535</v>
      </c>
      <c r="B93" t="s">
        <v>536</v>
      </c>
      <c r="C93" t="s">
        <v>81</v>
      </c>
      <c r="D93">
        <v>37</v>
      </c>
      <c r="F93" t="s">
        <v>356</v>
      </c>
      <c r="G93" t="s">
        <v>537</v>
      </c>
      <c r="H93" t="s">
        <v>538</v>
      </c>
      <c r="I93" t="s">
        <v>42</v>
      </c>
      <c r="J93" t="s">
        <v>61</v>
      </c>
      <c r="L93" t="s">
        <v>43</v>
      </c>
      <c r="M93">
        <v>7</v>
      </c>
      <c r="N93" t="s">
        <v>45</v>
      </c>
      <c r="O93">
        <v>1</v>
      </c>
      <c r="P93">
        <v>3</v>
      </c>
      <c r="Q93">
        <v>4</v>
      </c>
      <c r="R93">
        <v>2</v>
      </c>
      <c r="S93">
        <v>5</v>
      </c>
      <c r="T93">
        <v>4</v>
      </c>
      <c r="U93">
        <v>22</v>
      </c>
      <c r="V93" t="s">
        <v>539</v>
      </c>
      <c r="W93" t="s">
        <v>45</v>
      </c>
      <c r="X93" t="s">
        <v>540</v>
      </c>
    </row>
    <row r="94" spans="1:24" x14ac:dyDescent="0.25">
      <c r="A94" t="s">
        <v>541</v>
      </c>
      <c r="B94" t="s">
        <v>542</v>
      </c>
      <c r="C94" t="s">
        <v>58</v>
      </c>
      <c r="D94">
        <v>47</v>
      </c>
      <c r="E94" t="s">
        <v>94</v>
      </c>
      <c r="F94" t="s">
        <v>306</v>
      </c>
      <c r="G94" t="s">
        <v>543</v>
      </c>
      <c r="H94">
        <v>117345</v>
      </c>
      <c r="I94" t="s">
        <v>30</v>
      </c>
      <c r="J94" t="s">
        <v>61</v>
      </c>
      <c r="K94" t="s">
        <v>83</v>
      </c>
      <c r="L94" t="s">
        <v>43</v>
      </c>
      <c r="M94">
        <v>26</v>
      </c>
      <c r="N94" t="s">
        <v>34</v>
      </c>
      <c r="O94">
        <v>3</v>
      </c>
      <c r="P94">
        <v>1</v>
      </c>
      <c r="Q94">
        <v>1</v>
      </c>
      <c r="R94">
        <v>4</v>
      </c>
      <c r="S94">
        <v>2</v>
      </c>
      <c r="T94">
        <v>0</v>
      </c>
      <c r="U94">
        <v>14</v>
      </c>
      <c r="W94" t="s">
        <v>34</v>
      </c>
    </row>
    <row r="95" spans="1:24" x14ac:dyDescent="0.25">
      <c r="A95" t="s">
        <v>544</v>
      </c>
      <c r="B95" t="s">
        <v>545</v>
      </c>
      <c r="C95" t="s">
        <v>81</v>
      </c>
      <c r="D95">
        <v>34</v>
      </c>
      <c r="F95" t="s">
        <v>136</v>
      </c>
      <c r="G95" t="s">
        <v>546</v>
      </c>
      <c r="H95">
        <v>58778</v>
      </c>
      <c r="I95" t="s">
        <v>30</v>
      </c>
      <c r="J95" t="s">
        <v>31</v>
      </c>
      <c r="L95" t="s">
        <v>62</v>
      </c>
      <c r="N95" t="s">
        <v>34</v>
      </c>
      <c r="O95">
        <v>2</v>
      </c>
      <c r="P95">
        <v>4</v>
      </c>
      <c r="Q95">
        <v>3</v>
      </c>
      <c r="R95">
        <v>3</v>
      </c>
      <c r="T95">
        <v>5</v>
      </c>
      <c r="U95">
        <v>22</v>
      </c>
      <c r="V95" t="s">
        <v>547</v>
      </c>
      <c r="W95" t="s">
        <v>34</v>
      </c>
    </row>
    <row r="96" spans="1:24" x14ac:dyDescent="0.25">
      <c r="A96" t="s">
        <v>548</v>
      </c>
      <c r="B96" t="s">
        <v>549</v>
      </c>
      <c r="C96" t="s">
        <v>102</v>
      </c>
      <c r="D96">
        <v>23</v>
      </c>
      <c r="E96" t="s">
        <v>27</v>
      </c>
      <c r="F96" t="s">
        <v>110</v>
      </c>
      <c r="G96" t="s">
        <v>550</v>
      </c>
      <c r="H96">
        <v>63104</v>
      </c>
      <c r="I96" t="s">
        <v>42</v>
      </c>
      <c r="J96" t="s">
        <v>97</v>
      </c>
      <c r="K96" t="s">
        <v>32</v>
      </c>
      <c r="L96" t="s">
        <v>43</v>
      </c>
      <c r="M96">
        <v>41</v>
      </c>
      <c r="N96" t="s">
        <v>34</v>
      </c>
      <c r="O96">
        <v>2</v>
      </c>
      <c r="P96">
        <v>2</v>
      </c>
      <c r="Q96">
        <v>3</v>
      </c>
      <c r="R96">
        <v>2</v>
      </c>
      <c r="S96">
        <v>6</v>
      </c>
      <c r="T96">
        <v>6</v>
      </c>
      <c r="U96">
        <v>20</v>
      </c>
      <c r="V96" t="s">
        <v>551</v>
      </c>
      <c r="W96" t="s">
        <v>34</v>
      </c>
    </row>
    <row r="97" spans="1:24" x14ac:dyDescent="0.25">
      <c r="A97" t="s">
        <v>552</v>
      </c>
      <c r="B97" t="s">
        <v>553</v>
      </c>
      <c r="C97" t="s">
        <v>87</v>
      </c>
      <c r="D97">
        <v>22</v>
      </c>
      <c r="E97" t="s">
        <v>554</v>
      </c>
      <c r="F97" t="s">
        <v>555</v>
      </c>
      <c r="G97" t="s">
        <v>556</v>
      </c>
      <c r="H97" t="s">
        <v>557</v>
      </c>
      <c r="J97" t="s">
        <v>61</v>
      </c>
      <c r="K97" t="s">
        <v>131</v>
      </c>
      <c r="L97" t="s">
        <v>62</v>
      </c>
      <c r="M97">
        <v>15</v>
      </c>
      <c r="N97" t="s">
        <v>45</v>
      </c>
      <c r="O97">
        <v>1</v>
      </c>
      <c r="P97">
        <v>1</v>
      </c>
      <c r="Q97">
        <v>4</v>
      </c>
      <c r="R97">
        <v>3</v>
      </c>
      <c r="S97">
        <v>0</v>
      </c>
      <c r="T97">
        <v>3</v>
      </c>
      <c r="U97">
        <v>17</v>
      </c>
      <c r="V97" t="s">
        <v>558</v>
      </c>
      <c r="W97" t="s">
        <v>45</v>
      </c>
      <c r="X97" t="s">
        <v>559</v>
      </c>
    </row>
    <row r="98" spans="1:24" x14ac:dyDescent="0.25">
      <c r="A98" t="s">
        <v>560</v>
      </c>
      <c r="B98" t="s">
        <v>561</v>
      </c>
      <c r="C98" t="s">
        <v>87</v>
      </c>
      <c r="D98">
        <v>30</v>
      </c>
      <c r="E98" t="s">
        <v>27</v>
      </c>
      <c r="F98" t="s">
        <v>562</v>
      </c>
      <c r="G98" t="s">
        <v>563</v>
      </c>
      <c r="H98" t="s">
        <v>564</v>
      </c>
      <c r="I98" t="s">
        <v>30</v>
      </c>
      <c r="J98" t="s">
        <v>143</v>
      </c>
      <c r="L98" t="s">
        <v>43</v>
      </c>
      <c r="M98">
        <v>44</v>
      </c>
      <c r="N98" t="s">
        <v>45</v>
      </c>
      <c r="O98">
        <v>3</v>
      </c>
      <c r="P98">
        <v>4</v>
      </c>
      <c r="Q98">
        <v>4</v>
      </c>
      <c r="R98">
        <v>3</v>
      </c>
      <c r="S98">
        <v>6</v>
      </c>
      <c r="T98">
        <v>7</v>
      </c>
      <c r="U98">
        <v>13</v>
      </c>
      <c r="V98" t="s">
        <v>565</v>
      </c>
      <c r="W98" t="s">
        <v>34</v>
      </c>
    </row>
    <row r="99" spans="1:24" x14ac:dyDescent="0.25">
      <c r="A99" t="s">
        <v>566</v>
      </c>
      <c r="B99" t="s">
        <v>567</v>
      </c>
      <c r="C99" t="s">
        <v>102</v>
      </c>
      <c r="D99">
        <v>32</v>
      </c>
      <c r="E99" t="s">
        <v>88</v>
      </c>
      <c r="F99" t="s">
        <v>89</v>
      </c>
      <c r="G99" t="s">
        <v>568</v>
      </c>
      <c r="H99">
        <v>76111</v>
      </c>
      <c r="I99" t="s">
        <v>52</v>
      </c>
      <c r="J99" t="s">
        <v>61</v>
      </c>
      <c r="K99" t="s">
        <v>83</v>
      </c>
      <c r="L99" t="s">
        <v>33</v>
      </c>
      <c r="M99">
        <v>12</v>
      </c>
      <c r="N99" t="s">
        <v>34</v>
      </c>
      <c r="O99">
        <v>2</v>
      </c>
      <c r="P99">
        <v>3</v>
      </c>
      <c r="Q99">
        <v>1</v>
      </c>
      <c r="R99">
        <v>4</v>
      </c>
      <c r="S99">
        <v>1</v>
      </c>
      <c r="T99">
        <v>0</v>
      </c>
      <c r="U99">
        <v>23</v>
      </c>
      <c r="V99" t="s">
        <v>569</v>
      </c>
      <c r="W99" t="s">
        <v>34</v>
      </c>
    </row>
    <row r="100" spans="1:24" x14ac:dyDescent="0.25">
      <c r="A100" t="s">
        <v>570</v>
      </c>
      <c r="B100" t="s">
        <v>571</v>
      </c>
      <c r="C100" t="s">
        <v>87</v>
      </c>
      <c r="D100">
        <v>39</v>
      </c>
      <c r="E100" t="s">
        <v>572</v>
      </c>
      <c r="F100" t="s">
        <v>573</v>
      </c>
      <c r="G100" t="s">
        <v>574</v>
      </c>
      <c r="H100">
        <v>101128</v>
      </c>
      <c r="I100" t="s">
        <v>52</v>
      </c>
      <c r="J100" t="s">
        <v>31</v>
      </c>
      <c r="K100" t="s">
        <v>32</v>
      </c>
      <c r="L100" t="s">
        <v>43</v>
      </c>
      <c r="M100">
        <v>32</v>
      </c>
      <c r="N100" t="s">
        <v>45</v>
      </c>
      <c r="O100">
        <v>2</v>
      </c>
      <c r="P100">
        <v>4</v>
      </c>
      <c r="Q100">
        <v>1</v>
      </c>
      <c r="S100">
        <v>2</v>
      </c>
      <c r="T100">
        <v>4</v>
      </c>
      <c r="U100">
        <v>11</v>
      </c>
      <c r="V100" t="s">
        <v>575</v>
      </c>
      <c r="W100" t="s">
        <v>45</v>
      </c>
      <c r="X100" t="s">
        <v>576</v>
      </c>
    </row>
    <row r="101" spans="1:24" x14ac:dyDescent="0.25">
      <c r="A101" t="s">
        <v>577</v>
      </c>
      <c r="B101" t="s">
        <v>578</v>
      </c>
      <c r="C101" t="s">
        <v>58</v>
      </c>
      <c r="D101">
        <v>43</v>
      </c>
      <c r="E101" t="s">
        <v>579</v>
      </c>
      <c r="F101" t="s">
        <v>286</v>
      </c>
      <c r="G101" t="s">
        <v>580</v>
      </c>
      <c r="H101">
        <v>76064</v>
      </c>
      <c r="I101" t="s">
        <v>52</v>
      </c>
      <c r="J101" t="s">
        <v>61</v>
      </c>
      <c r="K101" t="s">
        <v>106</v>
      </c>
      <c r="L101" t="s">
        <v>33</v>
      </c>
      <c r="M101">
        <v>24</v>
      </c>
      <c r="N101" t="s">
        <v>45</v>
      </c>
      <c r="O101">
        <v>1</v>
      </c>
      <c r="P101">
        <v>2</v>
      </c>
      <c r="Q101">
        <v>4</v>
      </c>
      <c r="R101">
        <v>1</v>
      </c>
      <c r="S101">
        <v>5</v>
      </c>
      <c r="T101">
        <v>5</v>
      </c>
      <c r="V101" t="s">
        <v>581</v>
      </c>
      <c r="W101" t="s">
        <v>45</v>
      </c>
      <c r="X101" t="s">
        <v>582</v>
      </c>
    </row>
    <row r="102" spans="1:24" x14ac:dyDescent="0.25">
      <c r="A102" t="s">
        <v>583</v>
      </c>
      <c r="B102" t="s">
        <v>584</v>
      </c>
      <c r="C102" t="s">
        <v>67</v>
      </c>
      <c r="D102">
        <v>38</v>
      </c>
      <c r="E102" t="s">
        <v>128</v>
      </c>
      <c r="F102" t="s">
        <v>271</v>
      </c>
      <c r="G102" t="s">
        <v>585</v>
      </c>
      <c r="H102">
        <v>56964</v>
      </c>
      <c r="I102" t="s">
        <v>42</v>
      </c>
      <c r="J102" t="s">
        <v>31</v>
      </c>
      <c r="K102" t="s">
        <v>77</v>
      </c>
      <c r="L102" t="s">
        <v>62</v>
      </c>
      <c r="M102">
        <v>27</v>
      </c>
      <c r="N102" t="s">
        <v>34</v>
      </c>
      <c r="P102">
        <v>1</v>
      </c>
      <c r="Q102">
        <v>2</v>
      </c>
      <c r="R102">
        <v>3</v>
      </c>
      <c r="S102">
        <v>2</v>
      </c>
      <c r="T102">
        <v>5</v>
      </c>
      <c r="U102">
        <v>21</v>
      </c>
      <c r="V102" t="s">
        <v>586</v>
      </c>
      <c r="W102" t="s">
        <v>34</v>
      </c>
    </row>
    <row r="103" spans="1:24" x14ac:dyDescent="0.25">
      <c r="A103" t="s">
        <v>587</v>
      </c>
      <c r="B103" t="s">
        <v>588</v>
      </c>
      <c r="C103" t="s">
        <v>26</v>
      </c>
      <c r="D103">
        <v>29</v>
      </c>
      <c r="E103" t="s">
        <v>38</v>
      </c>
      <c r="F103" t="s">
        <v>209</v>
      </c>
      <c r="G103" t="s">
        <v>589</v>
      </c>
      <c r="H103">
        <v>70003</v>
      </c>
      <c r="I103" t="s">
        <v>30</v>
      </c>
      <c r="J103" t="s">
        <v>97</v>
      </c>
      <c r="K103" t="s">
        <v>200</v>
      </c>
      <c r="L103" t="s">
        <v>43</v>
      </c>
      <c r="M103">
        <v>40</v>
      </c>
      <c r="N103" t="s">
        <v>34</v>
      </c>
      <c r="O103">
        <v>1</v>
      </c>
      <c r="P103">
        <v>4</v>
      </c>
      <c r="Q103">
        <v>1</v>
      </c>
      <c r="R103">
        <v>1</v>
      </c>
      <c r="S103">
        <v>6</v>
      </c>
      <c r="T103">
        <v>8</v>
      </c>
      <c r="U103">
        <v>14</v>
      </c>
      <c r="V103" t="s">
        <v>590</v>
      </c>
      <c r="W103" t="s">
        <v>45</v>
      </c>
      <c r="X103" t="s">
        <v>591</v>
      </c>
    </row>
    <row r="104" spans="1:24" x14ac:dyDescent="0.25">
      <c r="A104" t="s">
        <v>592</v>
      </c>
      <c r="B104" t="s">
        <v>593</v>
      </c>
      <c r="C104" t="s">
        <v>67</v>
      </c>
      <c r="D104">
        <v>22</v>
      </c>
      <c r="E104" t="s">
        <v>27</v>
      </c>
      <c r="F104" t="s">
        <v>594</v>
      </c>
      <c r="G104" t="s">
        <v>595</v>
      </c>
      <c r="H104" t="s">
        <v>596</v>
      </c>
      <c r="J104" t="s">
        <v>61</v>
      </c>
      <c r="K104" t="s">
        <v>106</v>
      </c>
      <c r="L104" t="s">
        <v>43</v>
      </c>
      <c r="M104">
        <v>40</v>
      </c>
      <c r="N104" t="s">
        <v>34</v>
      </c>
      <c r="O104">
        <v>2</v>
      </c>
      <c r="P104">
        <v>2</v>
      </c>
      <c r="Q104">
        <v>3</v>
      </c>
      <c r="R104">
        <v>3</v>
      </c>
      <c r="S104">
        <v>0</v>
      </c>
      <c r="T104">
        <v>4</v>
      </c>
      <c r="U104">
        <v>11</v>
      </c>
      <c r="V104" t="s">
        <v>597</v>
      </c>
      <c r="W104" t="s">
        <v>45</v>
      </c>
      <c r="X104" t="s">
        <v>598</v>
      </c>
    </row>
    <row r="105" spans="1:24" x14ac:dyDescent="0.25">
      <c r="A105" t="s">
        <v>599</v>
      </c>
      <c r="B105" t="s">
        <v>600</v>
      </c>
      <c r="C105" t="s">
        <v>102</v>
      </c>
      <c r="D105">
        <v>19</v>
      </c>
      <c r="E105" t="s">
        <v>27</v>
      </c>
      <c r="F105" t="s">
        <v>188</v>
      </c>
      <c r="G105" t="s">
        <v>601</v>
      </c>
      <c r="H105" t="s">
        <v>602</v>
      </c>
      <c r="I105" t="s">
        <v>42</v>
      </c>
      <c r="J105" t="s">
        <v>143</v>
      </c>
      <c r="K105" t="s">
        <v>32</v>
      </c>
      <c r="L105" t="s">
        <v>43</v>
      </c>
      <c r="M105">
        <v>21</v>
      </c>
      <c r="N105" t="s">
        <v>34</v>
      </c>
      <c r="O105">
        <v>4</v>
      </c>
      <c r="P105">
        <v>2</v>
      </c>
      <c r="Q105">
        <v>3</v>
      </c>
      <c r="S105">
        <v>3</v>
      </c>
      <c r="T105">
        <v>6</v>
      </c>
      <c r="U105">
        <v>13</v>
      </c>
      <c r="V105" t="s">
        <v>603</v>
      </c>
      <c r="W105" t="s">
        <v>34</v>
      </c>
    </row>
    <row r="106" spans="1:24" x14ac:dyDescent="0.25">
      <c r="A106" t="s">
        <v>604</v>
      </c>
      <c r="C106" t="s">
        <v>87</v>
      </c>
      <c r="D106">
        <v>23</v>
      </c>
      <c r="E106" t="s">
        <v>27</v>
      </c>
      <c r="F106" t="s">
        <v>50</v>
      </c>
      <c r="G106" t="s">
        <v>605</v>
      </c>
      <c r="H106">
        <v>125921</v>
      </c>
      <c r="I106" t="s">
        <v>52</v>
      </c>
      <c r="J106" t="s">
        <v>97</v>
      </c>
      <c r="K106" t="s">
        <v>167</v>
      </c>
      <c r="L106" t="s">
        <v>43</v>
      </c>
      <c r="M106">
        <v>19</v>
      </c>
      <c r="N106" t="s">
        <v>34</v>
      </c>
      <c r="O106">
        <v>3</v>
      </c>
      <c r="P106">
        <v>2</v>
      </c>
      <c r="Q106">
        <v>1</v>
      </c>
      <c r="R106">
        <v>3</v>
      </c>
      <c r="S106">
        <v>1</v>
      </c>
      <c r="T106">
        <v>0</v>
      </c>
      <c r="U106">
        <v>22</v>
      </c>
      <c r="V106" t="s">
        <v>606</v>
      </c>
      <c r="W106" t="s">
        <v>34</v>
      </c>
    </row>
    <row r="107" spans="1:24" x14ac:dyDescent="0.25">
      <c r="A107" t="s">
        <v>607</v>
      </c>
      <c r="B107" t="s">
        <v>608</v>
      </c>
      <c r="C107" t="s">
        <v>73</v>
      </c>
      <c r="D107">
        <v>42</v>
      </c>
      <c r="E107" t="s">
        <v>609</v>
      </c>
      <c r="F107" t="s">
        <v>306</v>
      </c>
      <c r="G107" t="s">
        <v>610</v>
      </c>
      <c r="H107">
        <v>55169</v>
      </c>
      <c r="I107" t="s">
        <v>30</v>
      </c>
      <c r="J107" t="s">
        <v>31</v>
      </c>
      <c r="K107" t="s">
        <v>167</v>
      </c>
      <c r="L107" t="s">
        <v>43</v>
      </c>
      <c r="M107">
        <v>6</v>
      </c>
      <c r="N107" t="s">
        <v>45</v>
      </c>
      <c r="O107">
        <v>4</v>
      </c>
      <c r="P107">
        <v>3</v>
      </c>
      <c r="Q107">
        <v>4</v>
      </c>
      <c r="R107">
        <v>4</v>
      </c>
      <c r="S107">
        <v>2</v>
      </c>
      <c r="T107">
        <v>5</v>
      </c>
      <c r="U107">
        <v>20</v>
      </c>
      <c r="V107" t="s">
        <v>611</v>
      </c>
      <c r="W107" t="s">
        <v>34</v>
      </c>
    </row>
    <row r="108" spans="1:24" x14ac:dyDescent="0.25">
      <c r="A108" t="s">
        <v>612</v>
      </c>
      <c r="B108" t="s">
        <v>613</v>
      </c>
      <c r="C108" t="s">
        <v>58</v>
      </c>
      <c r="D108">
        <v>35</v>
      </c>
      <c r="E108" t="s">
        <v>27</v>
      </c>
      <c r="F108" t="s">
        <v>50</v>
      </c>
      <c r="G108" t="s">
        <v>614</v>
      </c>
      <c r="H108">
        <v>116295</v>
      </c>
      <c r="I108" t="s">
        <v>30</v>
      </c>
      <c r="J108" t="s">
        <v>61</v>
      </c>
      <c r="K108" t="s">
        <v>167</v>
      </c>
      <c r="L108" t="s">
        <v>43</v>
      </c>
      <c r="M108">
        <v>19</v>
      </c>
      <c r="N108" t="s">
        <v>45</v>
      </c>
      <c r="O108">
        <v>2</v>
      </c>
      <c r="P108">
        <v>4</v>
      </c>
      <c r="Q108">
        <v>4</v>
      </c>
      <c r="R108">
        <v>4</v>
      </c>
      <c r="S108">
        <v>2</v>
      </c>
      <c r="T108">
        <v>0</v>
      </c>
      <c r="U108">
        <v>15</v>
      </c>
      <c r="V108" t="s">
        <v>615</v>
      </c>
      <c r="W108" t="s">
        <v>45</v>
      </c>
      <c r="X108" t="s">
        <v>616</v>
      </c>
    </row>
    <row r="109" spans="1:24" x14ac:dyDescent="0.25">
      <c r="A109" t="s">
        <v>617</v>
      </c>
      <c r="B109" t="s">
        <v>618</v>
      </c>
      <c r="C109" t="s">
        <v>26</v>
      </c>
      <c r="D109">
        <v>50</v>
      </c>
      <c r="E109" t="s">
        <v>74</v>
      </c>
      <c r="F109" t="s">
        <v>59</v>
      </c>
      <c r="G109" t="s">
        <v>619</v>
      </c>
      <c r="I109" t="s">
        <v>30</v>
      </c>
      <c r="K109" t="s">
        <v>131</v>
      </c>
      <c r="L109" t="s">
        <v>62</v>
      </c>
      <c r="M109">
        <v>41</v>
      </c>
      <c r="N109" t="s">
        <v>34</v>
      </c>
      <c r="O109">
        <v>1</v>
      </c>
      <c r="P109">
        <v>4</v>
      </c>
      <c r="Q109">
        <v>1</v>
      </c>
      <c r="R109">
        <v>3</v>
      </c>
      <c r="S109">
        <v>2</v>
      </c>
      <c r="T109">
        <v>7</v>
      </c>
      <c r="U109">
        <v>11</v>
      </c>
      <c r="V109" t="s">
        <v>620</v>
      </c>
      <c r="W109" t="s">
        <v>34</v>
      </c>
    </row>
    <row r="110" spans="1:24" x14ac:dyDescent="0.25">
      <c r="A110" t="s">
        <v>621</v>
      </c>
      <c r="B110" t="s">
        <v>622</v>
      </c>
      <c r="C110" t="s">
        <v>87</v>
      </c>
      <c r="D110">
        <v>40</v>
      </c>
      <c r="F110" t="s">
        <v>59</v>
      </c>
      <c r="G110" t="s">
        <v>623</v>
      </c>
      <c r="H110" t="s">
        <v>624</v>
      </c>
      <c r="I110" t="s">
        <v>52</v>
      </c>
      <c r="J110" t="s">
        <v>61</v>
      </c>
      <c r="K110" t="s">
        <v>106</v>
      </c>
      <c r="L110" t="s">
        <v>33</v>
      </c>
      <c r="M110">
        <v>36</v>
      </c>
      <c r="N110" t="s">
        <v>45</v>
      </c>
      <c r="O110">
        <v>1</v>
      </c>
      <c r="P110">
        <v>3</v>
      </c>
      <c r="Q110">
        <v>4</v>
      </c>
      <c r="R110">
        <v>3</v>
      </c>
      <c r="T110">
        <v>0</v>
      </c>
      <c r="U110">
        <v>18</v>
      </c>
      <c r="V110" t="s">
        <v>625</v>
      </c>
      <c r="W110" t="s">
        <v>45</v>
      </c>
      <c r="X110" t="s">
        <v>626</v>
      </c>
    </row>
    <row r="111" spans="1:24" x14ac:dyDescent="0.25">
      <c r="A111" t="s">
        <v>627</v>
      </c>
      <c r="B111" t="s">
        <v>628</v>
      </c>
      <c r="C111" t="s">
        <v>87</v>
      </c>
      <c r="D111">
        <v>45</v>
      </c>
      <c r="E111" t="s">
        <v>629</v>
      </c>
      <c r="F111" t="s">
        <v>226</v>
      </c>
      <c r="G111" t="s">
        <v>630</v>
      </c>
      <c r="H111">
        <v>95189</v>
      </c>
      <c r="I111" t="s">
        <v>42</v>
      </c>
      <c r="J111" t="s">
        <v>31</v>
      </c>
      <c r="K111" t="s">
        <v>98</v>
      </c>
      <c r="L111" t="s">
        <v>62</v>
      </c>
      <c r="M111">
        <v>17</v>
      </c>
      <c r="N111" t="s">
        <v>34</v>
      </c>
      <c r="O111">
        <v>4</v>
      </c>
      <c r="Q111">
        <v>4</v>
      </c>
      <c r="R111">
        <v>1</v>
      </c>
      <c r="S111">
        <v>1</v>
      </c>
      <c r="T111">
        <v>1</v>
      </c>
      <c r="U111">
        <v>12</v>
      </c>
      <c r="V111" t="s">
        <v>631</v>
      </c>
      <c r="W111" t="s">
        <v>34</v>
      </c>
    </row>
    <row r="112" spans="1:24" x14ac:dyDescent="0.25">
      <c r="A112" t="s">
        <v>632</v>
      </c>
      <c r="B112" t="s">
        <v>633</v>
      </c>
      <c r="C112" t="s">
        <v>67</v>
      </c>
      <c r="D112">
        <v>38</v>
      </c>
      <c r="E112" t="s">
        <v>88</v>
      </c>
      <c r="F112" t="s">
        <v>469</v>
      </c>
      <c r="G112" t="s">
        <v>634</v>
      </c>
      <c r="H112">
        <v>126530</v>
      </c>
      <c r="I112" t="s">
        <v>30</v>
      </c>
      <c r="J112" t="s">
        <v>31</v>
      </c>
      <c r="K112" t="s">
        <v>54</v>
      </c>
      <c r="L112" t="s">
        <v>62</v>
      </c>
      <c r="M112">
        <v>42</v>
      </c>
      <c r="N112" t="s">
        <v>34</v>
      </c>
      <c r="O112">
        <v>1</v>
      </c>
      <c r="P112">
        <v>3</v>
      </c>
      <c r="Q112">
        <v>2</v>
      </c>
      <c r="R112">
        <v>3</v>
      </c>
      <c r="S112">
        <v>3</v>
      </c>
      <c r="T112">
        <v>8</v>
      </c>
      <c r="U112">
        <v>11</v>
      </c>
      <c r="V112" t="s">
        <v>635</v>
      </c>
      <c r="W112" t="s">
        <v>45</v>
      </c>
      <c r="X112" t="s">
        <v>636</v>
      </c>
    </row>
    <row r="113" spans="1:24" x14ac:dyDescent="0.25">
      <c r="A113" t="s">
        <v>637</v>
      </c>
      <c r="B113" t="s">
        <v>638</v>
      </c>
      <c r="C113" t="s">
        <v>81</v>
      </c>
      <c r="D113">
        <v>28</v>
      </c>
      <c r="E113" t="s">
        <v>94</v>
      </c>
      <c r="F113" t="s">
        <v>639</v>
      </c>
      <c r="G113" t="s">
        <v>640</v>
      </c>
      <c r="H113">
        <v>96227</v>
      </c>
      <c r="I113" t="s">
        <v>42</v>
      </c>
      <c r="J113" t="s">
        <v>61</v>
      </c>
      <c r="K113" t="s">
        <v>98</v>
      </c>
      <c r="L113" t="s">
        <v>62</v>
      </c>
      <c r="M113">
        <v>38</v>
      </c>
      <c r="N113" t="s">
        <v>34</v>
      </c>
      <c r="O113">
        <v>1</v>
      </c>
      <c r="P113">
        <v>2</v>
      </c>
      <c r="Q113">
        <v>3</v>
      </c>
      <c r="S113">
        <v>5</v>
      </c>
      <c r="T113">
        <v>1</v>
      </c>
      <c r="U113">
        <v>21</v>
      </c>
      <c r="V113" t="s">
        <v>641</v>
      </c>
      <c r="W113" t="s">
        <v>34</v>
      </c>
    </row>
    <row r="114" spans="1:24" x14ac:dyDescent="0.25">
      <c r="A114" t="s">
        <v>642</v>
      </c>
      <c r="B114" t="s">
        <v>643</v>
      </c>
      <c r="C114" t="s">
        <v>73</v>
      </c>
      <c r="D114">
        <v>19</v>
      </c>
      <c r="E114" t="s">
        <v>88</v>
      </c>
      <c r="F114" t="s">
        <v>141</v>
      </c>
      <c r="G114" t="s">
        <v>644</v>
      </c>
      <c r="H114">
        <v>118667</v>
      </c>
      <c r="J114" t="s">
        <v>31</v>
      </c>
      <c r="K114" t="s">
        <v>83</v>
      </c>
      <c r="L114" t="s">
        <v>43</v>
      </c>
      <c r="M114">
        <v>2</v>
      </c>
      <c r="N114" t="s">
        <v>34</v>
      </c>
      <c r="O114">
        <v>1</v>
      </c>
      <c r="P114">
        <v>4</v>
      </c>
      <c r="Q114">
        <v>3</v>
      </c>
      <c r="R114">
        <v>5</v>
      </c>
      <c r="S114">
        <v>4</v>
      </c>
      <c r="T114">
        <v>5</v>
      </c>
      <c r="U114">
        <v>19</v>
      </c>
      <c r="V114" t="s">
        <v>645</v>
      </c>
      <c r="W114" t="s">
        <v>34</v>
      </c>
    </row>
    <row r="115" spans="1:24" x14ac:dyDescent="0.25">
      <c r="A115" t="s">
        <v>646</v>
      </c>
      <c r="B115" t="s">
        <v>647</v>
      </c>
      <c r="C115" t="s">
        <v>58</v>
      </c>
      <c r="D115">
        <v>54</v>
      </c>
      <c r="E115" t="s">
        <v>128</v>
      </c>
      <c r="F115" t="s">
        <v>271</v>
      </c>
      <c r="G115" t="s">
        <v>648</v>
      </c>
      <c r="H115">
        <v>62799</v>
      </c>
      <c r="I115" t="s">
        <v>30</v>
      </c>
      <c r="J115" t="s">
        <v>31</v>
      </c>
      <c r="K115" t="s">
        <v>98</v>
      </c>
      <c r="L115" t="s">
        <v>33</v>
      </c>
      <c r="M115">
        <v>8</v>
      </c>
      <c r="N115" t="s">
        <v>34</v>
      </c>
      <c r="O115">
        <v>2</v>
      </c>
      <c r="P115">
        <v>2</v>
      </c>
      <c r="Q115">
        <v>3</v>
      </c>
      <c r="R115">
        <v>5</v>
      </c>
      <c r="S115">
        <v>5</v>
      </c>
      <c r="T115">
        <v>6</v>
      </c>
      <c r="U115">
        <v>21</v>
      </c>
      <c r="V115" t="s">
        <v>649</v>
      </c>
      <c r="W115" t="s">
        <v>34</v>
      </c>
    </row>
    <row r="116" spans="1:24" x14ac:dyDescent="0.25">
      <c r="A116" t="s">
        <v>650</v>
      </c>
      <c r="B116" t="s">
        <v>651</v>
      </c>
      <c r="C116" t="s">
        <v>49</v>
      </c>
      <c r="D116">
        <v>28</v>
      </c>
      <c r="E116" t="s">
        <v>128</v>
      </c>
      <c r="F116" t="s">
        <v>255</v>
      </c>
      <c r="G116" t="s">
        <v>652</v>
      </c>
      <c r="H116">
        <v>85543</v>
      </c>
      <c r="I116" t="s">
        <v>30</v>
      </c>
      <c r="J116" t="s">
        <v>31</v>
      </c>
      <c r="K116" t="s">
        <v>77</v>
      </c>
      <c r="M116">
        <v>25</v>
      </c>
      <c r="N116" t="s">
        <v>34</v>
      </c>
      <c r="O116">
        <v>3</v>
      </c>
      <c r="P116">
        <v>3</v>
      </c>
      <c r="Q116">
        <v>2</v>
      </c>
      <c r="R116">
        <v>3</v>
      </c>
      <c r="S116">
        <v>1</v>
      </c>
      <c r="T116">
        <v>3</v>
      </c>
      <c r="U116">
        <v>17</v>
      </c>
      <c r="V116" t="s">
        <v>653</v>
      </c>
      <c r="W116" t="s">
        <v>34</v>
      </c>
    </row>
    <row r="117" spans="1:24" x14ac:dyDescent="0.25">
      <c r="A117" t="s">
        <v>654</v>
      </c>
      <c r="B117" t="s">
        <v>655</v>
      </c>
      <c r="C117" t="s">
        <v>73</v>
      </c>
      <c r="D117">
        <v>35</v>
      </c>
      <c r="E117" t="s">
        <v>88</v>
      </c>
      <c r="F117" t="s">
        <v>286</v>
      </c>
      <c r="G117" t="s">
        <v>656</v>
      </c>
      <c r="H117">
        <v>138171</v>
      </c>
      <c r="I117" t="s">
        <v>42</v>
      </c>
      <c r="J117" t="s">
        <v>97</v>
      </c>
      <c r="K117" t="s">
        <v>54</v>
      </c>
      <c r="L117" t="s">
        <v>33</v>
      </c>
      <c r="M117">
        <v>23</v>
      </c>
      <c r="N117" t="s">
        <v>34</v>
      </c>
      <c r="O117">
        <v>2</v>
      </c>
      <c r="P117">
        <v>4</v>
      </c>
      <c r="Q117">
        <v>3</v>
      </c>
      <c r="R117">
        <v>4</v>
      </c>
      <c r="S117">
        <v>0</v>
      </c>
      <c r="T117">
        <v>2</v>
      </c>
      <c r="U117">
        <v>14</v>
      </c>
      <c r="V117" t="s">
        <v>657</v>
      </c>
      <c r="W117" t="s">
        <v>34</v>
      </c>
    </row>
    <row r="118" spans="1:24" x14ac:dyDescent="0.25">
      <c r="A118" t="s">
        <v>658</v>
      </c>
      <c r="B118" t="s">
        <v>659</v>
      </c>
      <c r="C118" t="s">
        <v>58</v>
      </c>
      <c r="D118">
        <v>23</v>
      </c>
      <c r="E118" t="s">
        <v>128</v>
      </c>
      <c r="F118" t="s">
        <v>226</v>
      </c>
      <c r="G118" t="s">
        <v>660</v>
      </c>
      <c r="H118">
        <v>100953</v>
      </c>
      <c r="I118" t="s">
        <v>30</v>
      </c>
      <c r="J118" t="s">
        <v>31</v>
      </c>
      <c r="K118" t="s">
        <v>167</v>
      </c>
      <c r="L118" t="s">
        <v>62</v>
      </c>
      <c r="M118">
        <v>9</v>
      </c>
      <c r="N118" t="s">
        <v>45</v>
      </c>
      <c r="O118">
        <v>2</v>
      </c>
      <c r="P118">
        <v>3</v>
      </c>
      <c r="Q118">
        <v>1</v>
      </c>
      <c r="R118">
        <v>1</v>
      </c>
      <c r="S118">
        <v>3</v>
      </c>
      <c r="T118">
        <v>8</v>
      </c>
      <c r="U118">
        <v>20</v>
      </c>
      <c r="V118" t="s">
        <v>661</v>
      </c>
      <c r="W118" t="s">
        <v>45</v>
      </c>
      <c r="X118" t="s">
        <v>662</v>
      </c>
    </row>
    <row r="119" spans="1:24" x14ac:dyDescent="0.25">
      <c r="A119" t="s">
        <v>663</v>
      </c>
      <c r="B119" t="s">
        <v>664</v>
      </c>
      <c r="C119" t="s">
        <v>26</v>
      </c>
      <c r="D119">
        <v>40</v>
      </c>
      <c r="E119" t="s">
        <v>665</v>
      </c>
      <c r="F119" t="s">
        <v>148</v>
      </c>
      <c r="G119" t="s">
        <v>666</v>
      </c>
      <c r="H119">
        <v>29461</v>
      </c>
      <c r="I119" t="s">
        <v>30</v>
      </c>
      <c r="K119" t="s">
        <v>200</v>
      </c>
      <c r="L119" t="s">
        <v>62</v>
      </c>
      <c r="M119">
        <v>27</v>
      </c>
      <c r="N119" t="s">
        <v>34</v>
      </c>
      <c r="O119">
        <v>3</v>
      </c>
      <c r="P119">
        <v>1</v>
      </c>
      <c r="Q119">
        <v>3</v>
      </c>
      <c r="R119">
        <v>4</v>
      </c>
      <c r="S119">
        <v>1</v>
      </c>
      <c r="U119">
        <v>24</v>
      </c>
      <c r="V119" t="s">
        <v>667</v>
      </c>
      <c r="W119" t="s">
        <v>34</v>
      </c>
    </row>
    <row r="120" spans="1:24" x14ac:dyDescent="0.25">
      <c r="A120" t="s">
        <v>668</v>
      </c>
      <c r="B120" t="s">
        <v>669</v>
      </c>
      <c r="C120" t="s">
        <v>81</v>
      </c>
      <c r="D120">
        <v>36</v>
      </c>
      <c r="E120" t="s">
        <v>27</v>
      </c>
      <c r="F120" t="s">
        <v>59</v>
      </c>
      <c r="G120" t="s">
        <v>670</v>
      </c>
      <c r="H120">
        <v>89071</v>
      </c>
      <c r="I120" t="s">
        <v>42</v>
      </c>
      <c r="J120" t="s">
        <v>61</v>
      </c>
      <c r="K120" t="s">
        <v>200</v>
      </c>
      <c r="L120" t="s">
        <v>43</v>
      </c>
      <c r="M120">
        <v>31</v>
      </c>
      <c r="N120" t="s">
        <v>34</v>
      </c>
      <c r="O120">
        <v>4</v>
      </c>
      <c r="P120">
        <v>1</v>
      </c>
      <c r="Q120">
        <v>4</v>
      </c>
      <c r="R120">
        <v>3</v>
      </c>
      <c r="S120">
        <v>1</v>
      </c>
      <c r="T120">
        <v>1</v>
      </c>
      <c r="U120">
        <v>23</v>
      </c>
      <c r="V120" t="s">
        <v>671</v>
      </c>
      <c r="W120" t="s">
        <v>34</v>
      </c>
    </row>
    <row r="121" spans="1:24" x14ac:dyDescent="0.25">
      <c r="A121" t="s">
        <v>672</v>
      </c>
      <c r="B121" t="s">
        <v>673</v>
      </c>
      <c r="C121" t="s">
        <v>49</v>
      </c>
      <c r="D121">
        <v>24</v>
      </c>
      <c r="E121" t="s">
        <v>27</v>
      </c>
      <c r="F121" t="s">
        <v>59</v>
      </c>
      <c r="G121" t="s">
        <v>674</v>
      </c>
      <c r="H121" t="s">
        <v>675</v>
      </c>
      <c r="I121" t="s">
        <v>30</v>
      </c>
      <c r="J121" t="s">
        <v>31</v>
      </c>
      <c r="K121" t="s">
        <v>77</v>
      </c>
      <c r="L121" t="s">
        <v>43</v>
      </c>
      <c r="M121">
        <v>16</v>
      </c>
      <c r="N121" t="s">
        <v>34</v>
      </c>
      <c r="O121">
        <v>3</v>
      </c>
      <c r="P121">
        <v>2</v>
      </c>
      <c r="Q121">
        <v>1</v>
      </c>
      <c r="R121">
        <v>3</v>
      </c>
      <c r="S121">
        <v>0</v>
      </c>
      <c r="T121">
        <v>5</v>
      </c>
      <c r="U121">
        <v>18</v>
      </c>
      <c r="V121" t="s">
        <v>676</v>
      </c>
      <c r="W121" t="s">
        <v>34</v>
      </c>
    </row>
    <row r="122" spans="1:24" x14ac:dyDescent="0.25">
      <c r="A122" t="s">
        <v>677</v>
      </c>
      <c r="B122" t="s">
        <v>678</v>
      </c>
      <c r="C122" t="s">
        <v>81</v>
      </c>
      <c r="D122">
        <v>29</v>
      </c>
      <c r="E122" t="s">
        <v>27</v>
      </c>
      <c r="F122" t="s">
        <v>59</v>
      </c>
      <c r="G122" t="s">
        <v>679</v>
      </c>
      <c r="H122">
        <v>125338</v>
      </c>
      <c r="I122" t="s">
        <v>52</v>
      </c>
      <c r="J122" t="s">
        <v>31</v>
      </c>
      <c r="K122" t="s">
        <v>113</v>
      </c>
      <c r="L122" t="s">
        <v>62</v>
      </c>
      <c r="M122">
        <v>8</v>
      </c>
      <c r="O122">
        <v>2</v>
      </c>
      <c r="Q122">
        <v>3</v>
      </c>
      <c r="R122">
        <v>3</v>
      </c>
      <c r="S122">
        <v>6</v>
      </c>
      <c r="T122">
        <v>0</v>
      </c>
      <c r="U122">
        <v>20</v>
      </c>
      <c r="V122" t="s">
        <v>680</v>
      </c>
      <c r="W122" t="s">
        <v>45</v>
      </c>
      <c r="X122" t="s">
        <v>681</v>
      </c>
    </row>
    <row r="123" spans="1:24" x14ac:dyDescent="0.25">
      <c r="A123" t="s">
        <v>682</v>
      </c>
      <c r="B123" t="s">
        <v>683</v>
      </c>
      <c r="C123" t="s">
        <v>87</v>
      </c>
      <c r="D123">
        <v>42</v>
      </c>
      <c r="E123" t="s">
        <v>27</v>
      </c>
      <c r="F123" t="s">
        <v>188</v>
      </c>
      <c r="G123" t="s">
        <v>684</v>
      </c>
      <c r="H123">
        <v>63205</v>
      </c>
      <c r="I123" t="s">
        <v>30</v>
      </c>
      <c r="J123" t="s">
        <v>31</v>
      </c>
      <c r="K123" t="s">
        <v>106</v>
      </c>
      <c r="L123" t="s">
        <v>43</v>
      </c>
      <c r="M123">
        <v>36</v>
      </c>
      <c r="N123" t="s">
        <v>34</v>
      </c>
      <c r="O123">
        <v>4</v>
      </c>
      <c r="P123">
        <v>4</v>
      </c>
      <c r="Q123">
        <v>2</v>
      </c>
      <c r="R123">
        <v>3</v>
      </c>
      <c r="S123">
        <v>5</v>
      </c>
      <c r="U123">
        <v>23</v>
      </c>
      <c r="V123" t="s">
        <v>685</v>
      </c>
      <c r="W123" t="s">
        <v>34</v>
      </c>
    </row>
    <row r="124" spans="1:24" x14ac:dyDescent="0.25">
      <c r="A124" t="s">
        <v>686</v>
      </c>
      <c r="B124" t="s">
        <v>687</v>
      </c>
      <c r="C124" t="s">
        <v>87</v>
      </c>
      <c r="D124">
        <v>21</v>
      </c>
      <c r="E124" t="s">
        <v>197</v>
      </c>
      <c r="F124" t="s">
        <v>323</v>
      </c>
      <c r="G124" t="s">
        <v>424</v>
      </c>
      <c r="H124">
        <v>58581</v>
      </c>
      <c r="I124" t="s">
        <v>42</v>
      </c>
      <c r="J124" t="s">
        <v>61</v>
      </c>
      <c r="K124" t="s">
        <v>98</v>
      </c>
      <c r="L124" t="s">
        <v>43</v>
      </c>
      <c r="N124" t="s">
        <v>45</v>
      </c>
      <c r="O124">
        <v>1</v>
      </c>
      <c r="P124">
        <v>1</v>
      </c>
      <c r="Q124">
        <v>3</v>
      </c>
      <c r="S124">
        <v>0</v>
      </c>
      <c r="T124">
        <v>0</v>
      </c>
      <c r="V124" t="s">
        <v>688</v>
      </c>
      <c r="W124" t="s">
        <v>45</v>
      </c>
      <c r="X124" t="s">
        <v>689</v>
      </c>
    </row>
    <row r="125" spans="1:24" x14ac:dyDescent="0.25">
      <c r="A125" t="s">
        <v>690</v>
      </c>
      <c r="B125" t="s">
        <v>691</v>
      </c>
      <c r="C125" t="s">
        <v>87</v>
      </c>
      <c r="D125">
        <v>31</v>
      </c>
      <c r="F125" t="s">
        <v>50</v>
      </c>
      <c r="G125" t="s">
        <v>692</v>
      </c>
      <c r="H125" t="s">
        <v>693</v>
      </c>
      <c r="I125" t="s">
        <v>42</v>
      </c>
      <c r="J125" t="s">
        <v>61</v>
      </c>
      <c r="K125" t="s">
        <v>54</v>
      </c>
      <c r="L125" t="s">
        <v>62</v>
      </c>
      <c r="M125">
        <v>31</v>
      </c>
      <c r="O125">
        <v>1</v>
      </c>
      <c r="P125">
        <v>2</v>
      </c>
      <c r="Q125">
        <v>1</v>
      </c>
      <c r="R125">
        <v>3</v>
      </c>
      <c r="S125">
        <v>2</v>
      </c>
      <c r="T125">
        <v>2</v>
      </c>
      <c r="U125">
        <v>13</v>
      </c>
      <c r="V125" t="s">
        <v>694</v>
      </c>
      <c r="W125" t="s">
        <v>45</v>
      </c>
      <c r="X125" t="s">
        <v>695</v>
      </c>
    </row>
    <row r="126" spans="1:24" x14ac:dyDescent="0.25">
      <c r="A126" t="s">
        <v>488</v>
      </c>
      <c r="B126" t="s">
        <v>489</v>
      </c>
      <c r="C126" t="s">
        <v>102</v>
      </c>
      <c r="D126">
        <v>38</v>
      </c>
      <c r="E126" t="s">
        <v>579</v>
      </c>
      <c r="F126" t="s">
        <v>483</v>
      </c>
      <c r="G126" t="s">
        <v>490</v>
      </c>
      <c r="H126">
        <v>116323</v>
      </c>
      <c r="I126" t="s">
        <v>52</v>
      </c>
      <c r="J126" t="s">
        <v>31</v>
      </c>
      <c r="K126" t="s">
        <v>77</v>
      </c>
      <c r="L126" t="s">
        <v>33</v>
      </c>
      <c r="M126">
        <v>32</v>
      </c>
      <c r="N126" t="s">
        <v>34</v>
      </c>
      <c r="O126">
        <v>4</v>
      </c>
      <c r="P126">
        <v>2</v>
      </c>
      <c r="Q126">
        <v>4</v>
      </c>
      <c r="R126">
        <v>4</v>
      </c>
      <c r="S126">
        <v>0</v>
      </c>
      <c r="T126">
        <v>6</v>
      </c>
      <c r="U126">
        <v>11</v>
      </c>
      <c r="V126" t="s">
        <v>491</v>
      </c>
      <c r="W126" t="s">
        <v>34</v>
      </c>
    </row>
    <row r="127" spans="1:24" x14ac:dyDescent="0.25">
      <c r="A127" t="s">
        <v>696</v>
      </c>
      <c r="B127" t="s">
        <v>697</v>
      </c>
      <c r="C127" t="s">
        <v>49</v>
      </c>
      <c r="D127">
        <v>35</v>
      </c>
      <c r="E127" t="s">
        <v>629</v>
      </c>
      <c r="F127" t="s">
        <v>226</v>
      </c>
      <c r="G127" t="s">
        <v>698</v>
      </c>
      <c r="H127">
        <v>96753</v>
      </c>
      <c r="I127" t="s">
        <v>52</v>
      </c>
      <c r="J127" t="s">
        <v>61</v>
      </c>
      <c r="K127" t="s">
        <v>83</v>
      </c>
      <c r="L127" t="s">
        <v>43</v>
      </c>
      <c r="M127">
        <v>24</v>
      </c>
      <c r="N127" t="s">
        <v>34</v>
      </c>
      <c r="O127">
        <v>1</v>
      </c>
      <c r="Q127">
        <v>3</v>
      </c>
      <c r="R127">
        <v>3</v>
      </c>
      <c r="S127">
        <v>1</v>
      </c>
      <c r="T127">
        <v>2</v>
      </c>
      <c r="U127">
        <v>25</v>
      </c>
      <c r="V127" t="s">
        <v>699</v>
      </c>
      <c r="W127" t="s">
        <v>34</v>
      </c>
    </row>
    <row r="128" spans="1:24" x14ac:dyDescent="0.25">
      <c r="A128" t="s">
        <v>700</v>
      </c>
      <c r="B128" t="s">
        <v>701</v>
      </c>
      <c r="C128" t="s">
        <v>87</v>
      </c>
      <c r="D128">
        <v>27</v>
      </c>
      <c r="E128" t="s">
        <v>128</v>
      </c>
      <c r="F128" t="s">
        <v>255</v>
      </c>
      <c r="G128" t="s">
        <v>702</v>
      </c>
      <c r="H128">
        <v>37107</v>
      </c>
      <c r="I128" t="s">
        <v>52</v>
      </c>
      <c r="J128" t="s">
        <v>31</v>
      </c>
      <c r="K128" t="s">
        <v>167</v>
      </c>
      <c r="L128" t="s">
        <v>33</v>
      </c>
      <c r="M128">
        <v>4</v>
      </c>
      <c r="N128" t="s">
        <v>34</v>
      </c>
      <c r="O128">
        <v>2</v>
      </c>
      <c r="P128">
        <v>1</v>
      </c>
      <c r="Q128">
        <v>2</v>
      </c>
      <c r="R128">
        <v>2</v>
      </c>
      <c r="S128">
        <v>5</v>
      </c>
      <c r="T128">
        <v>0</v>
      </c>
      <c r="U128">
        <v>17</v>
      </c>
      <c r="V128" t="s">
        <v>703</v>
      </c>
      <c r="W128" t="s">
        <v>34</v>
      </c>
    </row>
    <row r="129" spans="1:24" x14ac:dyDescent="0.25">
      <c r="A129" t="s">
        <v>704</v>
      </c>
      <c r="B129" t="s">
        <v>705</v>
      </c>
      <c r="C129" t="s">
        <v>67</v>
      </c>
      <c r="D129">
        <v>19</v>
      </c>
      <c r="E129" t="s">
        <v>706</v>
      </c>
      <c r="F129" t="s">
        <v>639</v>
      </c>
      <c r="G129" t="s">
        <v>707</v>
      </c>
      <c r="H129">
        <v>136200</v>
      </c>
      <c r="I129" t="s">
        <v>30</v>
      </c>
      <c r="J129" t="s">
        <v>53</v>
      </c>
      <c r="K129" t="s">
        <v>106</v>
      </c>
      <c r="L129" t="s">
        <v>33</v>
      </c>
      <c r="M129">
        <v>8</v>
      </c>
      <c r="N129" t="s">
        <v>34</v>
      </c>
      <c r="O129">
        <v>2</v>
      </c>
      <c r="P129">
        <v>2</v>
      </c>
      <c r="Q129">
        <v>1</v>
      </c>
      <c r="R129">
        <v>3</v>
      </c>
      <c r="S129">
        <v>4</v>
      </c>
      <c r="T129">
        <v>8</v>
      </c>
      <c r="U129">
        <v>11</v>
      </c>
      <c r="V129" t="s">
        <v>708</v>
      </c>
      <c r="W129" t="s">
        <v>34</v>
      </c>
    </row>
    <row r="130" spans="1:24" x14ac:dyDescent="0.25">
      <c r="A130" t="s">
        <v>709</v>
      </c>
      <c r="B130" t="s">
        <v>710</v>
      </c>
      <c r="C130" t="s">
        <v>26</v>
      </c>
      <c r="D130">
        <v>34</v>
      </c>
      <c r="E130" t="s">
        <v>94</v>
      </c>
      <c r="F130" t="s">
        <v>356</v>
      </c>
      <c r="G130" t="s">
        <v>711</v>
      </c>
      <c r="H130">
        <v>132515</v>
      </c>
      <c r="I130" t="s">
        <v>42</v>
      </c>
      <c r="J130" t="s">
        <v>97</v>
      </c>
      <c r="K130" t="s">
        <v>83</v>
      </c>
      <c r="L130" t="s">
        <v>43</v>
      </c>
      <c r="M130">
        <v>4</v>
      </c>
      <c r="N130" t="s">
        <v>34</v>
      </c>
      <c r="O130">
        <v>1</v>
      </c>
      <c r="P130">
        <v>1</v>
      </c>
      <c r="Q130">
        <v>4</v>
      </c>
      <c r="R130">
        <v>4</v>
      </c>
      <c r="S130">
        <v>5</v>
      </c>
      <c r="T130">
        <v>6</v>
      </c>
      <c r="U130">
        <v>21</v>
      </c>
      <c r="V130" t="s">
        <v>712</v>
      </c>
      <c r="W130" t="s">
        <v>34</v>
      </c>
    </row>
    <row r="131" spans="1:24" x14ac:dyDescent="0.25">
      <c r="A131" t="s">
        <v>713</v>
      </c>
      <c r="B131" t="s">
        <v>714</v>
      </c>
      <c r="C131" t="s">
        <v>49</v>
      </c>
      <c r="D131">
        <v>36</v>
      </c>
      <c r="E131" t="s">
        <v>88</v>
      </c>
      <c r="F131" t="s">
        <v>286</v>
      </c>
      <c r="G131" t="s">
        <v>715</v>
      </c>
      <c r="H131">
        <v>107774</v>
      </c>
      <c r="I131" t="s">
        <v>30</v>
      </c>
      <c r="J131" t="s">
        <v>31</v>
      </c>
      <c r="K131" t="s">
        <v>83</v>
      </c>
      <c r="L131" t="s">
        <v>62</v>
      </c>
      <c r="M131">
        <v>16</v>
      </c>
      <c r="N131" t="s">
        <v>45</v>
      </c>
      <c r="P131">
        <v>2</v>
      </c>
      <c r="Q131">
        <v>3</v>
      </c>
      <c r="R131">
        <v>3</v>
      </c>
      <c r="S131">
        <v>6</v>
      </c>
      <c r="T131">
        <v>2</v>
      </c>
      <c r="U131">
        <v>11</v>
      </c>
      <c r="V131" t="s">
        <v>716</v>
      </c>
      <c r="W131" t="s">
        <v>34</v>
      </c>
    </row>
    <row r="132" spans="1:24" x14ac:dyDescent="0.25">
      <c r="A132" t="s">
        <v>717</v>
      </c>
      <c r="B132" t="s">
        <v>718</v>
      </c>
      <c r="C132" t="s">
        <v>58</v>
      </c>
      <c r="D132">
        <v>37</v>
      </c>
      <c r="E132" t="s">
        <v>88</v>
      </c>
      <c r="F132" t="s">
        <v>89</v>
      </c>
      <c r="G132" t="s">
        <v>719</v>
      </c>
      <c r="H132">
        <v>103865</v>
      </c>
      <c r="I132" t="s">
        <v>30</v>
      </c>
      <c r="J132" t="s">
        <v>61</v>
      </c>
      <c r="K132" t="s">
        <v>98</v>
      </c>
      <c r="L132" t="s">
        <v>43</v>
      </c>
      <c r="M132">
        <v>33</v>
      </c>
      <c r="N132" t="s">
        <v>34</v>
      </c>
      <c r="O132">
        <v>2</v>
      </c>
      <c r="P132">
        <v>1</v>
      </c>
      <c r="Q132">
        <v>2</v>
      </c>
      <c r="R132">
        <v>4</v>
      </c>
      <c r="S132">
        <v>4</v>
      </c>
      <c r="T132">
        <v>5</v>
      </c>
      <c r="U132">
        <v>14</v>
      </c>
      <c r="V132" t="s">
        <v>720</v>
      </c>
      <c r="W132" t="s">
        <v>34</v>
      </c>
    </row>
    <row r="133" spans="1:24" x14ac:dyDescent="0.25">
      <c r="A133" t="s">
        <v>721</v>
      </c>
      <c r="B133" t="s">
        <v>722</v>
      </c>
      <c r="C133" t="s">
        <v>87</v>
      </c>
      <c r="D133">
        <v>41</v>
      </c>
      <c r="E133" t="s">
        <v>128</v>
      </c>
      <c r="F133" t="s">
        <v>255</v>
      </c>
      <c r="G133" t="s">
        <v>723</v>
      </c>
      <c r="H133">
        <v>45292</v>
      </c>
      <c r="I133" t="s">
        <v>30</v>
      </c>
      <c r="J133" t="s">
        <v>31</v>
      </c>
      <c r="K133" t="s">
        <v>113</v>
      </c>
      <c r="L133" t="s">
        <v>43</v>
      </c>
      <c r="M133">
        <v>43</v>
      </c>
      <c r="N133" t="s">
        <v>45</v>
      </c>
      <c r="O133">
        <v>3</v>
      </c>
      <c r="P133">
        <v>4</v>
      </c>
      <c r="Q133">
        <v>4</v>
      </c>
      <c r="R133">
        <v>3</v>
      </c>
      <c r="U133">
        <v>22</v>
      </c>
      <c r="V133" t="s">
        <v>724</v>
      </c>
      <c r="W133" t="s">
        <v>34</v>
      </c>
    </row>
    <row r="134" spans="1:24" x14ac:dyDescent="0.25">
      <c r="A134" t="s">
        <v>725</v>
      </c>
      <c r="B134" t="s">
        <v>726</v>
      </c>
      <c r="C134" t="s">
        <v>49</v>
      </c>
      <c r="D134">
        <v>34</v>
      </c>
      <c r="E134" t="s">
        <v>88</v>
      </c>
      <c r="F134" t="s">
        <v>141</v>
      </c>
      <c r="G134" t="s">
        <v>727</v>
      </c>
      <c r="H134" t="s">
        <v>728</v>
      </c>
      <c r="I134" t="s">
        <v>42</v>
      </c>
      <c r="J134" t="s">
        <v>143</v>
      </c>
      <c r="K134" t="s">
        <v>200</v>
      </c>
      <c r="L134" t="s">
        <v>33</v>
      </c>
      <c r="M134">
        <v>33</v>
      </c>
      <c r="N134" t="s">
        <v>34</v>
      </c>
      <c r="O134">
        <v>1</v>
      </c>
      <c r="P134">
        <v>1</v>
      </c>
      <c r="Q134">
        <v>1</v>
      </c>
      <c r="R134">
        <v>2</v>
      </c>
      <c r="S134">
        <v>6</v>
      </c>
      <c r="T134">
        <v>6</v>
      </c>
      <c r="U134">
        <v>19</v>
      </c>
      <c r="V134" t="s">
        <v>729</v>
      </c>
      <c r="W134" t="s">
        <v>34</v>
      </c>
    </row>
    <row r="135" spans="1:24" x14ac:dyDescent="0.25">
      <c r="A135" t="s">
        <v>730</v>
      </c>
      <c r="B135" t="s">
        <v>731</v>
      </c>
      <c r="C135" t="s">
        <v>87</v>
      </c>
      <c r="D135">
        <v>31</v>
      </c>
      <c r="E135" t="s">
        <v>88</v>
      </c>
      <c r="F135" t="s">
        <v>89</v>
      </c>
      <c r="G135" t="s">
        <v>670</v>
      </c>
      <c r="H135">
        <v>48338</v>
      </c>
      <c r="I135" t="s">
        <v>42</v>
      </c>
      <c r="J135" t="s">
        <v>31</v>
      </c>
      <c r="K135" t="s">
        <v>98</v>
      </c>
      <c r="L135" t="s">
        <v>43</v>
      </c>
      <c r="M135">
        <v>43</v>
      </c>
      <c r="N135" t="s">
        <v>34</v>
      </c>
      <c r="O135">
        <v>3</v>
      </c>
      <c r="Q135">
        <v>2</v>
      </c>
      <c r="R135">
        <v>3</v>
      </c>
      <c r="S135">
        <v>0</v>
      </c>
      <c r="T135">
        <v>7</v>
      </c>
      <c r="U135">
        <v>16</v>
      </c>
      <c r="V135" t="s">
        <v>732</v>
      </c>
      <c r="W135" t="s">
        <v>45</v>
      </c>
      <c r="X135" t="s">
        <v>733</v>
      </c>
    </row>
    <row r="136" spans="1:24" x14ac:dyDescent="0.25">
      <c r="A136" t="s">
        <v>734</v>
      </c>
      <c r="B136" t="s">
        <v>735</v>
      </c>
      <c r="C136" t="s">
        <v>81</v>
      </c>
      <c r="D136">
        <v>40</v>
      </c>
      <c r="G136" t="s">
        <v>736</v>
      </c>
      <c r="H136" t="s">
        <v>737</v>
      </c>
      <c r="I136" t="s">
        <v>42</v>
      </c>
      <c r="J136" t="s">
        <v>31</v>
      </c>
      <c r="K136" t="s">
        <v>98</v>
      </c>
      <c r="L136" t="s">
        <v>62</v>
      </c>
      <c r="M136">
        <v>23</v>
      </c>
      <c r="N136" t="s">
        <v>45</v>
      </c>
      <c r="O136">
        <v>4</v>
      </c>
      <c r="P136">
        <v>3</v>
      </c>
      <c r="Q136">
        <v>1</v>
      </c>
      <c r="R136">
        <v>3</v>
      </c>
      <c r="S136">
        <v>6</v>
      </c>
      <c r="T136">
        <v>6</v>
      </c>
      <c r="U136">
        <v>19</v>
      </c>
      <c r="V136" t="s">
        <v>738</v>
      </c>
      <c r="W136" t="s">
        <v>45</v>
      </c>
      <c r="X136" t="s">
        <v>739</v>
      </c>
    </row>
    <row r="137" spans="1:24" x14ac:dyDescent="0.25">
      <c r="A137" t="s">
        <v>740</v>
      </c>
      <c r="B137" t="s">
        <v>741</v>
      </c>
      <c r="C137" t="s">
        <v>102</v>
      </c>
      <c r="D137">
        <v>38</v>
      </c>
      <c r="E137" t="s">
        <v>609</v>
      </c>
      <c r="F137" t="s">
        <v>266</v>
      </c>
      <c r="G137" t="s">
        <v>742</v>
      </c>
      <c r="H137" t="s">
        <v>743</v>
      </c>
      <c r="I137" t="s">
        <v>52</v>
      </c>
      <c r="J137" t="s">
        <v>31</v>
      </c>
      <c r="K137" t="s">
        <v>83</v>
      </c>
      <c r="L137" t="s">
        <v>33</v>
      </c>
      <c r="M137">
        <v>38</v>
      </c>
      <c r="N137" t="s">
        <v>34</v>
      </c>
      <c r="O137">
        <v>1</v>
      </c>
      <c r="P137">
        <v>1</v>
      </c>
      <c r="Q137">
        <v>4</v>
      </c>
      <c r="R137">
        <v>3</v>
      </c>
      <c r="S137">
        <v>4</v>
      </c>
      <c r="T137">
        <v>2</v>
      </c>
      <c r="U137">
        <v>22</v>
      </c>
      <c r="V137" t="s">
        <v>744</v>
      </c>
      <c r="W137" t="s">
        <v>45</v>
      </c>
      <c r="X137" t="s">
        <v>745</v>
      </c>
    </row>
    <row r="138" spans="1:24" x14ac:dyDescent="0.25">
      <c r="A138" t="s">
        <v>746</v>
      </c>
      <c r="B138" t="s">
        <v>747</v>
      </c>
      <c r="C138" t="s">
        <v>73</v>
      </c>
      <c r="D138">
        <v>45</v>
      </c>
      <c r="E138" t="s">
        <v>88</v>
      </c>
      <c r="F138" t="s">
        <v>748</v>
      </c>
      <c r="G138" t="s">
        <v>749</v>
      </c>
      <c r="H138">
        <v>109667</v>
      </c>
      <c r="I138" t="s">
        <v>42</v>
      </c>
      <c r="J138" t="s">
        <v>61</v>
      </c>
      <c r="K138" t="s">
        <v>98</v>
      </c>
      <c r="L138" t="s">
        <v>62</v>
      </c>
      <c r="M138">
        <v>8</v>
      </c>
      <c r="N138" t="s">
        <v>34</v>
      </c>
      <c r="O138">
        <v>3</v>
      </c>
      <c r="P138">
        <v>3</v>
      </c>
      <c r="Q138">
        <v>3</v>
      </c>
      <c r="R138">
        <v>4</v>
      </c>
      <c r="S138">
        <v>5</v>
      </c>
      <c r="T138">
        <v>6</v>
      </c>
      <c r="U138">
        <v>13</v>
      </c>
      <c r="V138" t="s">
        <v>750</v>
      </c>
      <c r="W138" t="s">
        <v>34</v>
      </c>
    </row>
    <row r="139" spans="1:24" x14ac:dyDescent="0.25">
      <c r="A139" t="s">
        <v>751</v>
      </c>
      <c r="B139" t="s">
        <v>752</v>
      </c>
      <c r="C139" t="s">
        <v>26</v>
      </c>
      <c r="D139">
        <v>43</v>
      </c>
      <c r="E139" t="s">
        <v>27</v>
      </c>
      <c r="F139" t="s">
        <v>50</v>
      </c>
      <c r="G139" t="s">
        <v>753</v>
      </c>
      <c r="H139">
        <v>50809</v>
      </c>
      <c r="I139" t="s">
        <v>30</v>
      </c>
      <c r="J139" t="s">
        <v>61</v>
      </c>
      <c r="K139" t="s">
        <v>54</v>
      </c>
      <c r="L139" t="s">
        <v>43</v>
      </c>
      <c r="M139">
        <v>44</v>
      </c>
      <c r="N139" t="s">
        <v>34</v>
      </c>
      <c r="O139">
        <v>3</v>
      </c>
      <c r="P139">
        <v>3</v>
      </c>
      <c r="Q139">
        <v>4</v>
      </c>
      <c r="R139">
        <v>4</v>
      </c>
      <c r="S139">
        <v>3</v>
      </c>
      <c r="T139">
        <v>5</v>
      </c>
      <c r="U139">
        <v>18</v>
      </c>
      <c r="W139" t="s">
        <v>34</v>
      </c>
    </row>
    <row r="140" spans="1:24" x14ac:dyDescent="0.25">
      <c r="A140" t="s">
        <v>754</v>
      </c>
      <c r="B140" t="s">
        <v>755</v>
      </c>
      <c r="C140" t="s">
        <v>49</v>
      </c>
      <c r="D140">
        <v>27</v>
      </c>
      <c r="E140" t="s">
        <v>27</v>
      </c>
      <c r="F140" t="s">
        <v>50</v>
      </c>
      <c r="G140" t="s">
        <v>756</v>
      </c>
      <c r="H140">
        <v>84414</v>
      </c>
      <c r="I140" t="s">
        <v>42</v>
      </c>
      <c r="J140" t="s">
        <v>143</v>
      </c>
      <c r="K140" t="s">
        <v>106</v>
      </c>
      <c r="L140" t="s">
        <v>43</v>
      </c>
      <c r="M140">
        <v>7</v>
      </c>
      <c r="N140" t="s">
        <v>34</v>
      </c>
      <c r="O140">
        <v>4</v>
      </c>
      <c r="P140">
        <v>3</v>
      </c>
      <c r="R140">
        <v>4</v>
      </c>
      <c r="S140">
        <v>1</v>
      </c>
      <c r="T140">
        <v>2</v>
      </c>
      <c r="U140">
        <v>12</v>
      </c>
      <c r="V140" t="s">
        <v>757</v>
      </c>
      <c r="W140" t="s">
        <v>34</v>
      </c>
    </row>
    <row r="141" spans="1:24" x14ac:dyDescent="0.25">
      <c r="A141" t="s">
        <v>758</v>
      </c>
      <c r="B141" t="s">
        <v>759</v>
      </c>
      <c r="C141" t="s">
        <v>102</v>
      </c>
      <c r="D141">
        <v>43</v>
      </c>
      <c r="E141" t="s">
        <v>88</v>
      </c>
      <c r="F141" t="s">
        <v>760</v>
      </c>
      <c r="G141" t="s">
        <v>761</v>
      </c>
      <c r="H141">
        <v>90960</v>
      </c>
      <c r="J141" t="s">
        <v>61</v>
      </c>
      <c r="L141" t="s">
        <v>62</v>
      </c>
      <c r="M141">
        <v>34</v>
      </c>
      <c r="N141" t="s">
        <v>45</v>
      </c>
      <c r="O141">
        <v>1</v>
      </c>
      <c r="P141">
        <v>3</v>
      </c>
      <c r="Q141">
        <v>3</v>
      </c>
      <c r="R141">
        <v>4</v>
      </c>
      <c r="S141">
        <v>0</v>
      </c>
      <c r="T141">
        <v>3</v>
      </c>
      <c r="U141">
        <v>11</v>
      </c>
      <c r="V141" t="s">
        <v>762</v>
      </c>
      <c r="W141" t="s">
        <v>45</v>
      </c>
      <c r="X141" t="s">
        <v>763</v>
      </c>
    </row>
    <row r="142" spans="1:24" x14ac:dyDescent="0.25">
      <c r="A142" t="s">
        <v>764</v>
      </c>
      <c r="B142" t="s">
        <v>765</v>
      </c>
      <c r="C142" t="s">
        <v>67</v>
      </c>
      <c r="D142">
        <v>45</v>
      </c>
      <c r="E142" t="s">
        <v>27</v>
      </c>
      <c r="F142" t="s">
        <v>240</v>
      </c>
      <c r="G142" t="s">
        <v>766</v>
      </c>
      <c r="H142" t="s">
        <v>767</v>
      </c>
      <c r="I142" t="s">
        <v>42</v>
      </c>
      <c r="J142" t="s">
        <v>53</v>
      </c>
      <c r="K142" t="s">
        <v>83</v>
      </c>
      <c r="L142" t="s">
        <v>43</v>
      </c>
      <c r="M142">
        <v>36</v>
      </c>
      <c r="N142" t="s">
        <v>34</v>
      </c>
      <c r="O142">
        <v>4</v>
      </c>
      <c r="P142">
        <v>4</v>
      </c>
      <c r="Q142">
        <v>3</v>
      </c>
      <c r="R142">
        <v>3</v>
      </c>
      <c r="S142">
        <v>2</v>
      </c>
      <c r="T142">
        <v>5</v>
      </c>
      <c r="U142">
        <v>20</v>
      </c>
      <c r="V142" t="s">
        <v>768</v>
      </c>
      <c r="W142" t="s">
        <v>34</v>
      </c>
    </row>
    <row r="143" spans="1:24" x14ac:dyDescent="0.25">
      <c r="A143" t="s">
        <v>769</v>
      </c>
      <c r="B143" t="s">
        <v>770</v>
      </c>
      <c r="C143" t="s">
        <v>67</v>
      </c>
      <c r="D143">
        <v>42</v>
      </c>
      <c r="E143" t="s">
        <v>197</v>
      </c>
      <c r="F143" t="s">
        <v>771</v>
      </c>
      <c r="G143" t="s">
        <v>772</v>
      </c>
      <c r="H143" t="s">
        <v>773</v>
      </c>
      <c r="I143" t="s">
        <v>30</v>
      </c>
      <c r="J143" t="s">
        <v>61</v>
      </c>
      <c r="K143" t="s">
        <v>131</v>
      </c>
      <c r="L143" t="s">
        <v>33</v>
      </c>
      <c r="M143">
        <v>31</v>
      </c>
      <c r="N143" t="s">
        <v>34</v>
      </c>
      <c r="O143">
        <v>4</v>
      </c>
      <c r="P143">
        <v>4</v>
      </c>
      <c r="Q143">
        <v>2</v>
      </c>
      <c r="R143">
        <v>4</v>
      </c>
      <c r="S143">
        <v>2</v>
      </c>
      <c r="T143">
        <v>8</v>
      </c>
      <c r="U143">
        <v>18</v>
      </c>
      <c r="V143" t="s">
        <v>774</v>
      </c>
      <c r="W143" t="s">
        <v>34</v>
      </c>
    </row>
    <row r="144" spans="1:24" x14ac:dyDescent="0.25">
      <c r="A144" t="s">
        <v>775</v>
      </c>
      <c r="B144" t="s">
        <v>776</v>
      </c>
      <c r="C144" t="s">
        <v>67</v>
      </c>
      <c r="D144">
        <v>46</v>
      </c>
      <c r="E144" t="s">
        <v>27</v>
      </c>
      <c r="F144" t="s">
        <v>75</v>
      </c>
      <c r="G144" t="s">
        <v>777</v>
      </c>
      <c r="H144">
        <v>67510</v>
      </c>
      <c r="I144" t="s">
        <v>42</v>
      </c>
      <c r="J144" t="s">
        <v>31</v>
      </c>
      <c r="K144" t="s">
        <v>83</v>
      </c>
      <c r="L144" t="s">
        <v>33</v>
      </c>
      <c r="M144">
        <v>20</v>
      </c>
      <c r="N144" t="s">
        <v>34</v>
      </c>
      <c r="O144">
        <v>4</v>
      </c>
      <c r="P144">
        <v>3</v>
      </c>
      <c r="Q144">
        <v>3</v>
      </c>
      <c r="R144">
        <v>3</v>
      </c>
      <c r="S144">
        <v>4</v>
      </c>
      <c r="T144">
        <v>1</v>
      </c>
      <c r="U144">
        <v>13</v>
      </c>
      <c r="V144" t="s">
        <v>778</v>
      </c>
      <c r="W144" t="s">
        <v>34</v>
      </c>
    </row>
    <row r="145" spans="1:24" x14ac:dyDescent="0.25">
      <c r="A145" t="s">
        <v>779</v>
      </c>
      <c r="B145" t="s">
        <v>780</v>
      </c>
      <c r="C145" t="s">
        <v>67</v>
      </c>
      <c r="D145">
        <v>33</v>
      </c>
      <c r="E145" t="s">
        <v>197</v>
      </c>
      <c r="F145" t="s">
        <v>781</v>
      </c>
      <c r="G145" t="s">
        <v>782</v>
      </c>
      <c r="H145" t="s">
        <v>783</v>
      </c>
      <c r="I145" t="s">
        <v>42</v>
      </c>
      <c r="J145" t="s">
        <v>61</v>
      </c>
      <c r="K145" t="s">
        <v>98</v>
      </c>
      <c r="L145" t="s">
        <v>62</v>
      </c>
      <c r="M145">
        <v>24</v>
      </c>
      <c r="N145" t="s">
        <v>34</v>
      </c>
      <c r="O145">
        <v>1</v>
      </c>
      <c r="P145">
        <v>1</v>
      </c>
      <c r="Q145">
        <v>3</v>
      </c>
      <c r="R145">
        <v>2</v>
      </c>
      <c r="S145">
        <v>2</v>
      </c>
      <c r="T145">
        <v>2</v>
      </c>
      <c r="U145">
        <v>14</v>
      </c>
      <c r="V145" t="s">
        <v>784</v>
      </c>
      <c r="W145" t="s">
        <v>45</v>
      </c>
      <c r="X145" t="s">
        <v>785</v>
      </c>
    </row>
    <row r="146" spans="1:24" x14ac:dyDescent="0.25">
      <c r="A146" t="s">
        <v>786</v>
      </c>
      <c r="B146" t="s">
        <v>787</v>
      </c>
      <c r="C146" t="s">
        <v>58</v>
      </c>
      <c r="D146">
        <v>54</v>
      </c>
      <c r="E146" t="s">
        <v>74</v>
      </c>
      <c r="F146" t="s">
        <v>75</v>
      </c>
      <c r="G146" t="s">
        <v>788</v>
      </c>
      <c r="H146">
        <v>71564</v>
      </c>
      <c r="I146" t="s">
        <v>30</v>
      </c>
      <c r="J146" t="s">
        <v>61</v>
      </c>
      <c r="K146" t="s">
        <v>113</v>
      </c>
      <c r="L146" t="s">
        <v>33</v>
      </c>
      <c r="M146">
        <v>19</v>
      </c>
      <c r="N146" t="s">
        <v>34</v>
      </c>
      <c r="O146">
        <v>2</v>
      </c>
      <c r="P146">
        <v>4</v>
      </c>
      <c r="Q146">
        <v>1</v>
      </c>
      <c r="R146">
        <v>3</v>
      </c>
      <c r="S146">
        <v>5</v>
      </c>
      <c r="T146">
        <v>0</v>
      </c>
      <c r="V146" t="s">
        <v>789</v>
      </c>
      <c r="W146" t="s">
        <v>34</v>
      </c>
    </row>
    <row r="147" spans="1:24" x14ac:dyDescent="0.25">
      <c r="A147" t="s">
        <v>790</v>
      </c>
      <c r="B147" t="s">
        <v>791</v>
      </c>
      <c r="C147" t="s">
        <v>58</v>
      </c>
      <c r="D147">
        <v>45</v>
      </c>
      <c r="E147" t="s">
        <v>38</v>
      </c>
      <c r="F147" t="s">
        <v>792</v>
      </c>
      <c r="G147" t="s">
        <v>793</v>
      </c>
      <c r="H147" t="s">
        <v>794</v>
      </c>
      <c r="I147" t="s">
        <v>52</v>
      </c>
      <c r="J147" t="s">
        <v>61</v>
      </c>
      <c r="K147" t="s">
        <v>167</v>
      </c>
      <c r="L147" t="s">
        <v>43</v>
      </c>
      <c r="M147">
        <v>13</v>
      </c>
      <c r="N147" t="s">
        <v>34</v>
      </c>
      <c r="O147">
        <v>4</v>
      </c>
      <c r="P147">
        <v>3</v>
      </c>
      <c r="Q147">
        <v>2</v>
      </c>
      <c r="R147">
        <v>3</v>
      </c>
      <c r="S147">
        <v>0</v>
      </c>
      <c r="T147">
        <v>0</v>
      </c>
      <c r="U147">
        <v>24</v>
      </c>
      <c r="V147" t="s">
        <v>795</v>
      </c>
      <c r="W147" t="s">
        <v>34</v>
      </c>
    </row>
    <row r="148" spans="1:24" x14ac:dyDescent="0.25">
      <c r="A148" t="s">
        <v>796</v>
      </c>
      <c r="B148" t="s">
        <v>797</v>
      </c>
      <c r="C148" t="s">
        <v>49</v>
      </c>
      <c r="D148">
        <v>42</v>
      </c>
      <c r="E148" t="s">
        <v>798</v>
      </c>
      <c r="F148" t="s">
        <v>799</v>
      </c>
      <c r="G148" t="s">
        <v>800</v>
      </c>
      <c r="H148">
        <v>122799</v>
      </c>
      <c r="I148" t="s">
        <v>30</v>
      </c>
      <c r="J148" t="s">
        <v>97</v>
      </c>
      <c r="K148" t="s">
        <v>200</v>
      </c>
      <c r="L148" t="s">
        <v>62</v>
      </c>
      <c r="M148">
        <v>40</v>
      </c>
      <c r="N148" t="s">
        <v>34</v>
      </c>
      <c r="O148">
        <v>2</v>
      </c>
      <c r="P148">
        <v>3</v>
      </c>
      <c r="Q148">
        <v>4</v>
      </c>
      <c r="R148">
        <v>3</v>
      </c>
      <c r="S148">
        <v>4</v>
      </c>
      <c r="T148">
        <v>4</v>
      </c>
      <c r="U148">
        <v>15</v>
      </c>
      <c r="V148" t="s">
        <v>801</v>
      </c>
      <c r="W148" t="s">
        <v>34</v>
      </c>
    </row>
    <row r="149" spans="1:24" x14ac:dyDescent="0.25">
      <c r="A149" t="s">
        <v>802</v>
      </c>
      <c r="B149" t="s">
        <v>803</v>
      </c>
      <c r="C149" t="s">
        <v>26</v>
      </c>
      <c r="D149">
        <v>24</v>
      </c>
      <c r="E149" t="s">
        <v>197</v>
      </c>
      <c r="F149" t="s">
        <v>323</v>
      </c>
      <c r="G149" t="s">
        <v>804</v>
      </c>
      <c r="H149">
        <v>76362</v>
      </c>
      <c r="I149" t="s">
        <v>30</v>
      </c>
      <c r="J149" t="s">
        <v>61</v>
      </c>
      <c r="K149" t="s">
        <v>200</v>
      </c>
      <c r="L149" t="s">
        <v>43</v>
      </c>
      <c r="M149">
        <v>15</v>
      </c>
      <c r="N149" t="s">
        <v>34</v>
      </c>
      <c r="O149">
        <v>4</v>
      </c>
      <c r="P149">
        <v>2</v>
      </c>
      <c r="Q149">
        <v>4</v>
      </c>
      <c r="R149">
        <v>3</v>
      </c>
      <c r="S149">
        <v>2</v>
      </c>
      <c r="T149">
        <v>6</v>
      </c>
      <c r="U149">
        <v>22</v>
      </c>
      <c r="V149" t="s">
        <v>805</v>
      </c>
      <c r="W149" t="s">
        <v>34</v>
      </c>
    </row>
    <row r="150" spans="1:24" x14ac:dyDescent="0.25">
      <c r="A150" t="s">
        <v>806</v>
      </c>
      <c r="B150" t="s">
        <v>807</v>
      </c>
      <c r="C150" t="s">
        <v>81</v>
      </c>
      <c r="D150">
        <v>45</v>
      </c>
      <c r="E150" t="s">
        <v>74</v>
      </c>
      <c r="F150" t="s">
        <v>188</v>
      </c>
      <c r="G150" t="s">
        <v>808</v>
      </c>
      <c r="H150" t="s">
        <v>809</v>
      </c>
      <c r="I150" t="s">
        <v>30</v>
      </c>
      <c r="J150" t="s">
        <v>31</v>
      </c>
      <c r="K150" t="s">
        <v>54</v>
      </c>
      <c r="L150" t="s">
        <v>62</v>
      </c>
      <c r="M150">
        <v>42</v>
      </c>
      <c r="N150" t="s">
        <v>34</v>
      </c>
      <c r="O150">
        <v>3</v>
      </c>
      <c r="P150">
        <v>3</v>
      </c>
      <c r="Q150">
        <v>2</v>
      </c>
      <c r="R150">
        <v>2</v>
      </c>
      <c r="S150">
        <v>1</v>
      </c>
      <c r="T150">
        <v>5</v>
      </c>
      <c r="U150">
        <v>15</v>
      </c>
      <c r="V150" t="s">
        <v>810</v>
      </c>
      <c r="W150" t="s">
        <v>34</v>
      </c>
    </row>
    <row r="151" spans="1:24" x14ac:dyDescent="0.25">
      <c r="A151" t="s">
        <v>811</v>
      </c>
      <c r="B151" t="s">
        <v>812</v>
      </c>
      <c r="C151" t="s">
        <v>73</v>
      </c>
      <c r="D151">
        <v>40</v>
      </c>
      <c r="E151" t="s">
        <v>609</v>
      </c>
      <c r="F151" t="s">
        <v>306</v>
      </c>
      <c r="G151" t="s">
        <v>813</v>
      </c>
      <c r="H151">
        <v>46489</v>
      </c>
      <c r="I151" t="s">
        <v>30</v>
      </c>
      <c r="J151" t="s">
        <v>143</v>
      </c>
      <c r="K151" t="s">
        <v>106</v>
      </c>
      <c r="L151" t="s">
        <v>33</v>
      </c>
      <c r="M151">
        <v>35</v>
      </c>
      <c r="N151" t="s">
        <v>34</v>
      </c>
      <c r="O151">
        <v>1</v>
      </c>
      <c r="P151">
        <v>1</v>
      </c>
      <c r="Q151">
        <v>3</v>
      </c>
      <c r="R151">
        <v>3</v>
      </c>
      <c r="S151">
        <v>3</v>
      </c>
      <c r="T151">
        <v>3</v>
      </c>
      <c r="U151">
        <v>14</v>
      </c>
      <c r="V151" t="s">
        <v>814</v>
      </c>
      <c r="W151" t="s">
        <v>45</v>
      </c>
      <c r="X151" t="s">
        <v>815</v>
      </c>
    </row>
    <row r="152" spans="1:24" x14ac:dyDescent="0.25">
      <c r="A152" t="s">
        <v>816</v>
      </c>
      <c r="B152" t="s">
        <v>817</v>
      </c>
      <c r="C152" t="s">
        <v>58</v>
      </c>
      <c r="D152">
        <v>45</v>
      </c>
      <c r="E152" t="s">
        <v>94</v>
      </c>
      <c r="F152" t="s">
        <v>266</v>
      </c>
      <c r="G152" t="s">
        <v>818</v>
      </c>
      <c r="H152" t="s">
        <v>819</v>
      </c>
      <c r="I152" t="s">
        <v>30</v>
      </c>
      <c r="J152" t="s">
        <v>31</v>
      </c>
      <c r="K152" t="s">
        <v>32</v>
      </c>
      <c r="L152" t="s">
        <v>62</v>
      </c>
      <c r="M152">
        <v>27</v>
      </c>
      <c r="N152" t="s">
        <v>34</v>
      </c>
      <c r="O152">
        <v>2</v>
      </c>
      <c r="P152">
        <v>1</v>
      </c>
      <c r="Q152">
        <v>4</v>
      </c>
      <c r="R152">
        <v>3</v>
      </c>
      <c r="S152">
        <v>2</v>
      </c>
      <c r="T152">
        <v>6</v>
      </c>
      <c r="U152">
        <v>16</v>
      </c>
      <c r="V152" t="s">
        <v>820</v>
      </c>
      <c r="W152" t="s">
        <v>34</v>
      </c>
    </row>
    <row r="153" spans="1:24" x14ac:dyDescent="0.25">
      <c r="A153" t="s">
        <v>821</v>
      </c>
      <c r="B153" t="s">
        <v>822</v>
      </c>
      <c r="C153" t="s">
        <v>67</v>
      </c>
      <c r="D153">
        <v>44</v>
      </c>
      <c r="E153" t="s">
        <v>27</v>
      </c>
      <c r="F153" t="s">
        <v>75</v>
      </c>
      <c r="G153" t="s">
        <v>823</v>
      </c>
      <c r="H153">
        <v>83280</v>
      </c>
      <c r="I153" t="s">
        <v>52</v>
      </c>
      <c r="J153" t="s">
        <v>31</v>
      </c>
      <c r="K153" t="s">
        <v>83</v>
      </c>
      <c r="L153" t="s">
        <v>62</v>
      </c>
      <c r="M153">
        <v>14</v>
      </c>
      <c r="N153" t="s">
        <v>34</v>
      </c>
      <c r="O153">
        <v>4</v>
      </c>
      <c r="P153">
        <v>3</v>
      </c>
      <c r="Q153">
        <v>4</v>
      </c>
      <c r="R153">
        <v>3</v>
      </c>
      <c r="S153">
        <v>6</v>
      </c>
      <c r="T153">
        <v>2</v>
      </c>
      <c r="U153">
        <v>19</v>
      </c>
      <c r="V153" t="s">
        <v>824</v>
      </c>
      <c r="W153" t="s">
        <v>34</v>
      </c>
    </row>
    <row r="154" spans="1:24" x14ac:dyDescent="0.25">
      <c r="A154" t="s">
        <v>825</v>
      </c>
      <c r="B154" t="s">
        <v>826</v>
      </c>
      <c r="C154" t="s">
        <v>102</v>
      </c>
      <c r="D154">
        <v>44</v>
      </c>
      <c r="E154" t="s">
        <v>827</v>
      </c>
      <c r="F154" t="s">
        <v>828</v>
      </c>
      <c r="G154" t="s">
        <v>829</v>
      </c>
      <c r="I154" t="s">
        <v>30</v>
      </c>
      <c r="J154" t="s">
        <v>31</v>
      </c>
      <c r="K154" t="s">
        <v>32</v>
      </c>
      <c r="L154" t="s">
        <v>33</v>
      </c>
      <c r="M154">
        <v>22</v>
      </c>
      <c r="N154" t="s">
        <v>34</v>
      </c>
      <c r="O154">
        <v>3</v>
      </c>
      <c r="P154">
        <v>1</v>
      </c>
      <c r="Q154">
        <v>2</v>
      </c>
      <c r="R154">
        <v>3</v>
      </c>
      <c r="S154">
        <v>3</v>
      </c>
      <c r="T154">
        <v>8</v>
      </c>
      <c r="U154">
        <v>11</v>
      </c>
      <c r="W154" t="s">
        <v>34</v>
      </c>
    </row>
    <row r="155" spans="1:24" x14ac:dyDescent="0.25">
      <c r="A155" t="s">
        <v>830</v>
      </c>
      <c r="B155" t="s">
        <v>831</v>
      </c>
      <c r="C155" t="s">
        <v>26</v>
      </c>
      <c r="D155">
        <v>21</v>
      </c>
      <c r="E155" t="s">
        <v>27</v>
      </c>
      <c r="F155" t="s">
        <v>75</v>
      </c>
      <c r="G155" t="s">
        <v>832</v>
      </c>
      <c r="H155">
        <v>108148</v>
      </c>
      <c r="I155" t="s">
        <v>30</v>
      </c>
      <c r="J155" t="s">
        <v>31</v>
      </c>
      <c r="K155" t="s">
        <v>83</v>
      </c>
      <c r="L155" t="s">
        <v>43</v>
      </c>
      <c r="M155">
        <v>24</v>
      </c>
      <c r="N155" t="s">
        <v>34</v>
      </c>
      <c r="O155">
        <v>2</v>
      </c>
      <c r="P155">
        <v>1</v>
      </c>
      <c r="R155">
        <v>3</v>
      </c>
      <c r="S155">
        <v>5</v>
      </c>
      <c r="T155">
        <v>2</v>
      </c>
      <c r="U155">
        <v>23</v>
      </c>
      <c r="V155" t="s">
        <v>833</v>
      </c>
      <c r="W155" t="s">
        <v>34</v>
      </c>
    </row>
    <row r="156" spans="1:24" x14ac:dyDescent="0.25">
      <c r="A156" t="s">
        <v>834</v>
      </c>
      <c r="B156" t="s">
        <v>835</v>
      </c>
      <c r="C156" t="s">
        <v>73</v>
      </c>
      <c r="D156">
        <v>36</v>
      </c>
      <c r="E156" t="s">
        <v>27</v>
      </c>
      <c r="F156" t="s">
        <v>50</v>
      </c>
      <c r="G156" t="s">
        <v>836</v>
      </c>
      <c r="H156">
        <v>57159</v>
      </c>
      <c r="I156" t="s">
        <v>42</v>
      </c>
      <c r="J156" t="s">
        <v>61</v>
      </c>
      <c r="K156" t="s">
        <v>54</v>
      </c>
      <c r="L156" t="s">
        <v>33</v>
      </c>
      <c r="M156">
        <v>5</v>
      </c>
      <c r="N156" t="s">
        <v>34</v>
      </c>
      <c r="O156">
        <v>1</v>
      </c>
      <c r="P156">
        <v>2</v>
      </c>
      <c r="Q156">
        <v>4</v>
      </c>
      <c r="R156">
        <v>4</v>
      </c>
      <c r="S156">
        <v>1</v>
      </c>
      <c r="T156">
        <v>3</v>
      </c>
      <c r="U156">
        <v>12</v>
      </c>
      <c r="V156" t="s">
        <v>837</v>
      </c>
      <c r="W156" t="s">
        <v>34</v>
      </c>
    </row>
    <row r="157" spans="1:24" x14ac:dyDescent="0.25">
      <c r="A157" t="s">
        <v>838</v>
      </c>
      <c r="B157" t="s">
        <v>839</v>
      </c>
      <c r="C157" t="s">
        <v>58</v>
      </c>
      <c r="E157" t="s">
        <v>128</v>
      </c>
      <c r="F157" t="s">
        <v>463</v>
      </c>
      <c r="G157" t="s">
        <v>840</v>
      </c>
      <c r="H157">
        <v>91393</v>
      </c>
      <c r="J157" t="s">
        <v>61</v>
      </c>
      <c r="K157" t="s">
        <v>131</v>
      </c>
      <c r="L157" t="s">
        <v>62</v>
      </c>
      <c r="M157">
        <v>35</v>
      </c>
      <c r="N157" t="s">
        <v>34</v>
      </c>
      <c r="O157">
        <v>2</v>
      </c>
      <c r="P157">
        <v>1</v>
      </c>
      <c r="Q157">
        <v>1</v>
      </c>
      <c r="R157">
        <v>3</v>
      </c>
      <c r="S157">
        <v>6</v>
      </c>
      <c r="U157">
        <v>22</v>
      </c>
      <c r="W157" t="s">
        <v>45</v>
      </c>
      <c r="X157" t="s">
        <v>841</v>
      </c>
    </row>
    <row r="158" spans="1:24" x14ac:dyDescent="0.25">
      <c r="A158" t="s">
        <v>842</v>
      </c>
      <c r="B158" t="s">
        <v>843</v>
      </c>
      <c r="C158" t="s">
        <v>81</v>
      </c>
      <c r="D158">
        <v>38</v>
      </c>
      <c r="E158" t="s">
        <v>554</v>
      </c>
      <c r="F158" t="s">
        <v>286</v>
      </c>
      <c r="G158" t="s">
        <v>844</v>
      </c>
      <c r="H158">
        <v>72710</v>
      </c>
      <c r="I158" t="s">
        <v>52</v>
      </c>
      <c r="J158" t="s">
        <v>31</v>
      </c>
      <c r="K158" t="s">
        <v>113</v>
      </c>
      <c r="L158" t="s">
        <v>43</v>
      </c>
      <c r="M158">
        <v>26</v>
      </c>
      <c r="N158" t="s">
        <v>34</v>
      </c>
      <c r="O158">
        <v>1</v>
      </c>
      <c r="P158">
        <v>1</v>
      </c>
      <c r="Q158">
        <v>3</v>
      </c>
      <c r="R158">
        <v>3</v>
      </c>
      <c r="S158">
        <v>5</v>
      </c>
      <c r="T158">
        <v>8</v>
      </c>
      <c r="U158">
        <v>21</v>
      </c>
      <c r="V158" t="s">
        <v>845</v>
      </c>
      <c r="W158" t="s">
        <v>34</v>
      </c>
    </row>
    <row r="159" spans="1:24" x14ac:dyDescent="0.25">
      <c r="A159" t="s">
        <v>846</v>
      </c>
      <c r="B159" t="s">
        <v>847</v>
      </c>
      <c r="C159" t="s">
        <v>58</v>
      </c>
      <c r="D159">
        <v>41</v>
      </c>
      <c r="E159" t="s">
        <v>128</v>
      </c>
      <c r="F159" t="s">
        <v>848</v>
      </c>
      <c r="G159" t="s">
        <v>849</v>
      </c>
      <c r="H159">
        <v>51448</v>
      </c>
      <c r="I159" t="s">
        <v>42</v>
      </c>
      <c r="J159" t="s">
        <v>97</v>
      </c>
      <c r="K159" t="s">
        <v>167</v>
      </c>
      <c r="L159" t="s">
        <v>33</v>
      </c>
      <c r="M159">
        <v>43</v>
      </c>
      <c r="N159" t="s">
        <v>34</v>
      </c>
      <c r="O159">
        <v>3</v>
      </c>
      <c r="P159">
        <v>4</v>
      </c>
      <c r="Q159">
        <v>2</v>
      </c>
      <c r="R159">
        <v>3</v>
      </c>
      <c r="S159">
        <v>3</v>
      </c>
      <c r="T159">
        <v>0</v>
      </c>
      <c r="U159">
        <v>25</v>
      </c>
      <c r="V159" t="s">
        <v>850</v>
      </c>
      <c r="W159" t="s">
        <v>34</v>
      </c>
    </row>
    <row r="160" spans="1:24" x14ac:dyDescent="0.25">
      <c r="A160" t="s">
        <v>851</v>
      </c>
      <c r="B160" t="s">
        <v>852</v>
      </c>
      <c r="C160" t="s">
        <v>87</v>
      </c>
      <c r="D160">
        <v>36</v>
      </c>
      <c r="E160" t="s">
        <v>128</v>
      </c>
      <c r="F160" t="s">
        <v>271</v>
      </c>
      <c r="G160" t="s">
        <v>853</v>
      </c>
      <c r="H160">
        <v>67711</v>
      </c>
      <c r="I160" t="s">
        <v>52</v>
      </c>
      <c r="J160" t="s">
        <v>61</v>
      </c>
      <c r="K160" t="s">
        <v>113</v>
      </c>
      <c r="L160" t="s">
        <v>43</v>
      </c>
      <c r="M160">
        <v>19</v>
      </c>
      <c r="N160" t="s">
        <v>34</v>
      </c>
      <c r="O160">
        <v>3</v>
      </c>
      <c r="P160">
        <v>1</v>
      </c>
      <c r="Q160">
        <v>4</v>
      </c>
      <c r="R160">
        <v>2</v>
      </c>
      <c r="T160">
        <v>4</v>
      </c>
      <c r="U160">
        <v>24</v>
      </c>
      <c r="V160" t="s">
        <v>854</v>
      </c>
      <c r="W160" t="s">
        <v>34</v>
      </c>
    </row>
    <row r="161" spans="1:24" x14ac:dyDescent="0.25">
      <c r="A161" t="s">
        <v>855</v>
      </c>
      <c r="B161" t="s">
        <v>856</v>
      </c>
      <c r="C161" t="s">
        <v>81</v>
      </c>
      <c r="D161">
        <v>29</v>
      </c>
      <c r="E161" t="s">
        <v>88</v>
      </c>
      <c r="F161" t="s">
        <v>261</v>
      </c>
      <c r="G161" t="s">
        <v>857</v>
      </c>
      <c r="H161" t="s">
        <v>858</v>
      </c>
      <c r="I161" t="s">
        <v>30</v>
      </c>
      <c r="J161" t="s">
        <v>61</v>
      </c>
      <c r="K161" t="s">
        <v>32</v>
      </c>
      <c r="L161" t="s">
        <v>62</v>
      </c>
      <c r="M161">
        <v>13</v>
      </c>
      <c r="N161" t="s">
        <v>45</v>
      </c>
      <c r="O161">
        <v>1</v>
      </c>
      <c r="P161">
        <v>2</v>
      </c>
      <c r="Q161">
        <v>3</v>
      </c>
      <c r="R161">
        <v>3</v>
      </c>
      <c r="S161">
        <v>5</v>
      </c>
      <c r="T161">
        <v>2</v>
      </c>
      <c r="U161">
        <v>24</v>
      </c>
      <c r="V161" t="s">
        <v>859</v>
      </c>
      <c r="W161" t="s">
        <v>45</v>
      </c>
      <c r="X161" t="s">
        <v>860</v>
      </c>
    </row>
    <row r="162" spans="1:24" x14ac:dyDescent="0.25">
      <c r="A162" t="s">
        <v>861</v>
      </c>
      <c r="B162" t="s">
        <v>862</v>
      </c>
      <c r="D162">
        <v>21</v>
      </c>
      <c r="E162" t="s">
        <v>122</v>
      </c>
      <c r="F162" t="s">
        <v>123</v>
      </c>
      <c r="G162" t="s">
        <v>863</v>
      </c>
      <c r="I162" t="s">
        <v>52</v>
      </c>
      <c r="J162" t="s">
        <v>31</v>
      </c>
      <c r="K162" t="s">
        <v>32</v>
      </c>
      <c r="L162" t="s">
        <v>43</v>
      </c>
      <c r="M162">
        <v>1</v>
      </c>
      <c r="N162" t="s">
        <v>45</v>
      </c>
      <c r="O162">
        <v>4</v>
      </c>
      <c r="P162">
        <v>1</v>
      </c>
      <c r="Q162">
        <v>3</v>
      </c>
      <c r="R162">
        <v>4</v>
      </c>
      <c r="S162">
        <v>2</v>
      </c>
      <c r="T162">
        <v>2</v>
      </c>
      <c r="U162">
        <v>13</v>
      </c>
      <c r="V162" t="s">
        <v>864</v>
      </c>
      <c r="W162" t="s">
        <v>34</v>
      </c>
    </row>
    <row r="163" spans="1:24" x14ac:dyDescent="0.25">
      <c r="A163" t="s">
        <v>865</v>
      </c>
      <c r="B163" t="s">
        <v>866</v>
      </c>
      <c r="C163" t="s">
        <v>26</v>
      </c>
      <c r="D163">
        <v>50</v>
      </c>
      <c r="E163" t="s">
        <v>27</v>
      </c>
      <c r="F163" t="s">
        <v>59</v>
      </c>
      <c r="G163" t="s">
        <v>867</v>
      </c>
      <c r="H163">
        <v>56881</v>
      </c>
      <c r="I163" t="s">
        <v>30</v>
      </c>
      <c r="J163" t="s">
        <v>61</v>
      </c>
      <c r="K163" t="s">
        <v>167</v>
      </c>
      <c r="L163" t="s">
        <v>62</v>
      </c>
      <c r="M163">
        <v>30</v>
      </c>
      <c r="N163" t="s">
        <v>34</v>
      </c>
      <c r="O163">
        <v>4</v>
      </c>
      <c r="P163">
        <v>3</v>
      </c>
      <c r="Q163">
        <v>4</v>
      </c>
      <c r="R163">
        <v>3</v>
      </c>
      <c r="S163">
        <v>3</v>
      </c>
      <c r="T163">
        <v>3</v>
      </c>
      <c r="U163">
        <v>17</v>
      </c>
      <c r="V163" t="s">
        <v>868</v>
      </c>
      <c r="W163" t="s">
        <v>34</v>
      </c>
    </row>
    <row r="164" spans="1:24" x14ac:dyDescent="0.25">
      <c r="A164" t="s">
        <v>869</v>
      </c>
      <c r="B164" t="s">
        <v>870</v>
      </c>
      <c r="C164" t="s">
        <v>87</v>
      </c>
      <c r="D164">
        <v>45</v>
      </c>
      <c r="E164" t="s">
        <v>88</v>
      </c>
      <c r="F164" t="s">
        <v>261</v>
      </c>
      <c r="G164" t="s">
        <v>871</v>
      </c>
      <c r="H164" t="s">
        <v>872</v>
      </c>
      <c r="I164" t="s">
        <v>52</v>
      </c>
      <c r="J164" t="s">
        <v>61</v>
      </c>
      <c r="K164" t="s">
        <v>32</v>
      </c>
      <c r="M164">
        <v>33</v>
      </c>
      <c r="N164" t="s">
        <v>34</v>
      </c>
      <c r="O164">
        <v>4</v>
      </c>
      <c r="P164">
        <v>1</v>
      </c>
      <c r="R164">
        <v>3</v>
      </c>
      <c r="S164">
        <v>1</v>
      </c>
      <c r="T164">
        <v>6</v>
      </c>
      <c r="U164">
        <v>15</v>
      </c>
      <c r="V164" t="s">
        <v>873</v>
      </c>
      <c r="W164" t="s">
        <v>34</v>
      </c>
    </row>
    <row r="165" spans="1:24" x14ac:dyDescent="0.25">
      <c r="A165" t="s">
        <v>874</v>
      </c>
      <c r="B165" t="s">
        <v>875</v>
      </c>
      <c r="C165" t="s">
        <v>73</v>
      </c>
      <c r="D165">
        <v>28</v>
      </c>
      <c r="E165" t="s">
        <v>554</v>
      </c>
      <c r="F165" t="s">
        <v>286</v>
      </c>
      <c r="G165" t="s">
        <v>876</v>
      </c>
      <c r="H165">
        <v>81222</v>
      </c>
      <c r="I165" t="s">
        <v>42</v>
      </c>
      <c r="J165" t="s">
        <v>61</v>
      </c>
      <c r="K165" t="s">
        <v>77</v>
      </c>
      <c r="L165" t="s">
        <v>62</v>
      </c>
      <c r="M165">
        <v>24</v>
      </c>
      <c r="N165" t="s">
        <v>34</v>
      </c>
      <c r="O165">
        <v>1</v>
      </c>
      <c r="P165">
        <v>3</v>
      </c>
      <c r="Q165">
        <v>2</v>
      </c>
      <c r="R165">
        <v>4</v>
      </c>
      <c r="S165">
        <v>2</v>
      </c>
      <c r="T165">
        <v>0</v>
      </c>
      <c r="U165">
        <v>11</v>
      </c>
      <c r="V165" t="s">
        <v>877</v>
      </c>
      <c r="W165" t="s">
        <v>34</v>
      </c>
    </row>
    <row r="166" spans="1:24" x14ac:dyDescent="0.25">
      <c r="A166" t="s">
        <v>878</v>
      </c>
      <c r="B166" t="s">
        <v>879</v>
      </c>
      <c r="C166" t="s">
        <v>49</v>
      </c>
      <c r="D166">
        <v>42</v>
      </c>
      <c r="E166" t="s">
        <v>629</v>
      </c>
      <c r="F166" t="s">
        <v>255</v>
      </c>
      <c r="G166" t="s">
        <v>880</v>
      </c>
      <c r="H166">
        <v>59219</v>
      </c>
      <c r="I166" t="s">
        <v>30</v>
      </c>
      <c r="J166" t="s">
        <v>61</v>
      </c>
      <c r="L166" t="s">
        <v>62</v>
      </c>
      <c r="M166">
        <v>10</v>
      </c>
      <c r="N166" t="s">
        <v>34</v>
      </c>
      <c r="O166">
        <v>3</v>
      </c>
      <c r="P166">
        <v>1</v>
      </c>
      <c r="Q166">
        <v>3</v>
      </c>
      <c r="R166">
        <v>3</v>
      </c>
      <c r="S166">
        <v>3</v>
      </c>
      <c r="T166">
        <v>8</v>
      </c>
      <c r="U166">
        <v>12</v>
      </c>
      <c r="V166" t="s">
        <v>881</v>
      </c>
      <c r="W166" t="s">
        <v>34</v>
      </c>
    </row>
    <row r="167" spans="1:24" x14ac:dyDescent="0.25">
      <c r="A167" t="s">
        <v>882</v>
      </c>
      <c r="B167" t="s">
        <v>883</v>
      </c>
      <c r="D167">
        <v>41</v>
      </c>
      <c r="E167" t="s">
        <v>197</v>
      </c>
      <c r="F167" t="s">
        <v>884</v>
      </c>
      <c r="G167" t="s">
        <v>885</v>
      </c>
      <c r="H167">
        <v>51101</v>
      </c>
      <c r="I167" t="s">
        <v>52</v>
      </c>
      <c r="J167" t="s">
        <v>61</v>
      </c>
      <c r="K167" t="s">
        <v>77</v>
      </c>
      <c r="L167" t="s">
        <v>43</v>
      </c>
      <c r="M167">
        <v>4</v>
      </c>
      <c r="N167" t="s">
        <v>34</v>
      </c>
      <c r="O167">
        <v>2</v>
      </c>
      <c r="P167">
        <v>3</v>
      </c>
      <c r="Q167">
        <v>4</v>
      </c>
      <c r="R167">
        <v>4</v>
      </c>
      <c r="S167">
        <v>3</v>
      </c>
      <c r="T167">
        <v>1</v>
      </c>
      <c r="U167">
        <v>12</v>
      </c>
      <c r="V167" t="s">
        <v>886</v>
      </c>
      <c r="W167" t="s">
        <v>34</v>
      </c>
    </row>
    <row r="168" spans="1:24" x14ac:dyDescent="0.25">
      <c r="A168" t="s">
        <v>887</v>
      </c>
      <c r="B168" t="s">
        <v>888</v>
      </c>
      <c r="C168" t="s">
        <v>87</v>
      </c>
      <c r="D168">
        <v>19</v>
      </c>
      <c r="F168" t="s">
        <v>50</v>
      </c>
      <c r="G168" t="s">
        <v>889</v>
      </c>
      <c r="H168" t="s">
        <v>890</v>
      </c>
      <c r="I168" t="s">
        <v>30</v>
      </c>
      <c r="J168" t="s">
        <v>53</v>
      </c>
      <c r="K168" t="s">
        <v>54</v>
      </c>
      <c r="L168" t="s">
        <v>62</v>
      </c>
      <c r="M168">
        <v>1</v>
      </c>
      <c r="N168" t="s">
        <v>45</v>
      </c>
      <c r="O168">
        <v>3</v>
      </c>
      <c r="P168">
        <v>2</v>
      </c>
      <c r="Q168">
        <v>4</v>
      </c>
      <c r="R168">
        <v>1</v>
      </c>
      <c r="S168">
        <v>1</v>
      </c>
      <c r="T168">
        <v>6</v>
      </c>
      <c r="U168">
        <v>13</v>
      </c>
      <c r="V168" t="s">
        <v>891</v>
      </c>
      <c r="W168" t="s">
        <v>34</v>
      </c>
    </row>
    <row r="169" spans="1:24" x14ac:dyDescent="0.25">
      <c r="A169" t="s">
        <v>892</v>
      </c>
      <c r="B169" t="s">
        <v>893</v>
      </c>
      <c r="C169" t="s">
        <v>81</v>
      </c>
      <c r="D169">
        <v>22</v>
      </c>
      <c r="E169" t="s">
        <v>88</v>
      </c>
      <c r="F169" t="s">
        <v>286</v>
      </c>
      <c r="G169" t="s">
        <v>894</v>
      </c>
      <c r="H169" t="s">
        <v>895</v>
      </c>
      <c r="I169" t="s">
        <v>30</v>
      </c>
      <c r="J169" t="s">
        <v>31</v>
      </c>
      <c r="K169" t="s">
        <v>98</v>
      </c>
      <c r="L169" t="s">
        <v>33</v>
      </c>
      <c r="M169">
        <v>7</v>
      </c>
      <c r="N169" t="s">
        <v>34</v>
      </c>
      <c r="O169">
        <v>1</v>
      </c>
      <c r="P169">
        <v>1</v>
      </c>
      <c r="Q169">
        <v>2</v>
      </c>
      <c r="R169">
        <v>3</v>
      </c>
      <c r="S169">
        <v>4</v>
      </c>
      <c r="T169">
        <v>0</v>
      </c>
      <c r="U169">
        <v>12</v>
      </c>
      <c r="V169" t="s">
        <v>896</v>
      </c>
      <c r="W169" t="s">
        <v>45</v>
      </c>
      <c r="X169" t="s">
        <v>897</v>
      </c>
    </row>
    <row r="170" spans="1:24" x14ac:dyDescent="0.25">
      <c r="A170" t="s">
        <v>898</v>
      </c>
      <c r="B170" t="s">
        <v>899</v>
      </c>
      <c r="C170" t="s">
        <v>49</v>
      </c>
      <c r="D170">
        <v>37</v>
      </c>
      <c r="E170" t="s">
        <v>457</v>
      </c>
      <c r="F170" t="s">
        <v>188</v>
      </c>
      <c r="G170" t="s">
        <v>900</v>
      </c>
      <c r="H170">
        <v>79617</v>
      </c>
      <c r="I170" t="s">
        <v>52</v>
      </c>
      <c r="J170" t="s">
        <v>61</v>
      </c>
      <c r="K170" t="s">
        <v>54</v>
      </c>
      <c r="L170" t="s">
        <v>33</v>
      </c>
      <c r="M170">
        <v>9</v>
      </c>
      <c r="N170" t="s">
        <v>45</v>
      </c>
      <c r="O170">
        <v>3</v>
      </c>
      <c r="P170">
        <v>2</v>
      </c>
      <c r="Q170">
        <v>3</v>
      </c>
      <c r="R170">
        <v>3</v>
      </c>
      <c r="S170">
        <v>0</v>
      </c>
      <c r="T170">
        <v>1</v>
      </c>
      <c r="U170">
        <v>15</v>
      </c>
      <c r="V170" t="s">
        <v>901</v>
      </c>
      <c r="W170" t="s">
        <v>34</v>
      </c>
    </row>
    <row r="171" spans="1:24" x14ac:dyDescent="0.25">
      <c r="A171" t="s">
        <v>902</v>
      </c>
      <c r="B171" t="s">
        <v>903</v>
      </c>
      <c r="C171" t="s">
        <v>67</v>
      </c>
      <c r="D171">
        <v>40</v>
      </c>
      <c r="E171" t="s">
        <v>554</v>
      </c>
      <c r="F171" t="s">
        <v>141</v>
      </c>
      <c r="G171" t="s">
        <v>904</v>
      </c>
      <c r="H171">
        <v>119694</v>
      </c>
      <c r="I171" t="s">
        <v>30</v>
      </c>
      <c r="J171" t="s">
        <v>31</v>
      </c>
      <c r="K171" t="s">
        <v>54</v>
      </c>
      <c r="L171" t="s">
        <v>43</v>
      </c>
      <c r="M171">
        <v>14</v>
      </c>
      <c r="N171" t="s">
        <v>45</v>
      </c>
      <c r="O171">
        <v>1</v>
      </c>
      <c r="P171">
        <v>2</v>
      </c>
      <c r="Q171">
        <v>1</v>
      </c>
      <c r="R171">
        <v>3</v>
      </c>
      <c r="S171">
        <v>5</v>
      </c>
      <c r="T171">
        <v>5</v>
      </c>
      <c r="U171">
        <v>15</v>
      </c>
      <c r="V171" t="s">
        <v>905</v>
      </c>
      <c r="W171" t="s">
        <v>45</v>
      </c>
      <c r="X171" t="s">
        <v>906</v>
      </c>
    </row>
    <row r="172" spans="1:24" x14ac:dyDescent="0.25">
      <c r="A172" t="s">
        <v>907</v>
      </c>
      <c r="B172" t="s">
        <v>908</v>
      </c>
      <c r="C172" t="s">
        <v>73</v>
      </c>
      <c r="D172">
        <v>39</v>
      </c>
      <c r="E172" t="s">
        <v>94</v>
      </c>
      <c r="F172" t="s">
        <v>639</v>
      </c>
      <c r="G172" t="s">
        <v>909</v>
      </c>
      <c r="H172">
        <v>74994</v>
      </c>
      <c r="I172" t="s">
        <v>42</v>
      </c>
      <c r="J172" t="s">
        <v>31</v>
      </c>
      <c r="K172" t="s">
        <v>98</v>
      </c>
      <c r="L172" t="s">
        <v>43</v>
      </c>
      <c r="M172">
        <v>26</v>
      </c>
      <c r="N172" t="s">
        <v>45</v>
      </c>
      <c r="O172">
        <v>1</v>
      </c>
      <c r="P172">
        <v>4</v>
      </c>
      <c r="Q172">
        <v>1</v>
      </c>
      <c r="R172">
        <v>5</v>
      </c>
      <c r="S172">
        <v>3</v>
      </c>
      <c r="T172">
        <v>7</v>
      </c>
      <c r="U172">
        <v>20</v>
      </c>
      <c r="V172" t="s">
        <v>910</v>
      </c>
      <c r="W172" t="s">
        <v>45</v>
      </c>
      <c r="X172" t="s">
        <v>911</v>
      </c>
    </row>
    <row r="173" spans="1:24" x14ac:dyDescent="0.25">
      <c r="A173" t="s">
        <v>912</v>
      </c>
      <c r="B173" t="s">
        <v>913</v>
      </c>
      <c r="C173" t="s">
        <v>49</v>
      </c>
      <c r="D173">
        <v>36</v>
      </c>
      <c r="E173" t="s">
        <v>128</v>
      </c>
      <c r="F173" t="s">
        <v>255</v>
      </c>
      <c r="G173" t="s">
        <v>914</v>
      </c>
      <c r="H173">
        <v>45402</v>
      </c>
      <c r="I173" t="s">
        <v>52</v>
      </c>
      <c r="J173" t="s">
        <v>31</v>
      </c>
      <c r="K173" t="s">
        <v>98</v>
      </c>
      <c r="L173" t="s">
        <v>62</v>
      </c>
      <c r="M173">
        <v>45</v>
      </c>
      <c r="N173" t="s">
        <v>45</v>
      </c>
      <c r="O173">
        <v>4</v>
      </c>
      <c r="P173">
        <v>1</v>
      </c>
      <c r="Q173">
        <v>2</v>
      </c>
      <c r="R173">
        <v>5</v>
      </c>
      <c r="S173">
        <v>5</v>
      </c>
      <c r="T173">
        <v>1</v>
      </c>
      <c r="U173">
        <v>18</v>
      </c>
      <c r="V173" t="s">
        <v>915</v>
      </c>
      <c r="W173" t="s">
        <v>45</v>
      </c>
      <c r="X173" t="s">
        <v>916</v>
      </c>
    </row>
    <row r="174" spans="1:24" x14ac:dyDescent="0.25">
      <c r="A174" t="s">
        <v>917</v>
      </c>
      <c r="B174" t="s">
        <v>918</v>
      </c>
      <c r="C174" t="s">
        <v>102</v>
      </c>
      <c r="D174">
        <v>30</v>
      </c>
      <c r="E174" t="s">
        <v>706</v>
      </c>
      <c r="F174" t="s">
        <v>356</v>
      </c>
      <c r="G174" t="s">
        <v>919</v>
      </c>
      <c r="H174">
        <v>60692</v>
      </c>
      <c r="I174" t="s">
        <v>52</v>
      </c>
      <c r="J174" t="s">
        <v>31</v>
      </c>
      <c r="K174" t="s">
        <v>54</v>
      </c>
      <c r="L174" t="s">
        <v>43</v>
      </c>
      <c r="M174">
        <v>21</v>
      </c>
      <c r="N174" t="s">
        <v>45</v>
      </c>
      <c r="O174">
        <v>3</v>
      </c>
      <c r="P174">
        <v>2</v>
      </c>
      <c r="Q174">
        <v>4</v>
      </c>
      <c r="R174">
        <v>3</v>
      </c>
      <c r="S174">
        <v>1</v>
      </c>
      <c r="T174">
        <v>6</v>
      </c>
      <c r="W174" t="s">
        <v>34</v>
      </c>
    </row>
    <row r="175" spans="1:24" x14ac:dyDescent="0.25">
      <c r="A175" t="s">
        <v>920</v>
      </c>
      <c r="B175" t="s">
        <v>921</v>
      </c>
      <c r="C175" t="s">
        <v>49</v>
      </c>
      <c r="D175">
        <v>36</v>
      </c>
      <c r="E175" t="s">
        <v>94</v>
      </c>
      <c r="F175" t="s">
        <v>266</v>
      </c>
      <c r="G175" t="s">
        <v>922</v>
      </c>
      <c r="H175">
        <v>65813</v>
      </c>
      <c r="I175" t="s">
        <v>30</v>
      </c>
      <c r="J175" t="s">
        <v>31</v>
      </c>
      <c r="K175" t="s">
        <v>54</v>
      </c>
      <c r="L175" t="s">
        <v>43</v>
      </c>
      <c r="M175">
        <v>21</v>
      </c>
      <c r="N175" t="s">
        <v>34</v>
      </c>
      <c r="O175">
        <v>2</v>
      </c>
      <c r="P175">
        <v>1</v>
      </c>
      <c r="Q175">
        <v>4</v>
      </c>
      <c r="R175">
        <v>4</v>
      </c>
      <c r="S175">
        <v>6</v>
      </c>
      <c r="T175">
        <v>4</v>
      </c>
      <c r="U175">
        <v>15</v>
      </c>
      <c r="V175" t="s">
        <v>923</v>
      </c>
      <c r="W175" t="s">
        <v>34</v>
      </c>
    </row>
    <row r="176" spans="1:24" x14ac:dyDescent="0.25">
      <c r="A176" t="s">
        <v>924</v>
      </c>
      <c r="B176" t="s">
        <v>925</v>
      </c>
      <c r="C176" t="s">
        <v>67</v>
      </c>
      <c r="D176">
        <v>35</v>
      </c>
      <c r="E176" t="s">
        <v>88</v>
      </c>
      <c r="F176" t="s">
        <v>141</v>
      </c>
      <c r="G176" t="s">
        <v>926</v>
      </c>
      <c r="H176">
        <v>142618</v>
      </c>
      <c r="I176" t="s">
        <v>52</v>
      </c>
      <c r="J176" t="s">
        <v>61</v>
      </c>
      <c r="K176" t="s">
        <v>113</v>
      </c>
      <c r="L176" t="s">
        <v>62</v>
      </c>
      <c r="M176">
        <v>37</v>
      </c>
      <c r="N176" t="s">
        <v>45</v>
      </c>
      <c r="O176">
        <v>2</v>
      </c>
      <c r="P176">
        <v>3</v>
      </c>
      <c r="Q176">
        <v>4</v>
      </c>
      <c r="R176">
        <v>4</v>
      </c>
      <c r="S176">
        <v>6</v>
      </c>
      <c r="T176">
        <v>7</v>
      </c>
      <c r="U176">
        <v>22</v>
      </c>
      <c r="V176" t="s">
        <v>927</v>
      </c>
      <c r="W176" t="s">
        <v>45</v>
      </c>
      <c r="X176" t="s">
        <v>928</v>
      </c>
    </row>
    <row r="177" spans="1:24" x14ac:dyDescent="0.25">
      <c r="A177" t="s">
        <v>929</v>
      </c>
      <c r="B177" t="s">
        <v>930</v>
      </c>
      <c r="C177" t="s">
        <v>102</v>
      </c>
      <c r="D177">
        <v>41</v>
      </c>
      <c r="E177" t="s">
        <v>27</v>
      </c>
      <c r="F177" t="s">
        <v>59</v>
      </c>
      <c r="G177" t="s">
        <v>931</v>
      </c>
      <c r="H177" t="s">
        <v>932</v>
      </c>
      <c r="I177" t="s">
        <v>30</v>
      </c>
      <c r="J177" t="s">
        <v>31</v>
      </c>
      <c r="K177" t="s">
        <v>113</v>
      </c>
      <c r="L177" t="s">
        <v>43</v>
      </c>
      <c r="M177">
        <v>45</v>
      </c>
      <c r="N177" t="s">
        <v>45</v>
      </c>
      <c r="O177">
        <v>3</v>
      </c>
      <c r="P177">
        <v>4</v>
      </c>
      <c r="Q177">
        <v>2</v>
      </c>
      <c r="R177">
        <v>5</v>
      </c>
      <c r="S177">
        <v>3</v>
      </c>
      <c r="T177">
        <v>0</v>
      </c>
      <c r="U177">
        <v>12</v>
      </c>
      <c r="V177" t="s">
        <v>933</v>
      </c>
      <c r="W177" t="s">
        <v>45</v>
      </c>
      <c r="X177" t="s">
        <v>934</v>
      </c>
    </row>
    <row r="178" spans="1:24" x14ac:dyDescent="0.25">
      <c r="A178" t="s">
        <v>935</v>
      </c>
      <c r="B178" t="s">
        <v>936</v>
      </c>
      <c r="C178" t="s">
        <v>49</v>
      </c>
      <c r="D178">
        <v>41</v>
      </c>
      <c r="E178" t="s">
        <v>128</v>
      </c>
      <c r="F178" t="s">
        <v>129</v>
      </c>
      <c r="G178" t="s">
        <v>937</v>
      </c>
      <c r="H178">
        <v>93037</v>
      </c>
      <c r="I178" t="s">
        <v>30</v>
      </c>
      <c r="J178" t="s">
        <v>143</v>
      </c>
      <c r="K178" t="s">
        <v>167</v>
      </c>
      <c r="L178" t="s">
        <v>62</v>
      </c>
      <c r="M178">
        <v>13</v>
      </c>
      <c r="N178" t="s">
        <v>45</v>
      </c>
      <c r="O178">
        <v>2</v>
      </c>
      <c r="P178">
        <v>3</v>
      </c>
      <c r="Q178">
        <v>3</v>
      </c>
      <c r="R178">
        <v>4</v>
      </c>
      <c r="S178">
        <v>4</v>
      </c>
      <c r="T178">
        <v>3</v>
      </c>
      <c r="U178">
        <v>13</v>
      </c>
      <c r="V178" t="s">
        <v>938</v>
      </c>
      <c r="W178" t="s">
        <v>45</v>
      </c>
      <c r="X178" t="s">
        <v>939</v>
      </c>
    </row>
    <row r="179" spans="1:24" x14ac:dyDescent="0.25">
      <c r="A179" t="s">
        <v>940</v>
      </c>
      <c r="B179" t="s">
        <v>941</v>
      </c>
      <c r="C179" t="s">
        <v>58</v>
      </c>
      <c r="D179">
        <v>27</v>
      </c>
      <c r="E179" t="s">
        <v>128</v>
      </c>
      <c r="F179" t="s">
        <v>271</v>
      </c>
      <c r="G179" t="s">
        <v>942</v>
      </c>
      <c r="H179">
        <v>37414</v>
      </c>
      <c r="I179" t="s">
        <v>52</v>
      </c>
      <c r="J179" t="s">
        <v>61</v>
      </c>
      <c r="K179" t="s">
        <v>98</v>
      </c>
      <c r="L179" t="s">
        <v>43</v>
      </c>
      <c r="M179">
        <v>20</v>
      </c>
      <c r="N179" t="s">
        <v>45</v>
      </c>
      <c r="O179">
        <v>4</v>
      </c>
      <c r="P179">
        <v>1</v>
      </c>
      <c r="Q179">
        <v>3</v>
      </c>
      <c r="R179">
        <v>3</v>
      </c>
      <c r="S179">
        <v>5</v>
      </c>
      <c r="T179">
        <v>5</v>
      </c>
      <c r="U179">
        <v>23</v>
      </c>
      <c r="W179" t="s">
        <v>34</v>
      </c>
    </row>
    <row r="180" spans="1:24" x14ac:dyDescent="0.25">
      <c r="A180" t="s">
        <v>943</v>
      </c>
      <c r="B180" t="s">
        <v>944</v>
      </c>
      <c r="C180" t="s">
        <v>49</v>
      </c>
      <c r="D180">
        <v>33</v>
      </c>
      <c r="E180" t="s">
        <v>412</v>
      </c>
      <c r="F180" t="s">
        <v>945</v>
      </c>
      <c r="G180" t="s">
        <v>946</v>
      </c>
      <c r="H180">
        <v>71944</v>
      </c>
      <c r="I180" t="s">
        <v>30</v>
      </c>
      <c r="J180" t="s">
        <v>97</v>
      </c>
      <c r="K180" t="s">
        <v>113</v>
      </c>
      <c r="M180">
        <v>37</v>
      </c>
      <c r="N180" t="s">
        <v>34</v>
      </c>
      <c r="O180">
        <v>1</v>
      </c>
      <c r="P180">
        <v>1</v>
      </c>
      <c r="Q180">
        <v>1</v>
      </c>
      <c r="R180">
        <v>3</v>
      </c>
      <c r="S180">
        <v>2</v>
      </c>
      <c r="T180">
        <v>2</v>
      </c>
      <c r="U180">
        <v>21</v>
      </c>
      <c r="V180" t="s">
        <v>947</v>
      </c>
      <c r="W180" t="s">
        <v>45</v>
      </c>
      <c r="X180" t="s">
        <v>948</v>
      </c>
    </row>
    <row r="181" spans="1:24" x14ac:dyDescent="0.25">
      <c r="A181" t="s">
        <v>949</v>
      </c>
      <c r="B181" t="s">
        <v>950</v>
      </c>
      <c r="C181" t="s">
        <v>81</v>
      </c>
      <c r="D181">
        <v>45</v>
      </c>
      <c r="E181" t="s">
        <v>322</v>
      </c>
      <c r="F181" t="s">
        <v>198</v>
      </c>
      <c r="G181" t="s">
        <v>951</v>
      </c>
      <c r="H181">
        <v>52744</v>
      </c>
      <c r="I181" t="s">
        <v>42</v>
      </c>
      <c r="J181" t="s">
        <v>61</v>
      </c>
      <c r="K181" t="s">
        <v>200</v>
      </c>
      <c r="L181" t="s">
        <v>62</v>
      </c>
      <c r="M181">
        <v>38</v>
      </c>
      <c r="N181" t="s">
        <v>34</v>
      </c>
      <c r="O181">
        <v>4</v>
      </c>
      <c r="P181">
        <v>2</v>
      </c>
      <c r="R181">
        <v>2</v>
      </c>
      <c r="S181">
        <v>6</v>
      </c>
      <c r="T181">
        <v>5</v>
      </c>
      <c r="U181">
        <v>14</v>
      </c>
      <c r="V181" t="s">
        <v>952</v>
      </c>
      <c r="W181" t="s">
        <v>34</v>
      </c>
    </row>
    <row r="182" spans="1:24" x14ac:dyDescent="0.25">
      <c r="A182" t="s">
        <v>953</v>
      </c>
      <c r="B182" t="s">
        <v>954</v>
      </c>
      <c r="D182">
        <v>29</v>
      </c>
      <c r="E182" t="s">
        <v>88</v>
      </c>
      <c r="F182" t="s">
        <v>89</v>
      </c>
      <c r="G182" t="s">
        <v>955</v>
      </c>
      <c r="H182">
        <v>97282</v>
      </c>
      <c r="I182" t="s">
        <v>42</v>
      </c>
      <c r="J182" t="s">
        <v>61</v>
      </c>
      <c r="K182" t="s">
        <v>32</v>
      </c>
      <c r="L182" t="s">
        <v>33</v>
      </c>
      <c r="M182">
        <v>1</v>
      </c>
      <c r="N182" t="s">
        <v>34</v>
      </c>
      <c r="O182">
        <v>2</v>
      </c>
      <c r="P182">
        <v>3</v>
      </c>
      <c r="Q182">
        <v>4</v>
      </c>
      <c r="R182">
        <v>3</v>
      </c>
      <c r="T182">
        <v>2</v>
      </c>
      <c r="U182">
        <v>15</v>
      </c>
      <c r="V182" t="s">
        <v>956</v>
      </c>
      <c r="W182" t="s">
        <v>34</v>
      </c>
    </row>
    <row r="183" spans="1:24" x14ac:dyDescent="0.25">
      <c r="A183" t="s">
        <v>957</v>
      </c>
      <c r="B183" t="s">
        <v>958</v>
      </c>
      <c r="C183" t="s">
        <v>26</v>
      </c>
      <c r="D183">
        <v>29</v>
      </c>
      <c r="E183" t="s">
        <v>128</v>
      </c>
      <c r="F183" t="s">
        <v>129</v>
      </c>
      <c r="G183" t="s">
        <v>959</v>
      </c>
      <c r="H183">
        <v>57209</v>
      </c>
      <c r="I183" t="s">
        <v>42</v>
      </c>
      <c r="J183" t="s">
        <v>97</v>
      </c>
      <c r="K183" t="s">
        <v>98</v>
      </c>
      <c r="L183" t="s">
        <v>43</v>
      </c>
      <c r="M183">
        <v>20</v>
      </c>
      <c r="N183" t="s">
        <v>45</v>
      </c>
      <c r="O183">
        <v>2</v>
      </c>
      <c r="P183">
        <v>2</v>
      </c>
      <c r="Q183">
        <v>4</v>
      </c>
      <c r="R183">
        <v>3</v>
      </c>
      <c r="S183">
        <v>4</v>
      </c>
      <c r="T183">
        <v>8</v>
      </c>
      <c r="U183">
        <v>24</v>
      </c>
      <c r="V183" t="s">
        <v>960</v>
      </c>
      <c r="W183" t="s">
        <v>45</v>
      </c>
      <c r="X183" t="s">
        <v>961</v>
      </c>
    </row>
    <row r="184" spans="1:24" x14ac:dyDescent="0.25">
      <c r="A184" t="s">
        <v>962</v>
      </c>
      <c r="B184" t="s">
        <v>963</v>
      </c>
      <c r="C184" t="s">
        <v>67</v>
      </c>
      <c r="D184">
        <v>46</v>
      </c>
      <c r="E184" t="s">
        <v>38</v>
      </c>
      <c r="F184" t="s">
        <v>148</v>
      </c>
      <c r="G184" t="s">
        <v>964</v>
      </c>
      <c r="H184" t="s">
        <v>965</v>
      </c>
      <c r="I184" t="s">
        <v>42</v>
      </c>
      <c r="J184" t="s">
        <v>61</v>
      </c>
      <c r="K184" t="s">
        <v>32</v>
      </c>
      <c r="L184" t="s">
        <v>62</v>
      </c>
      <c r="M184">
        <v>9</v>
      </c>
      <c r="N184" t="s">
        <v>34</v>
      </c>
      <c r="O184">
        <v>3</v>
      </c>
      <c r="P184">
        <v>4</v>
      </c>
      <c r="Q184">
        <v>4</v>
      </c>
      <c r="R184">
        <v>3</v>
      </c>
      <c r="S184">
        <v>0</v>
      </c>
      <c r="T184">
        <v>4</v>
      </c>
      <c r="U184">
        <v>14</v>
      </c>
      <c r="V184" t="s">
        <v>966</v>
      </c>
      <c r="W184" t="s">
        <v>34</v>
      </c>
    </row>
    <row r="185" spans="1:24" x14ac:dyDescent="0.25">
      <c r="A185" t="s">
        <v>967</v>
      </c>
      <c r="B185" t="s">
        <v>968</v>
      </c>
      <c r="C185" t="s">
        <v>81</v>
      </c>
      <c r="D185">
        <v>25</v>
      </c>
      <c r="E185" t="s">
        <v>332</v>
      </c>
      <c r="F185" t="s">
        <v>209</v>
      </c>
      <c r="G185" t="s">
        <v>969</v>
      </c>
      <c r="H185">
        <v>65501</v>
      </c>
      <c r="I185" t="s">
        <v>52</v>
      </c>
      <c r="J185" t="s">
        <v>61</v>
      </c>
      <c r="K185" t="s">
        <v>83</v>
      </c>
      <c r="L185" t="s">
        <v>43</v>
      </c>
      <c r="N185" t="s">
        <v>45</v>
      </c>
      <c r="O185">
        <v>1</v>
      </c>
      <c r="P185">
        <v>4</v>
      </c>
      <c r="Q185">
        <v>2</v>
      </c>
      <c r="R185">
        <v>4</v>
      </c>
      <c r="S185">
        <v>4</v>
      </c>
      <c r="T185">
        <v>3</v>
      </c>
      <c r="U185">
        <v>18</v>
      </c>
      <c r="V185" t="s">
        <v>970</v>
      </c>
      <c r="W185" t="s">
        <v>45</v>
      </c>
      <c r="X185" t="s">
        <v>971</v>
      </c>
    </row>
    <row r="186" spans="1:24" x14ac:dyDescent="0.25">
      <c r="A186" t="s">
        <v>972</v>
      </c>
      <c r="B186" t="s">
        <v>973</v>
      </c>
      <c r="C186" t="s">
        <v>102</v>
      </c>
      <c r="D186">
        <v>37</v>
      </c>
      <c r="F186" t="s">
        <v>639</v>
      </c>
      <c r="G186" t="s">
        <v>974</v>
      </c>
      <c r="H186">
        <v>89227</v>
      </c>
      <c r="I186" t="s">
        <v>30</v>
      </c>
      <c r="J186" t="s">
        <v>53</v>
      </c>
      <c r="K186" t="s">
        <v>106</v>
      </c>
      <c r="L186" t="s">
        <v>43</v>
      </c>
      <c r="M186">
        <v>23</v>
      </c>
      <c r="N186" t="s">
        <v>34</v>
      </c>
      <c r="O186">
        <v>4</v>
      </c>
      <c r="P186">
        <v>4</v>
      </c>
      <c r="Q186">
        <v>2</v>
      </c>
      <c r="R186">
        <v>1</v>
      </c>
      <c r="S186">
        <v>0</v>
      </c>
      <c r="T186">
        <v>1</v>
      </c>
      <c r="U186">
        <v>13</v>
      </c>
      <c r="W186" t="s">
        <v>34</v>
      </c>
    </row>
    <row r="187" spans="1:24" x14ac:dyDescent="0.25">
      <c r="A187" t="s">
        <v>975</v>
      </c>
      <c r="B187" t="s">
        <v>976</v>
      </c>
      <c r="C187" t="s">
        <v>58</v>
      </c>
      <c r="D187">
        <v>30</v>
      </c>
      <c r="E187" t="s">
        <v>88</v>
      </c>
      <c r="F187" t="s">
        <v>286</v>
      </c>
      <c r="G187" t="s">
        <v>977</v>
      </c>
      <c r="H187" t="s">
        <v>978</v>
      </c>
      <c r="I187" t="s">
        <v>30</v>
      </c>
      <c r="J187" t="s">
        <v>61</v>
      </c>
      <c r="K187" t="s">
        <v>131</v>
      </c>
      <c r="L187" t="s">
        <v>33</v>
      </c>
      <c r="M187">
        <v>16</v>
      </c>
      <c r="N187" t="s">
        <v>34</v>
      </c>
      <c r="O187">
        <v>4</v>
      </c>
      <c r="P187">
        <v>1</v>
      </c>
      <c r="Q187">
        <v>3</v>
      </c>
      <c r="R187">
        <v>2</v>
      </c>
      <c r="S187">
        <v>5</v>
      </c>
      <c r="T187">
        <v>1</v>
      </c>
      <c r="U187">
        <v>24</v>
      </c>
      <c r="V187" t="s">
        <v>979</v>
      </c>
      <c r="W187" t="s">
        <v>34</v>
      </c>
    </row>
    <row r="188" spans="1:24" x14ac:dyDescent="0.25">
      <c r="A188" t="s">
        <v>980</v>
      </c>
      <c r="B188" t="s">
        <v>981</v>
      </c>
      <c r="C188" t="s">
        <v>49</v>
      </c>
      <c r="D188">
        <v>49</v>
      </c>
      <c r="E188" t="s">
        <v>94</v>
      </c>
      <c r="F188" t="s">
        <v>306</v>
      </c>
      <c r="G188" t="s">
        <v>982</v>
      </c>
      <c r="H188">
        <v>93471</v>
      </c>
      <c r="I188" t="s">
        <v>30</v>
      </c>
      <c r="J188" t="s">
        <v>61</v>
      </c>
      <c r="K188" t="s">
        <v>200</v>
      </c>
      <c r="L188" t="s">
        <v>62</v>
      </c>
      <c r="N188" t="s">
        <v>45</v>
      </c>
      <c r="O188">
        <v>3</v>
      </c>
      <c r="P188">
        <v>1</v>
      </c>
      <c r="Q188">
        <v>2</v>
      </c>
      <c r="R188">
        <v>5</v>
      </c>
      <c r="S188">
        <v>4</v>
      </c>
      <c r="T188">
        <v>8</v>
      </c>
      <c r="U188">
        <v>21</v>
      </c>
      <c r="V188" t="s">
        <v>983</v>
      </c>
      <c r="W188" t="s">
        <v>34</v>
      </c>
    </row>
    <row r="189" spans="1:24" x14ac:dyDescent="0.25">
      <c r="A189" t="s">
        <v>984</v>
      </c>
      <c r="B189" t="s">
        <v>985</v>
      </c>
      <c r="C189" t="s">
        <v>81</v>
      </c>
      <c r="D189">
        <v>44</v>
      </c>
      <c r="E189" t="s">
        <v>38</v>
      </c>
      <c r="F189" t="s">
        <v>148</v>
      </c>
      <c r="G189" t="s">
        <v>986</v>
      </c>
      <c r="H189">
        <v>81250</v>
      </c>
      <c r="I189" t="s">
        <v>30</v>
      </c>
      <c r="J189" t="s">
        <v>31</v>
      </c>
      <c r="K189" t="s">
        <v>83</v>
      </c>
      <c r="L189" t="s">
        <v>43</v>
      </c>
      <c r="M189">
        <v>20</v>
      </c>
      <c r="N189" t="s">
        <v>34</v>
      </c>
      <c r="O189">
        <v>2</v>
      </c>
      <c r="P189">
        <v>1</v>
      </c>
      <c r="Q189">
        <v>2</v>
      </c>
      <c r="R189">
        <v>3</v>
      </c>
      <c r="S189">
        <v>0</v>
      </c>
      <c r="T189">
        <v>6</v>
      </c>
      <c r="U189">
        <v>17</v>
      </c>
      <c r="V189" t="s">
        <v>987</v>
      </c>
      <c r="W189" t="s">
        <v>45</v>
      </c>
      <c r="X189" t="s">
        <v>988</v>
      </c>
    </row>
    <row r="190" spans="1:24" x14ac:dyDescent="0.25">
      <c r="A190" t="s">
        <v>989</v>
      </c>
      <c r="B190" t="s">
        <v>990</v>
      </c>
      <c r="C190" t="s">
        <v>102</v>
      </c>
      <c r="D190">
        <v>26</v>
      </c>
      <c r="E190" t="s">
        <v>579</v>
      </c>
      <c r="F190" t="s">
        <v>89</v>
      </c>
      <c r="G190" t="s">
        <v>991</v>
      </c>
      <c r="H190">
        <v>69093</v>
      </c>
      <c r="I190" t="s">
        <v>30</v>
      </c>
      <c r="J190" t="s">
        <v>31</v>
      </c>
      <c r="K190" t="s">
        <v>98</v>
      </c>
      <c r="L190" t="s">
        <v>43</v>
      </c>
      <c r="M190">
        <v>27</v>
      </c>
      <c r="N190" t="s">
        <v>45</v>
      </c>
      <c r="O190">
        <v>3</v>
      </c>
      <c r="P190">
        <v>3</v>
      </c>
      <c r="Q190">
        <v>3</v>
      </c>
      <c r="R190">
        <v>3</v>
      </c>
      <c r="S190">
        <v>4</v>
      </c>
      <c r="T190">
        <v>2</v>
      </c>
      <c r="U190">
        <v>20</v>
      </c>
      <c r="V190" t="s">
        <v>992</v>
      </c>
      <c r="W190" t="s">
        <v>45</v>
      </c>
      <c r="X190" t="s">
        <v>993</v>
      </c>
    </row>
    <row r="191" spans="1:24" x14ac:dyDescent="0.25">
      <c r="A191" t="s">
        <v>994</v>
      </c>
      <c r="B191" t="s">
        <v>995</v>
      </c>
      <c r="C191" t="s">
        <v>26</v>
      </c>
      <c r="D191">
        <v>50</v>
      </c>
      <c r="E191" t="s">
        <v>665</v>
      </c>
      <c r="F191" t="s">
        <v>494</v>
      </c>
      <c r="G191" t="s">
        <v>996</v>
      </c>
      <c r="H191" t="s">
        <v>997</v>
      </c>
      <c r="I191" t="s">
        <v>52</v>
      </c>
      <c r="J191" t="s">
        <v>31</v>
      </c>
      <c r="K191" t="s">
        <v>77</v>
      </c>
      <c r="L191" t="s">
        <v>62</v>
      </c>
      <c r="M191">
        <v>2</v>
      </c>
      <c r="N191" t="s">
        <v>34</v>
      </c>
      <c r="O191">
        <v>4</v>
      </c>
      <c r="P191">
        <v>3</v>
      </c>
      <c r="Q191">
        <v>3</v>
      </c>
      <c r="R191">
        <v>3</v>
      </c>
      <c r="S191">
        <v>5</v>
      </c>
      <c r="T191">
        <v>0</v>
      </c>
      <c r="U191">
        <v>16</v>
      </c>
      <c r="V191" t="s">
        <v>998</v>
      </c>
      <c r="W191" t="s">
        <v>34</v>
      </c>
    </row>
    <row r="192" spans="1:24" x14ac:dyDescent="0.25">
      <c r="A192" t="s">
        <v>999</v>
      </c>
      <c r="B192" t="s">
        <v>1000</v>
      </c>
      <c r="C192" t="s">
        <v>87</v>
      </c>
      <c r="D192">
        <v>44</v>
      </c>
      <c r="E192" t="s">
        <v>27</v>
      </c>
      <c r="F192" t="s">
        <v>188</v>
      </c>
      <c r="G192" t="s">
        <v>1001</v>
      </c>
      <c r="H192">
        <v>74000</v>
      </c>
      <c r="I192" t="s">
        <v>30</v>
      </c>
      <c r="J192" t="s">
        <v>53</v>
      </c>
      <c r="K192" t="s">
        <v>200</v>
      </c>
      <c r="L192" t="s">
        <v>62</v>
      </c>
      <c r="M192">
        <v>44</v>
      </c>
      <c r="N192" t="s">
        <v>34</v>
      </c>
      <c r="O192">
        <v>1</v>
      </c>
      <c r="P192">
        <v>4</v>
      </c>
      <c r="Q192">
        <v>4</v>
      </c>
      <c r="R192">
        <v>5</v>
      </c>
      <c r="S192">
        <v>5</v>
      </c>
      <c r="T192">
        <v>4</v>
      </c>
      <c r="U192">
        <v>14</v>
      </c>
      <c r="V192" t="s">
        <v>1002</v>
      </c>
      <c r="W192" t="s">
        <v>34</v>
      </c>
    </row>
    <row r="193" spans="1:24" x14ac:dyDescent="0.25">
      <c r="A193" t="s">
        <v>1003</v>
      </c>
      <c r="B193" t="s">
        <v>1004</v>
      </c>
      <c r="C193" t="s">
        <v>102</v>
      </c>
      <c r="D193">
        <v>38</v>
      </c>
      <c r="E193" t="s">
        <v>103</v>
      </c>
      <c r="F193" t="s">
        <v>255</v>
      </c>
      <c r="G193" t="s">
        <v>1005</v>
      </c>
      <c r="H193">
        <v>100112</v>
      </c>
      <c r="I193" t="s">
        <v>42</v>
      </c>
      <c r="J193" t="s">
        <v>61</v>
      </c>
      <c r="K193" t="s">
        <v>83</v>
      </c>
      <c r="L193" t="s">
        <v>62</v>
      </c>
      <c r="M193">
        <v>11</v>
      </c>
      <c r="N193" t="s">
        <v>34</v>
      </c>
      <c r="O193">
        <v>4</v>
      </c>
      <c r="P193">
        <v>3</v>
      </c>
      <c r="Q193">
        <v>4</v>
      </c>
      <c r="R193">
        <v>3</v>
      </c>
      <c r="S193">
        <v>3</v>
      </c>
      <c r="T193">
        <v>2</v>
      </c>
      <c r="U193">
        <v>19</v>
      </c>
      <c r="V193" t="s">
        <v>1006</v>
      </c>
      <c r="W193" t="s">
        <v>34</v>
      </c>
    </row>
    <row r="194" spans="1:24" x14ac:dyDescent="0.25">
      <c r="A194" t="s">
        <v>1007</v>
      </c>
      <c r="B194" t="s">
        <v>1008</v>
      </c>
      <c r="C194" t="s">
        <v>102</v>
      </c>
      <c r="D194">
        <v>40</v>
      </c>
      <c r="E194" t="s">
        <v>27</v>
      </c>
      <c r="F194" t="s">
        <v>281</v>
      </c>
      <c r="G194" t="s">
        <v>1009</v>
      </c>
      <c r="H194">
        <v>83975</v>
      </c>
      <c r="I194" t="s">
        <v>42</v>
      </c>
      <c r="J194" t="s">
        <v>61</v>
      </c>
      <c r="K194" t="s">
        <v>200</v>
      </c>
      <c r="L194" t="s">
        <v>43</v>
      </c>
      <c r="M194">
        <v>27</v>
      </c>
      <c r="N194" t="s">
        <v>34</v>
      </c>
      <c r="O194">
        <v>3</v>
      </c>
      <c r="P194">
        <v>4</v>
      </c>
      <c r="Q194">
        <v>4</v>
      </c>
      <c r="R194">
        <v>3</v>
      </c>
      <c r="S194">
        <v>6</v>
      </c>
      <c r="T194">
        <v>2</v>
      </c>
      <c r="U194">
        <v>11</v>
      </c>
      <c r="V194" t="s">
        <v>1010</v>
      </c>
      <c r="W194" t="s">
        <v>34</v>
      </c>
    </row>
    <row r="195" spans="1:24" x14ac:dyDescent="0.25">
      <c r="A195" t="s">
        <v>1011</v>
      </c>
      <c r="B195" t="s">
        <v>1012</v>
      </c>
      <c r="C195" t="s">
        <v>49</v>
      </c>
      <c r="D195">
        <v>19</v>
      </c>
      <c r="E195" t="s">
        <v>94</v>
      </c>
      <c r="F195" t="s">
        <v>1013</v>
      </c>
      <c r="G195" t="s">
        <v>1014</v>
      </c>
      <c r="H195" t="s">
        <v>1015</v>
      </c>
      <c r="I195" t="s">
        <v>42</v>
      </c>
      <c r="J195" t="s">
        <v>61</v>
      </c>
      <c r="K195" t="s">
        <v>32</v>
      </c>
      <c r="L195" t="s">
        <v>43</v>
      </c>
      <c r="M195">
        <v>34</v>
      </c>
      <c r="N195" t="s">
        <v>34</v>
      </c>
      <c r="P195">
        <v>4</v>
      </c>
      <c r="Q195">
        <v>1</v>
      </c>
      <c r="R195">
        <v>3</v>
      </c>
      <c r="S195">
        <v>0</v>
      </c>
      <c r="T195">
        <v>0</v>
      </c>
      <c r="U195">
        <v>15</v>
      </c>
      <c r="V195" t="s">
        <v>1016</v>
      </c>
      <c r="W195" t="s">
        <v>45</v>
      </c>
      <c r="X195" t="s">
        <v>1017</v>
      </c>
    </row>
    <row r="196" spans="1:24" x14ac:dyDescent="0.25">
      <c r="A196" t="s">
        <v>1018</v>
      </c>
      <c r="B196" t="s">
        <v>1019</v>
      </c>
      <c r="C196" t="s">
        <v>49</v>
      </c>
      <c r="D196">
        <v>23</v>
      </c>
      <c r="E196" t="s">
        <v>27</v>
      </c>
      <c r="F196" t="s">
        <v>188</v>
      </c>
      <c r="G196" t="s">
        <v>1020</v>
      </c>
      <c r="H196">
        <v>103275</v>
      </c>
      <c r="I196" t="s">
        <v>30</v>
      </c>
      <c r="K196" t="s">
        <v>98</v>
      </c>
      <c r="L196" t="s">
        <v>43</v>
      </c>
      <c r="M196">
        <v>24</v>
      </c>
      <c r="N196" t="s">
        <v>34</v>
      </c>
      <c r="O196">
        <v>3</v>
      </c>
      <c r="P196">
        <v>3</v>
      </c>
      <c r="Q196">
        <v>4</v>
      </c>
      <c r="R196">
        <v>3</v>
      </c>
      <c r="S196">
        <v>1</v>
      </c>
      <c r="T196">
        <v>8</v>
      </c>
      <c r="U196">
        <v>13</v>
      </c>
      <c r="V196" t="s">
        <v>1021</v>
      </c>
      <c r="W196" t="s">
        <v>34</v>
      </c>
    </row>
    <row r="197" spans="1:24" x14ac:dyDescent="0.25">
      <c r="A197" t="s">
        <v>1022</v>
      </c>
      <c r="B197" t="s">
        <v>1023</v>
      </c>
      <c r="C197" t="s">
        <v>87</v>
      </c>
      <c r="D197">
        <v>40</v>
      </c>
      <c r="E197" t="s">
        <v>128</v>
      </c>
      <c r="F197" t="s">
        <v>271</v>
      </c>
      <c r="G197" t="s">
        <v>1024</v>
      </c>
      <c r="H197">
        <v>99764</v>
      </c>
      <c r="I197" t="s">
        <v>42</v>
      </c>
      <c r="J197" t="s">
        <v>97</v>
      </c>
      <c r="K197" t="s">
        <v>77</v>
      </c>
      <c r="L197" t="s">
        <v>62</v>
      </c>
      <c r="M197">
        <v>28</v>
      </c>
      <c r="N197" t="s">
        <v>34</v>
      </c>
      <c r="O197">
        <v>4</v>
      </c>
      <c r="P197">
        <v>4</v>
      </c>
      <c r="Q197">
        <v>2</v>
      </c>
      <c r="R197">
        <v>4</v>
      </c>
      <c r="S197">
        <v>0</v>
      </c>
      <c r="T197">
        <v>8</v>
      </c>
      <c r="V197" t="s">
        <v>1025</v>
      </c>
      <c r="W197" t="s">
        <v>34</v>
      </c>
    </row>
    <row r="198" spans="1:24" x14ac:dyDescent="0.25">
      <c r="A198" t="s">
        <v>1026</v>
      </c>
      <c r="B198" t="s">
        <v>1027</v>
      </c>
      <c r="C198" t="s">
        <v>73</v>
      </c>
      <c r="D198">
        <v>32</v>
      </c>
      <c r="E198" t="s">
        <v>88</v>
      </c>
      <c r="F198" t="s">
        <v>164</v>
      </c>
      <c r="G198" t="s">
        <v>1028</v>
      </c>
      <c r="H198" t="s">
        <v>1029</v>
      </c>
      <c r="I198" t="s">
        <v>30</v>
      </c>
      <c r="J198" t="s">
        <v>31</v>
      </c>
      <c r="L198" t="s">
        <v>33</v>
      </c>
      <c r="M198">
        <v>9</v>
      </c>
      <c r="N198" t="s">
        <v>45</v>
      </c>
      <c r="O198">
        <v>4</v>
      </c>
      <c r="P198">
        <v>2</v>
      </c>
      <c r="Q198">
        <v>3</v>
      </c>
      <c r="R198">
        <v>3</v>
      </c>
      <c r="S198">
        <v>4</v>
      </c>
      <c r="T198">
        <v>7</v>
      </c>
      <c r="U198">
        <v>21</v>
      </c>
      <c r="V198" t="s">
        <v>1030</v>
      </c>
      <c r="W198" t="s">
        <v>34</v>
      </c>
    </row>
    <row r="199" spans="1:24" x14ac:dyDescent="0.25">
      <c r="A199" t="s">
        <v>1031</v>
      </c>
      <c r="B199" t="s">
        <v>1032</v>
      </c>
      <c r="C199" t="s">
        <v>49</v>
      </c>
      <c r="D199">
        <v>34</v>
      </c>
      <c r="E199" t="s">
        <v>88</v>
      </c>
      <c r="F199" t="s">
        <v>89</v>
      </c>
      <c r="G199" t="s">
        <v>1033</v>
      </c>
      <c r="H199" t="s">
        <v>1034</v>
      </c>
      <c r="I199" t="s">
        <v>30</v>
      </c>
      <c r="J199" t="s">
        <v>31</v>
      </c>
      <c r="K199" t="s">
        <v>77</v>
      </c>
      <c r="L199" t="s">
        <v>62</v>
      </c>
      <c r="M199">
        <v>28</v>
      </c>
      <c r="N199" t="s">
        <v>34</v>
      </c>
      <c r="O199">
        <v>3</v>
      </c>
      <c r="P199">
        <v>3</v>
      </c>
      <c r="Q199">
        <v>1</v>
      </c>
      <c r="R199">
        <v>5</v>
      </c>
      <c r="S199">
        <v>2</v>
      </c>
      <c r="T199">
        <v>5</v>
      </c>
      <c r="U199">
        <v>22</v>
      </c>
      <c r="V199" t="s">
        <v>1035</v>
      </c>
      <c r="W199" t="s">
        <v>34</v>
      </c>
    </row>
    <row r="200" spans="1:24" x14ac:dyDescent="0.25">
      <c r="A200" t="s">
        <v>1036</v>
      </c>
      <c r="B200" t="s">
        <v>1037</v>
      </c>
      <c r="C200" t="s">
        <v>102</v>
      </c>
      <c r="D200">
        <v>19</v>
      </c>
      <c r="F200" t="s">
        <v>226</v>
      </c>
      <c r="G200" t="s">
        <v>1038</v>
      </c>
      <c r="H200">
        <v>98874</v>
      </c>
      <c r="I200" t="s">
        <v>30</v>
      </c>
      <c r="J200" t="s">
        <v>61</v>
      </c>
      <c r="K200" t="s">
        <v>113</v>
      </c>
      <c r="L200" t="s">
        <v>33</v>
      </c>
      <c r="M200">
        <v>39</v>
      </c>
      <c r="N200" t="s">
        <v>34</v>
      </c>
      <c r="O200">
        <v>3</v>
      </c>
      <c r="P200">
        <v>1</v>
      </c>
      <c r="Q200">
        <v>1</v>
      </c>
      <c r="R200">
        <v>2</v>
      </c>
      <c r="S200">
        <v>2</v>
      </c>
      <c r="T200">
        <v>7</v>
      </c>
      <c r="U200">
        <v>22</v>
      </c>
      <c r="V200" t="s">
        <v>1039</v>
      </c>
      <c r="W200" t="s">
        <v>34</v>
      </c>
    </row>
    <row r="201" spans="1:24" x14ac:dyDescent="0.25">
      <c r="A201" t="s">
        <v>1040</v>
      </c>
      <c r="B201" t="s">
        <v>1041</v>
      </c>
      <c r="C201" t="s">
        <v>73</v>
      </c>
      <c r="D201">
        <v>36</v>
      </c>
      <c r="F201" t="s">
        <v>306</v>
      </c>
      <c r="G201" t="s">
        <v>1042</v>
      </c>
      <c r="H201">
        <v>53598</v>
      </c>
      <c r="I201" t="s">
        <v>52</v>
      </c>
      <c r="J201" t="s">
        <v>61</v>
      </c>
      <c r="K201" t="s">
        <v>83</v>
      </c>
      <c r="L201" t="s">
        <v>43</v>
      </c>
      <c r="M201">
        <v>14</v>
      </c>
      <c r="N201" t="s">
        <v>34</v>
      </c>
      <c r="O201">
        <v>2</v>
      </c>
      <c r="P201">
        <v>1</v>
      </c>
      <c r="Q201">
        <v>4</v>
      </c>
      <c r="R201">
        <v>3</v>
      </c>
      <c r="S201">
        <v>2</v>
      </c>
      <c r="T201">
        <v>8</v>
      </c>
      <c r="U201">
        <v>20</v>
      </c>
      <c r="V201" t="s">
        <v>1043</v>
      </c>
      <c r="W201" t="s">
        <v>34</v>
      </c>
    </row>
    <row r="202" spans="1:24" x14ac:dyDescent="0.25">
      <c r="A202" t="s">
        <v>1044</v>
      </c>
      <c r="B202" t="s">
        <v>1045</v>
      </c>
      <c r="C202" t="s">
        <v>58</v>
      </c>
      <c r="D202">
        <v>44</v>
      </c>
      <c r="E202" t="s">
        <v>88</v>
      </c>
      <c r="F202" t="s">
        <v>261</v>
      </c>
      <c r="G202" t="s">
        <v>1046</v>
      </c>
      <c r="H202">
        <v>77850</v>
      </c>
      <c r="I202" t="s">
        <v>30</v>
      </c>
      <c r="J202" t="s">
        <v>143</v>
      </c>
      <c r="K202" t="s">
        <v>200</v>
      </c>
      <c r="L202" t="s">
        <v>62</v>
      </c>
      <c r="M202">
        <v>9</v>
      </c>
      <c r="N202" t="s">
        <v>34</v>
      </c>
      <c r="O202">
        <v>2</v>
      </c>
      <c r="P202">
        <v>2</v>
      </c>
      <c r="Q202">
        <v>3</v>
      </c>
      <c r="R202">
        <v>2</v>
      </c>
      <c r="S202">
        <v>4</v>
      </c>
      <c r="T202">
        <v>7</v>
      </c>
      <c r="U202">
        <v>18</v>
      </c>
      <c r="V202" t="s">
        <v>1047</v>
      </c>
      <c r="W202" t="s">
        <v>34</v>
      </c>
    </row>
    <row r="203" spans="1:24" x14ac:dyDescent="0.25">
      <c r="A203" t="s">
        <v>1048</v>
      </c>
      <c r="B203" t="s">
        <v>1049</v>
      </c>
      <c r="C203" t="s">
        <v>87</v>
      </c>
      <c r="D203">
        <v>31</v>
      </c>
      <c r="E203" t="s">
        <v>27</v>
      </c>
      <c r="F203" t="s">
        <v>188</v>
      </c>
      <c r="G203" t="s">
        <v>1050</v>
      </c>
      <c r="H203">
        <v>62926</v>
      </c>
      <c r="I203" t="s">
        <v>52</v>
      </c>
      <c r="J203" t="s">
        <v>61</v>
      </c>
      <c r="K203" t="s">
        <v>83</v>
      </c>
      <c r="L203" t="s">
        <v>33</v>
      </c>
      <c r="M203">
        <v>14</v>
      </c>
      <c r="N203" t="s">
        <v>34</v>
      </c>
      <c r="O203">
        <v>2</v>
      </c>
      <c r="P203">
        <v>1</v>
      </c>
      <c r="Q203">
        <v>3</v>
      </c>
      <c r="R203">
        <v>3</v>
      </c>
      <c r="S203">
        <v>5</v>
      </c>
      <c r="T203">
        <v>5</v>
      </c>
      <c r="U203">
        <v>25</v>
      </c>
      <c r="V203" t="s">
        <v>1051</v>
      </c>
      <c r="W203" t="s">
        <v>34</v>
      </c>
    </row>
    <row r="204" spans="1:24" x14ac:dyDescent="0.25">
      <c r="A204" t="s">
        <v>1052</v>
      </c>
      <c r="B204" t="s">
        <v>1053</v>
      </c>
      <c r="C204" t="s">
        <v>73</v>
      </c>
      <c r="D204">
        <v>38</v>
      </c>
      <c r="E204" t="s">
        <v>629</v>
      </c>
      <c r="F204" t="s">
        <v>255</v>
      </c>
      <c r="G204" t="s">
        <v>1054</v>
      </c>
      <c r="H204">
        <v>77948</v>
      </c>
      <c r="I204" t="s">
        <v>52</v>
      </c>
      <c r="J204" t="s">
        <v>61</v>
      </c>
      <c r="L204" t="s">
        <v>43</v>
      </c>
      <c r="M204">
        <v>35</v>
      </c>
      <c r="N204" t="s">
        <v>34</v>
      </c>
      <c r="O204">
        <v>3</v>
      </c>
      <c r="P204">
        <v>1</v>
      </c>
      <c r="Q204">
        <v>4</v>
      </c>
      <c r="R204">
        <v>3</v>
      </c>
      <c r="S204">
        <v>3</v>
      </c>
      <c r="T204">
        <v>0</v>
      </c>
      <c r="U204">
        <v>24</v>
      </c>
      <c r="V204" t="s">
        <v>1055</v>
      </c>
      <c r="W204" t="s">
        <v>34</v>
      </c>
    </row>
    <row r="205" spans="1:24" x14ac:dyDescent="0.25">
      <c r="A205" t="s">
        <v>1056</v>
      </c>
      <c r="B205" t="s">
        <v>1057</v>
      </c>
      <c r="C205" t="s">
        <v>73</v>
      </c>
      <c r="D205">
        <v>27</v>
      </c>
      <c r="E205" t="s">
        <v>27</v>
      </c>
      <c r="F205" t="s">
        <v>172</v>
      </c>
      <c r="G205" t="s">
        <v>1058</v>
      </c>
      <c r="H205">
        <v>96274</v>
      </c>
      <c r="I205" t="s">
        <v>30</v>
      </c>
      <c r="J205" t="s">
        <v>31</v>
      </c>
      <c r="K205" t="s">
        <v>54</v>
      </c>
      <c r="L205" t="s">
        <v>62</v>
      </c>
      <c r="M205">
        <v>19</v>
      </c>
      <c r="N205" t="s">
        <v>45</v>
      </c>
      <c r="O205">
        <v>3</v>
      </c>
      <c r="P205">
        <v>1</v>
      </c>
      <c r="Q205">
        <v>2</v>
      </c>
      <c r="S205">
        <v>6</v>
      </c>
      <c r="T205">
        <v>6</v>
      </c>
      <c r="U205">
        <v>13</v>
      </c>
      <c r="V205" t="s">
        <v>1059</v>
      </c>
      <c r="W205" t="s">
        <v>45</v>
      </c>
      <c r="X205" t="s">
        <v>1060</v>
      </c>
    </row>
    <row r="206" spans="1:24" x14ac:dyDescent="0.25">
      <c r="A206" t="s">
        <v>1061</v>
      </c>
      <c r="B206" t="s">
        <v>1062</v>
      </c>
      <c r="C206" t="s">
        <v>49</v>
      </c>
      <c r="D206">
        <v>38</v>
      </c>
      <c r="E206" t="s">
        <v>457</v>
      </c>
      <c r="F206" t="s">
        <v>75</v>
      </c>
      <c r="G206" t="s">
        <v>1063</v>
      </c>
      <c r="H206">
        <v>46363</v>
      </c>
      <c r="I206" t="s">
        <v>30</v>
      </c>
      <c r="J206" t="s">
        <v>143</v>
      </c>
      <c r="K206" t="s">
        <v>113</v>
      </c>
      <c r="L206" t="s">
        <v>43</v>
      </c>
      <c r="M206">
        <v>4</v>
      </c>
      <c r="N206" t="s">
        <v>34</v>
      </c>
      <c r="O206">
        <v>3</v>
      </c>
      <c r="Q206">
        <v>4</v>
      </c>
      <c r="R206">
        <v>5</v>
      </c>
      <c r="S206">
        <v>0</v>
      </c>
      <c r="T206">
        <v>3</v>
      </c>
      <c r="U206">
        <v>21</v>
      </c>
      <c r="V206" t="s">
        <v>1064</v>
      </c>
      <c r="W206" t="s">
        <v>34</v>
      </c>
    </row>
    <row r="207" spans="1:24" x14ac:dyDescent="0.25">
      <c r="A207" t="s">
        <v>1065</v>
      </c>
      <c r="B207" t="s">
        <v>1066</v>
      </c>
      <c r="C207" t="s">
        <v>67</v>
      </c>
      <c r="D207">
        <v>43</v>
      </c>
      <c r="E207" t="s">
        <v>609</v>
      </c>
      <c r="F207" t="s">
        <v>639</v>
      </c>
      <c r="G207" t="s">
        <v>1067</v>
      </c>
      <c r="H207">
        <v>76348</v>
      </c>
      <c r="I207" t="s">
        <v>52</v>
      </c>
      <c r="J207" t="s">
        <v>143</v>
      </c>
      <c r="K207" t="s">
        <v>54</v>
      </c>
      <c r="L207" t="s">
        <v>33</v>
      </c>
      <c r="M207">
        <v>15</v>
      </c>
      <c r="N207" t="s">
        <v>34</v>
      </c>
      <c r="O207">
        <v>1</v>
      </c>
      <c r="P207">
        <v>2</v>
      </c>
      <c r="Q207">
        <v>3</v>
      </c>
      <c r="R207">
        <v>3</v>
      </c>
      <c r="S207">
        <v>5</v>
      </c>
      <c r="T207">
        <v>1</v>
      </c>
      <c r="V207" t="s">
        <v>1068</v>
      </c>
      <c r="W207" t="s">
        <v>34</v>
      </c>
    </row>
    <row r="208" spans="1:24" x14ac:dyDescent="0.25">
      <c r="A208" t="s">
        <v>1069</v>
      </c>
      <c r="B208" t="s">
        <v>1070</v>
      </c>
      <c r="C208" t="s">
        <v>87</v>
      </c>
      <c r="D208">
        <v>39</v>
      </c>
      <c r="E208" t="s">
        <v>128</v>
      </c>
      <c r="G208" t="s">
        <v>1071</v>
      </c>
      <c r="H208">
        <v>44492</v>
      </c>
      <c r="I208" t="s">
        <v>30</v>
      </c>
      <c r="J208" t="s">
        <v>31</v>
      </c>
      <c r="K208" t="s">
        <v>200</v>
      </c>
      <c r="L208" t="s">
        <v>33</v>
      </c>
      <c r="M208">
        <v>38</v>
      </c>
      <c r="N208" t="s">
        <v>45</v>
      </c>
      <c r="O208">
        <v>1</v>
      </c>
      <c r="P208">
        <v>1</v>
      </c>
      <c r="Q208">
        <v>1</v>
      </c>
      <c r="R208">
        <v>4</v>
      </c>
      <c r="S208">
        <v>1</v>
      </c>
      <c r="T208">
        <v>7</v>
      </c>
      <c r="U208">
        <v>14</v>
      </c>
      <c r="V208" t="s">
        <v>1072</v>
      </c>
      <c r="W208" t="s">
        <v>45</v>
      </c>
      <c r="X208" t="s">
        <v>1073</v>
      </c>
    </row>
    <row r="209" spans="1:24" x14ac:dyDescent="0.25">
      <c r="A209" t="s">
        <v>1074</v>
      </c>
      <c r="B209" t="s">
        <v>1075</v>
      </c>
      <c r="C209" t="s">
        <v>26</v>
      </c>
      <c r="D209">
        <v>43</v>
      </c>
      <c r="E209" t="s">
        <v>197</v>
      </c>
      <c r="F209" t="s">
        <v>323</v>
      </c>
      <c r="G209" t="s">
        <v>1076</v>
      </c>
      <c r="H209" t="s">
        <v>1077</v>
      </c>
      <c r="I209" t="s">
        <v>30</v>
      </c>
      <c r="J209" t="s">
        <v>61</v>
      </c>
      <c r="K209" t="s">
        <v>77</v>
      </c>
      <c r="L209" t="s">
        <v>33</v>
      </c>
      <c r="M209">
        <v>38</v>
      </c>
      <c r="N209" t="s">
        <v>45</v>
      </c>
      <c r="O209">
        <v>2</v>
      </c>
      <c r="P209">
        <v>3</v>
      </c>
      <c r="Q209">
        <v>2</v>
      </c>
      <c r="R209">
        <v>3</v>
      </c>
      <c r="S209">
        <v>2</v>
      </c>
      <c r="T209">
        <v>0</v>
      </c>
      <c r="U209">
        <v>23</v>
      </c>
      <c r="V209" t="s">
        <v>1078</v>
      </c>
      <c r="W209" t="s">
        <v>45</v>
      </c>
      <c r="X209" t="s">
        <v>1079</v>
      </c>
    </row>
    <row r="210" spans="1:24" x14ac:dyDescent="0.25">
      <c r="A210" t="s">
        <v>1080</v>
      </c>
      <c r="B210" t="s">
        <v>1081</v>
      </c>
      <c r="C210" t="s">
        <v>49</v>
      </c>
      <c r="D210">
        <v>31</v>
      </c>
      <c r="E210" t="s">
        <v>457</v>
      </c>
      <c r="F210" t="s">
        <v>188</v>
      </c>
      <c r="G210" t="s">
        <v>1082</v>
      </c>
      <c r="H210">
        <v>79550</v>
      </c>
      <c r="I210" t="s">
        <v>30</v>
      </c>
      <c r="J210" t="s">
        <v>31</v>
      </c>
      <c r="K210" t="s">
        <v>77</v>
      </c>
      <c r="L210" t="s">
        <v>33</v>
      </c>
      <c r="M210">
        <v>34</v>
      </c>
      <c r="N210" t="s">
        <v>34</v>
      </c>
      <c r="O210">
        <v>1</v>
      </c>
      <c r="P210">
        <v>2</v>
      </c>
      <c r="Q210">
        <v>2</v>
      </c>
      <c r="R210">
        <v>5</v>
      </c>
      <c r="S210">
        <v>2</v>
      </c>
      <c r="T210">
        <v>2</v>
      </c>
      <c r="U210">
        <v>19</v>
      </c>
      <c r="V210" t="s">
        <v>1083</v>
      </c>
      <c r="W210" t="s">
        <v>45</v>
      </c>
      <c r="X210" t="s">
        <v>1054</v>
      </c>
    </row>
    <row r="211" spans="1:24" x14ac:dyDescent="0.25">
      <c r="A211" t="s">
        <v>1084</v>
      </c>
      <c r="B211" t="s">
        <v>1085</v>
      </c>
      <c r="C211" t="s">
        <v>73</v>
      </c>
      <c r="D211">
        <v>20</v>
      </c>
      <c r="E211" t="s">
        <v>88</v>
      </c>
      <c r="F211" t="s">
        <v>483</v>
      </c>
      <c r="G211" t="s">
        <v>1086</v>
      </c>
      <c r="H211" t="s">
        <v>1087</v>
      </c>
      <c r="I211" t="s">
        <v>42</v>
      </c>
      <c r="J211" t="s">
        <v>31</v>
      </c>
      <c r="K211" t="s">
        <v>131</v>
      </c>
      <c r="L211" t="s">
        <v>33</v>
      </c>
      <c r="M211">
        <v>15</v>
      </c>
      <c r="N211" t="s">
        <v>45</v>
      </c>
      <c r="O211">
        <v>2</v>
      </c>
      <c r="P211">
        <v>2</v>
      </c>
      <c r="Q211">
        <v>2</v>
      </c>
      <c r="R211">
        <v>4</v>
      </c>
      <c r="S211">
        <v>6</v>
      </c>
      <c r="T211">
        <v>5</v>
      </c>
      <c r="U211">
        <v>25</v>
      </c>
      <c r="V211" t="s">
        <v>1088</v>
      </c>
      <c r="W211" t="s">
        <v>45</v>
      </c>
      <c r="X211" t="s">
        <v>1089</v>
      </c>
    </row>
    <row r="212" spans="1:24" x14ac:dyDescent="0.25">
      <c r="A212" t="s">
        <v>1090</v>
      </c>
      <c r="B212" t="s">
        <v>1091</v>
      </c>
      <c r="C212" t="s">
        <v>81</v>
      </c>
      <c r="D212">
        <v>21</v>
      </c>
      <c r="E212" t="s">
        <v>1092</v>
      </c>
      <c r="F212" t="s">
        <v>1093</v>
      </c>
      <c r="G212" t="s">
        <v>1094</v>
      </c>
      <c r="H212">
        <v>60526</v>
      </c>
      <c r="I212" t="s">
        <v>52</v>
      </c>
      <c r="J212" t="s">
        <v>61</v>
      </c>
      <c r="L212" t="s">
        <v>43</v>
      </c>
      <c r="M212">
        <v>11</v>
      </c>
      <c r="N212" t="s">
        <v>34</v>
      </c>
      <c r="O212">
        <v>1</v>
      </c>
      <c r="P212">
        <v>1</v>
      </c>
      <c r="Q212">
        <v>1</v>
      </c>
      <c r="R212">
        <v>4</v>
      </c>
      <c r="S212">
        <v>1</v>
      </c>
      <c r="T212">
        <v>4</v>
      </c>
      <c r="U212">
        <v>22</v>
      </c>
      <c r="V212" t="s">
        <v>1095</v>
      </c>
      <c r="W212" t="s">
        <v>34</v>
      </c>
    </row>
    <row r="213" spans="1:24" x14ac:dyDescent="0.25">
      <c r="A213" t="s">
        <v>1096</v>
      </c>
      <c r="B213" t="s">
        <v>1097</v>
      </c>
      <c r="C213" t="s">
        <v>67</v>
      </c>
      <c r="D213">
        <v>40</v>
      </c>
      <c r="E213" t="s">
        <v>88</v>
      </c>
      <c r="F213" t="s">
        <v>286</v>
      </c>
      <c r="G213" t="s">
        <v>1098</v>
      </c>
      <c r="H213">
        <v>72381</v>
      </c>
      <c r="I213" t="s">
        <v>52</v>
      </c>
      <c r="J213" t="s">
        <v>61</v>
      </c>
      <c r="K213" t="s">
        <v>77</v>
      </c>
      <c r="L213" t="s">
        <v>43</v>
      </c>
      <c r="M213">
        <v>5</v>
      </c>
      <c r="N213" t="s">
        <v>34</v>
      </c>
      <c r="O213">
        <v>4</v>
      </c>
      <c r="P213">
        <v>4</v>
      </c>
      <c r="Q213">
        <v>2</v>
      </c>
      <c r="R213">
        <v>1</v>
      </c>
      <c r="S213">
        <v>1</v>
      </c>
      <c r="T213">
        <v>0</v>
      </c>
      <c r="U213">
        <v>16</v>
      </c>
      <c r="V213" t="s">
        <v>1099</v>
      </c>
      <c r="W213" t="s">
        <v>34</v>
      </c>
    </row>
    <row r="214" spans="1:24" x14ac:dyDescent="0.25">
      <c r="A214" t="s">
        <v>1100</v>
      </c>
      <c r="B214" t="s">
        <v>1101</v>
      </c>
      <c r="C214" t="s">
        <v>73</v>
      </c>
      <c r="D214">
        <v>41</v>
      </c>
      <c r="E214" t="s">
        <v>38</v>
      </c>
      <c r="F214" t="s">
        <v>1102</v>
      </c>
      <c r="G214" t="s">
        <v>1103</v>
      </c>
      <c r="H214">
        <v>89702</v>
      </c>
      <c r="I214" t="s">
        <v>52</v>
      </c>
      <c r="J214" t="s">
        <v>61</v>
      </c>
      <c r="K214" t="s">
        <v>131</v>
      </c>
      <c r="L214" t="s">
        <v>33</v>
      </c>
      <c r="M214">
        <v>12</v>
      </c>
      <c r="N214" t="s">
        <v>34</v>
      </c>
      <c r="O214">
        <v>3</v>
      </c>
      <c r="Q214">
        <v>4</v>
      </c>
      <c r="R214">
        <v>3</v>
      </c>
      <c r="S214">
        <v>0</v>
      </c>
      <c r="T214">
        <v>6</v>
      </c>
      <c r="U214">
        <v>19</v>
      </c>
      <c r="V214" t="s">
        <v>1104</v>
      </c>
      <c r="W214" t="s">
        <v>34</v>
      </c>
    </row>
    <row r="215" spans="1:24" x14ac:dyDescent="0.25">
      <c r="A215" t="s">
        <v>1105</v>
      </c>
      <c r="B215" t="s">
        <v>1106</v>
      </c>
      <c r="C215" t="s">
        <v>81</v>
      </c>
      <c r="D215">
        <v>20</v>
      </c>
      <c r="E215" t="s">
        <v>128</v>
      </c>
      <c r="F215" t="s">
        <v>1107</v>
      </c>
      <c r="G215" t="s">
        <v>1108</v>
      </c>
      <c r="H215">
        <v>77088</v>
      </c>
      <c r="I215" t="s">
        <v>30</v>
      </c>
      <c r="J215" t="s">
        <v>61</v>
      </c>
      <c r="K215" t="s">
        <v>98</v>
      </c>
      <c r="L215" t="s">
        <v>33</v>
      </c>
      <c r="M215">
        <v>33</v>
      </c>
      <c r="N215" t="s">
        <v>34</v>
      </c>
      <c r="O215">
        <v>3</v>
      </c>
      <c r="P215">
        <v>3</v>
      </c>
      <c r="Q215">
        <v>1</v>
      </c>
      <c r="R215">
        <v>4</v>
      </c>
      <c r="S215">
        <v>1</v>
      </c>
      <c r="T215">
        <v>8</v>
      </c>
      <c r="U215">
        <v>19</v>
      </c>
      <c r="V215" t="s">
        <v>1109</v>
      </c>
      <c r="W215" t="s">
        <v>34</v>
      </c>
    </row>
    <row r="216" spans="1:24" x14ac:dyDescent="0.25">
      <c r="A216" t="s">
        <v>1110</v>
      </c>
      <c r="B216" t="s">
        <v>1111</v>
      </c>
      <c r="C216" t="s">
        <v>58</v>
      </c>
      <c r="D216">
        <v>33</v>
      </c>
      <c r="E216" t="s">
        <v>94</v>
      </c>
      <c r="F216" t="s">
        <v>1112</v>
      </c>
      <c r="G216" t="s">
        <v>1113</v>
      </c>
      <c r="H216" t="s">
        <v>1114</v>
      </c>
      <c r="I216" t="s">
        <v>52</v>
      </c>
      <c r="J216" t="s">
        <v>61</v>
      </c>
      <c r="K216" t="s">
        <v>200</v>
      </c>
      <c r="L216" t="s">
        <v>33</v>
      </c>
      <c r="M216">
        <v>4</v>
      </c>
      <c r="N216" t="s">
        <v>34</v>
      </c>
      <c r="O216">
        <v>1</v>
      </c>
      <c r="P216">
        <v>4</v>
      </c>
      <c r="Q216">
        <v>3</v>
      </c>
      <c r="R216">
        <v>3</v>
      </c>
      <c r="S216">
        <v>0</v>
      </c>
      <c r="T216">
        <v>4</v>
      </c>
      <c r="U216">
        <v>12</v>
      </c>
      <c r="V216" t="s">
        <v>1115</v>
      </c>
      <c r="W216" t="s">
        <v>34</v>
      </c>
    </row>
    <row r="217" spans="1:24" x14ac:dyDescent="0.25">
      <c r="A217" t="s">
        <v>1116</v>
      </c>
      <c r="B217" t="s">
        <v>1117</v>
      </c>
      <c r="C217" t="s">
        <v>67</v>
      </c>
      <c r="D217">
        <v>53</v>
      </c>
      <c r="E217" t="s">
        <v>197</v>
      </c>
      <c r="F217" t="s">
        <v>323</v>
      </c>
      <c r="G217" t="s">
        <v>1118</v>
      </c>
      <c r="H217">
        <v>44235</v>
      </c>
      <c r="I217" t="s">
        <v>52</v>
      </c>
      <c r="J217" t="s">
        <v>97</v>
      </c>
      <c r="K217" t="s">
        <v>83</v>
      </c>
      <c r="L217" t="s">
        <v>33</v>
      </c>
      <c r="M217">
        <v>1</v>
      </c>
      <c r="N217" t="s">
        <v>45</v>
      </c>
      <c r="O217">
        <v>2</v>
      </c>
      <c r="P217">
        <v>4</v>
      </c>
      <c r="Q217">
        <v>2</v>
      </c>
      <c r="R217">
        <v>1</v>
      </c>
      <c r="S217">
        <v>6</v>
      </c>
      <c r="T217">
        <v>0</v>
      </c>
      <c r="U217">
        <v>21</v>
      </c>
      <c r="V217" t="s">
        <v>1119</v>
      </c>
      <c r="W217" t="s">
        <v>45</v>
      </c>
      <c r="X217" t="s">
        <v>1120</v>
      </c>
    </row>
    <row r="218" spans="1:24" x14ac:dyDescent="0.25">
      <c r="A218" t="s">
        <v>1121</v>
      </c>
      <c r="B218" t="s">
        <v>1122</v>
      </c>
      <c r="C218" t="s">
        <v>58</v>
      </c>
      <c r="D218">
        <v>38</v>
      </c>
      <c r="E218" t="s">
        <v>798</v>
      </c>
      <c r="F218" t="s">
        <v>380</v>
      </c>
      <c r="G218" t="s">
        <v>1123</v>
      </c>
      <c r="H218">
        <v>102308</v>
      </c>
      <c r="I218" t="s">
        <v>30</v>
      </c>
      <c r="J218" t="s">
        <v>53</v>
      </c>
      <c r="K218" t="s">
        <v>77</v>
      </c>
      <c r="L218" t="s">
        <v>62</v>
      </c>
      <c r="M218">
        <v>5</v>
      </c>
      <c r="N218" t="s">
        <v>34</v>
      </c>
      <c r="O218">
        <v>3</v>
      </c>
      <c r="P218">
        <v>2</v>
      </c>
      <c r="Q218">
        <v>3</v>
      </c>
      <c r="R218">
        <v>3</v>
      </c>
      <c r="S218">
        <v>5</v>
      </c>
      <c r="T218">
        <v>8</v>
      </c>
      <c r="U218">
        <v>18</v>
      </c>
      <c r="W218" t="s">
        <v>34</v>
      </c>
    </row>
    <row r="219" spans="1:24" x14ac:dyDescent="0.25">
      <c r="A219" t="s">
        <v>1124</v>
      </c>
      <c r="B219" t="s">
        <v>1125</v>
      </c>
      <c r="C219" t="s">
        <v>49</v>
      </c>
      <c r="D219">
        <v>35</v>
      </c>
      <c r="E219" t="s">
        <v>27</v>
      </c>
      <c r="F219" t="s">
        <v>110</v>
      </c>
      <c r="G219" t="s">
        <v>1126</v>
      </c>
      <c r="H219">
        <v>97775</v>
      </c>
      <c r="I219" t="s">
        <v>42</v>
      </c>
      <c r="J219" t="s">
        <v>53</v>
      </c>
      <c r="K219" t="s">
        <v>167</v>
      </c>
      <c r="L219" t="s">
        <v>33</v>
      </c>
      <c r="M219">
        <v>25</v>
      </c>
      <c r="N219" t="s">
        <v>34</v>
      </c>
      <c r="O219">
        <v>3</v>
      </c>
      <c r="P219">
        <v>1</v>
      </c>
      <c r="Q219">
        <v>1</v>
      </c>
      <c r="R219">
        <v>3</v>
      </c>
      <c r="S219">
        <v>2</v>
      </c>
      <c r="U219">
        <v>24</v>
      </c>
      <c r="V219" t="s">
        <v>741</v>
      </c>
      <c r="W219" t="s">
        <v>34</v>
      </c>
    </row>
    <row r="220" spans="1:24" x14ac:dyDescent="0.25">
      <c r="A220" t="s">
        <v>1127</v>
      </c>
      <c r="B220" t="s">
        <v>1128</v>
      </c>
      <c r="C220" t="s">
        <v>67</v>
      </c>
      <c r="D220">
        <v>29</v>
      </c>
      <c r="E220" t="s">
        <v>128</v>
      </c>
      <c r="F220" t="s">
        <v>423</v>
      </c>
      <c r="G220" t="s">
        <v>1129</v>
      </c>
      <c r="H220">
        <v>46081</v>
      </c>
      <c r="I220" t="s">
        <v>52</v>
      </c>
      <c r="J220" t="s">
        <v>61</v>
      </c>
      <c r="K220" t="s">
        <v>77</v>
      </c>
      <c r="L220" t="s">
        <v>62</v>
      </c>
      <c r="M220">
        <v>37</v>
      </c>
      <c r="N220" t="s">
        <v>45</v>
      </c>
      <c r="P220">
        <v>4</v>
      </c>
      <c r="Q220">
        <v>4</v>
      </c>
      <c r="R220">
        <v>4</v>
      </c>
      <c r="S220">
        <v>5</v>
      </c>
      <c r="T220">
        <v>6</v>
      </c>
      <c r="U220">
        <v>23</v>
      </c>
      <c r="V220" t="s">
        <v>298</v>
      </c>
      <c r="W220" t="s">
        <v>45</v>
      </c>
      <c r="X220" t="s">
        <v>1130</v>
      </c>
    </row>
    <row r="221" spans="1:24" x14ac:dyDescent="0.25">
      <c r="A221" t="s">
        <v>1131</v>
      </c>
      <c r="B221" t="s">
        <v>1132</v>
      </c>
      <c r="C221" t="s">
        <v>73</v>
      </c>
      <c r="D221">
        <v>33</v>
      </c>
      <c r="E221" t="s">
        <v>88</v>
      </c>
      <c r="F221" t="s">
        <v>286</v>
      </c>
      <c r="G221" t="s">
        <v>1133</v>
      </c>
      <c r="H221" t="s">
        <v>1134</v>
      </c>
      <c r="I221" t="s">
        <v>52</v>
      </c>
      <c r="J221" t="s">
        <v>31</v>
      </c>
      <c r="K221" t="s">
        <v>113</v>
      </c>
      <c r="L221" t="s">
        <v>43</v>
      </c>
      <c r="M221">
        <v>38</v>
      </c>
      <c r="N221" t="s">
        <v>34</v>
      </c>
      <c r="O221">
        <v>3</v>
      </c>
      <c r="P221">
        <v>4</v>
      </c>
      <c r="Q221">
        <v>1</v>
      </c>
      <c r="R221">
        <v>3</v>
      </c>
      <c r="S221">
        <v>0</v>
      </c>
      <c r="T221">
        <v>4</v>
      </c>
      <c r="U221">
        <v>20</v>
      </c>
      <c r="V221" t="s">
        <v>1135</v>
      </c>
      <c r="W221" t="s">
        <v>34</v>
      </c>
    </row>
    <row r="222" spans="1:24" x14ac:dyDescent="0.25">
      <c r="A222" t="s">
        <v>1136</v>
      </c>
      <c r="B222" t="s">
        <v>1137</v>
      </c>
      <c r="D222">
        <v>48</v>
      </c>
      <c r="E222" t="s">
        <v>88</v>
      </c>
      <c r="F222" t="s">
        <v>89</v>
      </c>
      <c r="G222" t="s">
        <v>1138</v>
      </c>
      <c r="H222">
        <v>89140</v>
      </c>
      <c r="I222" t="s">
        <v>42</v>
      </c>
      <c r="J222" t="s">
        <v>61</v>
      </c>
      <c r="K222" t="s">
        <v>32</v>
      </c>
      <c r="L222" t="s">
        <v>43</v>
      </c>
      <c r="M222">
        <v>15</v>
      </c>
      <c r="N222" t="s">
        <v>45</v>
      </c>
      <c r="O222">
        <v>4</v>
      </c>
      <c r="P222">
        <v>2</v>
      </c>
      <c r="R222">
        <v>2</v>
      </c>
      <c r="S222">
        <v>2</v>
      </c>
      <c r="T222">
        <v>3</v>
      </c>
      <c r="U222">
        <v>23</v>
      </c>
      <c r="V222" t="s">
        <v>1139</v>
      </c>
      <c r="W222" t="s">
        <v>34</v>
      </c>
    </row>
    <row r="223" spans="1:24" x14ac:dyDescent="0.25">
      <c r="A223" t="s">
        <v>1140</v>
      </c>
      <c r="B223" t="s">
        <v>1141</v>
      </c>
      <c r="C223" t="s">
        <v>67</v>
      </c>
      <c r="D223">
        <v>33</v>
      </c>
      <c r="E223" t="s">
        <v>706</v>
      </c>
      <c r="F223" t="s">
        <v>306</v>
      </c>
      <c r="G223" t="s">
        <v>1142</v>
      </c>
      <c r="H223">
        <v>52083</v>
      </c>
      <c r="I223" t="s">
        <v>42</v>
      </c>
      <c r="J223" t="s">
        <v>31</v>
      </c>
      <c r="K223" t="s">
        <v>98</v>
      </c>
      <c r="L223" t="s">
        <v>33</v>
      </c>
      <c r="M223">
        <v>30</v>
      </c>
      <c r="N223" t="s">
        <v>45</v>
      </c>
      <c r="O223">
        <v>3</v>
      </c>
      <c r="P223">
        <v>4</v>
      </c>
      <c r="Q223">
        <v>4</v>
      </c>
      <c r="R223">
        <v>3</v>
      </c>
      <c r="S223">
        <v>0</v>
      </c>
      <c r="T223">
        <v>7</v>
      </c>
      <c r="U223">
        <v>13</v>
      </c>
      <c r="V223" t="s">
        <v>1143</v>
      </c>
      <c r="W223" t="s">
        <v>34</v>
      </c>
    </row>
    <row r="224" spans="1:24" x14ac:dyDescent="0.25">
      <c r="A224" t="s">
        <v>1144</v>
      </c>
      <c r="B224" t="s">
        <v>1145</v>
      </c>
      <c r="C224" t="s">
        <v>81</v>
      </c>
      <c r="D224">
        <v>27</v>
      </c>
      <c r="E224" t="s">
        <v>94</v>
      </c>
      <c r="F224" t="s">
        <v>1146</v>
      </c>
      <c r="G224" t="s">
        <v>1147</v>
      </c>
      <c r="H224" t="s">
        <v>1148</v>
      </c>
      <c r="I224" t="s">
        <v>42</v>
      </c>
      <c r="J224" t="s">
        <v>53</v>
      </c>
      <c r="K224" t="s">
        <v>131</v>
      </c>
      <c r="L224" t="s">
        <v>33</v>
      </c>
      <c r="M224">
        <v>40</v>
      </c>
      <c r="N224" t="s">
        <v>45</v>
      </c>
      <c r="O224">
        <v>3</v>
      </c>
      <c r="P224">
        <v>1</v>
      </c>
      <c r="Q224">
        <v>1</v>
      </c>
      <c r="R224">
        <v>3</v>
      </c>
      <c r="S224">
        <v>5</v>
      </c>
      <c r="T224">
        <v>1</v>
      </c>
      <c r="U224">
        <v>22</v>
      </c>
      <c r="V224" t="s">
        <v>1149</v>
      </c>
      <c r="W224" t="s">
        <v>45</v>
      </c>
      <c r="X224" t="s">
        <v>1150</v>
      </c>
    </row>
    <row r="225" spans="1:24" x14ac:dyDescent="0.25">
      <c r="A225" t="s">
        <v>1151</v>
      </c>
      <c r="B225" t="s">
        <v>1152</v>
      </c>
      <c r="C225" t="s">
        <v>102</v>
      </c>
      <c r="D225">
        <v>32</v>
      </c>
      <c r="E225" t="s">
        <v>197</v>
      </c>
      <c r="F225" t="s">
        <v>323</v>
      </c>
      <c r="G225" t="s">
        <v>1153</v>
      </c>
      <c r="H225">
        <v>91276</v>
      </c>
      <c r="I225" t="s">
        <v>42</v>
      </c>
      <c r="J225" t="s">
        <v>61</v>
      </c>
      <c r="K225" t="s">
        <v>113</v>
      </c>
      <c r="L225" t="s">
        <v>33</v>
      </c>
      <c r="M225">
        <v>22</v>
      </c>
      <c r="N225" t="s">
        <v>34</v>
      </c>
      <c r="O225">
        <v>3</v>
      </c>
      <c r="P225">
        <v>3</v>
      </c>
      <c r="Q225">
        <v>2</v>
      </c>
      <c r="R225">
        <v>3</v>
      </c>
      <c r="S225">
        <v>4</v>
      </c>
      <c r="T225">
        <v>4</v>
      </c>
      <c r="U225">
        <v>17</v>
      </c>
      <c r="V225" t="s">
        <v>1154</v>
      </c>
      <c r="W225" t="s">
        <v>34</v>
      </c>
    </row>
    <row r="226" spans="1:24" x14ac:dyDescent="0.25">
      <c r="A226" t="s">
        <v>1155</v>
      </c>
      <c r="C226" t="s">
        <v>49</v>
      </c>
      <c r="D226">
        <v>22</v>
      </c>
      <c r="E226" t="s">
        <v>128</v>
      </c>
      <c r="F226" t="s">
        <v>271</v>
      </c>
      <c r="G226" t="s">
        <v>1156</v>
      </c>
      <c r="H226">
        <v>85221</v>
      </c>
      <c r="I226" t="s">
        <v>52</v>
      </c>
      <c r="K226" t="s">
        <v>32</v>
      </c>
      <c r="L226" t="s">
        <v>33</v>
      </c>
      <c r="M226">
        <v>25</v>
      </c>
      <c r="N226" t="s">
        <v>34</v>
      </c>
      <c r="O226">
        <v>2</v>
      </c>
      <c r="P226">
        <v>4</v>
      </c>
      <c r="R226">
        <v>2</v>
      </c>
      <c r="S226">
        <v>5</v>
      </c>
      <c r="T226">
        <v>6</v>
      </c>
      <c r="U226">
        <v>24</v>
      </c>
      <c r="V226" t="s">
        <v>1157</v>
      </c>
      <c r="W226" t="s">
        <v>34</v>
      </c>
    </row>
    <row r="227" spans="1:24" x14ac:dyDescent="0.25">
      <c r="A227" t="s">
        <v>1158</v>
      </c>
      <c r="B227" t="s">
        <v>1159</v>
      </c>
      <c r="C227" t="s">
        <v>81</v>
      </c>
      <c r="D227">
        <v>35</v>
      </c>
      <c r="E227" t="s">
        <v>88</v>
      </c>
      <c r="F227" t="s">
        <v>261</v>
      </c>
      <c r="G227" t="s">
        <v>1160</v>
      </c>
      <c r="H227" t="s">
        <v>1161</v>
      </c>
      <c r="J227" t="s">
        <v>61</v>
      </c>
      <c r="K227" t="s">
        <v>83</v>
      </c>
      <c r="L227" t="s">
        <v>33</v>
      </c>
      <c r="M227">
        <v>36</v>
      </c>
      <c r="N227" t="s">
        <v>34</v>
      </c>
      <c r="O227">
        <v>1</v>
      </c>
      <c r="P227">
        <v>2</v>
      </c>
      <c r="Q227">
        <v>1</v>
      </c>
      <c r="R227">
        <v>2</v>
      </c>
      <c r="S227">
        <v>1</v>
      </c>
      <c r="T227">
        <v>2</v>
      </c>
      <c r="U227">
        <v>12</v>
      </c>
      <c r="V227" t="s">
        <v>1162</v>
      </c>
      <c r="W227" t="s">
        <v>45</v>
      </c>
      <c r="X227" t="s">
        <v>1163</v>
      </c>
    </row>
    <row r="228" spans="1:24" x14ac:dyDescent="0.25">
      <c r="A228" t="s">
        <v>1164</v>
      </c>
      <c r="B228" t="s">
        <v>1165</v>
      </c>
      <c r="D228">
        <v>48</v>
      </c>
      <c r="E228" t="s">
        <v>1166</v>
      </c>
      <c r="F228" t="s">
        <v>573</v>
      </c>
      <c r="G228" t="s">
        <v>1167</v>
      </c>
      <c r="H228">
        <v>49316</v>
      </c>
      <c r="I228" t="s">
        <v>52</v>
      </c>
      <c r="J228" t="s">
        <v>97</v>
      </c>
      <c r="K228" t="s">
        <v>200</v>
      </c>
      <c r="L228" t="s">
        <v>43</v>
      </c>
      <c r="M228">
        <v>34</v>
      </c>
      <c r="N228" t="s">
        <v>45</v>
      </c>
      <c r="O228">
        <v>1</v>
      </c>
      <c r="P228">
        <v>4</v>
      </c>
      <c r="Q228">
        <v>3</v>
      </c>
      <c r="R228">
        <v>3</v>
      </c>
      <c r="S228">
        <v>1</v>
      </c>
      <c r="T228">
        <v>7</v>
      </c>
      <c r="U228">
        <v>14</v>
      </c>
      <c r="V228" t="s">
        <v>1168</v>
      </c>
      <c r="W228" t="s">
        <v>45</v>
      </c>
      <c r="X228" t="s">
        <v>1169</v>
      </c>
    </row>
    <row r="229" spans="1:24" x14ac:dyDescent="0.25">
      <c r="A229" t="s">
        <v>1170</v>
      </c>
      <c r="B229" t="s">
        <v>1171</v>
      </c>
      <c r="C229" t="s">
        <v>73</v>
      </c>
      <c r="D229">
        <v>25</v>
      </c>
      <c r="E229" t="s">
        <v>128</v>
      </c>
      <c r="F229" t="s">
        <v>351</v>
      </c>
      <c r="G229" t="s">
        <v>1172</v>
      </c>
      <c r="H229" t="s">
        <v>1173</v>
      </c>
      <c r="I229" t="s">
        <v>52</v>
      </c>
      <c r="J229" t="s">
        <v>61</v>
      </c>
      <c r="K229" t="s">
        <v>83</v>
      </c>
      <c r="L229" t="s">
        <v>43</v>
      </c>
      <c r="M229">
        <v>29</v>
      </c>
      <c r="N229" t="s">
        <v>34</v>
      </c>
      <c r="O229">
        <v>2</v>
      </c>
      <c r="P229">
        <v>1</v>
      </c>
      <c r="Q229">
        <v>2</v>
      </c>
      <c r="R229">
        <v>2</v>
      </c>
      <c r="S229">
        <v>4</v>
      </c>
      <c r="T229">
        <v>7</v>
      </c>
      <c r="U229">
        <v>24</v>
      </c>
      <c r="V229" t="s">
        <v>1174</v>
      </c>
      <c r="W229" t="s">
        <v>45</v>
      </c>
      <c r="X229" t="s">
        <v>1175</v>
      </c>
    </row>
    <row r="230" spans="1:24" x14ac:dyDescent="0.25">
      <c r="A230" t="s">
        <v>1176</v>
      </c>
      <c r="B230" t="s">
        <v>1177</v>
      </c>
      <c r="C230" t="s">
        <v>81</v>
      </c>
      <c r="D230">
        <v>34</v>
      </c>
      <c r="E230" t="s">
        <v>38</v>
      </c>
      <c r="F230" t="s">
        <v>136</v>
      </c>
      <c r="G230" t="s">
        <v>1178</v>
      </c>
      <c r="H230">
        <v>96511</v>
      </c>
      <c r="I230" t="s">
        <v>30</v>
      </c>
      <c r="J230" t="s">
        <v>31</v>
      </c>
      <c r="K230" t="s">
        <v>167</v>
      </c>
      <c r="L230" t="s">
        <v>43</v>
      </c>
      <c r="M230">
        <v>35</v>
      </c>
      <c r="N230" t="s">
        <v>45</v>
      </c>
      <c r="O230">
        <v>2</v>
      </c>
      <c r="P230">
        <v>3</v>
      </c>
      <c r="Q230">
        <v>4</v>
      </c>
      <c r="R230">
        <v>1</v>
      </c>
      <c r="S230">
        <v>3</v>
      </c>
      <c r="T230">
        <v>7</v>
      </c>
      <c r="U230">
        <v>19</v>
      </c>
      <c r="V230" t="s">
        <v>1179</v>
      </c>
      <c r="W230" t="s">
        <v>45</v>
      </c>
      <c r="X230" t="s">
        <v>1180</v>
      </c>
    </row>
    <row r="231" spans="1:24" x14ac:dyDescent="0.25">
      <c r="A231" t="s">
        <v>1181</v>
      </c>
      <c r="B231" t="s">
        <v>1182</v>
      </c>
      <c r="C231" t="s">
        <v>58</v>
      </c>
      <c r="D231">
        <v>37</v>
      </c>
      <c r="E231" t="s">
        <v>27</v>
      </c>
      <c r="F231" t="s">
        <v>188</v>
      </c>
      <c r="G231" t="s">
        <v>1183</v>
      </c>
      <c r="H231" t="s">
        <v>1184</v>
      </c>
      <c r="I231" t="s">
        <v>42</v>
      </c>
      <c r="J231" t="s">
        <v>143</v>
      </c>
      <c r="K231" t="s">
        <v>131</v>
      </c>
      <c r="L231" t="s">
        <v>43</v>
      </c>
      <c r="M231">
        <v>12</v>
      </c>
      <c r="N231" t="s">
        <v>45</v>
      </c>
      <c r="O231">
        <v>4</v>
      </c>
      <c r="P231">
        <v>4</v>
      </c>
      <c r="Q231">
        <v>3</v>
      </c>
      <c r="S231">
        <v>4</v>
      </c>
      <c r="T231">
        <v>4</v>
      </c>
      <c r="U231">
        <v>20</v>
      </c>
      <c r="V231" t="s">
        <v>1185</v>
      </c>
      <c r="W231" t="s">
        <v>34</v>
      </c>
    </row>
    <row r="232" spans="1:24" x14ac:dyDescent="0.25">
      <c r="A232" t="s">
        <v>1186</v>
      </c>
      <c r="B232" t="s">
        <v>1187</v>
      </c>
      <c r="C232" t="s">
        <v>49</v>
      </c>
      <c r="D232">
        <v>35</v>
      </c>
      <c r="E232" t="s">
        <v>665</v>
      </c>
      <c r="F232" t="s">
        <v>1102</v>
      </c>
      <c r="G232" t="s">
        <v>1188</v>
      </c>
      <c r="H232">
        <v>89847</v>
      </c>
      <c r="I232" t="s">
        <v>42</v>
      </c>
      <c r="J232" t="s">
        <v>61</v>
      </c>
      <c r="K232" t="s">
        <v>83</v>
      </c>
      <c r="L232" t="s">
        <v>62</v>
      </c>
      <c r="N232" t="s">
        <v>34</v>
      </c>
      <c r="O232">
        <v>4</v>
      </c>
      <c r="P232">
        <v>4</v>
      </c>
      <c r="Q232">
        <v>1</v>
      </c>
      <c r="R232">
        <v>3</v>
      </c>
      <c r="S232">
        <v>1</v>
      </c>
      <c r="T232">
        <v>4</v>
      </c>
      <c r="U232">
        <v>24</v>
      </c>
      <c r="W232" t="s">
        <v>34</v>
      </c>
    </row>
    <row r="233" spans="1:24" x14ac:dyDescent="0.25">
      <c r="A233" t="s">
        <v>1189</v>
      </c>
      <c r="B233" t="s">
        <v>1190</v>
      </c>
      <c r="C233" t="s">
        <v>102</v>
      </c>
      <c r="D233">
        <v>44</v>
      </c>
      <c r="E233" t="s">
        <v>94</v>
      </c>
      <c r="F233" t="s">
        <v>266</v>
      </c>
      <c r="G233" t="s">
        <v>1191</v>
      </c>
      <c r="H233">
        <v>103409</v>
      </c>
      <c r="I233" t="s">
        <v>52</v>
      </c>
      <c r="J233" t="s">
        <v>61</v>
      </c>
      <c r="K233" t="s">
        <v>83</v>
      </c>
      <c r="L233" t="s">
        <v>62</v>
      </c>
      <c r="M233">
        <v>19</v>
      </c>
      <c r="N233" t="s">
        <v>45</v>
      </c>
      <c r="O233">
        <v>4</v>
      </c>
      <c r="P233">
        <v>4</v>
      </c>
      <c r="Q233">
        <v>3</v>
      </c>
      <c r="R233">
        <v>3</v>
      </c>
      <c r="S233">
        <v>3</v>
      </c>
      <c r="U233">
        <v>11</v>
      </c>
      <c r="V233" t="s">
        <v>1192</v>
      </c>
      <c r="W233" t="s">
        <v>34</v>
      </c>
    </row>
    <row r="234" spans="1:24" x14ac:dyDescent="0.25">
      <c r="A234" t="s">
        <v>1193</v>
      </c>
      <c r="B234" t="s">
        <v>1194</v>
      </c>
      <c r="C234" t="s">
        <v>81</v>
      </c>
      <c r="D234">
        <v>44</v>
      </c>
      <c r="E234" t="s">
        <v>27</v>
      </c>
      <c r="F234" t="s">
        <v>1195</v>
      </c>
      <c r="G234" t="s">
        <v>1196</v>
      </c>
      <c r="H234">
        <v>77338</v>
      </c>
      <c r="I234" t="s">
        <v>52</v>
      </c>
      <c r="J234" t="s">
        <v>97</v>
      </c>
      <c r="K234" t="s">
        <v>32</v>
      </c>
      <c r="L234" t="s">
        <v>33</v>
      </c>
      <c r="M234">
        <v>36</v>
      </c>
      <c r="N234" t="s">
        <v>34</v>
      </c>
      <c r="O234">
        <v>4</v>
      </c>
      <c r="P234">
        <v>1</v>
      </c>
      <c r="Q234">
        <v>2</v>
      </c>
      <c r="R234">
        <v>3</v>
      </c>
      <c r="S234">
        <v>1</v>
      </c>
      <c r="T234">
        <v>7</v>
      </c>
      <c r="U234">
        <v>17</v>
      </c>
      <c r="V234" t="s">
        <v>1197</v>
      </c>
      <c r="W234" t="s">
        <v>34</v>
      </c>
    </row>
    <row r="235" spans="1:24" x14ac:dyDescent="0.25">
      <c r="A235" t="s">
        <v>1198</v>
      </c>
      <c r="B235" t="s">
        <v>1199</v>
      </c>
      <c r="C235" t="s">
        <v>67</v>
      </c>
      <c r="D235">
        <v>47</v>
      </c>
      <c r="E235" t="s">
        <v>706</v>
      </c>
      <c r="F235" t="s">
        <v>356</v>
      </c>
      <c r="G235" t="s">
        <v>1200</v>
      </c>
      <c r="H235">
        <v>53215</v>
      </c>
      <c r="I235" t="s">
        <v>42</v>
      </c>
      <c r="J235" t="s">
        <v>61</v>
      </c>
      <c r="K235" t="s">
        <v>83</v>
      </c>
      <c r="L235" t="s">
        <v>62</v>
      </c>
      <c r="M235">
        <v>39</v>
      </c>
      <c r="N235" t="s">
        <v>34</v>
      </c>
      <c r="O235">
        <v>4</v>
      </c>
      <c r="P235">
        <v>1</v>
      </c>
      <c r="Q235">
        <v>1</v>
      </c>
      <c r="R235">
        <v>3</v>
      </c>
      <c r="S235">
        <v>4</v>
      </c>
      <c r="T235">
        <v>7</v>
      </c>
      <c r="U235">
        <v>12</v>
      </c>
      <c r="V235" t="s">
        <v>1201</v>
      </c>
      <c r="W235" t="s">
        <v>34</v>
      </c>
    </row>
    <row r="236" spans="1:24" x14ac:dyDescent="0.25">
      <c r="A236" t="s">
        <v>1202</v>
      </c>
      <c r="B236" t="s">
        <v>1203</v>
      </c>
      <c r="C236" t="s">
        <v>87</v>
      </c>
      <c r="D236">
        <v>38</v>
      </c>
      <c r="E236" t="s">
        <v>94</v>
      </c>
      <c r="F236" t="s">
        <v>639</v>
      </c>
      <c r="G236" t="s">
        <v>1204</v>
      </c>
      <c r="H236">
        <v>55252</v>
      </c>
      <c r="J236" t="s">
        <v>31</v>
      </c>
      <c r="K236" t="s">
        <v>54</v>
      </c>
      <c r="L236" t="s">
        <v>62</v>
      </c>
      <c r="M236">
        <v>29</v>
      </c>
      <c r="N236" t="s">
        <v>45</v>
      </c>
      <c r="O236">
        <v>2</v>
      </c>
      <c r="P236">
        <v>3</v>
      </c>
      <c r="Q236">
        <v>4</v>
      </c>
      <c r="R236">
        <v>2</v>
      </c>
      <c r="S236">
        <v>3</v>
      </c>
      <c r="T236">
        <v>5</v>
      </c>
      <c r="U236">
        <v>21</v>
      </c>
      <c r="V236" t="s">
        <v>1205</v>
      </c>
      <c r="W236" t="s">
        <v>45</v>
      </c>
      <c r="X236" t="s">
        <v>1206</v>
      </c>
    </row>
    <row r="237" spans="1:24" x14ac:dyDescent="0.25">
      <c r="A237" t="s">
        <v>1207</v>
      </c>
      <c r="B237" t="s">
        <v>1208</v>
      </c>
      <c r="C237" t="s">
        <v>26</v>
      </c>
      <c r="D237">
        <v>22</v>
      </c>
      <c r="E237" t="s">
        <v>412</v>
      </c>
      <c r="F237" t="s">
        <v>1093</v>
      </c>
      <c r="G237" t="s">
        <v>1209</v>
      </c>
      <c r="H237">
        <v>60947</v>
      </c>
      <c r="I237" t="s">
        <v>52</v>
      </c>
      <c r="J237" t="s">
        <v>53</v>
      </c>
      <c r="K237" t="s">
        <v>32</v>
      </c>
      <c r="L237" t="s">
        <v>62</v>
      </c>
      <c r="M237">
        <v>14</v>
      </c>
      <c r="N237" t="s">
        <v>34</v>
      </c>
      <c r="P237">
        <v>3</v>
      </c>
      <c r="Q237">
        <v>2</v>
      </c>
      <c r="R237">
        <v>4</v>
      </c>
      <c r="S237">
        <v>4</v>
      </c>
      <c r="T237">
        <v>3</v>
      </c>
      <c r="U237">
        <v>22</v>
      </c>
      <c r="V237" t="s">
        <v>1210</v>
      </c>
      <c r="W237" t="s">
        <v>34</v>
      </c>
    </row>
    <row r="238" spans="1:24" x14ac:dyDescent="0.25">
      <c r="A238" t="s">
        <v>1211</v>
      </c>
      <c r="B238" t="s">
        <v>1212</v>
      </c>
      <c r="C238" t="s">
        <v>49</v>
      </c>
      <c r="D238">
        <v>24</v>
      </c>
      <c r="E238" t="s">
        <v>103</v>
      </c>
      <c r="F238" t="s">
        <v>271</v>
      </c>
      <c r="G238" t="s">
        <v>1213</v>
      </c>
      <c r="H238">
        <v>95856</v>
      </c>
      <c r="I238" t="s">
        <v>52</v>
      </c>
      <c r="J238" t="s">
        <v>97</v>
      </c>
      <c r="K238" t="s">
        <v>54</v>
      </c>
      <c r="L238" t="s">
        <v>33</v>
      </c>
      <c r="M238">
        <v>37</v>
      </c>
      <c r="N238" t="s">
        <v>34</v>
      </c>
      <c r="O238">
        <v>2</v>
      </c>
      <c r="P238">
        <v>3</v>
      </c>
      <c r="Q238">
        <v>1</v>
      </c>
      <c r="R238">
        <v>3</v>
      </c>
      <c r="S238">
        <v>2</v>
      </c>
      <c r="U238">
        <v>13</v>
      </c>
      <c r="V238" t="s">
        <v>1214</v>
      </c>
      <c r="W238" t="s">
        <v>45</v>
      </c>
      <c r="X238" t="s">
        <v>1215</v>
      </c>
    </row>
    <row r="239" spans="1:24" x14ac:dyDescent="0.25">
      <c r="A239" t="s">
        <v>1216</v>
      </c>
      <c r="B239" t="s">
        <v>1217</v>
      </c>
      <c r="C239" t="s">
        <v>26</v>
      </c>
      <c r="D239">
        <v>19</v>
      </c>
      <c r="E239" t="s">
        <v>88</v>
      </c>
      <c r="F239" t="s">
        <v>261</v>
      </c>
      <c r="G239" t="s">
        <v>1218</v>
      </c>
      <c r="H239">
        <v>61787</v>
      </c>
      <c r="I239" t="s">
        <v>52</v>
      </c>
      <c r="J239" t="s">
        <v>31</v>
      </c>
      <c r="K239" t="s">
        <v>32</v>
      </c>
      <c r="L239" t="s">
        <v>62</v>
      </c>
      <c r="M239">
        <v>21</v>
      </c>
      <c r="N239" t="s">
        <v>34</v>
      </c>
      <c r="O239">
        <v>2</v>
      </c>
      <c r="P239">
        <v>1</v>
      </c>
      <c r="Q239">
        <v>3</v>
      </c>
      <c r="R239">
        <v>5</v>
      </c>
      <c r="S239">
        <v>1</v>
      </c>
      <c r="T239">
        <v>8</v>
      </c>
      <c r="U239">
        <v>23</v>
      </c>
      <c r="V239" t="s">
        <v>1219</v>
      </c>
      <c r="W239" t="s">
        <v>34</v>
      </c>
    </row>
    <row r="240" spans="1:24" x14ac:dyDescent="0.25">
      <c r="A240" t="s">
        <v>1220</v>
      </c>
      <c r="B240" t="s">
        <v>1221</v>
      </c>
      <c r="C240" t="s">
        <v>58</v>
      </c>
      <c r="D240">
        <v>36</v>
      </c>
      <c r="E240" t="s">
        <v>197</v>
      </c>
      <c r="F240" t="s">
        <v>1222</v>
      </c>
      <c r="G240" t="s">
        <v>1223</v>
      </c>
      <c r="H240">
        <v>101729</v>
      </c>
      <c r="J240" t="s">
        <v>61</v>
      </c>
      <c r="K240" t="s">
        <v>106</v>
      </c>
      <c r="L240" t="s">
        <v>43</v>
      </c>
      <c r="M240">
        <v>41</v>
      </c>
      <c r="N240" t="s">
        <v>34</v>
      </c>
      <c r="O240">
        <v>4</v>
      </c>
      <c r="P240">
        <v>4</v>
      </c>
      <c r="Q240">
        <v>2</v>
      </c>
      <c r="R240">
        <v>4</v>
      </c>
      <c r="S240">
        <v>2</v>
      </c>
      <c r="T240">
        <v>4</v>
      </c>
      <c r="U240">
        <v>11</v>
      </c>
      <c r="V240" t="s">
        <v>1224</v>
      </c>
      <c r="W240" t="s">
        <v>34</v>
      </c>
    </row>
    <row r="241" spans="1:24" x14ac:dyDescent="0.25">
      <c r="A241" t="s">
        <v>1225</v>
      </c>
      <c r="B241" t="s">
        <v>1226</v>
      </c>
      <c r="C241" t="s">
        <v>73</v>
      </c>
      <c r="D241">
        <v>45</v>
      </c>
      <c r="E241" t="s">
        <v>128</v>
      </c>
      <c r="F241" t="s">
        <v>255</v>
      </c>
      <c r="G241" t="s">
        <v>1227</v>
      </c>
      <c r="H241" t="s">
        <v>1228</v>
      </c>
      <c r="I241" t="s">
        <v>42</v>
      </c>
      <c r="J241" t="s">
        <v>61</v>
      </c>
      <c r="K241" t="s">
        <v>54</v>
      </c>
      <c r="L241" t="s">
        <v>62</v>
      </c>
      <c r="M241">
        <v>14</v>
      </c>
      <c r="N241" t="s">
        <v>45</v>
      </c>
      <c r="O241">
        <v>2</v>
      </c>
      <c r="P241">
        <v>3</v>
      </c>
      <c r="Q241">
        <v>2</v>
      </c>
      <c r="R241">
        <v>4</v>
      </c>
      <c r="S241">
        <v>0</v>
      </c>
      <c r="T241">
        <v>7</v>
      </c>
      <c r="U241">
        <v>23</v>
      </c>
      <c r="V241" t="s">
        <v>1229</v>
      </c>
      <c r="W241" t="s">
        <v>45</v>
      </c>
      <c r="X241" t="s">
        <v>1230</v>
      </c>
    </row>
    <row r="242" spans="1:24" x14ac:dyDescent="0.25">
      <c r="A242" t="s">
        <v>1231</v>
      </c>
      <c r="B242" t="s">
        <v>1232</v>
      </c>
      <c r="C242" t="s">
        <v>67</v>
      </c>
      <c r="D242">
        <v>29</v>
      </c>
      <c r="E242" t="s">
        <v>457</v>
      </c>
      <c r="F242" t="s">
        <v>50</v>
      </c>
      <c r="G242" t="s">
        <v>1233</v>
      </c>
      <c r="H242" t="s">
        <v>1234</v>
      </c>
      <c r="I242" t="s">
        <v>30</v>
      </c>
      <c r="J242" t="s">
        <v>143</v>
      </c>
      <c r="K242" t="s">
        <v>113</v>
      </c>
      <c r="L242" t="s">
        <v>33</v>
      </c>
      <c r="M242">
        <v>1</v>
      </c>
      <c r="N242" t="s">
        <v>34</v>
      </c>
      <c r="O242">
        <v>4</v>
      </c>
      <c r="Q242">
        <v>3</v>
      </c>
      <c r="R242">
        <v>3</v>
      </c>
      <c r="S242">
        <v>6</v>
      </c>
      <c r="T242">
        <v>8</v>
      </c>
      <c r="U242">
        <v>21</v>
      </c>
      <c r="V242" t="s">
        <v>1235</v>
      </c>
      <c r="W242" t="s">
        <v>34</v>
      </c>
    </row>
    <row r="243" spans="1:24" x14ac:dyDescent="0.25">
      <c r="A243" t="s">
        <v>1236</v>
      </c>
      <c r="B243" t="s">
        <v>1237</v>
      </c>
      <c r="C243" t="s">
        <v>58</v>
      </c>
      <c r="D243">
        <v>19</v>
      </c>
      <c r="E243" t="s">
        <v>88</v>
      </c>
      <c r="F243" t="s">
        <v>555</v>
      </c>
      <c r="G243" t="s">
        <v>1238</v>
      </c>
      <c r="H243">
        <v>114321</v>
      </c>
      <c r="I243" t="s">
        <v>42</v>
      </c>
      <c r="J243" t="s">
        <v>31</v>
      </c>
      <c r="K243" t="s">
        <v>54</v>
      </c>
      <c r="L243" t="s">
        <v>62</v>
      </c>
      <c r="M243">
        <v>27</v>
      </c>
      <c r="N243" t="s">
        <v>34</v>
      </c>
      <c r="O243">
        <v>4</v>
      </c>
      <c r="Q243">
        <v>3</v>
      </c>
      <c r="R243">
        <v>3</v>
      </c>
      <c r="S243">
        <v>5</v>
      </c>
      <c r="T243">
        <v>1</v>
      </c>
      <c r="U243">
        <v>11</v>
      </c>
      <c r="V243" t="s">
        <v>1239</v>
      </c>
      <c r="W243" t="s">
        <v>34</v>
      </c>
    </row>
    <row r="244" spans="1:24" x14ac:dyDescent="0.25">
      <c r="A244" t="s">
        <v>1240</v>
      </c>
      <c r="B244" t="s">
        <v>1241</v>
      </c>
      <c r="C244" t="s">
        <v>81</v>
      </c>
      <c r="D244">
        <v>40</v>
      </c>
      <c r="E244" t="s">
        <v>88</v>
      </c>
      <c r="F244" t="s">
        <v>261</v>
      </c>
      <c r="G244" t="s">
        <v>1242</v>
      </c>
      <c r="H244" t="s">
        <v>1243</v>
      </c>
      <c r="I244" t="s">
        <v>52</v>
      </c>
      <c r="J244" t="s">
        <v>31</v>
      </c>
      <c r="K244" t="s">
        <v>113</v>
      </c>
      <c r="L244" t="s">
        <v>33</v>
      </c>
      <c r="M244">
        <v>27</v>
      </c>
      <c r="N244" t="s">
        <v>34</v>
      </c>
      <c r="O244">
        <v>2</v>
      </c>
      <c r="P244">
        <v>1</v>
      </c>
      <c r="R244">
        <v>3</v>
      </c>
      <c r="S244">
        <v>6</v>
      </c>
      <c r="T244">
        <v>6</v>
      </c>
      <c r="U244">
        <v>13</v>
      </c>
      <c r="V244" t="s">
        <v>1244</v>
      </c>
      <c r="W244" t="s">
        <v>34</v>
      </c>
    </row>
    <row r="245" spans="1:24" x14ac:dyDescent="0.25">
      <c r="A245" t="s">
        <v>1245</v>
      </c>
      <c r="B245" t="s">
        <v>1246</v>
      </c>
      <c r="C245" t="s">
        <v>81</v>
      </c>
      <c r="D245">
        <v>32</v>
      </c>
      <c r="E245" t="s">
        <v>579</v>
      </c>
      <c r="F245" t="s">
        <v>286</v>
      </c>
      <c r="G245" t="s">
        <v>1247</v>
      </c>
      <c r="H245">
        <v>97458</v>
      </c>
      <c r="I245" t="s">
        <v>30</v>
      </c>
      <c r="J245" t="s">
        <v>61</v>
      </c>
      <c r="K245" t="s">
        <v>106</v>
      </c>
      <c r="L245" t="s">
        <v>33</v>
      </c>
      <c r="M245">
        <v>22</v>
      </c>
      <c r="N245" t="s">
        <v>34</v>
      </c>
      <c r="O245">
        <v>2</v>
      </c>
      <c r="P245">
        <v>4</v>
      </c>
      <c r="Q245">
        <v>4</v>
      </c>
      <c r="R245">
        <v>4</v>
      </c>
      <c r="S245">
        <v>3</v>
      </c>
      <c r="T245">
        <v>7</v>
      </c>
      <c r="U245">
        <v>15</v>
      </c>
      <c r="V245" t="s">
        <v>1248</v>
      </c>
      <c r="W245" t="s">
        <v>34</v>
      </c>
    </row>
    <row r="246" spans="1:24" x14ac:dyDescent="0.25">
      <c r="A246" t="s">
        <v>1249</v>
      </c>
      <c r="B246" t="s">
        <v>1250</v>
      </c>
      <c r="C246" t="s">
        <v>73</v>
      </c>
      <c r="D246">
        <v>33</v>
      </c>
      <c r="E246" t="s">
        <v>88</v>
      </c>
      <c r="F246" t="s">
        <v>261</v>
      </c>
      <c r="G246" t="s">
        <v>1251</v>
      </c>
      <c r="H246" t="s">
        <v>1252</v>
      </c>
      <c r="I246" t="s">
        <v>30</v>
      </c>
      <c r="J246" t="s">
        <v>143</v>
      </c>
      <c r="K246" t="s">
        <v>77</v>
      </c>
      <c r="L246" t="s">
        <v>33</v>
      </c>
      <c r="M246">
        <v>16</v>
      </c>
      <c r="N246" t="s">
        <v>34</v>
      </c>
      <c r="O246">
        <v>2</v>
      </c>
      <c r="P246">
        <v>2</v>
      </c>
      <c r="Q246">
        <v>2</v>
      </c>
      <c r="R246">
        <v>2</v>
      </c>
      <c r="S246">
        <v>2</v>
      </c>
      <c r="T246">
        <v>7</v>
      </c>
      <c r="U246">
        <v>23</v>
      </c>
      <c r="V246" t="s">
        <v>1253</v>
      </c>
      <c r="W246" t="s">
        <v>34</v>
      </c>
    </row>
    <row r="247" spans="1:24" x14ac:dyDescent="0.25">
      <c r="A247" t="s">
        <v>1254</v>
      </c>
      <c r="B247" t="s">
        <v>655</v>
      </c>
      <c r="C247" t="s">
        <v>67</v>
      </c>
      <c r="D247">
        <v>28</v>
      </c>
      <c r="E247" t="s">
        <v>629</v>
      </c>
      <c r="F247" t="s">
        <v>255</v>
      </c>
      <c r="G247" t="s">
        <v>1255</v>
      </c>
      <c r="H247">
        <v>86026</v>
      </c>
      <c r="I247" t="s">
        <v>42</v>
      </c>
      <c r="J247" t="s">
        <v>97</v>
      </c>
      <c r="K247" t="s">
        <v>98</v>
      </c>
      <c r="L247" t="s">
        <v>33</v>
      </c>
      <c r="M247">
        <v>42</v>
      </c>
      <c r="N247" t="s">
        <v>34</v>
      </c>
      <c r="O247">
        <v>2</v>
      </c>
      <c r="P247">
        <v>1</v>
      </c>
      <c r="Q247">
        <v>4</v>
      </c>
      <c r="R247">
        <v>4</v>
      </c>
      <c r="S247">
        <v>5</v>
      </c>
      <c r="T247">
        <v>2</v>
      </c>
      <c r="U247">
        <v>12</v>
      </c>
      <c r="V247" t="s">
        <v>1256</v>
      </c>
      <c r="W247" t="s">
        <v>45</v>
      </c>
      <c r="X247" t="s">
        <v>1257</v>
      </c>
    </row>
    <row r="248" spans="1:24" x14ac:dyDescent="0.25">
      <c r="A248" t="s">
        <v>1258</v>
      </c>
      <c r="B248" t="s">
        <v>1259</v>
      </c>
      <c r="C248" t="s">
        <v>49</v>
      </c>
      <c r="D248">
        <v>29</v>
      </c>
      <c r="E248" t="s">
        <v>197</v>
      </c>
      <c r="F248" t="s">
        <v>323</v>
      </c>
      <c r="G248" t="s">
        <v>1260</v>
      </c>
      <c r="H248">
        <v>43412</v>
      </c>
      <c r="I248" t="s">
        <v>52</v>
      </c>
      <c r="J248" t="s">
        <v>31</v>
      </c>
      <c r="K248" t="s">
        <v>54</v>
      </c>
      <c r="L248" t="s">
        <v>62</v>
      </c>
      <c r="M248">
        <v>19</v>
      </c>
      <c r="N248" t="s">
        <v>45</v>
      </c>
      <c r="O248">
        <v>2</v>
      </c>
      <c r="P248">
        <v>1</v>
      </c>
      <c r="Q248">
        <v>2</v>
      </c>
      <c r="R248">
        <v>4</v>
      </c>
      <c r="S248">
        <v>6</v>
      </c>
      <c r="T248">
        <v>3</v>
      </c>
      <c r="U248">
        <v>13</v>
      </c>
      <c r="V248" t="s">
        <v>1261</v>
      </c>
      <c r="W248" t="s">
        <v>45</v>
      </c>
      <c r="X248" t="s">
        <v>1262</v>
      </c>
    </row>
    <row r="249" spans="1:24" x14ac:dyDescent="0.25">
      <c r="A249" t="s">
        <v>1263</v>
      </c>
      <c r="B249" t="s">
        <v>1264</v>
      </c>
      <c r="C249" t="s">
        <v>73</v>
      </c>
      <c r="D249">
        <v>35</v>
      </c>
      <c r="E249" t="s">
        <v>197</v>
      </c>
      <c r="F249" t="s">
        <v>323</v>
      </c>
      <c r="G249" t="s">
        <v>1265</v>
      </c>
      <c r="H249">
        <v>85773</v>
      </c>
      <c r="I249" t="s">
        <v>42</v>
      </c>
      <c r="J249" t="s">
        <v>61</v>
      </c>
      <c r="K249" t="s">
        <v>54</v>
      </c>
      <c r="L249" t="s">
        <v>33</v>
      </c>
      <c r="M249">
        <v>38</v>
      </c>
      <c r="N249" t="s">
        <v>34</v>
      </c>
      <c r="O249">
        <v>4</v>
      </c>
      <c r="P249">
        <v>3</v>
      </c>
      <c r="Q249">
        <v>1</v>
      </c>
      <c r="R249">
        <v>4</v>
      </c>
      <c r="S249">
        <v>4</v>
      </c>
      <c r="T249">
        <v>8</v>
      </c>
      <c r="U249">
        <v>16</v>
      </c>
      <c r="V249" t="s">
        <v>1266</v>
      </c>
      <c r="W249" t="s">
        <v>34</v>
      </c>
    </row>
    <row r="250" spans="1:24" x14ac:dyDescent="0.25">
      <c r="A250" t="s">
        <v>1267</v>
      </c>
      <c r="B250" t="s">
        <v>1268</v>
      </c>
      <c r="C250" t="s">
        <v>49</v>
      </c>
      <c r="D250">
        <v>37</v>
      </c>
      <c r="E250" t="s">
        <v>128</v>
      </c>
      <c r="F250" t="s">
        <v>271</v>
      </c>
      <c r="G250" t="s">
        <v>1269</v>
      </c>
      <c r="H250" t="s">
        <v>1270</v>
      </c>
      <c r="I250" t="s">
        <v>30</v>
      </c>
      <c r="J250" t="s">
        <v>31</v>
      </c>
      <c r="K250" t="s">
        <v>113</v>
      </c>
      <c r="L250" t="s">
        <v>62</v>
      </c>
      <c r="M250">
        <v>37</v>
      </c>
      <c r="N250" t="s">
        <v>34</v>
      </c>
      <c r="O250">
        <v>2</v>
      </c>
      <c r="Q250">
        <v>3</v>
      </c>
      <c r="R250">
        <v>4</v>
      </c>
      <c r="S250">
        <v>6</v>
      </c>
      <c r="T250">
        <v>1</v>
      </c>
      <c r="U250">
        <v>20</v>
      </c>
      <c r="V250" t="s">
        <v>1271</v>
      </c>
      <c r="W250" t="s">
        <v>34</v>
      </c>
    </row>
    <row r="251" spans="1:24" x14ac:dyDescent="0.25">
      <c r="A251" t="s">
        <v>1272</v>
      </c>
      <c r="B251" t="s">
        <v>1273</v>
      </c>
      <c r="C251" t="s">
        <v>26</v>
      </c>
      <c r="D251">
        <v>21</v>
      </c>
      <c r="E251" t="s">
        <v>103</v>
      </c>
      <c r="F251" t="s">
        <v>1274</v>
      </c>
      <c r="G251" t="s">
        <v>1275</v>
      </c>
      <c r="H251" t="s">
        <v>1276</v>
      </c>
      <c r="I251" t="s">
        <v>30</v>
      </c>
      <c r="K251" t="s">
        <v>200</v>
      </c>
      <c r="L251" t="s">
        <v>33</v>
      </c>
      <c r="M251">
        <v>11</v>
      </c>
      <c r="N251" t="s">
        <v>34</v>
      </c>
      <c r="O251">
        <v>3</v>
      </c>
      <c r="P251">
        <v>3</v>
      </c>
      <c r="Q251">
        <v>4</v>
      </c>
      <c r="R251">
        <v>4</v>
      </c>
      <c r="S251">
        <v>4</v>
      </c>
      <c r="T251">
        <v>2</v>
      </c>
      <c r="U251">
        <v>18</v>
      </c>
      <c r="V251" t="s">
        <v>1277</v>
      </c>
      <c r="W251" t="s">
        <v>34</v>
      </c>
    </row>
    <row r="252" spans="1:24" x14ac:dyDescent="0.25">
      <c r="A252" t="s">
        <v>1278</v>
      </c>
      <c r="B252" t="s">
        <v>1279</v>
      </c>
      <c r="C252" t="s">
        <v>73</v>
      </c>
      <c r="D252">
        <v>34</v>
      </c>
      <c r="E252" t="s">
        <v>88</v>
      </c>
      <c r="F252" t="s">
        <v>760</v>
      </c>
      <c r="G252" t="s">
        <v>1280</v>
      </c>
      <c r="H252">
        <v>100810</v>
      </c>
      <c r="I252" t="s">
        <v>30</v>
      </c>
      <c r="J252" t="s">
        <v>61</v>
      </c>
      <c r="K252" t="s">
        <v>32</v>
      </c>
      <c r="L252" t="s">
        <v>43</v>
      </c>
      <c r="M252">
        <v>7</v>
      </c>
      <c r="N252" t="s">
        <v>34</v>
      </c>
      <c r="O252">
        <v>4</v>
      </c>
      <c r="P252">
        <v>3</v>
      </c>
      <c r="Q252">
        <v>3</v>
      </c>
      <c r="S252">
        <v>2</v>
      </c>
      <c r="T252">
        <v>8</v>
      </c>
      <c r="U252">
        <v>22</v>
      </c>
      <c r="V252" t="s">
        <v>1281</v>
      </c>
      <c r="W252" t="s">
        <v>34</v>
      </c>
    </row>
    <row r="253" spans="1:24" x14ac:dyDescent="0.25">
      <c r="A253" t="s">
        <v>1282</v>
      </c>
      <c r="B253" t="s">
        <v>1283</v>
      </c>
      <c r="C253" t="s">
        <v>102</v>
      </c>
      <c r="D253">
        <v>37</v>
      </c>
      <c r="E253" t="s">
        <v>128</v>
      </c>
      <c r="F253" t="s">
        <v>104</v>
      </c>
      <c r="G253" t="s">
        <v>1284</v>
      </c>
      <c r="H253">
        <v>107151</v>
      </c>
      <c r="I253" t="s">
        <v>42</v>
      </c>
      <c r="J253" t="s">
        <v>143</v>
      </c>
      <c r="K253" t="s">
        <v>54</v>
      </c>
      <c r="L253" t="s">
        <v>43</v>
      </c>
      <c r="M253">
        <v>9</v>
      </c>
      <c r="N253" t="s">
        <v>45</v>
      </c>
      <c r="O253">
        <v>2</v>
      </c>
      <c r="P253">
        <v>2</v>
      </c>
      <c r="Q253">
        <v>2</v>
      </c>
      <c r="R253">
        <v>3</v>
      </c>
      <c r="S253">
        <v>2</v>
      </c>
      <c r="T253">
        <v>7</v>
      </c>
      <c r="U253">
        <v>15</v>
      </c>
      <c r="V253" t="s">
        <v>1285</v>
      </c>
      <c r="W253" t="s">
        <v>45</v>
      </c>
      <c r="X253" t="s">
        <v>1286</v>
      </c>
    </row>
    <row r="254" spans="1:24" x14ac:dyDescent="0.25">
      <c r="A254" t="s">
        <v>1287</v>
      </c>
      <c r="B254" t="s">
        <v>1288</v>
      </c>
      <c r="C254" t="s">
        <v>73</v>
      </c>
      <c r="D254">
        <v>33</v>
      </c>
      <c r="E254" t="s">
        <v>128</v>
      </c>
      <c r="F254" t="s">
        <v>123</v>
      </c>
      <c r="G254" t="s">
        <v>1289</v>
      </c>
      <c r="H254">
        <v>75369</v>
      </c>
      <c r="I254" t="s">
        <v>52</v>
      </c>
      <c r="J254" t="s">
        <v>31</v>
      </c>
      <c r="K254" t="s">
        <v>83</v>
      </c>
      <c r="L254" t="s">
        <v>43</v>
      </c>
      <c r="M254">
        <v>41</v>
      </c>
      <c r="N254" t="s">
        <v>34</v>
      </c>
      <c r="O254">
        <v>4</v>
      </c>
      <c r="Q254">
        <v>1</v>
      </c>
      <c r="R254">
        <v>2</v>
      </c>
      <c r="S254">
        <v>3</v>
      </c>
      <c r="T254">
        <v>0</v>
      </c>
      <c r="U254">
        <v>20</v>
      </c>
      <c r="V254" t="s">
        <v>1290</v>
      </c>
      <c r="W254" t="s">
        <v>34</v>
      </c>
    </row>
    <row r="255" spans="1:24" x14ac:dyDescent="0.25">
      <c r="A255" t="s">
        <v>1291</v>
      </c>
      <c r="B255" t="s">
        <v>1292</v>
      </c>
      <c r="C255" t="s">
        <v>87</v>
      </c>
      <c r="E255" t="s">
        <v>197</v>
      </c>
      <c r="F255" t="s">
        <v>771</v>
      </c>
      <c r="G255" t="s">
        <v>1293</v>
      </c>
      <c r="H255">
        <v>100032</v>
      </c>
      <c r="I255" t="s">
        <v>52</v>
      </c>
      <c r="J255" t="s">
        <v>61</v>
      </c>
      <c r="K255" t="s">
        <v>77</v>
      </c>
      <c r="L255" t="s">
        <v>33</v>
      </c>
      <c r="M255">
        <v>40</v>
      </c>
      <c r="N255" t="s">
        <v>34</v>
      </c>
      <c r="O255">
        <v>1</v>
      </c>
      <c r="P255">
        <v>4</v>
      </c>
      <c r="Q255">
        <v>3</v>
      </c>
      <c r="R255">
        <v>3</v>
      </c>
      <c r="S255">
        <v>4</v>
      </c>
      <c r="T255">
        <v>1</v>
      </c>
      <c r="U255">
        <v>25</v>
      </c>
      <c r="V255" t="s">
        <v>1294</v>
      </c>
      <c r="W255" t="s">
        <v>34</v>
      </c>
    </row>
    <row r="256" spans="1:24" x14ac:dyDescent="0.25">
      <c r="A256" t="s">
        <v>1295</v>
      </c>
      <c r="B256" t="s">
        <v>1296</v>
      </c>
      <c r="C256" t="s">
        <v>67</v>
      </c>
      <c r="D256">
        <v>19</v>
      </c>
      <c r="E256" t="s">
        <v>94</v>
      </c>
      <c r="F256" t="s">
        <v>639</v>
      </c>
      <c r="G256" t="s">
        <v>1297</v>
      </c>
      <c r="H256">
        <v>100981</v>
      </c>
      <c r="I256" t="s">
        <v>30</v>
      </c>
      <c r="J256" t="s">
        <v>31</v>
      </c>
      <c r="K256" t="s">
        <v>83</v>
      </c>
      <c r="L256" t="s">
        <v>33</v>
      </c>
      <c r="M256">
        <v>2</v>
      </c>
      <c r="N256" t="s">
        <v>34</v>
      </c>
      <c r="O256">
        <v>4</v>
      </c>
      <c r="P256">
        <v>1</v>
      </c>
      <c r="Q256">
        <v>1</v>
      </c>
      <c r="R256">
        <v>2</v>
      </c>
      <c r="S256">
        <v>1</v>
      </c>
      <c r="T256">
        <v>6</v>
      </c>
      <c r="U256">
        <v>16</v>
      </c>
      <c r="V256" t="s">
        <v>1298</v>
      </c>
      <c r="W256" t="s">
        <v>34</v>
      </c>
    </row>
    <row r="257" spans="1:24" x14ac:dyDescent="0.25">
      <c r="A257" t="s">
        <v>1299</v>
      </c>
      <c r="B257" t="s">
        <v>1300</v>
      </c>
      <c r="C257" t="s">
        <v>26</v>
      </c>
      <c r="D257">
        <v>40</v>
      </c>
      <c r="E257" t="s">
        <v>103</v>
      </c>
      <c r="G257" t="s">
        <v>1301</v>
      </c>
      <c r="H257">
        <v>53911</v>
      </c>
      <c r="I257" t="s">
        <v>52</v>
      </c>
      <c r="J257" t="s">
        <v>143</v>
      </c>
      <c r="K257" t="s">
        <v>106</v>
      </c>
      <c r="L257" t="s">
        <v>62</v>
      </c>
      <c r="M257">
        <v>41</v>
      </c>
      <c r="N257" t="s">
        <v>34</v>
      </c>
      <c r="O257">
        <v>1</v>
      </c>
      <c r="P257">
        <v>1</v>
      </c>
      <c r="Q257">
        <v>3</v>
      </c>
      <c r="R257">
        <v>3</v>
      </c>
      <c r="S257">
        <v>4</v>
      </c>
      <c r="T257">
        <v>1</v>
      </c>
      <c r="U257">
        <v>24</v>
      </c>
      <c r="V257" t="s">
        <v>1302</v>
      </c>
      <c r="W257" t="s">
        <v>34</v>
      </c>
    </row>
    <row r="258" spans="1:24" x14ac:dyDescent="0.25">
      <c r="A258" t="s">
        <v>1303</v>
      </c>
      <c r="B258" t="s">
        <v>1304</v>
      </c>
      <c r="C258" t="s">
        <v>102</v>
      </c>
      <c r="D258">
        <v>35</v>
      </c>
      <c r="E258" t="s">
        <v>27</v>
      </c>
      <c r="F258" t="s">
        <v>75</v>
      </c>
      <c r="G258" t="s">
        <v>1305</v>
      </c>
      <c r="H258">
        <v>96998</v>
      </c>
      <c r="I258" t="s">
        <v>52</v>
      </c>
      <c r="J258" t="s">
        <v>31</v>
      </c>
      <c r="K258" t="s">
        <v>32</v>
      </c>
      <c r="L258" t="s">
        <v>62</v>
      </c>
      <c r="M258">
        <v>20</v>
      </c>
      <c r="N258" t="s">
        <v>45</v>
      </c>
      <c r="O258">
        <v>3</v>
      </c>
      <c r="P258">
        <v>3</v>
      </c>
      <c r="Q258">
        <v>2</v>
      </c>
      <c r="R258">
        <v>3</v>
      </c>
      <c r="S258">
        <v>6</v>
      </c>
      <c r="T258">
        <v>7</v>
      </c>
      <c r="U258">
        <v>12</v>
      </c>
      <c r="V258" t="s">
        <v>1306</v>
      </c>
      <c r="W258" t="s">
        <v>45</v>
      </c>
      <c r="X258" t="s">
        <v>1307</v>
      </c>
    </row>
    <row r="259" spans="1:24" x14ac:dyDescent="0.25">
      <c r="A259" t="s">
        <v>1308</v>
      </c>
      <c r="B259" t="s">
        <v>1309</v>
      </c>
      <c r="C259" t="s">
        <v>87</v>
      </c>
      <c r="D259">
        <v>40</v>
      </c>
      <c r="E259" t="s">
        <v>27</v>
      </c>
      <c r="F259" t="s">
        <v>188</v>
      </c>
      <c r="G259" t="s">
        <v>1310</v>
      </c>
      <c r="H259">
        <v>103310</v>
      </c>
      <c r="I259" t="s">
        <v>42</v>
      </c>
      <c r="J259" t="s">
        <v>97</v>
      </c>
      <c r="K259" t="s">
        <v>106</v>
      </c>
      <c r="L259" t="s">
        <v>33</v>
      </c>
      <c r="M259">
        <v>28</v>
      </c>
      <c r="N259" t="s">
        <v>34</v>
      </c>
      <c r="O259">
        <v>4</v>
      </c>
      <c r="P259">
        <v>4</v>
      </c>
      <c r="Q259">
        <v>3</v>
      </c>
      <c r="R259">
        <v>3</v>
      </c>
      <c r="S259">
        <v>2</v>
      </c>
      <c r="T259">
        <v>2</v>
      </c>
      <c r="U259">
        <v>11</v>
      </c>
      <c r="V259" t="s">
        <v>1311</v>
      </c>
      <c r="W259" t="s">
        <v>34</v>
      </c>
    </row>
    <row r="260" spans="1:24" x14ac:dyDescent="0.25">
      <c r="A260" t="s">
        <v>1312</v>
      </c>
      <c r="B260" t="s">
        <v>1313</v>
      </c>
      <c r="C260" t="s">
        <v>67</v>
      </c>
      <c r="D260">
        <v>35</v>
      </c>
      <c r="E260" t="s">
        <v>88</v>
      </c>
      <c r="F260" t="s">
        <v>89</v>
      </c>
      <c r="G260" t="s">
        <v>1314</v>
      </c>
      <c r="H260">
        <v>62894</v>
      </c>
      <c r="I260" t="s">
        <v>42</v>
      </c>
      <c r="J260" t="s">
        <v>143</v>
      </c>
      <c r="K260" t="s">
        <v>131</v>
      </c>
      <c r="L260" t="s">
        <v>62</v>
      </c>
      <c r="N260" t="s">
        <v>34</v>
      </c>
      <c r="O260">
        <v>4</v>
      </c>
      <c r="P260">
        <v>3</v>
      </c>
      <c r="Q260">
        <v>1</v>
      </c>
      <c r="R260">
        <v>2</v>
      </c>
      <c r="S260">
        <v>6</v>
      </c>
      <c r="T260">
        <v>8</v>
      </c>
      <c r="U260">
        <v>18</v>
      </c>
      <c r="W260" t="s">
        <v>34</v>
      </c>
    </row>
    <row r="261" spans="1:24" x14ac:dyDescent="0.25">
      <c r="A261" t="s">
        <v>1315</v>
      </c>
      <c r="B261" t="s">
        <v>1316</v>
      </c>
      <c r="D261">
        <v>39</v>
      </c>
      <c r="E261" t="s">
        <v>609</v>
      </c>
      <c r="F261" t="s">
        <v>266</v>
      </c>
      <c r="G261" t="s">
        <v>1317</v>
      </c>
      <c r="H261">
        <v>136095</v>
      </c>
      <c r="I261" t="s">
        <v>30</v>
      </c>
      <c r="J261" t="s">
        <v>61</v>
      </c>
      <c r="K261" t="s">
        <v>98</v>
      </c>
      <c r="L261" t="s">
        <v>43</v>
      </c>
      <c r="M261">
        <v>24</v>
      </c>
      <c r="N261" t="s">
        <v>34</v>
      </c>
      <c r="O261">
        <v>1</v>
      </c>
      <c r="P261">
        <v>1</v>
      </c>
      <c r="Q261">
        <v>1</v>
      </c>
      <c r="R261">
        <v>3</v>
      </c>
      <c r="S261">
        <v>2</v>
      </c>
      <c r="T261">
        <v>8</v>
      </c>
      <c r="U261">
        <v>21</v>
      </c>
      <c r="V261" t="s">
        <v>1318</v>
      </c>
      <c r="W261" t="s">
        <v>34</v>
      </c>
    </row>
    <row r="262" spans="1:24" x14ac:dyDescent="0.25">
      <c r="A262" t="s">
        <v>1319</v>
      </c>
      <c r="B262" t="s">
        <v>1320</v>
      </c>
      <c r="C262" t="s">
        <v>58</v>
      </c>
      <c r="D262">
        <v>21</v>
      </c>
      <c r="E262" t="s">
        <v>609</v>
      </c>
      <c r="F262" t="s">
        <v>266</v>
      </c>
      <c r="G262" t="s">
        <v>982</v>
      </c>
      <c r="H262" t="s">
        <v>1321</v>
      </c>
      <c r="I262" t="s">
        <v>52</v>
      </c>
      <c r="J262" t="s">
        <v>61</v>
      </c>
      <c r="K262" t="s">
        <v>167</v>
      </c>
      <c r="L262" t="s">
        <v>43</v>
      </c>
      <c r="M262">
        <v>41</v>
      </c>
      <c r="N262" t="s">
        <v>34</v>
      </c>
      <c r="O262">
        <v>2</v>
      </c>
      <c r="P262">
        <v>4</v>
      </c>
      <c r="Q262">
        <v>4</v>
      </c>
      <c r="R262">
        <v>4</v>
      </c>
      <c r="S262">
        <v>2</v>
      </c>
      <c r="T262">
        <v>4</v>
      </c>
      <c r="U262">
        <v>18</v>
      </c>
      <c r="V262" t="s">
        <v>1322</v>
      </c>
      <c r="W262" t="s">
        <v>34</v>
      </c>
    </row>
    <row r="263" spans="1:24" x14ac:dyDescent="0.25">
      <c r="A263" t="s">
        <v>1323</v>
      </c>
      <c r="B263" t="s">
        <v>1324</v>
      </c>
      <c r="C263" t="s">
        <v>26</v>
      </c>
      <c r="D263">
        <v>31</v>
      </c>
      <c r="E263" t="s">
        <v>94</v>
      </c>
      <c r="F263" t="s">
        <v>306</v>
      </c>
      <c r="G263" t="s">
        <v>1325</v>
      </c>
      <c r="H263" t="s">
        <v>1326</v>
      </c>
      <c r="I263" t="s">
        <v>42</v>
      </c>
      <c r="J263" t="s">
        <v>97</v>
      </c>
      <c r="K263" t="s">
        <v>77</v>
      </c>
      <c r="L263" t="s">
        <v>43</v>
      </c>
      <c r="N263" t="s">
        <v>34</v>
      </c>
      <c r="P263">
        <v>3</v>
      </c>
      <c r="Q263">
        <v>2</v>
      </c>
      <c r="S263">
        <v>1</v>
      </c>
      <c r="T263">
        <v>5</v>
      </c>
      <c r="U263">
        <v>11</v>
      </c>
      <c r="V263" t="s">
        <v>1327</v>
      </c>
      <c r="W263" t="s">
        <v>34</v>
      </c>
    </row>
    <row r="264" spans="1:24" x14ac:dyDescent="0.25">
      <c r="A264" t="s">
        <v>1328</v>
      </c>
      <c r="B264" t="s">
        <v>1329</v>
      </c>
      <c r="C264" t="s">
        <v>87</v>
      </c>
      <c r="D264">
        <v>38</v>
      </c>
      <c r="E264" t="s">
        <v>554</v>
      </c>
      <c r="F264" t="s">
        <v>483</v>
      </c>
      <c r="G264" t="s">
        <v>1330</v>
      </c>
      <c r="H264">
        <v>114657</v>
      </c>
      <c r="I264" t="s">
        <v>30</v>
      </c>
      <c r="J264" t="s">
        <v>61</v>
      </c>
      <c r="K264" t="s">
        <v>54</v>
      </c>
      <c r="L264" t="s">
        <v>33</v>
      </c>
      <c r="M264">
        <v>31</v>
      </c>
      <c r="N264" t="s">
        <v>34</v>
      </c>
      <c r="O264">
        <v>3</v>
      </c>
      <c r="P264">
        <v>4</v>
      </c>
      <c r="Q264">
        <v>4</v>
      </c>
      <c r="R264">
        <v>4</v>
      </c>
      <c r="S264">
        <v>1</v>
      </c>
      <c r="T264">
        <v>2</v>
      </c>
      <c r="U264">
        <v>15</v>
      </c>
      <c r="V264" t="s">
        <v>1331</v>
      </c>
      <c r="W264" t="s">
        <v>34</v>
      </c>
    </row>
    <row r="265" spans="1:24" x14ac:dyDescent="0.25">
      <c r="A265" t="s">
        <v>1332</v>
      </c>
      <c r="B265" t="s">
        <v>1333</v>
      </c>
      <c r="C265" t="s">
        <v>73</v>
      </c>
      <c r="D265">
        <v>26</v>
      </c>
      <c r="E265" t="s">
        <v>88</v>
      </c>
      <c r="F265" t="s">
        <v>261</v>
      </c>
      <c r="G265" t="s">
        <v>1334</v>
      </c>
      <c r="H265">
        <v>82983</v>
      </c>
      <c r="I265" t="s">
        <v>52</v>
      </c>
      <c r="J265" t="s">
        <v>61</v>
      </c>
      <c r="K265" t="s">
        <v>83</v>
      </c>
      <c r="L265" t="s">
        <v>33</v>
      </c>
      <c r="M265">
        <v>10</v>
      </c>
      <c r="N265" t="s">
        <v>34</v>
      </c>
      <c r="P265">
        <v>1</v>
      </c>
      <c r="R265">
        <v>2</v>
      </c>
      <c r="S265">
        <v>1</v>
      </c>
      <c r="T265">
        <v>4</v>
      </c>
      <c r="U265">
        <v>14</v>
      </c>
      <c r="V265" t="s">
        <v>1335</v>
      </c>
      <c r="W265" t="s">
        <v>34</v>
      </c>
    </row>
    <row r="266" spans="1:24" x14ac:dyDescent="0.25">
      <c r="A266" t="s">
        <v>1336</v>
      </c>
      <c r="B266" t="s">
        <v>1337</v>
      </c>
      <c r="C266" t="s">
        <v>73</v>
      </c>
      <c r="D266">
        <v>32</v>
      </c>
      <c r="E266" t="s">
        <v>629</v>
      </c>
      <c r="F266" t="s">
        <v>271</v>
      </c>
      <c r="G266" t="s">
        <v>1338</v>
      </c>
      <c r="H266">
        <v>83427</v>
      </c>
      <c r="I266" t="s">
        <v>52</v>
      </c>
      <c r="J266" t="s">
        <v>61</v>
      </c>
      <c r="K266" t="s">
        <v>98</v>
      </c>
      <c r="L266" t="s">
        <v>43</v>
      </c>
      <c r="M266">
        <v>17</v>
      </c>
      <c r="N266" t="s">
        <v>34</v>
      </c>
      <c r="O266">
        <v>1</v>
      </c>
      <c r="P266">
        <v>4</v>
      </c>
      <c r="Q266">
        <v>3</v>
      </c>
      <c r="R266">
        <v>2</v>
      </c>
      <c r="S266">
        <v>3</v>
      </c>
      <c r="T266">
        <v>4</v>
      </c>
      <c r="U266">
        <v>13</v>
      </c>
      <c r="V266" t="s">
        <v>1339</v>
      </c>
      <c r="W266" t="s">
        <v>34</v>
      </c>
    </row>
    <row r="267" spans="1:24" x14ac:dyDescent="0.25">
      <c r="A267" t="s">
        <v>1340</v>
      </c>
      <c r="B267" t="s">
        <v>1341</v>
      </c>
      <c r="C267" t="s">
        <v>58</v>
      </c>
      <c r="D267">
        <v>30</v>
      </c>
      <c r="E267" t="s">
        <v>88</v>
      </c>
      <c r="F267" t="s">
        <v>89</v>
      </c>
      <c r="G267" t="s">
        <v>1342</v>
      </c>
      <c r="H267" t="s">
        <v>1343</v>
      </c>
      <c r="I267" t="s">
        <v>42</v>
      </c>
      <c r="J267" t="s">
        <v>143</v>
      </c>
      <c r="K267" t="s">
        <v>200</v>
      </c>
      <c r="L267" t="s">
        <v>33</v>
      </c>
      <c r="M267">
        <v>16</v>
      </c>
      <c r="N267" t="s">
        <v>34</v>
      </c>
      <c r="O267">
        <v>3</v>
      </c>
      <c r="P267">
        <v>4</v>
      </c>
      <c r="Q267">
        <v>1</v>
      </c>
      <c r="R267">
        <v>3</v>
      </c>
      <c r="S267">
        <v>4</v>
      </c>
      <c r="T267">
        <v>3</v>
      </c>
      <c r="U267">
        <v>20</v>
      </c>
      <c r="V267" t="s">
        <v>1344</v>
      </c>
      <c r="W267" t="s">
        <v>34</v>
      </c>
    </row>
    <row r="268" spans="1:24" x14ac:dyDescent="0.25">
      <c r="A268" t="s">
        <v>1345</v>
      </c>
      <c r="B268" t="s">
        <v>1346</v>
      </c>
      <c r="C268" t="s">
        <v>87</v>
      </c>
      <c r="D268">
        <v>31</v>
      </c>
      <c r="E268" t="s">
        <v>27</v>
      </c>
      <c r="F268" t="s">
        <v>1195</v>
      </c>
      <c r="G268" t="s">
        <v>1347</v>
      </c>
      <c r="H268">
        <v>121597</v>
      </c>
      <c r="I268" t="s">
        <v>52</v>
      </c>
      <c r="J268" t="s">
        <v>61</v>
      </c>
      <c r="K268" t="s">
        <v>131</v>
      </c>
      <c r="L268" t="s">
        <v>33</v>
      </c>
      <c r="M268">
        <v>14</v>
      </c>
      <c r="N268" t="s">
        <v>34</v>
      </c>
      <c r="O268">
        <v>4</v>
      </c>
      <c r="P268">
        <v>2</v>
      </c>
      <c r="Q268">
        <v>2</v>
      </c>
      <c r="R268">
        <v>2</v>
      </c>
      <c r="S268">
        <v>5</v>
      </c>
      <c r="T268">
        <v>5</v>
      </c>
      <c r="U268">
        <v>25</v>
      </c>
      <c r="V268" t="s">
        <v>1348</v>
      </c>
      <c r="W268" t="s">
        <v>34</v>
      </c>
    </row>
    <row r="269" spans="1:24" x14ac:dyDescent="0.25">
      <c r="A269" t="s">
        <v>1349</v>
      </c>
      <c r="B269" t="s">
        <v>1350</v>
      </c>
      <c r="C269" t="s">
        <v>87</v>
      </c>
      <c r="D269">
        <v>32</v>
      </c>
      <c r="E269" t="s">
        <v>457</v>
      </c>
      <c r="F269" t="s">
        <v>75</v>
      </c>
      <c r="G269" t="s">
        <v>1351</v>
      </c>
      <c r="H269">
        <v>114578</v>
      </c>
      <c r="I269" t="s">
        <v>30</v>
      </c>
      <c r="J269" t="s">
        <v>61</v>
      </c>
      <c r="K269" t="s">
        <v>83</v>
      </c>
      <c r="L269" t="s">
        <v>43</v>
      </c>
      <c r="M269">
        <v>2</v>
      </c>
      <c r="N269" t="s">
        <v>45</v>
      </c>
      <c r="O269">
        <v>3</v>
      </c>
      <c r="P269">
        <v>3</v>
      </c>
      <c r="Q269">
        <v>4</v>
      </c>
      <c r="R269">
        <v>3</v>
      </c>
      <c r="S269">
        <v>0</v>
      </c>
      <c r="T269">
        <v>6</v>
      </c>
      <c r="U269">
        <v>18</v>
      </c>
      <c r="V269" t="s">
        <v>1352</v>
      </c>
      <c r="W269" t="s">
        <v>34</v>
      </c>
    </row>
    <row r="270" spans="1:24" x14ac:dyDescent="0.25">
      <c r="A270" t="s">
        <v>1353</v>
      </c>
      <c r="B270" t="s">
        <v>1354</v>
      </c>
      <c r="C270" t="s">
        <v>73</v>
      </c>
      <c r="D270">
        <v>24</v>
      </c>
      <c r="E270" t="s">
        <v>412</v>
      </c>
      <c r="F270" t="s">
        <v>1355</v>
      </c>
      <c r="G270" t="s">
        <v>1356</v>
      </c>
      <c r="H270" t="s">
        <v>1357</v>
      </c>
      <c r="I270" t="s">
        <v>30</v>
      </c>
      <c r="J270" t="s">
        <v>143</v>
      </c>
      <c r="K270" t="s">
        <v>83</v>
      </c>
      <c r="L270" t="s">
        <v>62</v>
      </c>
      <c r="M270">
        <v>35</v>
      </c>
      <c r="N270" t="s">
        <v>34</v>
      </c>
      <c r="O270">
        <v>1</v>
      </c>
      <c r="P270">
        <v>4</v>
      </c>
      <c r="Q270">
        <v>4</v>
      </c>
      <c r="R270">
        <v>3</v>
      </c>
      <c r="S270">
        <v>1</v>
      </c>
      <c r="T270">
        <v>2</v>
      </c>
      <c r="U270">
        <v>13</v>
      </c>
      <c r="V270" t="s">
        <v>1358</v>
      </c>
      <c r="W270" t="s">
        <v>34</v>
      </c>
    </row>
    <row r="271" spans="1:24" x14ac:dyDescent="0.25">
      <c r="A271" t="s">
        <v>1359</v>
      </c>
      <c r="B271" t="s">
        <v>1360</v>
      </c>
      <c r="C271" t="s">
        <v>67</v>
      </c>
      <c r="D271">
        <v>39</v>
      </c>
      <c r="E271" t="s">
        <v>94</v>
      </c>
      <c r="F271" t="s">
        <v>306</v>
      </c>
      <c r="G271" t="s">
        <v>1361</v>
      </c>
      <c r="H271">
        <v>120015</v>
      </c>
      <c r="I271" t="s">
        <v>42</v>
      </c>
      <c r="J271" t="s">
        <v>53</v>
      </c>
      <c r="K271" t="s">
        <v>54</v>
      </c>
      <c r="L271" t="s">
        <v>62</v>
      </c>
      <c r="M271">
        <v>7</v>
      </c>
      <c r="N271" t="s">
        <v>34</v>
      </c>
      <c r="O271">
        <v>1</v>
      </c>
      <c r="P271">
        <v>3</v>
      </c>
      <c r="Q271">
        <v>3</v>
      </c>
      <c r="R271">
        <v>1</v>
      </c>
      <c r="S271">
        <v>4</v>
      </c>
      <c r="T271">
        <v>0</v>
      </c>
      <c r="U271">
        <v>24</v>
      </c>
      <c r="V271" t="s">
        <v>1362</v>
      </c>
      <c r="W271" t="s">
        <v>34</v>
      </c>
    </row>
    <row r="272" spans="1:24" x14ac:dyDescent="0.25">
      <c r="A272" t="s">
        <v>1363</v>
      </c>
      <c r="B272" t="s">
        <v>1364</v>
      </c>
      <c r="C272" t="s">
        <v>49</v>
      </c>
      <c r="D272">
        <v>23</v>
      </c>
      <c r="E272" t="s">
        <v>27</v>
      </c>
      <c r="F272" t="s">
        <v>50</v>
      </c>
      <c r="G272" t="s">
        <v>1365</v>
      </c>
      <c r="H272">
        <v>115271</v>
      </c>
      <c r="I272" t="s">
        <v>52</v>
      </c>
      <c r="J272" t="s">
        <v>143</v>
      </c>
      <c r="K272" t="s">
        <v>77</v>
      </c>
      <c r="L272" t="s">
        <v>62</v>
      </c>
      <c r="M272">
        <v>23</v>
      </c>
      <c r="N272" t="s">
        <v>45</v>
      </c>
      <c r="O272">
        <v>4</v>
      </c>
      <c r="P272">
        <v>1</v>
      </c>
      <c r="R272">
        <v>4</v>
      </c>
      <c r="S272">
        <v>6</v>
      </c>
      <c r="T272">
        <v>1</v>
      </c>
      <c r="U272">
        <v>20</v>
      </c>
      <c r="V272" t="s">
        <v>1366</v>
      </c>
      <c r="W272" t="s">
        <v>34</v>
      </c>
    </row>
    <row r="273" spans="1:24" x14ac:dyDescent="0.25">
      <c r="A273" t="s">
        <v>1367</v>
      </c>
      <c r="B273" t="s">
        <v>1368</v>
      </c>
      <c r="C273" t="s">
        <v>73</v>
      </c>
      <c r="D273">
        <v>39</v>
      </c>
      <c r="E273" t="s">
        <v>457</v>
      </c>
      <c r="F273" t="s">
        <v>50</v>
      </c>
      <c r="G273" t="s">
        <v>1369</v>
      </c>
      <c r="H273">
        <v>59442</v>
      </c>
      <c r="I273" t="s">
        <v>42</v>
      </c>
      <c r="J273" t="s">
        <v>31</v>
      </c>
      <c r="K273" t="s">
        <v>200</v>
      </c>
      <c r="L273" t="s">
        <v>62</v>
      </c>
      <c r="M273">
        <v>30</v>
      </c>
      <c r="N273" t="s">
        <v>34</v>
      </c>
      <c r="O273">
        <v>1</v>
      </c>
      <c r="Q273">
        <v>4</v>
      </c>
      <c r="S273">
        <v>3</v>
      </c>
      <c r="T273">
        <v>3</v>
      </c>
      <c r="U273">
        <v>15</v>
      </c>
      <c r="V273" t="s">
        <v>1370</v>
      </c>
      <c r="W273" t="s">
        <v>34</v>
      </c>
    </row>
    <row r="274" spans="1:24" x14ac:dyDescent="0.25">
      <c r="A274" t="s">
        <v>1371</v>
      </c>
      <c r="B274" t="s">
        <v>1372</v>
      </c>
      <c r="C274" t="s">
        <v>58</v>
      </c>
      <c r="D274">
        <v>40</v>
      </c>
      <c r="E274" t="s">
        <v>88</v>
      </c>
      <c r="F274" t="s">
        <v>89</v>
      </c>
      <c r="G274" t="s">
        <v>1373</v>
      </c>
      <c r="H274">
        <v>108869</v>
      </c>
      <c r="I274" t="s">
        <v>42</v>
      </c>
      <c r="J274" t="s">
        <v>61</v>
      </c>
      <c r="K274" t="s">
        <v>98</v>
      </c>
      <c r="L274" t="s">
        <v>33</v>
      </c>
      <c r="M274">
        <v>13</v>
      </c>
      <c r="N274" t="s">
        <v>45</v>
      </c>
      <c r="O274">
        <v>1</v>
      </c>
      <c r="P274">
        <v>3</v>
      </c>
      <c r="Q274">
        <v>3</v>
      </c>
      <c r="R274">
        <v>5</v>
      </c>
      <c r="S274">
        <v>1</v>
      </c>
      <c r="T274">
        <v>4</v>
      </c>
      <c r="U274">
        <v>24</v>
      </c>
      <c r="V274" t="s">
        <v>1374</v>
      </c>
      <c r="W274" t="s">
        <v>34</v>
      </c>
    </row>
    <row r="275" spans="1:24" x14ac:dyDescent="0.25">
      <c r="A275" t="s">
        <v>1375</v>
      </c>
      <c r="B275" t="s">
        <v>1376</v>
      </c>
      <c r="C275" t="s">
        <v>49</v>
      </c>
      <c r="D275">
        <v>27</v>
      </c>
      <c r="E275" t="s">
        <v>128</v>
      </c>
      <c r="F275" t="s">
        <v>423</v>
      </c>
      <c r="G275" t="s">
        <v>1377</v>
      </c>
      <c r="H275">
        <v>43086</v>
      </c>
      <c r="I275" t="s">
        <v>30</v>
      </c>
      <c r="J275" t="s">
        <v>31</v>
      </c>
      <c r="K275" t="s">
        <v>54</v>
      </c>
      <c r="L275" t="s">
        <v>33</v>
      </c>
      <c r="M275">
        <v>12</v>
      </c>
      <c r="N275" t="s">
        <v>34</v>
      </c>
      <c r="O275">
        <v>2</v>
      </c>
      <c r="P275">
        <v>2</v>
      </c>
      <c r="Q275">
        <v>3</v>
      </c>
      <c r="R275">
        <v>2</v>
      </c>
      <c r="S275">
        <v>3</v>
      </c>
      <c r="T275">
        <v>5</v>
      </c>
      <c r="U275">
        <v>22</v>
      </c>
      <c r="V275" t="s">
        <v>1378</v>
      </c>
      <c r="W275" t="s">
        <v>34</v>
      </c>
    </row>
    <row r="276" spans="1:24" x14ac:dyDescent="0.25">
      <c r="A276" t="s">
        <v>1379</v>
      </c>
      <c r="B276" t="s">
        <v>1380</v>
      </c>
      <c r="C276" t="s">
        <v>67</v>
      </c>
      <c r="D276">
        <v>29</v>
      </c>
      <c r="E276" t="s">
        <v>572</v>
      </c>
      <c r="F276" t="s">
        <v>323</v>
      </c>
      <c r="G276" t="s">
        <v>1381</v>
      </c>
      <c r="H276" t="s">
        <v>1382</v>
      </c>
      <c r="I276" t="s">
        <v>30</v>
      </c>
      <c r="J276" t="s">
        <v>31</v>
      </c>
      <c r="K276" t="s">
        <v>113</v>
      </c>
      <c r="L276" t="s">
        <v>62</v>
      </c>
      <c r="M276">
        <v>24</v>
      </c>
      <c r="N276" t="s">
        <v>45</v>
      </c>
      <c r="O276">
        <v>3</v>
      </c>
      <c r="P276">
        <v>3</v>
      </c>
      <c r="Q276">
        <v>4</v>
      </c>
      <c r="R276">
        <v>3</v>
      </c>
      <c r="S276">
        <v>0</v>
      </c>
      <c r="T276">
        <v>7</v>
      </c>
      <c r="U276">
        <v>11</v>
      </c>
      <c r="V276" t="s">
        <v>1383</v>
      </c>
      <c r="W276" t="s">
        <v>34</v>
      </c>
    </row>
    <row r="277" spans="1:24" x14ac:dyDescent="0.25">
      <c r="A277" t="s">
        <v>1384</v>
      </c>
      <c r="B277" t="s">
        <v>1385</v>
      </c>
      <c r="C277" t="s">
        <v>26</v>
      </c>
      <c r="D277">
        <v>30</v>
      </c>
      <c r="E277" t="s">
        <v>38</v>
      </c>
      <c r="F277" t="s">
        <v>39</v>
      </c>
      <c r="G277" t="s">
        <v>1386</v>
      </c>
      <c r="H277">
        <v>47016</v>
      </c>
      <c r="J277" t="s">
        <v>53</v>
      </c>
      <c r="K277" t="s">
        <v>131</v>
      </c>
      <c r="L277" t="s">
        <v>62</v>
      </c>
      <c r="M277">
        <v>20</v>
      </c>
      <c r="N277" t="s">
        <v>45</v>
      </c>
      <c r="O277">
        <v>1</v>
      </c>
      <c r="P277">
        <v>3</v>
      </c>
      <c r="Q277">
        <v>3</v>
      </c>
      <c r="R277">
        <v>3</v>
      </c>
      <c r="S277">
        <v>0</v>
      </c>
      <c r="T277">
        <v>1</v>
      </c>
      <c r="U277">
        <v>18</v>
      </c>
      <c r="V277" t="s">
        <v>1387</v>
      </c>
      <c r="W277" t="s">
        <v>34</v>
      </c>
    </row>
    <row r="278" spans="1:24" x14ac:dyDescent="0.25">
      <c r="A278" t="s">
        <v>1388</v>
      </c>
      <c r="B278" t="s">
        <v>1389</v>
      </c>
      <c r="C278" t="s">
        <v>81</v>
      </c>
      <c r="D278">
        <v>39</v>
      </c>
      <c r="E278" t="s">
        <v>128</v>
      </c>
      <c r="F278" t="s">
        <v>255</v>
      </c>
      <c r="G278" t="s">
        <v>1390</v>
      </c>
      <c r="H278" t="s">
        <v>1391</v>
      </c>
      <c r="I278" t="s">
        <v>52</v>
      </c>
      <c r="J278" t="s">
        <v>61</v>
      </c>
      <c r="K278" t="s">
        <v>113</v>
      </c>
      <c r="L278" t="s">
        <v>33</v>
      </c>
      <c r="M278">
        <v>12</v>
      </c>
      <c r="N278" t="s">
        <v>34</v>
      </c>
      <c r="O278">
        <v>2</v>
      </c>
      <c r="P278">
        <v>4</v>
      </c>
      <c r="Q278">
        <v>4</v>
      </c>
      <c r="R278">
        <v>2</v>
      </c>
      <c r="S278">
        <v>0</v>
      </c>
      <c r="T278">
        <v>2</v>
      </c>
      <c r="U278">
        <v>18</v>
      </c>
      <c r="V278" t="s">
        <v>1392</v>
      </c>
      <c r="W278" t="s">
        <v>34</v>
      </c>
    </row>
    <row r="279" spans="1:24" x14ac:dyDescent="0.25">
      <c r="A279" t="s">
        <v>1393</v>
      </c>
      <c r="B279" t="s">
        <v>1394</v>
      </c>
      <c r="C279" t="s">
        <v>26</v>
      </c>
      <c r="D279">
        <v>42</v>
      </c>
      <c r="E279" t="s">
        <v>128</v>
      </c>
      <c r="F279" t="s">
        <v>123</v>
      </c>
      <c r="G279" t="s">
        <v>1395</v>
      </c>
      <c r="H279">
        <v>45121</v>
      </c>
      <c r="I279" t="s">
        <v>30</v>
      </c>
      <c r="J279" t="s">
        <v>61</v>
      </c>
      <c r="K279" t="s">
        <v>32</v>
      </c>
      <c r="L279" t="s">
        <v>62</v>
      </c>
      <c r="M279">
        <v>32</v>
      </c>
      <c r="O279">
        <v>4</v>
      </c>
      <c r="P279">
        <v>2</v>
      </c>
      <c r="Q279">
        <v>1</v>
      </c>
      <c r="R279">
        <v>4</v>
      </c>
      <c r="S279">
        <v>4</v>
      </c>
      <c r="T279">
        <v>3</v>
      </c>
      <c r="U279">
        <v>19</v>
      </c>
      <c r="V279" t="s">
        <v>1396</v>
      </c>
      <c r="W279" t="s">
        <v>34</v>
      </c>
    </row>
    <row r="280" spans="1:24" x14ac:dyDescent="0.25">
      <c r="A280" t="s">
        <v>1397</v>
      </c>
      <c r="B280" t="s">
        <v>1398</v>
      </c>
      <c r="C280" t="s">
        <v>67</v>
      </c>
      <c r="D280">
        <v>25</v>
      </c>
      <c r="E280" t="s">
        <v>38</v>
      </c>
      <c r="F280" t="s">
        <v>209</v>
      </c>
      <c r="G280" t="s">
        <v>1399</v>
      </c>
      <c r="H280">
        <v>88396</v>
      </c>
      <c r="J280" t="s">
        <v>143</v>
      </c>
      <c r="K280" t="s">
        <v>54</v>
      </c>
      <c r="L280" t="s">
        <v>43</v>
      </c>
      <c r="M280">
        <v>31</v>
      </c>
      <c r="N280" t="s">
        <v>34</v>
      </c>
      <c r="O280">
        <v>4</v>
      </c>
      <c r="Q280">
        <v>2</v>
      </c>
      <c r="R280">
        <v>3</v>
      </c>
      <c r="S280">
        <v>1</v>
      </c>
      <c r="T280">
        <v>4</v>
      </c>
      <c r="U280">
        <v>14</v>
      </c>
      <c r="V280" t="s">
        <v>1400</v>
      </c>
      <c r="W280" t="s">
        <v>34</v>
      </c>
    </row>
    <row r="281" spans="1:24" x14ac:dyDescent="0.25">
      <c r="A281" t="s">
        <v>1401</v>
      </c>
      <c r="B281" t="s">
        <v>1402</v>
      </c>
      <c r="C281" t="s">
        <v>73</v>
      </c>
      <c r="D281">
        <v>25</v>
      </c>
      <c r="E281" t="s">
        <v>197</v>
      </c>
      <c r="F281" t="s">
        <v>235</v>
      </c>
      <c r="G281" t="s">
        <v>1403</v>
      </c>
      <c r="H281">
        <v>75293</v>
      </c>
      <c r="I281" t="s">
        <v>42</v>
      </c>
      <c r="J281" t="s">
        <v>61</v>
      </c>
      <c r="K281" t="s">
        <v>113</v>
      </c>
      <c r="L281" t="s">
        <v>33</v>
      </c>
      <c r="M281">
        <v>2</v>
      </c>
      <c r="N281" t="s">
        <v>34</v>
      </c>
      <c r="O281">
        <v>1</v>
      </c>
      <c r="P281">
        <v>4</v>
      </c>
      <c r="Q281">
        <v>4</v>
      </c>
      <c r="R281">
        <v>3</v>
      </c>
      <c r="S281">
        <v>2</v>
      </c>
      <c r="T281">
        <v>1</v>
      </c>
      <c r="U281">
        <v>19</v>
      </c>
      <c r="V281" t="s">
        <v>1404</v>
      </c>
      <c r="W281" t="s">
        <v>34</v>
      </c>
    </row>
    <row r="282" spans="1:24" x14ac:dyDescent="0.25">
      <c r="A282" t="s">
        <v>1405</v>
      </c>
      <c r="B282" t="s">
        <v>1406</v>
      </c>
      <c r="C282" t="s">
        <v>58</v>
      </c>
      <c r="D282">
        <v>24</v>
      </c>
      <c r="E282" t="s">
        <v>128</v>
      </c>
      <c r="F282" t="s">
        <v>123</v>
      </c>
      <c r="G282" t="s">
        <v>1407</v>
      </c>
      <c r="H282">
        <v>79232</v>
      </c>
      <c r="I282" t="s">
        <v>30</v>
      </c>
      <c r="K282" t="s">
        <v>54</v>
      </c>
      <c r="L282" t="s">
        <v>62</v>
      </c>
      <c r="M282">
        <v>22</v>
      </c>
      <c r="N282" t="s">
        <v>34</v>
      </c>
      <c r="O282">
        <v>2</v>
      </c>
      <c r="P282">
        <v>1</v>
      </c>
      <c r="Q282">
        <v>2</v>
      </c>
      <c r="R282">
        <v>1</v>
      </c>
      <c r="S282">
        <v>1</v>
      </c>
      <c r="T282">
        <v>0</v>
      </c>
      <c r="U282">
        <v>14</v>
      </c>
      <c r="V282" t="s">
        <v>1408</v>
      </c>
      <c r="W282" t="s">
        <v>34</v>
      </c>
    </row>
    <row r="283" spans="1:24" x14ac:dyDescent="0.25">
      <c r="A283" t="s">
        <v>1409</v>
      </c>
      <c r="B283" t="s">
        <v>1410</v>
      </c>
      <c r="C283" t="s">
        <v>58</v>
      </c>
      <c r="D283">
        <v>26</v>
      </c>
      <c r="E283" t="s">
        <v>798</v>
      </c>
      <c r="F283" t="s">
        <v>75</v>
      </c>
      <c r="G283" t="s">
        <v>1411</v>
      </c>
      <c r="H283">
        <v>104119</v>
      </c>
      <c r="I283" t="s">
        <v>42</v>
      </c>
      <c r="K283" t="s">
        <v>113</v>
      </c>
      <c r="L283" t="s">
        <v>33</v>
      </c>
      <c r="M283">
        <v>5</v>
      </c>
      <c r="N283" t="s">
        <v>34</v>
      </c>
      <c r="O283">
        <v>4</v>
      </c>
      <c r="P283">
        <v>4</v>
      </c>
      <c r="Q283">
        <v>4</v>
      </c>
      <c r="R283">
        <v>5</v>
      </c>
      <c r="S283">
        <v>3</v>
      </c>
      <c r="T283">
        <v>3</v>
      </c>
      <c r="U283">
        <v>15</v>
      </c>
      <c r="V283" t="s">
        <v>1412</v>
      </c>
      <c r="W283" t="s">
        <v>34</v>
      </c>
    </row>
    <row r="284" spans="1:24" x14ac:dyDescent="0.25">
      <c r="A284" t="s">
        <v>1413</v>
      </c>
      <c r="B284" t="s">
        <v>1414</v>
      </c>
      <c r="C284" t="s">
        <v>49</v>
      </c>
      <c r="D284">
        <v>37</v>
      </c>
      <c r="F284" t="s">
        <v>28</v>
      </c>
      <c r="G284" t="s">
        <v>1415</v>
      </c>
      <c r="H284" t="s">
        <v>1416</v>
      </c>
      <c r="I284" t="s">
        <v>30</v>
      </c>
      <c r="J284" t="s">
        <v>31</v>
      </c>
      <c r="K284" t="s">
        <v>131</v>
      </c>
      <c r="L284" t="s">
        <v>43</v>
      </c>
      <c r="M284">
        <v>26</v>
      </c>
      <c r="N284" t="s">
        <v>34</v>
      </c>
      <c r="P284">
        <v>1</v>
      </c>
      <c r="Q284">
        <v>3</v>
      </c>
      <c r="R284">
        <v>4</v>
      </c>
      <c r="S284">
        <v>5</v>
      </c>
      <c r="T284">
        <v>1</v>
      </c>
      <c r="U284">
        <v>21</v>
      </c>
      <c r="V284" t="s">
        <v>1417</v>
      </c>
      <c r="W284" t="s">
        <v>34</v>
      </c>
    </row>
    <row r="285" spans="1:24" x14ac:dyDescent="0.25">
      <c r="A285" t="s">
        <v>1418</v>
      </c>
      <c r="B285" t="s">
        <v>1419</v>
      </c>
      <c r="C285" t="s">
        <v>67</v>
      </c>
      <c r="D285">
        <v>47</v>
      </c>
      <c r="E285" t="s">
        <v>27</v>
      </c>
      <c r="F285" t="s">
        <v>59</v>
      </c>
      <c r="G285" t="s">
        <v>1420</v>
      </c>
      <c r="H285" t="s">
        <v>1421</v>
      </c>
      <c r="I285" t="s">
        <v>52</v>
      </c>
      <c r="J285" t="s">
        <v>61</v>
      </c>
      <c r="K285" t="s">
        <v>113</v>
      </c>
      <c r="L285" t="s">
        <v>43</v>
      </c>
      <c r="M285">
        <v>43</v>
      </c>
      <c r="N285" t="s">
        <v>45</v>
      </c>
      <c r="O285">
        <v>4</v>
      </c>
      <c r="P285">
        <v>4</v>
      </c>
      <c r="Q285">
        <v>1</v>
      </c>
      <c r="R285">
        <v>4</v>
      </c>
      <c r="S285">
        <v>5</v>
      </c>
      <c r="T285">
        <v>0</v>
      </c>
      <c r="U285">
        <v>19</v>
      </c>
      <c r="V285" t="s">
        <v>1422</v>
      </c>
      <c r="W285" t="s">
        <v>45</v>
      </c>
      <c r="X285" t="s">
        <v>1423</v>
      </c>
    </row>
    <row r="286" spans="1:24" x14ac:dyDescent="0.25">
      <c r="A286" t="s">
        <v>1424</v>
      </c>
      <c r="B286" t="s">
        <v>1425</v>
      </c>
      <c r="C286" t="s">
        <v>102</v>
      </c>
      <c r="D286">
        <v>26</v>
      </c>
      <c r="E286" t="s">
        <v>38</v>
      </c>
      <c r="F286" t="s">
        <v>209</v>
      </c>
      <c r="G286" t="s">
        <v>1426</v>
      </c>
      <c r="H286" t="s">
        <v>1427</v>
      </c>
      <c r="I286" t="s">
        <v>42</v>
      </c>
      <c r="J286" t="s">
        <v>61</v>
      </c>
      <c r="K286" t="s">
        <v>131</v>
      </c>
      <c r="L286" t="s">
        <v>43</v>
      </c>
      <c r="M286">
        <v>37</v>
      </c>
      <c r="N286" t="s">
        <v>34</v>
      </c>
      <c r="O286">
        <v>4</v>
      </c>
      <c r="P286">
        <v>1</v>
      </c>
      <c r="Q286">
        <v>1</v>
      </c>
      <c r="R286">
        <v>1</v>
      </c>
      <c r="T286">
        <v>6</v>
      </c>
      <c r="U286">
        <v>24</v>
      </c>
      <c r="V286" t="s">
        <v>1428</v>
      </c>
      <c r="W286" t="s">
        <v>34</v>
      </c>
    </row>
    <row r="287" spans="1:24" x14ac:dyDescent="0.25">
      <c r="A287" t="s">
        <v>1429</v>
      </c>
      <c r="B287" t="s">
        <v>1430</v>
      </c>
      <c r="C287" t="s">
        <v>26</v>
      </c>
      <c r="D287">
        <v>33</v>
      </c>
      <c r="E287" t="s">
        <v>27</v>
      </c>
      <c r="F287" t="s">
        <v>75</v>
      </c>
      <c r="G287" t="s">
        <v>1431</v>
      </c>
      <c r="H287">
        <v>97825</v>
      </c>
      <c r="I287" t="s">
        <v>30</v>
      </c>
      <c r="J287" t="s">
        <v>31</v>
      </c>
      <c r="K287" t="s">
        <v>113</v>
      </c>
      <c r="L287" t="s">
        <v>43</v>
      </c>
      <c r="M287">
        <v>40</v>
      </c>
      <c r="N287" t="s">
        <v>45</v>
      </c>
      <c r="O287">
        <v>1</v>
      </c>
      <c r="P287">
        <v>2</v>
      </c>
      <c r="Q287">
        <v>3</v>
      </c>
      <c r="S287">
        <v>0</v>
      </c>
      <c r="T287">
        <v>3</v>
      </c>
      <c r="U287">
        <v>24</v>
      </c>
      <c r="V287" t="s">
        <v>1432</v>
      </c>
      <c r="W287" t="s">
        <v>45</v>
      </c>
      <c r="X287" t="s">
        <v>1433</v>
      </c>
    </row>
    <row r="288" spans="1:24" x14ac:dyDescent="0.25">
      <c r="A288" t="s">
        <v>1434</v>
      </c>
      <c r="B288" t="s">
        <v>1435</v>
      </c>
      <c r="C288" t="s">
        <v>73</v>
      </c>
      <c r="E288" t="s">
        <v>94</v>
      </c>
      <c r="F288" t="s">
        <v>1436</v>
      </c>
      <c r="G288" t="s">
        <v>1437</v>
      </c>
      <c r="I288" t="s">
        <v>30</v>
      </c>
      <c r="J288" t="s">
        <v>61</v>
      </c>
      <c r="K288" t="s">
        <v>32</v>
      </c>
      <c r="L288" t="s">
        <v>62</v>
      </c>
      <c r="M288">
        <v>45</v>
      </c>
      <c r="N288" t="s">
        <v>45</v>
      </c>
      <c r="O288">
        <v>3</v>
      </c>
      <c r="P288">
        <v>3</v>
      </c>
      <c r="Q288">
        <v>4</v>
      </c>
      <c r="R288">
        <v>5</v>
      </c>
      <c r="S288">
        <v>3</v>
      </c>
      <c r="T288">
        <v>7</v>
      </c>
      <c r="U288">
        <v>12</v>
      </c>
      <c r="V288" t="s">
        <v>1438</v>
      </c>
      <c r="W288" t="s">
        <v>34</v>
      </c>
    </row>
    <row r="289" spans="1:24" x14ac:dyDescent="0.25">
      <c r="A289" t="s">
        <v>1439</v>
      </c>
      <c r="B289" t="s">
        <v>1440</v>
      </c>
      <c r="C289" t="s">
        <v>49</v>
      </c>
      <c r="D289">
        <v>29</v>
      </c>
      <c r="E289" t="s">
        <v>554</v>
      </c>
      <c r="F289" t="s">
        <v>89</v>
      </c>
      <c r="G289" t="s">
        <v>1441</v>
      </c>
      <c r="H289" t="s">
        <v>1442</v>
      </c>
      <c r="I289" t="s">
        <v>30</v>
      </c>
      <c r="J289" t="s">
        <v>31</v>
      </c>
      <c r="K289" t="s">
        <v>131</v>
      </c>
      <c r="L289" t="s">
        <v>62</v>
      </c>
      <c r="M289">
        <v>9</v>
      </c>
      <c r="N289" t="s">
        <v>45</v>
      </c>
      <c r="O289">
        <v>2</v>
      </c>
      <c r="P289">
        <v>4</v>
      </c>
      <c r="Q289">
        <v>3</v>
      </c>
      <c r="S289">
        <v>0</v>
      </c>
      <c r="T289">
        <v>6</v>
      </c>
      <c r="V289" t="s">
        <v>1443</v>
      </c>
      <c r="W289" t="s">
        <v>45</v>
      </c>
      <c r="X289" t="s">
        <v>1444</v>
      </c>
    </row>
    <row r="290" spans="1:24" x14ac:dyDescent="0.25">
      <c r="A290" t="s">
        <v>1445</v>
      </c>
      <c r="B290" t="s">
        <v>1446</v>
      </c>
      <c r="C290" t="s">
        <v>87</v>
      </c>
      <c r="D290">
        <v>49</v>
      </c>
      <c r="E290" t="s">
        <v>27</v>
      </c>
      <c r="F290" t="s">
        <v>50</v>
      </c>
      <c r="G290" t="s">
        <v>1447</v>
      </c>
      <c r="H290">
        <v>121888</v>
      </c>
      <c r="I290" t="s">
        <v>52</v>
      </c>
      <c r="J290" t="s">
        <v>97</v>
      </c>
      <c r="K290" t="s">
        <v>54</v>
      </c>
      <c r="L290" t="s">
        <v>43</v>
      </c>
      <c r="M290">
        <v>20</v>
      </c>
      <c r="N290" t="s">
        <v>34</v>
      </c>
      <c r="O290">
        <v>4</v>
      </c>
      <c r="Q290">
        <v>2</v>
      </c>
      <c r="R290">
        <v>2</v>
      </c>
      <c r="S290">
        <v>0</v>
      </c>
      <c r="T290">
        <v>7</v>
      </c>
      <c r="U290">
        <v>16</v>
      </c>
      <c r="V290" t="s">
        <v>1448</v>
      </c>
      <c r="W290" t="s">
        <v>34</v>
      </c>
    </row>
    <row r="291" spans="1:24" x14ac:dyDescent="0.25">
      <c r="A291" t="s">
        <v>1449</v>
      </c>
      <c r="B291" t="s">
        <v>1450</v>
      </c>
      <c r="C291" t="s">
        <v>49</v>
      </c>
      <c r="D291">
        <v>47</v>
      </c>
      <c r="E291" t="s">
        <v>94</v>
      </c>
      <c r="F291" t="s">
        <v>356</v>
      </c>
      <c r="G291" t="s">
        <v>1451</v>
      </c>
      <c r="H291">
        <v>54480</v>
      </c>
      <c r="I291" t="s">
        <v>30</v>
      </c>
      <c r="J291" t="s">
        <v>61</v>
      </c>
      <c r="K291" t="s">
        <v>167</v>
      </c>
      <c r="L291" t="s">
        <v>62</v>
      </c>
      <c r="M291">
        <v>6</v>
      </c>
      <c r="N291" t="s">
        <v>34</v>
      </c>
      <c r="O291">
        <v>4</v>
      </c>
      <c r="P291">
        <v>3</v>
      </c>
      <c r="Q291">
        <v>2</v>
      </c>
      <c r="R291">
        <v>1</v>
      </c>
      <c r="S291">
        <v>1</v>
      </c>
      <c r="T291">
        <v>2</v>
      </c>
      <c r="V291" t="s">
        <v>1452</v>
      </c>
      <c r="W291" t="s">
        <v>34</v>
      </c>
    </row>
    <row r="292" spans="1:24" x14ac:dyDescent="0.25">
      <c r="A292" t="s">
        <v>1453</v>
      </c>
      <c r="B292" t="s">
        <v>1454</v>
      </c>
      <c r="C292" t="s">
        <v>26</v>
      </c>
      <c r="D292">
        <v>45</v>
      </c>
      <c r="E292" t="s">
        <v>88</v>
      </c>
      <c r="F292" t="s">
        <v>141</v>
      </c>
      <c r="G292" t="s">
        <v>1455</v>
      </c>
      <c r="H292">
        <v>96408</v>
      </c>
      <c r="I292" t="s">
        <v>42</v>
      </c>
      <c r="J292" t="s">
        <v>61</v>
      </c>
      <c r="K292" t="s">
        <v>131</v>
      </c>
      <c r="L292" t="s">
        <v>33</v>
      </c>
      <c r="M292">
        <v>19</v>
      </c>
      <c r="N292" t="s">
        <v>34</v>
      </c>
      <c r="O292">
        <v>2</v>
      </c>
      <c r="P292">
        <v>4</v>
      </c>
      <c r="Q292">
        <v>4</v>
      </c>
      <c r="S292">
        <v>5</v>
      </c>
      <c r="T292">
        <v>0</v>
      </c>
      <c r="U292">
        <v>16</v>
      </c>
      <c r="V292" t="s">
        <v>1456</v>
      </c>
      <c r="W292" t="s">
        <v>34</v>
      </c>
    </row>
    <row r="293" spans="1:24" x14ac:dyDescent="0.25">
      <c r="A293" t="s">
        <v>1457</v>
      </c>
      <c r="B293" t="s">
        <v>1458</v>
      </c>
      <c r="C293" t="s">
        <v>73</v>
      </c>
      <c r="D293">
        <v>37</v>
      </c>
      <c r="E293" t="s">
        <v>27</v>
      </c>
      <c r="F293" t="s">
        <v>75</v>
      </c>
      <c r="G293" t="s">
        <v>1459</v>
      </c>
      <c r="H293" t="s">
        <v>1460</v>
      </c>
      <c r="I293" t="s">
        <v>30</v>
      </c>
      <c r="J293" t="s">
        <v>143</v>
      </c>
      <c r="K293" t="s">
        <v>32</v>
      </c>
      <c r="L293" t="s">
        <v>43</v>
      </c>
      <c r="M293">
        <v>16</v>
      </c>
      <c r="N293" t="s">
        <v>45</v>
      </c>
      <c r="O293">
        <v>3</v>
      </c>
      <c r="P293">
        <v>2</v>
      </c>
      <c r="Q293">
        <v>2</v>
      </c>
      <c r="R293">
        <v>1</v>
      </c>
      <c r="S293">
        <v>2</v>
      </c>
      <c r="T293">
        <v>6</v>
      </c>
      <c r="U293">
        <v>25</v>
      </c>
      <c r="V293" t="s">
        <v>1461</v>
      </c>
      <c r="W293" t="s">
        <v>34</v>
      </c>
    </row>
    <row r="294" spans="1:24" x14ac:dyDescent="0.25">
      <c r="A294" t="s">
        <v>1462</v>
      </c>
      <c r="B294" t="s">
        <v>1463</v>
      </c>
      <c r="D294">
        <v>22</v>
      </c>
      <c r="E294" t="s">
        <v>88</v>
      </c>
      <c r="F294" t="s">
        <v>261</v>
      </c>
      <c r="G294" t="s">
        <v>1464</v>
      </c>
      <c r="H294" t="s">
        <v>1465</v>
      </c>
      <c r="I294" t="s">
        <v>30</v>
      </c>
      <c r="J294" t="s">
        <v>61</v>
      </c>
      <c r="K294" t="s">
        <v>98</v>
      </c>
      <c r="L294" t="s">
        <v>33</v>
      </c>
      <c r="M294">
        <v>24</v>
      </c>
      <c r="N294" t="s">
        <v>34</v>
      </c>
      <c r="O294">
        <v>3</v>
      </c>
      <c r="P294">
        <v>4</v>
      </c>
      <c r="Q294">
        <v>2</v>
      </c>
      <c r="R294">
        <v>3</v>
      </c>
      <c r="S294">
        <v>6</v>
      </c>
      <c r="T294">
        <v>4</v>
      </c>
      <c r="U294">
        <v>13</v>
      </c>
      <c r="V294" t="s">
        <v>1466</v>
      </c>
      <c r="W294" t="s">
        <v>34</v>
      </c>
    </row>
    <row r="295" spans="1:24" x14ac:dyDescent="0.25">
      <c r="A295" t="s">
        <v>1467</v>
      </c>
      <c r="B295" t="s">
        <v>1468</v>
      </c>
      <c r="C295" t="s">
        <v>102</v>
      </c>
      <c r="D295">
        <v>27</v>
      </c>
      <c r="E295" t="s">
        <v>128</v>
      </c>
      <c r="F295" t="s">
        <v>255</v>
      </c>
      <c r="G295" t="s">
        <v>1469</v>
      </c>
      <c r="H295">
        <v>89727</v>
      </c>
      <c r="I295" t="s">
        <v>30</v>
      </c>
      <c r="J295" t="s">
        <v>61</v>
      </c>
      <c r="K295" t="s">
        <v>98</v>
      </c>
      <c r="L295" t="s">
        <v>33</v>
      </c>
      <c r="M295">
        <v>42</v>
      </c>
      <c r="N295" t="s">
        <v>34</v>
      </c>
      <c r="O295">
        <v>2</v>
      </c>
      <c r="P295">
        <v>2</v>
      </c>
      <c r="Q295">
        <v>1</v>
      </c>
      <c r="R295">
        <v>5</v>
      </c>
      <c r="S295">
        <v>0</v>
      </c>
      <c r="T295">
        <v>5</v>
      </c>
      <c r="U295">
        <v>25</v>
      </c>
      <c r="V295" t="s">
        <v>1470</v>
      </c>
      <c r="W295" t="s">
        <v>34</v>
      </c>
    </row>
    <row r="296" spans="1:24" x14ac:dyDescent="0.25">
      <c r="A296" t="s">
        <v>1471</v>
      </c>
      <c r="B296" t="s">
        <v>1472</v>
      </c>
      <c r="D296">
        <v>37</v>
      </c>
      <c r="E296" t="s">
        <v>27</v>
      </c>
      <c r="F296" t="s">
        <v>59</v>
      </c>
      <c r="G296" t="s">
        <v>1473</v>
      </c>
      <c r="H296">
        <v>45950</v>
      </c>
      <c r="I296" t="s">
        <v>52</v>
      </c>
      <c r="J296" t="s">
        <v>143</v>
      </c>
      <c r="K296" t="s">
        <v>113</v>
      </c>
      <c r="L296" t="s">
        <v>43</v>
      </c>
      <c r="M296">
        <v>21</v>
      </c>
      <c r="N296" t="s">
        <v>34</v>
      </c>
      <c r="O296">
        <v>2</v>
      </c>
      <c r="P296">
        <v>1</v>
      </c>
      <c r="Q296">
        <v>2</v>
      </c>
      <c r="R296">
        <v>3</v>
      </c>
      <c r="S296">
        <v>3</v>
      </c>
      <c r="T296">
        <v>4</v>
      </c>
      <c r="U296">
        <v>18</v>
      </c>
      <c r="V296" t="s">
        <v>1474</v>
      </c>
      <c r="W296" t="s">
        <v>45</v>
      </c>
      <c r="X296" t="s">
        <v>1475</v>
      </c>
    </row>
    <row r="297" spans="1:24" x14ac:dyDescent="0.25">
      <c r="A297" t="s">
        <v>1476</v>
      </c>
      <c r="B297" t="s">
        <v>1477</v>
      </c>
      <c r="C297" t="s">
        <v>73</v>
      </c>
      <c r="D297">
        <v>51</v>
      </c>
      <c r="E297" t="s">
        <v>629</v>
      </c>
      <c r="F297" t="s">
        <v>271</v>
      </c>
      <c r="G297" t="s">
        <v>1478</v>
      </c>
      <c r="H297">
        <v>43985</v>
      </c>
      <c r="I297" t="s">
        <v>42</v>
      </c>
      <c r="J297" t="s">
        <v>61</v>
      </c>
      <c r="K297" t="s">
        <v>54</v>
      </c>
      <c r="L297" t="s">
        <v>62</v>
      </c>
      <c r="M297">
        <v>11</v>
      </c>
      <c r="N297" t="s">
        <v>34</v>
      </c>
      <c r="O297">
        <v>4</v>
      </c>
      <c r="P297">
        <v>1</v>
      </c>
      <c r="Q297">
        <v>2</v>
      </c>
      <c r="R297">
        <v>1</v>
      </c>
      <c r="S297">
        <v>1</v>
      </c>
      <c r="T297">
        <v>7</v>
      </c>
      <c r="U297">
        <v>20</v>
      </c>
      <c r="V297" t="s">
        <v>1479</v>
      </c>
      <c r="W297" t="s">
        <v>34</v>
      </c>
    </row>
    <row r="298" spans="1:24" x14ac:dyDescent="0.25">
      <c r="A298" t="s">
        <v>1480</v>
      </c>
      <c r="B298" t="s">
        <v>1481</v>
      </c>
      <c r="C298" t="s">
        <v>67</v>
      </c>
      <c r="D298">
        <v>34</v>
      </c>
      <c r="E298" t="s">
        <v>412</v>
      </c>
      <c r="F298" t="s">
        <v>1482</v>
      </c>
      <c r="G298" t="s">
        <v>1483</v>
      </c>
      <c r="H298">
        <v>55921</v>
      </c>
      <c r="I298" t="s">
        <v>30</v>
      </c>
      <c r="J298" t="s">
        <v>143</v>
      </c>
      <c r="K298" t="s">
        <v>77</v>
      </c>
      <c r="L298" t="s">
        <v>43</v>
      </c>
      <c r="M298">
        <v>6</v>
      </c>
      <c r="N298" t="s">
        <v>34</v>
      </c>
      <c r="O298">
        <v>4</v>
      </c>
      <c r="P298">
        <v>3</v>
      </c>
      <c r="Q298">
        <v>1</v>
      </c>
      <c r="R298">
        <v>4</v>
      </c>
      <c r="S298">
        <v>5</v>
      </c>
      <c r="T298">
        <v>5</v>
      </c>
      <c r="U298">
        <v>14</v>
      </c>
      <c r="V298" t="s">
        <v>1484</v>
      </c>
      <c r="W298" t="s">
        <v>34</v>
      </c>
    </row>
    <row r="299" spans="1:24" x14ac:dyDescent="0.25">
      <c r="A299" t="s">
        <v>1485</v>
      </c>
      <c r="B299" t="s">
        <v>1486</v>
      </c>
      <c r="C299" t="s">
        <v>102</v>
      </c>
      <c r="D299">
        <v>39</v>
      </c>
      <c r="E299" t="s">
        <v>197</v>
      </c>
      <c r="F299" t="s">
        <v>884</v>
      </c>
      <c r="G299" t="s">
        <v>1487</v>
      </c>
      <c r="H299">
        <v>60628</v>
      </c>
      <c r="I299" t="s">
        <v>42</v>
      </c>
      <c r="J299" t="s">
        <v>31</v>
      </c>
      <c r="K299" t="s">
        <v>83</v>
      </c>
      <c r="L299" t="s">
        <v>33</v>
      </c>
      <c r="M299">
        <v>36</v>
      </c>
      <c r="N299" t="s">
        <v>34</v>
      </c>
      <c r="O299">
        <v>4</v>
      </c>
      <c r="P299">
        <v>4</v>
      </c>
      <c r="Q299">
        <v>2</v>
      </c>
      <c r="R299">
        <v>3</v>
      </c>
      <c r="S299">
        <v>6</v>
      </c>
      <c r="T299">
        <v>1</v>
      </c>
      <c r="U299">
        <v>13</v>
      </c>
      <c r="V299" t="s">
        <v>1488</v>
      </c>
      <c r="W299" t="s">
        <v>34</v>
      </c>
    </row>
    <row r="300" spans="1:24" x14ac:dyDescent="0.25">
      <c r="A300" t="s">
        <v>1489</v>
      </c>
      <c r="B300" t="s">
        <v>1490</v>
      </c>
      <c r="C300" t="s">
        <v>58</v>
      </c>
      <c r="D300">
        <v>31</v>
      </c>
      <c r="E300" t="s">
        <v>94</v>
      </c>
      <c r="F300" t="s">
        <v>639</v>
      </c>
      <c r="G300" t="s">
        <v>1491</v>
      </c>
      <c r="H300">
        <v>128612</v>
      </c>
      <c r="I300" t="s">
        <v>42</v>
      </c>
      <c r="J300" t="s">
        <v>61</v>
      </c>
      <c r="K300" t="s">
        <v>54</v>
      </c>
      <c r="L300" t="s">
        <v>33</v>
      </c>
      <c r="M300">
        <v>45</v>
      </c>
      <c r="N300" t="s">
        <v>34</v>
      </c>
      <c r="O300">
        <v>4</v>
      </c>
      <c r="P300">
        <v>2</v>
      </c>
      <c r="Q300">
        <v>3</v>
      </c>
      <c r="R300">
        <v>4</v>
      </c>
      <c r="S300">
        <v>1</v>
      </c>
      <c r="T300">
        <v>8</v>
      </c>
      <c r="U300">
        <v>20</v>
      </c>
      <c r="V300" t="s">
        <v>1492</v>
      </c>
      <c r="W300" t="s">
        <v>34</v>
      </c>
    </row>
    <row r="301" spans="1:24" x14ac:dyDescent="0.25">
      <c r="A301" t="s">
        <v>1493</v>
      </c>
      <c r="B301" t="s">
        <v>1494</v>
      </c>
      <c r="C301" t="s">
        <v>102</v>
      </c>
      <c r="D301">
        <v>32</v>
      </c>
      <c r="E301" t="s">
        <v>88</v>
      </c>
      <c r="F301" t="s">
        <v>89</v>
      </c>
      <c r="G301" t="s">
        <v>1495</v>
      </c>
      <c r="H301" t="s">
        <v>1496</v>
      </c>
      <c r="I301" t="s">
        <v>42</v>
      </c>
      <c r="J301" t="s">
        <v>31</v>
      </c>
      <c r="K301" t="s">
        <v>167</v>
      </c>
      <c r="L301" t="s">
        <v>43</v>
      </c>
      <c r="M301">
        <v>45</v>
      </c>
      <c r="N301" t="s">
        <v>34</v>
      </c>
      <c r="O301">
        <v>1</v>
      </c>
      <c r="P301">
        <v>2</v>
      </c>
      <c r="Q301">
        <v>2</v>
      </c>
      <c r="R301">
        <v>3</v>
      </c>
      <c r="S301">
        <v>0</v>
      </c>
      <c r="T301">
        <v>2</v>
      </c>
      <c r="U301">
        <v>16</v>
      </c>
      <c r="V301" t="s">
        <v>1497</v>
      </c>
      <c r="W301" t="s">
        <v>45</v>
      </c>
      <c r="X301" t="s">
        <v>1498</v>
      </c>
    </row>
    <row r="302" spans="1:24" x14ac:dyDescent="0.25">
      <c r="A302" t="s">
        <v>1499</v>
      </c>
      <c r="B302" t="s">
        <v>1500</v>
      </c>
      <c r="C302" t="s">
        <v>26</v>
      </c>
      <c r="D302">
        <v>42</v>
      </c>
      <c r="E302" t="s">
        <v>322</v>
      </c>
      <c r="F302" t="s">
        <v>1222</v>
      </c>
      <c r="G302" t="s">
        <v>1501</v>
      </c>
      <c r="H302">
        <v>101263</v>
      </c>
      <c r="I302" t="s">
        <v>52</v>
      </c>
      <c r="J302" t="s">
        <v>31</v>
      </c>
      <c r="K302" t="s">
        <v>54</v>
      </c>
      <c r="L302" t="s">
        <v>33</v>
      </c>
      <c r="M302">
        <v>33</v>
      </c>
      <c r="N302" t="s">
        <v>34</v>
      </c>
      <c r="O302">
        <v>3</v>
      </c>
      <c r="P302">
        <v>1</v>
      </c>
      <c r="Q302">
        <v>1</v>
      </c>
      <c r="R302">
        <v>3</v>
      </c>
      <c r="S302">
        <v>4</v>
      </c>
      <c r="T302">
        <v>0</v>
      </c>
      <c r="U302">
        <v>17</v>
      </c>
      <c r="V302" t="s">
        <v>1502</v>
      </c>
      <c r="W302" t="s">
        <v>45</v>
      </c>
      <c r="X302" t="s">
        <v>1503</v>
      </c>
    </row>
    <row r="303" spans="1:24" x14ac:dyDescent="0.25">
      <c r="A303" t="s">
        <v>1504</v>
      </c>
      <c r="B303" t="s">
        <v>1505</v>
      </c>
      <c r="C303" t="s">
        <v>87</v>
      </c>
      <c r="D303">
        <v>35</v>
      </c>
      <c r="E303" t="s">
        <v>128</v>
      </c>
      <c r="F303" t="s">
        <v>255</v>
      </c>
      <c r="G303" t="s">
        <v>1506</v>
      </c>
      <c r="H303">
        <v>98852</v>
      </c>
      <c r="I303" t="s">
        <v>52</v>
      </c>
      <c r="J303" t="s">
        <v>31</v>
      </c>
      <c r="K303" t="s">
        <v>32</v>
      </c>
      <c r="L303" t="s">
        <v>62</v>
      </c>
      <c r="M303">
        <v>20</v>
      </c>
      <c r="N303" t="s">
        <v>45</v>
      </c>
      <c r="O303">
        <v>2</v>
      </c>
      <c r="P303">
        <v>4</v>
      </c>
      <c r="R303">
        <v>2</v>
      </c>
      <c r="T303">
        <v>4</v>
      </c>
      <c r="U303">
        <v>17</v>
      </c>
      <c r="V303" t="s">
        <v>1507</v>
      </c>
      <c r="W303" t="s">
        <v>45</v>
      </c>
      <c r="X303" t="s">
        <v>1508</v>
      </c>
    </row>
    <row r="304" spans="1:24" x14ac:dyDescent="0.25">
      <c r="A304" t="s">
        <v>1509</v>
      </c>
      <c r="B304" t="s">
        <v>1510</v>
      </c>
      <c r="C304" t="s">
        <v>87</v>
      </c>
      <c r="D304">
        <v>27</v>
      </c>
      <c r="E304" t="s">
        <v>128</v>
      </c>
      <c r="F304" t="s">
        <v>123</v>
      </c>
      <c r="G304" t="s">
        <v>1511</v>
      </c>
      <c r="I304" t="s">
        <v>30</v>
      </c>
      <c r="J304" t="s">
        <v>31</v>
      </c>
      <c r="K304" t="s">
        <v>113</v>
      </c>
      <c r="L304" t="s">
        <v>62</v>
      </c>
      <c r="M304">
        <v>13</v>
      </c>
      <c r="N304" t="s">
        <v>34</v>
      </c>
      <c r="O304">
        <v>4</v>
      </c>
      <c r="P304">
        <v>4</v>
      </c>
      <c r="Q304">
        <v>4</v>
      </c>
      <c r="R304">
        <v>4</v>
      </c>
      <c r="S304">
        <v>3</v>
      </c>
      <c r="T304">
        <v>3</v>
      </c>
      <c r="U304">
        <v>19</v>
      </c>
      <c r="V304" t="s">
        <v>1512</v>
      </c>
      <c r="W304" t="s">
        <v>34</v>
      </c>
    </row>
    <row r="305" spans="1:24" x14ac:dyDescent="0.25">
      <c r="A305" t="s">
        <v>1513</v>
      </c>
      <c r="B305" t="s">
        <v>1514</v>
      </c>
      <c r="D305">
        <v>45</v>
      </c>
      <c r="E305" t="s">
        <v>128</v>
      </c>
      <c r="F305" t="s">
        <v>226</v>
      </c>
      <c r="G305" t="s">
        <v>1515</v>
      </c>
      <c r="H305">
        <v>46879</v>
      </c>
      <c r="I305" t="s">
        <v>52</v>
      </c>
      <c r="J305" t="s">
        <v>61</v>
      </c>
      <c r="K305" t="s">
        <v>131</v>
      </c>
      <c r="L305" t="s">
        <v>33</v>
      </c>
      <c r="M305">
        <v>33</v>
      </c>
      <c r="N305" t="s">
        <v>45</v>
      </c>
      <c r="O305">
        <v>3</v>
      </c>
      <c r="P305">
        <v>4</v>
      </c>
      <c r="Q305">
        <v>4</v>
      </c>
      <c r="R305">
        <v>5</v>
      </c>
      <c r="S305">
        <v>5</v>
      </c>
      <c r="T305">
        <v>1</v>
      </c>
      <c r="U305">
        <v>13</v>
      </c>
      <c r="V305" t="s">
        <v>1516</v>
      </c>
      <c r="W305" t="s">
        <v>34</v>
      </c>
    </row>
    <row r="306" spans="1:24" x14ac:dyDescent="0.25">
      <c r="A306" t="s">
        <v>1517</v>
      </c>
      <c r="B306" t="s">
        <v>1518</v>
      </c>
      <c r="C306" t="s">
        <v>81</v>
      </c>
      <c r="D306">
        <v>37</v>
      </c>
      <c r="E306" t="s">
        <v>128</v>
      </c>
      <c r="F306" t="s">
        <v>104</v>
      </c>
      <c r="G306" t="s">
        <v>1519</v>
      </c>
      <c r="H306" t="s">
        <v>1520</v>
      </c>
      <c r="I306" t="s">
        <v>52</v>
      </c>
      <c r="J306" t="s">
        <v>61</v>
      </c>
      <c r="K306" t="s">
        <v>32</v>
      </c>
      <c r="L306" t="s">
        <v>62</v>
      </c>
      <c r="M306">
        <v>15</v>
      </c>
      <c r="N306" t="s">
        <v>34</v>
      </c>
      <c r="O306">
        <v>3</v>
      </c>
      <c r="P306">
        <v>3</v>
      </c>
      <c r="Q306">
        <v>3</v>
      </c>
      <c r="R306">
        <v>5</v>
      </c>
      <c r="S306">
        <v>3</v>
      </c>
      <c r="T306">
        <v>4</v>
      </c>
      <c r="U306">
        <v>14</v>
      </c>
      <c r="V306" t="s">
        <v>1521</v>
      </c>
      <c r="W306" t="s">
        <v>34</v>
      </c>
    </row>
    <row r="307" spans="1:24" x14ac:dyDescent="0.25">
      <c r="A307" t="s">
        <v>1522</v>
      </c>
      <c r="B307" t="s">
        <v>1523</v>
      </c>
      <c r="D307">
        <v>28</v>
      </c>
      <c r="E307" t="s">
        <v>412</v>
      </c>
      <c r="F307" t="s">
        <v>1093</v>
      </c>
      <c r="G307" t="s">
        <v>1524</v>
      </c>
      <c r="H307">
        <v>47261</v>
      </c>
      <c r="I307" t="s">
        <v>42</v>
      </c>
      <c r="J307" t="s">
        <v>97</v>
      </c>
      <c r="K307" t="s">
        <v>98</v>
      </c>
      <c r="L307" t="s">
        <v>43</v>
      </c>
      <c r="M307">
        <v>27</v>
      </c>
      <c r="N307" t="s">
        <v>34</v>
      </c>
      <c r="O307">
        <v>4</v>
      </c>
      <c r="P307">
        <v>1</v>
      </c>
      <c r="Q307">
        <v>2</v>
      </c>
      <c r="R307">
        <v>3</v>
      </c>
      <c r="S307">
        <v>6</v>
      </c>
      <c r="T307">
        <v>5</v>
      </c>
      <c r="U307">
        <v>18</v>
      </c>
      <c r="V307" t="s">
        <v>1525</v>
      </c>
      <c r="W307" t="s">
        <v>34</v>
      </c>
    </row>
    <row r="308" spans="1:24" x14ac:dyDescent="0.25">
      <c r="A308" t="s">
        <v>1526</v>
      </c>
      <c r="B308" t="s">
        <v>1527</v>
      </c>
      <c r="C308" t="s">
        <v>49</v>
      </c>
      <c r="D308">
        <v>40</v>
      </c>
      <c r="E308" t="s">
        <v>27</v>
      </c>
      <c r="F308" t="s">
        <v>50</v>
      </c>
      <c r="G308" t="s">
        <v>1528</v>
      </c>
      <c r="I308" t="s">
        <v>30</v>
      </c>
      <c r="J308" t="s">
        <v>143</v>
      </c>
      <c r="K308" t="s">
        <v>54</v>
      </c>
      <c r="L308" t="s">
        <v>33</v>
      </c>
      <c r="M308">
        <v>6</v>
      </c>
      <c r="N308" t="s">
        <v>45</v>
      </c>
      <c r="O308">
        <v>1</v>
      </c>
      <c r="P308">
        <v>1</v>
      </c>
      <c r="Q308">
        <v>1</v>
      </c>
      <c r="R308">
        <v>4</v>
      </c>
      <c r="S308">
        <v>3</v>
      </c>
      <c r="T308">
        <v>3</v>
      </c>
      <c r="U308">
        <v>19</v>
      </c>
      <c r="V308" t="s">
        <v>1529</v>
      </c>
      <c r="W308" t="s">
        <v>45</v>
      </c>
      <c r="X308" t="s">
        <v>1530</v>
      </c>
    </row>
    <row r="309" spans="1:24" x14ac:dyDescent="0.25">
      <c r="A309" t="s">
        <v>1531</v>
      </c>
      <c r="B309" t="s">
        <v>1532</v>
      </c>
      <c r="C309" t="s">
        <v>26</v>
      </c>
      <c r="D309">
        <v>40</v>
      </c>
      <c r="E309" t="s">
        <v>27</v>
      </c>
      <c r="F309" t="s">
        <v>75</v>
      </c>
      <c r="G309" t="s">
        <v>1533</v>
      </c>
      <c r="H309">
        <v>63603</v>
      </c>
      <c r="I309" t="s">
        <v>30</v>
      </c>
      <c r="J309" t="s">
        <v>31</v>
      </c>
      <c r="K309" t="s">
        <v>54</v>
      </c>
      <c r="L309" t="s">
        <v>62</v>
      </c>
      <c r="M309">
        <v>34</v>
      </c>
      <c r="N309" t="s">
        <v>34</v>
      </c>
      <c r="O309">
        <v>1</v>
      </c>
      <c r="P309">
        <v>1</v>
      </c>
      <c r="Q309">
        <v>4</v>
      </c>
      <c r="R309">
        <v>3</v>
      </c>
      <c r="S309">
        <v>0</v>
      </c>
      <c r="T309">
        <v>1</v>
      </c>
      <c r="U309">
        <v>20</v>
      </c>
      <c r="V309" t="s">
        <v>1534</v>
      </c>
      <c r="W309" t="s">
        <v>34</v>
      </c>
    </row>
    <row r="310" spans="1:24" x14ac:dyDescent="0.25">
      <c r="A310" t="s">
        <v>1535</v>
      </c>
      <c r="B310" t="s">
        <v>1536</v>
      </c>
      <c r="C310" t="s">
        <v>58</v>
      </c>
      <c r="D310">
        <v>34</v>
      </c>
      <c r="E310" t="s">
        <v>128</v>
      </c>
      <c r="F310" t="s">
        <v>226</v>
      </c>
      <c r="G310" t="s">
        <v>1537</v>
      </c>
      <c r="H310">
        <v>40243</v>
      </c>
      <c r="I310" t="s">
        <v>52</v>
      </c>
      <c r="J310" t="s">
        <v>61</v>
      </c>
      <c r="K310" t="s">
        <v>106</v>
      </c>
      <c r="L310" t="s">
        <v>43</v>
      </c>
      <c r="M310">
        <v>37</v>
      </c>
      <c r="N310" t="s">
        <v>34</v>
      </c>
      <c r="O310">
        <v>3</v>
      </c>
      <c r="P310">
        <v>1</v>
      </c>
      <c r="Q310">
        <v>2</v>
      </c>
      <c r="R310">
        <v>5</v>
      </c>
      <c r="S310">
        <v>6</v>
      </c>
      <c r="T310">
        <v>0</v>
      </c>
      <c r="U310">
        <v>16</v>
      </c>
      <c r="V310" t="s">
        <v>1538</v>
      </c>
      <c r="W310" t="s">
        <v>34</v>
      </c>
    </row>
    <row r="311" spans="1:24" x14ac:dyDescent="0.25">
      <c r="A311" t="s">
        <v>1539</v>
      </c>
      <c r="B311" t="s">
        <v>1540</v>
      </c>
      <c r="C311" t="s">
        <v>73</v>
      </c>
      <c r="D311">
        <v>28</v>
      </c>
      <c r="E311" t="s">
        <v>94</v>
      </c>
      <c r="F311" t="s">
        <v>266</v>
      </c>
      <c r="G311" t="s">
        <v>1541</v>
      </c>
      <c r="H311">
        <v>113734</v>
      </c>
      <c r="I311" t="s">
        <v>52</v>
      </c>
      <c r="J311" t="s">
        <v>31</v>
      </c>
      <c r="K311" t="s">
        <v>98</v>
      </c>
      <c r="L311" t="s">
        <v>43</v>
      </c>
      <c r="M311">
        <v>10</v>
      </c>
      <c r="N311" t="s">
        <v>45</v>
      </c>
      <c r="O311">
        <v>2</v>
      </c>
      <c r="P311">
        <v>3</v>
      </c>
      <c r="Q311">
        <v>1</v>
      </c>
      <c r="R311">
        <v>2</v>
      </c>
      <c r="S311">
        <v>2</v>
      </c>
      <c r="T311">
        <v>1</v>
      </c>
      <c r="U311">
        <v>11</v>
      </c>
      <c r="V311" t="s">
        <v>1542</v>
      </c>
      <c r="W311" t="s">
        <v>45</v>
      </c>
      <c r="X311" t="s">
        <v>1543</v>
      </c>
    </row>
    <row r="312" spans="1:24" x14ac:dyDescent="0.25">
      <c r="A312" t="s">
        <v>1544</v>
      </c>
      <c r="B312" t="s">
        <v>1545</v>
      </c>
      <c r="C312" t="s">
        <v>67</v>
      </c>
      <c r="D312">
        <v>34</v>
      </c>
      <c r="E312" t="s">
        <v>27</v>
      </c>
      <c r="F312" t="s">
        <v>59</v>
      </c>
      <c r="G312" t="s">
        <v>1546</v>
      </c>
      <c r="H312">
        <v>75586</v>
      </c>
      <c r="I312" t="s">
        <v>52</v>
      </c>
      <c r="J312" t="s">
        <v>31</v>
      </c>
      <c r="K312" t="s">
        <v>167</v>
      </c>
      <c r="L312" t="s">
        <v>43</v>
      </c>
      <c r="M312">
        <v>14</v>
      </c>
      <c r="N312" t="s">
        <v>45</v>
      </c>
      <c r="O312">
        <v>1</v>
      </c>
      <c r="P312">
        <v>3</v>
      </c>
      <c r="Q312">
        <v>2</v>
      </c>
      <c r="R312">
        <v>3</v>
      </c>
      <c r="S312">
        <v>6</v>
      </c>
      <c r="T312">
        <v>2</v>
      </c>
      <c r="U312">
        <v>24</v>
      </c>
      <c r="V312" t="s">
        <v>1547</v>
      </c>
      <c r="W312" t="s">
        <v>45</v>
      </c>
      <c r="X312" t="s">
        <v>1548</v>
      </c>
    </row>
    <row r="313" spans="1:24" x14ac:dyDescent="0.25">
      <c r="A313" t="s">
        <v>1549</v>
      </c>
      <c r="B313" t="s">
        <v>1550</v>
      </c>
      <c r="C313" t="s">
        <v>81</v>
      </c>
      <c r="D313">
        <v>30</v>
      </c>
      <c r="E313" t="s">
        <v>128</v>
      </c>
      <c r="G313" t="s">
        <v>1551</v>
      </c>
      <c r="H313">
        <v>95160</v>
      </c>
      <c r="I313" t="s">
        <v>52</v>
      </c>
      <c r="J313" t="s">
        <v>31</v>
      </c>
      <c r="K313" t="s">
        <v>167</v>
      </c>
      <c r="L313" t="s">
        <v>43</v>
      </c>
      <c r="M313">
        <v>15</v>
      </c>
      <c r="N313" t="s">
        <v>34</v>
      </c>
      <c r="O313">
        <v>3</v>
      </c>
      <c r="P313">
        <v>1</v>
      </c>
      <c r="Q313">
        <v>3</v>
      </c>
      <c r="R313">
        <v>3</v>
      </c>
      <c r="S313">
        <v>3</v>
      </c>
      <c r="T313">
        <v>1</v>
      </c>
      <c r="U313">
        <v>14</v>
      </c>
      <c r="W313" t="s">
        <v>34</v>
      </c>
    </row>
    <row r="314" spans="1:24" x14ac:dyDescent="0.25">
      <c r="A314" t="s">
        <v>1552</v>
      </c>
      <c r="B314" t="s">
        <v>1553</v>
      </c>
      <c r="C314" t="s">
        <v>87</v>
      </c>
      <c r="D314">
        <v>27</v>
      </c>
      <c r="E314" t="s">
        <v>38</v>
      </c>
      <c r="F314" t="s">
        <v>148</v>
      </c>
      <c r="G314" t="s">
        <v>1554</v>
      </c>
      <c r="H314">
        <v>55870</v>
      </c>
      <c r="I314" t="s">
        <v>30</v>
      </c>
      <c r="J314" t="s">
        <v>31</v>
      </c>
      <c r="K314" t="s">
        <v>32</v>
      </c>
      <c r="L314" t="s">
        <v>62</v>
      </c>
      <c r="M314">
        <v>21</v>
      </c>
      <c r="N314" t="s">
        <v>34</v>
      </c>
      <c r="O314">
        <v>1</v>
      </c>
      <c r="P314">
        <v>1</v>
      </c>
      <c r="Q314">
        <v>4</v>
      </c>
      <c r="R314">
        <v>3</v>
      </c>
      <c r="S314">
        <v>0</v>
      </c>
      <c r="T314">
        <v>7</v>
      </c>
      <c r="U314">
        <v>24</v>
      </c>
      <c r="V314" t="s">
        <v>1555</v>
      </c>
      <c r="W314" t="s">
        <v>34</v>
      </c>
    </row>
    <row r="315" spans="1:24" x14ac:dyDescent="0.25">
      <c r="A315" t="s">
        <v>1556</v>
      </c>
      <c r="B315" t="s">
        <v>1557</v>
      </c>
      <c r="C315" t="s">
        <v>49</v>
      </c>
      <c r="D315">
        <v>41</v>
      </c>
      <c r="E315" t="s">
        <v>38</v>
      </c>
      <c r="F315" t="s">
        <v>148</v>
      </c>
      <c r="G315" t="s">
        <v>1558</v>
      </c>
      <c r="H315" t="s">
        <v>1559</v>
      </c>
      <c r="I315" t="s">
        <v>42</v>
      </c>
      <c r="J315" t="s">
        <v>31</v>
      </c>
      <c r="K315" t="s">
        <v>77</v>
      </c>
      <c r="L315" t="s">
        <v>62</v>
      </c>
      <c r="M315">
        <v>24</v>
      </c>
      <c r="N315" t="s">
        <v>34</v>
      </c>
      <c r="O315">
        <v>3</v>
      </c>
      <c r="P315">
        <v>2</v>
      </c>
      <c r="Q315">
        <v>2</v>
      </c>
      <c r="R315">
        <v>4</v>
      </c>
      <c r="S315">
        <v>4</v>
      </c>
      <c r="T315">
        <v>5</v>
      </c>
      <c r="U315">
        <v>18</v>
      </c>
      <c r="V315" t="s">
        <v>1560</v>
      </c>
      <c r="W315" t="s">
        <v>34</v>
      </c>
    </row>
    <row r="316" spans="1:24" x14ac:dyDescent="0.25">
      <c r="A316" t="s">
        <v>1561</v>
      </c>
      <c r="B316" t="s">
        <v>1562</v>
      </c>
      <c r="C316" t="s">
        <v>26</v>
      </c>
      <c r="D316">
        <v>31</v>
      </c>
      <c r="E316" t="s">
        <v>128</v>
      </c>
      <c r="F316" t="s">
        <v>129</v>
      </c>
      <c r="G316" t="s">
        <v>1563</v>
      </c>
      <c r="H316" t="s">
        <v>1564</v>
      </c>
      <c r="I316" t="s">
        <v>52</v>
      </c>
      <c r="J316" t="s">
        <v>61</v>
      </c>
      <c r="K316" t="s">
        <v>98</v>
      </c>
      <c r="L316" t="s">
        <v>43</v>
      </c>
      <c r="M316">
        <v>17</v>
      </c>
      <c r="N316" t="s">
        <v>34</v>
      </c>
      <c r="O316">
        <v>2</v>
      </c>
      <c r="P316">
        <v>4</v>
      </c>
      <c r="Q316">
        <v>4</v>
      </c>
      <c r="R316">
        <v>5</v>
      </c>
      <c r="S316">
        <v>1</v>
      </c>
      <c r="T316">
        <v>6</v>
      </c>
      <c r="U316">
        <v>25</v>
      </c>
      <c r="V316" t="s">
        <v>1565</v>
      </c>
      <c r="W316" t="s">
        <v>34</v>
      </c>
    </row>
    <row r="317" spans="1:24" x14ac:dyDescent="0.25">
      <c r="A317" t="s">
        <v>1566</v>
      </c>
      <c r="B317" t="s">
        <v>1567</v>
      </c>
      <c r="C317" t="s">
        <v>58</v>
      </c>
      <c r="D317">
        <v>34</v>
      </c>
      <c r="E317" t="s">
        <v>94</v>
      </c>
      <c r="G317" t="s">
        <v>1568</v>
      </c>
      <c r="H317">
        <v>94631</v>
      </c>
      <c r="J317" t="s">
        <v>61</v>
      </c>
      <c r="K317" t="s">
        <v>113</v>
      </c>
      <c r="L317" t="s">
        <v>43</v>
      </c>
      <c r="M317">
        <v>3</v>
      </c>
      <c r="N317" t="s">
        <v>45</v>
      </c>
      <c r="P317">
        <v>2</v>
      </c>
      <c r="Q317">
        <v>2</v>
      </c>
      <c r="R317">
        <v>4</v>
      </c>
      <c r="S317">
        <v>4</v>
      </c>
      <c r="T317">
        <v>3</v>
      </c>
      <c r="U317">
        <v>20</v>
      </c>
      <c r="V317" t="s">
        <v>1569</v>
      </c>
      <c r="W317" t="s">
        <v>45</v>
      </c>
      <c r="X317" t="s">
        <v>1570</v>
      </c>
    </row>
    <row r="318" spans="1:24" x14ac:dyDescent="0.25">
      <c r="A318" t="s">
        <v>1571</v>
      </c>
      <c r="B318" t="s">
        <v>1572</v>
      </c>
      <c r="C318" t="s">
        <v>67</v>
      </c>
      <c r="D318">
        <v>25</v>
      </c>
      <c r="E318" t="s">
        <v>122</v>
      </c>
      <c r="F318" t="s">
        <v>271</v>
      </c>
      <c r="G318" t="s">
        <v>1573</v>
      </c>
      <c r="H318" t="s">
        <v>1574</v>
      </c>
      <c r="I318" t="s">
        <v>30</v>
      </c>
      <c r="J318" t="s">
        <v>61</v>
      </c>
      <c r="K318" t="s">
        <v>98</v>
      </c>
      <c r="L318" t="s">
        <v>62</v>
      </c>
      <c r="M318">
        <v>3</v>
      </c>
      <c r="N318" t="s">
        <v>34</v>
      </c>
      <c r="O318">
        <v>2</v>
      </c>
      <c r="P318">
        <v>4</v>
      </c>
      <c r="Q318">
        <v>3</v>
      </c>
      <c r="R318">
        <v>3</v>
      </c>
      <c r="S318">
        <v>0</v>
      </c>
      <c r="U318">
        <v>24</v>
      </c>
      <c r="V318" t="s">
        <v>1575</v>
      </c>
      <c r="W318" t="s">
        <v>34</v>
      </c>
    </row>
    <row r="319" spans="1:24" x14ac:dyDescent="0.25">
      <c r="A319" t="s">
        <v>1576</v>
      </c>
      <c r="B319" t="s">
        <v>1577</v>
      </c>
      <c r="C319" t="s">
        <v>73</v>
      </c>
      <c r="D319">
        <v>27</v>
      </c>
      <c r="E319" t="s">
        <v>94</v>
      </c>
      <c r="F319" t="s">
        <v>266</v>
      </c>
      <c r="G319" t="s">
        <v>1578</v>
      </c>
      <c r="H319">
        <v>83324</v>
      </c>
      <c r="I319" t="s">
        <v>52</v>
      </c>
      <c r="J319" t="s">
        <v>61</v>
      </c>
      <c r="K319" t="s">
        <v>106</v>
      </c>
      <c r="M319">
        <v>21</v>
      </c>
      <c r="N319" t="s">
        <v>34</v>
      </c>
      <c r="O319">
        <v>4</v>
      </c>
      <c r="P319">
        <v>4</v>
      </c>
      <c r="Q319">
        <v>1</v>
      </c>
      <c r="R319">
        <v>4</v>
      </c>
      <c r="S319">
        <v>2</v>
      </c>
      <c r="T319">
        <v>5</v>
      </c>
      <c r="U319">
        <v>15</v>
      </c>
      <c r="V319" t="s">
        <v>1579</v>
      </c>
      <c r="W319" t="s">
        <v>34</v>
      </c>
    </row>
    <row r="320" spans="1:24" x14ac:dyDescent="0.25">
      <c r="A320" t="s">
        <v>1580</v>
      </c>
      <c r="B320" t="s">
        <v>1581</v>
      </c>
      <c r="C320" t="s">
        <v>58</v>
      </c>
      <c r="D320">
        <v>28</v>
      </c>
      <c r="E320" t="s">
        <v>94</v>
      </c>
      <c r="F320" t="s">
        <v>158</v>
      </c>
      <c r="G320" t="s">
        <v>1582</v>
      </c>
      <c r="H320">
        <v>106450</v>
      </c>
      <c r="I320" t="s">
        <v>42</v>
      </c>
      <c r="J320" t="s">
        <v>143</v>
      </c>
      <c r="K320" t="s">
        <v>167</v>
      </c>
      <c r="L320" t="s">
        <v>33</v>
      </c>
      <c r="M320">
        <v>22</v>
      </c>
      <c r="N320" t="s">
        <v>45</v>
      </c>
      <c r="O320">
        <v>4</v>
      </c>
      <c r="P320">
        <v>2</v>
      </c>
      <c r="Q320">
        <v>4</v>
      </c>
      <c r="R320">
        <v>4</v>
      </c>
      <c r="S320">
        <v>6</v>
      </c>
      <c r="T320">
        <v>1</v>
      </c>
      <c r="U320">
        <v>25</v>
      </c>
      <c r="V320" t="s">
        <v>1583</v>
      </c>
      <c r="W320" t="s">
        <v>34</v>
      </c>
    </row>
    <row r="321" spans="1:24" x14ac:dyDescent="0.25">
      <c r="A321" t="s">
        <v>1584</v>
      </c>
      <c r="B321" t="s">
        <v>1585</v>
      </c>
      <c r="C321" t="s">
        <v>102</v>
      </c>
      <c r="D321">
        <v>40</v>
      </c>
      <c r="E321" t="s">
        <v>128</v>
      </c>
      <c r="F321" t="s">
        <v>271</v>
      </c>
      <c r="G321" t="s">
        <v>1586</v>
      </c>
      <c r="I321" t="s">
        <v>30</v>
      </c>
      <c r="J321" t="s">
        <v>31</v>
      </c>
      <c r="K321" t="s">
        <v>77</v>
      </c>
      <c r="L321" t="s">
        <v>62</v>
      </c>
      <c r="M321">
        <v>24</v>
      </c>
      <c r="N321" t="s">
        <v>34</v>
      </c>
      <c r="O321">
        <v>2</v>
      </c>
      <c r="P321">
        <v>1</v>
      </c>
      <c r="Q321">
        <v>2</v>
      </c>
      <c r="R321">
        <v>3</v>
      </c>
      <c r="S321">
        <v>2</v>
      </c>
      <c r="U321">
        <v>25</v>
      </c>
      <c r="V321" t="s">
        <v>1587</v>
      </c>
      <c r="W321" t="s">
        <v>34</v>
      </c>
    </row>
    <row r="322" spans="1:24" x14ac:dyDescent="0.25">
      <c r="A322" t="s">
        <v>1588</v>
      </c>
      <c r="B322" t="s">
        <v>1589</v>
      </c>
      <c r="C322" t="s">
        <v>102</v>
      </c>
      <c r="D322">
        <v>38</v>
      </c>
      <c r="E322" t="s">
        <v>798</v>
      </c>
      <c r="F322" t="s">
        <v>1590</v>
      </c>
      <c r="G322" t="s">
        <v>1591</v>
      </c>
      <c r="H322">
        <v>103088</v>
      </c>
      <c r="I322" t="s">
        <v>52</v>
      </c>
      <c r="J322" t="s">
        <v>97</v>
      </c>
      <c r="K322" t="s">
        <v>77</v>
      </c>
      <c r="L322" t="s">
        <v>43</v>
      </c>
      <c r="M322">
        <v>2</v>
      </c>
      <c r="N322" t="s">
        <v>34</v>
      </c>
      <c r="O322">
        <v>3</v>
      </c>
      <c r="P322">
        <v>2</v>
      </c>
      <c r="Q322">
        <v>4</v>
      </c>
      <c r="R322">
        <v>2</v>
      </c>
      <c r="S322">
        <v>4</v>
      </c>
      <c r="T322">
        <v>3</v>
      </c>
      <c r="U322">
        <v>21</v>
      </c>
      <c r="V322" t="s">
        <v>1592</v>
      </c>
      <c r="W322" t="s">
        <v>34</v>
      </c>
    </row>
    <row r="323" spans="1:24" x14ac:dyDescent="0.25">
      <c r="A323" t="s">
        <v>1593</v>
      </c>
      <c r="B323" t="s">
        <v>1594</v>
      </c>
      <c r="C323" t="s">
        <v>26</v>
      </c>
      <c r="D323">
        <v>34</v>
      </c>
      <c r="E323" t="s">
        <v>88</v>
      </c>
      <c r="F323" t="s">
        <v>483</v>
      </c>
      <c r="G323" t="s">
        <v>1595</v>
      </c>
      <c r="I323" t="s">
        <v>52</v>
      </c>
      <c r="J323" t="s">
        <v>61</v>
      </c>
      <c r="K323" t="s">
        <v>113</v>
      </c>
      <c r="L323" t="s">
        <v>43</v>
      </c>
      <c r="M323">
        <v>25</v>
      </c>
      <c r="N323" t="s">
        <v>34</v>
      </c>
      <c r="O323">
        <v>4</v>
      </c>
      <c r="P323">
        <v>3</v>
      </c>
      <c r="Q323">
        <v>4</v>
      </c>
      <c r="R323">
        <v>4</v>
      </c>
      <c r="S323">
        <v>6</v>
      </c>
      <c r="T323">
        <v>6</v>
      </c>
      <c r="U323">
        <v>16</v>
      </c>
      <c r="W323" t="s">
        <v>34</v>
      </c>
    </row>
    <row r="324" spans="1:24" x14ac:dyDescent="0.25">
      <c r="A324" t="s">
        <v>1596</v>
      </c>
      <c r="B324" t="s">
        <v>1597</v>
      </c>
      <c r="C324" t="s">
        <v>73</v>
      </c>
      <c r="D324">
        <v>29</v>
      </c>
      <c r="F324" t="s">
        <v>397</v>
      </c>
      <c r="G324" t="s">
        <v>1598</v>
      </c>
      <c r="H324">
        <v>56852</v>
      </c>
      <c r="I324" t="s">
        <v>42</v>
      </c>
      <c r="J324" t="s">
        <v>61</v>
      </c>
      <c r="K324" t="s">
        <v>54</v>
      </c>
      <c r="L324" t="s">
        <v>43</v>
      </c>
      <c r="M324">
        <v>38</v>
      </c>
      <c r="N324" t="s">
        <v>34</v>
      </c>
      <c r="O324">
        <v>2</v>
      </c>
      <c r="P324">
        <v>4</v>
      </c>
      <c r="Q324">
        <v>2</v>
      </c>
      <c r="R324">
        <v>3</v>
      </c>
      <c r="S324">
        <v>1</v>
      </c>
      <c r="T324">
        <v>0</v>
      </c>
      <c r="U324">
        <v>14</v>
      </c>
      <c r="V324" t="s">
        <v>1599</v>
      </c>
      <c r="W324" t="s">
        <v>45</v>
      </c>
      <c r="X324" t="s">
        <v>1600</v>
      </c>
    </row>
    <row r="325" spans="1:24" x14ac:dyDescent="0.25">
      <c r="A325" t="s">
        <v>1601</v>
      </c>
      <c r="B325" t="s">
        <v>1602</v>
      </c>
      <c r="C325" t="s">
        <v>73</v>
      </c>
      <c r="D325">
        <v>51</v>
      </c>
      <c r="E325" t="s">
        <v>798</v>
      </c>
      <c r="F325" t="s">
        <v>50</v>
      </c>
      <c r="G325" t="s">
        <v>1603</v>
      </c>
      <c r="H325">
        <v>49563</v>
      </c>
      <c r="I325" t="s">
        <v>52</v>
      </c>
      <c r="J325" t="s">
        <v>61</v>
      </c>
      <c r="K325" t="s">
        <v>98</v>
      </c>
      <c r="L325" t="s">
        <v>43</v>
      </c>
      <c r="M325">
        <v>25</v>
      </c>
      <c r="N325" t="s">
        <v>34</v>
      </c>
      <c r="O325">
        <v>3</v>
      </c>
      <c r="P325">
        <v>2</v>
      </c>
      <c r="Q325">
        <v>2</v>
      </c>
      <c r="S325">
        <v>0</v>
      </c>
      <c r="T325">
        <v>3</v>
      </c>
      <c r="U325">
        <v>21</v>
      </c>
      <c r="V325" t="s">
        <v>1604</v>
      </c>
      <c r="W325" t="s">
        <v>34</v>
      </c>
    </row>
    <row r="326" spans="1:24" x14ac:dyDescent="0.25">
      <c r="A326" t="s">
        <v>1605</v>
      </c>
      <c r="B326" t="s">
        <v>1606</v>
      </c>
      <c r="C326" t="s">
        <v>87</v>
      </c>
      <c r="D326">
        <v>51</v>
      </c>
      <c r="E326" t="s">
        <v>88</v>
      </c>
      <c r="F326" t="s">
        <v>760</v>
      </c>
      <c r="G326" t="s">
        <v>1607</v>
      </c>
      <c r="H326">
        <v>63578</v>
      </c>
      <c r="I326" t="s">
        <v>42</v>
      </c>
      <c r="J326" t="s">
        <v>61</v>
      </c>
      <c r="K326" t="s">
        <v>83</v>
      </c>
      <c r="L326" t="s">
        <v>62</v>
      </c>
      <c r="M326">
        <v>10</v>
      </c>
      <c r="N326" t="s">
        <v>34</v>
      </c>
      <c r="O326">
        <v>4</v>
      </c>
      <c r="P326">
        <v>1</v>
      </c>
      <c r="Q326">
        <v>4</v>
      </c>
      <c r="R326">
        <v>3</v>
      </c>
      <c r="S326">
        <v>5</v>
      </c>
      <c r="T326">
        <v>7</v>
      </c>
      <c r="U326">
        <v>12</v>
      </c>
      <c r="V326" t="s">
        <v>1608</v>
      </c>
      <c r="W326" t="s">
        <v>34</v>
      </c>
    </row>
    <row r="327" spans="1:24" x14ac:dyDescent="0.25">
      <c r="A327" t="s">
        <v>1609</v>
      </c>
      <c r="C327" t="s">
        <v>73</v>
      </c>
      <c r="D327">
        <v>28</v>
      </c>
      <c r="E327" t="s">
        <v>457</v>
      </c>
      <c r="F327" t="s">
        <v>50</v>
      </c>
      <c r="G327" t="s">
        <v>1610</v>
      </c>
      <c r="H327" t="s">
        <v>1611</v>
      </c>
      <c r="I327" t="s">
        <v>30</v>
      </c>
      <c r="J327" t="s">
        <v>53</v>
      </c>
      <c r="K327" t="s">
        <v>106</v>
      </c>
      <c r="L327" t="s">
        <v>33</v>
      </c>
      <c r="M327">
        <v>24</v>
      </c>
      <c r="N327" t="s">
        <v>45</v>
      </c>
      <c r="O327">
        <v>3</v>
      </c>
      <c r="P327">
        <v>4</v>
      </c>
      <c r="Q327">
        <v>1</v>
      </c>
      <c r="R327">
        <v>3</v>
      </c>
      <c r="S327">
        <v>4</v>
      </c>
      <c r="T327">
        <v>3</v>
      </c>
      <c r="U327">
        <v>18</v>
      </c>
      <c r="V327" t="s">
        <v>1612</v>
      </c>
      <c r="W327" t="s">
        <v>34</v>
      </c>
    </row>
    <row r="328" spans="1:24" x14ac:dyDescent="0.25">
      <c r="A328" t="s">
        <v>1613</v>
      </c>
      <c r="B328" t="s">
        <v>1614</v>
      </c>
      <c r="C328" t="s">
        <v>81</v>
      </c>
      <c r="D328">
        <v>33</v>
      </c>
      <c r="E328" t="s">
        <v>1092</v>
      </c>
      <c r="F328" t="s">
        <v>1615</v>
      </c>
      <c r="G328" t="s">
        <v>1616</v>
      </c>
      <c r="H328" t="s">
        <v>1617</v>
      </c>
      <c r="I328" t="s">
        <v>30</v>
      </c>
      <c r="J328" t="s">
        <v>61</v>
      </c>
      <c r="K328" t="s">
        <v>131</v>
      </c>
      <c r="L328" t="s">
        <v>43</v>
      </c>
      <c r="M328">
        <v>11</v>
      </c>
      <c r="N328" t="s">
        <v>34</v>
      </c>
      <c r="O328">
        <v>1</v>
      </c>
      <c r="P328">
        <v>2</v>
      </c>
      <c r="Q328">
        <v>4</v>
      </c>
      <c r="R328">
        <v>4</v>
      </c>
      <c r="S328">
        <v>2</v>
      </c>
      <c r="T328">
        <v>0</v>
      </c>
      <c r="U328">
        <v>11</v>
      </c>
      <c r="V328" t="s">
        <v>1618</v>
      </c>
      <c r="W328" t="s">
        <v>45</v>
      </c>
      <c r="X328" t="s">
        <v>1619</v>
      </c>
    </row>
    <row r="329" spans="1:24" x14ac:dyDescent="0.25">
      <c r="A329" t="s">
        <v>1620</v>
      </c>
      <c r="B329" t="s">
        <v>1621</v>
      </c>
      <c r="C329" t="s">
        <v>49</v>
      </c>
      <c r="D329">
        <v>20</v>
      </c>
      <c r="E329" t="s">
        <v>27</v>
      </c>
      <c r="F329" t="s">
        <v>75</v>
      </c>
      <c r="G329" t="s">
        <v>1622</v>
      </c>
      <c r="I329" t="s">
        <v>42</v>
      </c>
      <c r="J329" t="s">
        <v>53</v>
      </c>
      <c r="K329" t="s">
        <v>113</v>
      </c>
      <c r="L329" t="s">
        <v>62</v>
      </c>
      <c r="M329">
        <v>3</v>
      </c>
      <c r="N329" t="s">
        <v>45</v>
      </c>
      <c r="O329">
        <v>1</v>
      </c>
      <c r="P329">
        <v>4</v>
      </c>
      <c r="R329">
        <v>4</v>
      </c>
      <c r="S329">
        <v>4</v>
      </c>
      <c r="T329">
        <v>6</v>
      </c>
      <c r="U329">
        <v>12</v>
      </c>
      <c r="V329" t="s">
        <v>1623</v>
      </c>
      <c r="W329" t="s">
        <v>45</v>
      </c>
      <c r="X329" t="s">
        <v>1624</v>
      </c>
    </row>
    <row r="330" spans="1:24" x14ac:dyDescent="0.25">
      <c r="A330" t="s">
        <v>1625</v>
      </c>
      <c r="B330" t="s">
        <v>1626</v>
      </c>
      <c r="C330" t="s">
        <v>26</v>
      </c>
      <c r="D330">
        <v>43</v>
      </c>
      <c r="E330" t="s">
        <v>706</v>
      </c>
      <c r="F330" t="s">
        <v>356</v>
      </c>
      <c r="G330" t="s">
        <v>1627</v>
      </c>
      <c r="H330">
        <v>97849</v>
      </c>
      <c r="I330" t="s">
        <v>42</v>
      </c>
      <c r="J330" t="s">
        <v>97</v>
      </c>
      <c r="K330" t="s">
        <v>54</v>
      </c>
      <c r="L330" t="s">
        <v>62</v>
      </c>
      <c r="M330">
        <v>27</v>
      </c>
      <c r="N330" t="s">
        <v>34</v>
      </c>
      <c r="O330">
        <v>1</v>
      </c>
      <c r="P330">
        <v>4</v>
      </c>
      <c r="Q330">
        <v>3</v>
      </c>
      <c r="R330">
        <v>2</v>
      </c>
      <c r="S330">
        <v>2</v>
      </c>
      <c r="T330">
        <v>6</v>
      </c>
      <c r="V330" t="s">
        <v>1628</v>
      </c>
      <c r="W330" t="s">
        <v>34</v>
      </c>
    </row>
    <row r="331" spans="1:24" x14ac:dyDescent="0.25">
      <c r="A331" t="s">
        <v>1629</v>
      </c>
      <c r="B331" t="s">
        <v>1630</v>
      </c>
      <c r="C331" t="s">
        <v>26</v>
      </c>
      <c r="D331">
        <v>39</v>
      </c>
      <c r="E331" t="s">
        <v>88</v>
      </c>
      <c r="F331" t="s">
        <v>286</v>
      </c>
      <c r="G331" t="s">
        <v>1631</v>
      </c>
      <c r="H331" t="s">
        <v>1632</v>
      </c>
      <c r="I331" t="s">
        <v>30</v>
      </c>
      <c r="J331" t="s">
        <v>31</v>
      </c>
      <c r="K331" t="s">
        <v>131</v>
      </c>
      <c r="L331" t="s">
        <v>33</v>
      </c>
      <c r="M331">
        <v>21</v>
      </c>
      <c r="N331" t="s">
        <v>34</v>
      </c>
      <c r="O331">
        <v>4</v>
      </c>
      <c r="P331">
        <v>3</v>
      </c>
      <c r="Q331">
        <v>1</v>
      </c>
      <c r="R331">
        <v>3</v>
      </c>
      <c r="S331">
        <v>4</v>
      </c>
      <c r="T331">
        <v>6</v>
      </c>
      <c r="U331">
        <v>13</v>
      </c>
      <c r="V331" t="s">
        <v>1633</v>
      </c>
      <c r="W331" t="s">
        <v>34</v>
      </c>
    </row>
    <row r="332" spans="1:24" x14ac:dyDescent="0.25">
      <c r="A332" t="s">
        <v>1634</v>
      </c>
      <c r="B332" t="s">
        <v>1635</v>
      </c>
      <c r="D332">
        <v>31</v>
      </c>
      <c r="E332" t="s">
        <v>128</v>
      </c>
      <c r="F332" t="s">
        <v>226</v>
      </c>
      <c r="G332" t="s">
        <v>1636</v>
      </c>
      <c r="H332">
        <v>87446</v>
      </c>
      <c r="I332" t="s">
        <v>42</v>
      </c>
      <c r="J332" t="s">
        <v>143</v>
      </c>
      <c r="K332" t="s">
        <v>113</v>
      </c>
      <c r="L332" t="s">
        <v>33</v>
      </c>
      <c r="M332">
        <v>36</v>
      </c>
      <c r="N332" t="s">
        <v>34</v>
      </c>
      <c r="O332">
        <v>1</v>
      </c>
      <c r="P332">
        <v>4</v>
      </c>
      <c r="Q332">
        <v>3</v>
      </c>
      <c r="R332">
        <v>3</v>
      </c>
      <c r="S332">
        <v>6</v>
      </c>
      <c r="T332">
        <v>4</v>
      </c>
      <c r="U332">
        <v>25</v>
      </c>
      <c r="V332" t="s">
        <v>1637</v>
      </c>
      <c r="W332" t="s">
        <v>34</v>
      </c>
    </row>
    <row r="333" spans="1:24" x14ac:dyDescent="0.25">
      <c r="A333" t="s">
        <v>1638</v>
      </c>
      <c r="B333" t="s">
        <v>1639</v>
      </c>
      <c r="C333" t="s">
        <v>87</v>
      </c>
      <c r="D333">
        <v>36</v>
      </c>
      <c r="E333" t="s">
        <v>27</v>
      </c>
      <c r="F333" t="s">
        <v>281</v>
      </c>
      <c r="G333" t="s">
        <v>1640</v>
      </c>
      <c r="H333">
        <v>107267</v>
      </c>
      <c r="I333" t="s">
        <v>42</v>
      </c>
      <c r="J333" t="s">
        <v>97</v>
      </c>
      <c r="K333" t="s">
        <v>131</v>
      </c>
      <c r="L333" t="s">
        <v>33</v>
      </c>
      <c r="M333">
        <v>4</v>
      </c>
      <c r="N333" t="s">
        <v>34</v>
      </c>
      <c r="P333">
        <v>1</v>
      </c>
      <c r="Q333">
        <v>2</v>
      </c>
      <c r="R333">
        <v>3</v>
      </c>
      <c r="S333">
        <v>4</v>
      </c>
      <c r="T333">
        <v>0</v>
      </c>
      <c r="U333">
        <v>22</v>
      </c>
      <c r="V333" t="s">
        <v>1641</v>
      </c>
      <c r="W333" t="s">
        <v>34</v>
      </c>
    </row>
    <row r="334" spans="1:24" x14ac:dyDescent="0.25">
      <c r="A334" t="s">
        <v>1642</v>
      </c>
      <c r="B334" t="s">
        <v>1643</v>
      </c>
      <c r="C334" t="s">
        <v>87</v>
      </c>
      <c r="D334">
        <v>19</v>
      </c>
      <c r="E334" t="s">
        <v>88</v>
      </c>
      <c r="F334" t="s">
        <v>1644</v>
      </c>
      <c r="G334" t="s">
        <v>51</v>
      </c>
      <c r="H334" t="s">
        <v>1645</v>
      </c>
      <c r="I334" t="s">
        <v>42</v>
      </c>
      <c r="J334" t="s">
        <v>31</v>
      </c>
      <c r="K334" t="s">
        <v>83</v>
      </c>
      <c r="L334" t="s">
        <v>33</v>
      </c>
      <c r="M334">
        <v>32</v>
      </c>
      <c r="N334" t="s">
        <v>34</v>
      </c>
      <c r="O334">
        <v>2</v>
      </c>
      <c r="P334">
        <v>4</v>
      </c>
      <c r="Q334">
        <v>1</v>
      </c>
      <c r="R334">
        <v>3</v>
      </c>
      <c r="S334">
        <v>1</v>
      </c>
      <c r="T334">
        <v>1</v>
      </c>
      <c r="U334">
        <v>16</v>
      </c>
      <c r="V334" t="s">
        <v>1646</v>
      </c>
      <c r="W334" t="s">
        <v>45</v>
      </c>
      <c r="X334" t="s">
        <v>1647</v>
      </c>
    </row>
    <row r="335" spans="1:24" x14ac:dyDescent="0.25">
      <c r="A335" t="s">
        <v>1648</v>
      </c>
      <c r="B335" t="s">
        <v>1649</v>
      </c>
      <c r="C335" t="s">
        <v>26</v>
      </c>
      <c r="D335">
        <v>39</v>
      </c>
      <c r="F335" t="s">
        <v>50</v>
      </c>
      <c r="G335" t="s">
        <v>1650</v>
      </c>
      <c r="H335" t="s">
        <v>1651</v>
      </c>
      <c r="J335" t="s">
        <v>31</v>
      </c>
      <c r="K335" t="s">
        <v>167</v>
      </c>
      <c r="L335" t="s">
        <v>33</v>
      </c>
      <c r="M335">
        <v>18</v>
      </c>
      <c r="O335">
        <v>1</v>
      </c>
      <c r="P335">
        <v>4</v>
      </c>
      <c r="Q335">
        <v>3</v>
      </c>
      <c r="R335">
        <v>3</v>
      </c>
      <c r="S335">
        <v>2</v>
      </c>
      <c r="T335">
        <v>3</v>
      </c>
      <c r="V335" t="s">
        <v>1652</v>
      </c>
      <c r="W335" t="s">
        <v>34</v>
      </c>
    </row>
    <row r="336" spans="1:24" x14ac:dyDescent="0.25">
      <c r="A336" t="s">
        <v>1653</v>
      </c>
      <c r="B336" t="s">
        <v>1654</v>
      </c>
      <c r="C336" t="s">
        <v>81</v>
      </c>
      <c r="D336">
        <v>56</v>
      </c>
      <c r="E336" t="s">
        <v>88</v>
      </c>
      <c r="F336" t="s">
        <v>1655</v>
      </c>
      <c r="G336" t="s">
        <v>1656</v>
      </c>
      <c r="H336">
        <v>135498</v>
      </c>
      <c r="I336" t="s">
        <v>52</v>
      </c>
      <c r="J336" t="s">
        <v>61</v>
      </c>
      <c r="K336" t="s">
        <v>98</v>
      </c>
      <c r="L336" t="s">
        <v>33</v>
      </c>
      <c r="M336">
        <v>37</v>
      </c>
      <c r="N336" t="s">
        <v>34</v>
      </c>
      <c r="O336">
        <v>3</v>
      </c>
      <c r="P336">
        <v>2</v>
      </c>
      <c r="Q336">
        <v>2</v>
      </c>
      <c r="S336">
        <v>4</v>
      </c>
      <c r="T336">
        <v>3</v>
      </c>
      <c r="U336">
        <v>24</v>
      </c>
      <c r="V336" t="s">
        <v>1657</v>
      </c>
      <c r="W336" t="s">
        <v>34</v>
      </c>
    </row>
    <row r="337" spans="1:24" x14ac:dyDescent="0.25">
      <c r="A337" t="s">
        <v>1658</v>
      </c>
      <c r="B337" t="s">
        <v>1659</v>
      </c>
      <c r="C337" t="s">
        <v>49</v>
      </c>
      <c r="D337">
        <v>26</v>
      </c>
      <c r="E337" t="s">
        <v>27</v>
      </c>
      <c r="F337" t="s">
        <v>188</v>
      </c>
      <c r="G337" t="s">
        <v>1660</v>
      </c>
      <c r="H337">
        <v>52446</v>
      </c>
      <c r="I337" t="s">
        <v>52</v>
      </c>
      <c r="J337" t="s">
        <v>61</v>
      </c>
      <c r="K337" t="s">
        <v>54</v>
      </c>
      <c r="L337" t="s">
        <v>43</v>
      </c>
      <c r="M337">
        <v>25</v>
      </c>
      <c r="N337" t="s">
        <v>34</v>
      </c>
      <c r="O337">
        <v>2</v>
      </c>
      <c r="P337">
        <v>3</v>
      </c>
      <c r="Q337">
        <v>1</v>
      </c>
      <c r="R337">
        <v>4</v>
      </c>
      <c r="S337">
        <v>3</v>
      </c>
      <c r="T337">
        <v>3</v>
      </c>
      <c r="U337">
        <v>14</v>
      </c>
      <c r="V337" t="s">
        <v>1661</v>
      </c>
      <c r="W337" t="s">
        <v>34</v>
      </c>
    </row>
    <row r="338" spans="1:24" x14ac:dyDescent="0.25">
      <c r="A338" t="s">
        <v>1662</v>
      </c>
      <c r="B338" t="s">
        <v>1663</v>
      </c>
      <c r="C338" t="s">
        <v>73</v>
      </c>
      <c r="D338">
        <v>35</v>
      </c>
      <c r="E338" t="s">
        <v>88</v>
      </c>
      <c r="F338" t="s">
        <v>89</v>
      </c>
      <c r="G338" t="s">
        <v>1664</v>
      </c>
      <c r="H338" t="s">
        <v>1665</v>
      </c>
      <c r="I338" t="s">
        <v>52</v>
      </c>
      <c r="J338" t="s">
        <v>61</v>
      </c>
      <c r="K338" t="s">
        <v>32</v>
      </c>
      <c r="L338" t="s">
        <v>43</v>
      </c>
      <c r="M338">
        <v>17</v>
      </c>
      <c r="N338" t="s">
        <v>34</v>
      </c>
      <c r="O338">
        <v>4</v>
      </c>
      <c r="P338">
        <v>3</v>
      </c>
      <c r="Q338">
        <v>4</v>
      </c>
      <c r="R338">
        <v>3</v>
      </c>
      <c r="S338">
        <v>2</v>
      </c>
      <c r="T338">
        <v>0</v>
      </c>
      <c r="U338">
        <v>11</v>
      </c>
      <c r="V338" t="s">
        <v>1666</v>
      </c>
      <c r="W338" t="s">
        <v>34</v>
      </c>
    </row>
    <row r="339" spans="1:24" x14ac:dyDescent="0.25">
      <c r="A339" t="s">
        <v>1667</v>
      </c>
      <c r="B339" t="s">
        <v>1668</v>
      </c>
      <c r="C339" t="s">
        <v>49</v>
      </c>
      <c r="D339">
        <v>35</v>
      </c>
      <c r="E339" t="s">
        <v>1669</v>
      </c>
      <c r="F339" t="s">
        <v>306</v>
      </c>
      <c r="G339" t="s">
        <v>1670</v>
      </c>
      <c r="H339" t="s">
        <v>1671</v>
      </c>
      <c r="I339" t="s">
        <v>42</v>
      </c>
      <c r="J339" t="s">
        <v>53</v>
      </c>
      <c r="K339" t="s">
        <v>83</v>
      </c>
      <c r="L339" t="s">
        <v>33</v>
      </c>
      <c r="M339">
        <v>8</v>
      </c>
      <c r="N339" t="s">
        <v>45</v>
      </c>
      <c r="O339">
        <v>4</v>
      </c>
      <c r="P339">
        <v>4</v>
      </c>
      <c r="Q339">
        <v>1</v>
      </c>
      <c r="R339">
        <v>3</v>
      </c>
      <c r="S339">
        <v>0</v>
      </c>
      <c r="T339">
        <v>5</v>
      </c>
      <c r="U339">
        <v>20</v>
      </c>
      <c r="V339" t="s">
        <v>1672</v>
      </c>
      <c r="W339" t="s">
        <v>34</v>
      </c>
    </row>
    <row r="340" spans="1:24" x14ac:dyDescent="0.25">
      <c r="A340" t="s">
        <v>1673</v>
      </c>
      <c r="B340" t="s">
        <v>1674</v>
      </c>
      <c r="C340" t="s">
        <v>81</v>
      </c>
      <c r="D340">
        <v>60</v>
      </c>
      <c r="E340" t="s">
        <v>27</v>
      </c>
      <c r="G340" t="s">
        <v>1675</v>
      </c>
      <c r="H340">
        <v>95663</v>
      </c>
      <c r="I340" t="s">
        <v>52</v>
      </c>
      <c r="J340" t="s">
        <v>31</v>
      </c>
      <c r="K340" t="s">
        <v>106</v>
      </c>
      <c r="L340" t="s">
        <v>62</v>
      </c>
      <c r="M340">
        <v>17</v>
      </c>
      <c r="N340" t="s">
        <v>45</v>
      </c>
      <c r="O340">
        <v>2</v>
      </c>
      <c r="P340">
        <v>1</v>
      </c>
      <c r="Q340">
        <v>2</v>
      </c>
      <c r="R340">
        <v>3</v>
      </c>
      <c r="S340">
        <v>0</v>
      </c>
      <c r="T340">
        <v>2</v>
      </c>
      <c r="U340">
        <v>13</v>
      </c>
      <c r="V340" t="s">
        <v>1676</v>
      </c>
      <c r="W340" t="s">
        <v>45</v>
      </c>
      <c r="X340" t="s">
        <v>1677</v>
      </c>
    </row>
    <row r="341" spans="1:24" x14ac:dyDescent="0.25">
      <c r="A341" t="s">
        <v>1678</v>
      </c>
      <c r="B341" t="s">
        <v>1679</v>
      </c>
      <c r="C341" t="s">
        <v>73</v>
      </c>
      <c r="D341">
        <v>30</v>
      </c>
      <c r="E341" t="s">
        <v>1669</v>
      </c>
      <c r="F341" t="s">
        <v>1680</v>
      </c>
      <c r="G341" t="s">
        <v>1681</v>
      </c>
      <c r="H341">
        <v>113162</v>
      </c>
      <c r="I341" t="s">
        <v>52</v>
      </c>
      <c r="J341" t="s">
        <v>61</v>
      </c>
      <c r="K341" t="s">
        <v>167</v>
      </c>
      <c r="L341" t="s">
        <v>62</v>
      </c>
      <c r="M341">
        <v>34</v>
      </c>
      <c r="N341" t="s">
        <v>45</v>
      </c>
      <c r="O341">
        <v>2</v>
      </c>
      <c r="P341">
        <v>3</v>
      </c>
      <c r="Q341">
        <v>3</v>
      </c>
      <c r="R341">
        <v>3</v>
      </c>
      <c r="S341">
        <v>5</v>
      </c>
      <c r="T341">
        <v>8</v>
      </c>
      <c r="U341">
        <v>23</v>
      </c>
      <c r="V341" t="s">
        <v>1682</v>
      </c>
      <c r="W341" t="s">
        <v>45</v>
      </c>
      <c r="X341" t="s">
        <v>1683</v>
      </c>
    </row>
    <row r="342" spans="1:24" x14ac:dyDescent="0.25">
      <c r="A342" t="s">
        <v>1684</v>
      </c>
      <c r="B342" t="s">
        <v>1685</v>
      </c>
      <c r="C342" t="s">
        <v>49</v>
      </c>
      <c r="D342">
        <v>25</v>
      </c>
      <c r="E342" t="s">
        <v>88</v>
      </c>
      <c r="F342" t="s">
        <v>1686</v>
      </c>
      <c r="G342" t="s">
        <v>1687</v>
      </c>
      <c r="H342">
        <v>54305</v>
      </c>
      <c r="I342" t="s">
        <v>52</v>
      </c>
      <c r="J342" t="s">
        <v>143</v>
      </c>
      <c r="K342" t="s">
        <v>106</v>
      </c>
      <c r="L342" t="s">
        <v>33</v>
      </c>
      <c r="M342">
        <v>13</v>
      </c>
      <c r="N342" t="s">
        <v>34</v>
      </c>
      <c r="O342">
        <v>3</v>
      </c>
      <c r="P342">
        <v>1</v>
      </c>
      <c r="Q342">
        <v>1</v>
      </c>
      <c r="R342">
        <v>3</v>
      </c>
      <c r="S342">
        <v>2</v>
      </c>
      <c r="T342">
        <v>1</v>
      </c>
      <c r="U342">
        <v>12</v>
      </c>
      <c r="V342" t="s">
        <v>1688</v>
      </c>
      <c r="W342" t="s">
        <v>34</v>
      </c>
    </row>
    <row r="343" spans="1:24" x14ac:dyDescent="0.25">
      <c r="A343" t="s">
        <v>1689</v>
      </c>
      <c r="B343" t="s">
        <v>1690</v>
      </c>
      <c r="C343" t="s">
        <v>26</v>
      </c>
      <c r="D343">
        <v>19</v>
      </c>
      <c r="E343" t="s">
        <v>103</v>
      </c>
      <c r="F343" t="s">
        <v>123</v>
      </c>
      <c r="G343" t="s">
        <v>1691</v>
      </c>
      <c r="H343">
        <v>65540</v>
      </c>
      <c r="J343" t="s">
        <v>31</v>
      </c>
      <c r="K343" t="s">
        <v>200</v>
      </c>
      <c r="M343">
        <v>32</v>
      </c>
      <c r="N343" t="s">
        <v>34</v>
      </c>
      <c r="O343">
        <v>1</v>
      </c>
      <c r="P343">
        <v>4</v>
      </c>
      <c r="Q343">
        <v>1</v>
      </c>
      <c r="R343">
        <v>2</v>
      </c>
      <c r="S343">
        <v>5</v>
      </c>
      <c r="T343">
        <v>5</v>
      </c>
      <c r="U343">
        <v>13</v>
      </c>
      <c r="V343" t="s">
        <v>1692</v>
      </c>
      <c r="W343" t="s">
        <v>45</v>
      </c>
      <c r="X343" t="s">
        <v>1693</v>
      </c>
    </row>
    <row r="344" spans="1:24" x14ac:dyDescent="0.25">
      <c r="A344" t="s">
        <v>1694</v>
      </c>
      <c r="B344" t="s">
        <v>1695</v>
      </c>
      <c r="C344" t="s">
        <v>58</v>
      </c>
      <c r="D344">
        <v>36</v>
      </c>
      <c r="E344" t="s">
        <v>27</v>
      </c>
      <c r="F344" t="s">
        <v>50</v>
      </c>
      <c r="G344" t="s">
        <v>1696</v>
      </c>
      <c r="H344">
        <v>68736</v>
      </c>
      <c r="I344" t="s">
        <v>42</v>
      </c>
      <c r="J344" t="s">
        <v>31</v>
      </c>
      <c r="K344" t="s">
        <v>113</v>
      </c>
      <c r="L344" t="s">
        <v>62</v>
      </c>
      <c r="M344">
        <v>31</v>
      </c>
      <c r="N344" t="s">
        <v>34</v>
      </c>
      <c r="O344">
        <v>4</v>
      </c>
      <c r="P344">
        <v>4</v>
      </c>
      <c r="Q344">
        <v>4</v>
      </c>
      <c r="R344">
        <v>3</v>
      </c>
      <c r="S344">
        <v>4</v>
      </c>
      <c r="U344">
        <v>21</v>
      </c>
      <c r="V344" t="s">
        <v>1697</v>
      </c>
      <c r="W344" t="s">
        <v>34</v>
      </c>
    </row>
    <row r="345" spans="1:24" x14ac:dyDescent="0.25">
      <c r="A345" t="s">
        <v>1698</v>
      </c>
      <c r="B345" t="s">
        <v>1699</v>
      </c>
      <c r="C345" t="s">
        <v>73</v>
      </c>
      <c r="D345">
        <v>26</v>
      </c>
      <c r="E345" t="s">
        <v>88</v>
      </c>
      <c r="F345" t="s">
        <v>760</v>
      </c>
      <c r="G345" t="s">
        <v>1700</v>
      </c>
      <c r="H345">
        <v>106564</v>
      </c>
      <c r="I345" t="s">
        <v>52</v>
      </c>
      <c r="K345" t="s">
        <v>106</v>
      </c>
      <c r="L345" t="s">
        <v>33</v>
      </c>
      <c r="M345">
        <v>13</v>
      </c>
      <c r="N345" t="s">
        <v>34</v>
      </c>
      <c r="O345">
        <v>4</v>
      </c>
      <c r="P345">
        <v>3</v>
      </c>
      <c r="Q345">
        <v>2</v>
      </c>
      <c r="R345">
        <v>3</v>
      </c>
      <c r="S345">
        <v>1</v>
      </c>
      <c r="T345">
        <v>5</v>
      </c>
      <c r="U345">
        <v>15</v>
      </c>
      <c r="V345" t="s">
        <v>1701</v>
      </c>
      <c r="W345" t="s">
        <v>34</v>
      </c>
    </row>
    <row r="346" spans="1:24" x14ac:dyDescent="0.25">
      <c r="A346" t="s">
        <v>1702</v>
      </c>
      <c r="B346" t="s">
        <v>1703</v>
      </c>
      <c r="C346" t="s">
        <v>73</v>
      </c>
      <c r="D346">
        <v>29</v>
      </c>
      <c r="E346" t="s">
        <v>27</v>
      </c>
      <c r="F346" t="s">
        <v>172</v>
      </c>
      <c r="G346" t="s">
        <v>1704</v>
      </c>
      <c r="H346">
        <v>86220</v>
      </c>
      <c r="I346" t="s">
        <v>42</v>
      </c>
      <c r="J346" t="s">
        <v>61</v>
      </c>
      <c r="K346" t="s">
        <v>113</v>
      </c>
      <c r="M346">
        <v>23</v>
      </c>
      <c r="N346" t="s">
        <v>45</v>
      </c>
      <c r="O346">
        <v>2</v>
      </c>
      <c r="P346">
        <v>4</v>
      </c>
      <c r="Q346">
        <v>2</v>
      </c>
      <c r="R346">
        <v>3</v>
      </c>
      <c r="S346">
        <v>6</v>
      </c>
      <c r="T346">
        <v>6</v>
      </c>
      <c r="U346">
        <v>24</v>
      </c>
      <c r="V346" t="s">
        <v>1705</v>
      </c>
      <c r="W346" t="s">
        <v>45</v>
      </c>
      <c r="X346" t="s">
        <v>1706</v>
      </c>
    </row>
    <row r="347" spans="1:24" x14ac:dyDescent="0.25">
      <c r="A347" t="s">
        <v>1707</v>
      </c>
      <c r="B347" t="s">
        <v>1708</v>
      </c>
      <c r="C347" t="s">
        <v>102</v>
      </c>
      <c r="D347">
        <v>30</v>
      </c>
      <c r="E347" t="s">
        <v>88</v>
      </c>
      <c r="F347" t="s">
        <v>141</v>
      </c>
      <c r="G347" t="s">
        <v>1709</v>
      </c>
      <c r="H347">
        <v>65784</v>
      </c>
      <c r="I347" t="s">
        <v>30</v>
      </c>
      <c r="K347" t="s">
        <v>131</v>
      </c>
      <c r="L347" t="s">
        <v>43</v>
      </c>
      <c r="M347">
        <v>37</v>
      </c>
      <c r="N347" t="s">
        <v>34</v>
      </c>
      <c r="O347">
        <v>4</v>
      </c>
      <c r="P347">
        <v>2</v>
      </c>
      <c r="Q347">
        <v>3</v>
      </c>
      <c r="R347">
        <v>1</v>
      </c>
      <c r="S347">
        <v>2</v>
      </c>
      <c r="T347">
        <v>7</v>
      </c>
      <c r="U347">
        <v>23</v>
      </c>
      <c r="V347" t="s">
        <v>1710</v>
      </c>
      <c r="W347" t="s">
        <v>34</v>
      </c>
    </row>
    <row r="348" spans="1:24" x14ac:dyDescent="0.25">
      <c r="A348" t="s">
        <v>1711</v>
      </c>
      <c r="B348" t="s">
        <v>1712</v>
      </c>
      <c r="C348" t="s">
        <v>58</v>
      </c>
      <c r="D348">
        <v>45</v>
      </c>
      <c r="E348" t="s">
        <v>94</v>
      </c>
      <c r="F348" t="s">
        <v>306</v>
      </c>
      <c r="G348" t="s">
        <v>1713</v>
      </c>
      <c r="H348" t="s">
        <v>1714</v>
      </c>
      <c r="I348" t="s">
        <v>42</v>
      </c>
      <c r="J348" t="s">
        <v>61</v>
      </c>
      <c r="K348" t="s">
        <v>131</v>
      </c>
      <c r="L348" t="s">
        <v>43</v>
      </c>
      <c r="M348">
        <v>42</v>
      </c>
      <c r="N348" t="s">
        <v>34</v>
      </c>
      <c r="O348">
        <v>1</v>
      </c>
      <c r="P348">
        <v>3</v>
      </c>
      <c r="Q348">
        <v>2</v>
      </c>
      <c r="R348">
        <v>2</v>
      </c>
      <c r="S348">
        <v>6</v>
      </c>
      <c r="T348">
        <v>0</v>
      </c>
      <c r="U348">
        <v>12</v>
      </c>
      <c r="V348" t="s">
        <v>1715</v>
      </c>
      <c r="W348" t="s">
        <v>45</v>
      </c>
      <c r="X348" t="s">
        <v>1716</v>
      </c>
    </row>
    <row r="349" spans="1:24" x14ac:dyDescent="0.25">
      <c r="A349" t="s">
        <v>1717</v>
      </c>
      <c r="B349" t="s">
        <v>1718</v>
      </c>
      <c r="C349" t="s">
        <v>58</v>
      </c>
      <c r="D349">
        <v>37</v>
      </c>
      <c r="E349" t="s">
        <v>38</v>
      </c>
      <c r="F349" t="s">
        <v>148</v>
      </c>
      <c r="G349" t="s">
        <v>1719</v>
      </c>
      <c r="H349">
        <v>88941</v>
      </c>
      <c r="I349" t="s">
        <v>42</v>
      </c>
      <c r="J349" t="s">
        <v>143</v>
      </c>
      <c r="K349" t="s">
        <v>167</v>
      </c>
      <c r="L349" t="s">
        <v>43</v>
      </c>
      <c r="M349">
        <v>38</v>
      </c>
      <c r="N349" t="s">
        <v>34</v>
      </c>
      <c r="O349">
        <v>2</v>
      </c>
      <c r="P349">
        <v>1</v>
      </c>
      <c r="Q349">
        <v>3</v>
      </c>
      <c r="R349">
        <v>3</v>
      </c>
      <c r="S349">
        <v>0</v>
      </c>
      <c r="T349">
        <v>8</v>
      </c>
      <c r="U349">
        <v>17</v>
      </c>
      <c r="V349" t="s">
        <v>1720</v>
      </c>
      <c r="W349" t="s">
        <v>34</v>
      </c>
    </row>
    <row r="350" spans="1:24" x14ac:dyDescent="0.25">
      <c r="A350" t="s">
        <v>1721</v>
      </c>
      <c r="B350" t="s">
        <v>1722</v>
      </c>
      <c r="C350" t="s">
        <v>49</v>
      </c>
      <c r="D350">
        <v>42</v>
      </c>
      <c r="E350" t="s">
        <v>88</v>
      </c>
      <c r="F350" t="s">
        <v>141</v>
      </c>
      <c r="G350" t="s">
        <v>1723</v>
      </c>
      <c r="H350" t="s">
        <v>1724</v>
      </c>
      <c r="I350" t="s">
        <v>42</v>
      </c>
      <c r="K350" t="s">
        <v>167</v>
      </c>
      <c r="M350">
        <v>5</v>
      </c>
      <c r="N350" t="s">
        <v>45</v>
      </c>
      <c r="O350">
        <v>4</v>
      </c>
      <c r="Q350">
        <v>1</v>
      </c>
      <c r="R350">
        <v>2</v>
      </c>
      <c r="S350">
        <v>6</v>
      </c>
      <c r="T350">
        <v>3</v>
      </c>
      <c r="U350">
        <v>12</v>
      </c>
      <c r="V350" t="s">
        <v>1725</v>
      </c>
      <c r="W350" t="s">
        <v>45</v>
      </c>
      <c r="X350" t="s">
        <v>1726</v>
      </c>
    </row>
    <row r="351" spans="1:24" x14ac:dyDescent="0.25">
      <c r="A351" t="s">
        <v>1727</v>
      </c>
      <c r="B351" t="s">
        <v>1728</v>
      </c>
      <c r="C351" t="s">
        <v>87</v>
      </c>
      <c r="D351">
        <v>39</v>
      </c>
      <c r="E351" t="s">
        <v>457</v>
      </c>
      <c r="F351" t="s">
        <v>594</v>
      </c>
      <c r="G351" t="s">
        <v>1729</v>
      </c>
      <c r="I351" t="s">
        <v>52</v>
      </c>
      <c r="J351" t="s">
        <v>97</v>
      </c>
      <c r="K351" t="s">
        <v>200</v>
      </c>
      <c r="L351" t="s">
        <v>33</v>
      </c>
      <c r="M351">
        <v>6</v>
      </c>
      <c r="N351" t="s">
        <v>34</v>
      </c>
      <c r="P351">
        <v>4</v>
      </c>
      <c r="Q351">
        <v>3</v>
      </c>
      <c r="S351">
        <v>3</v>
      </c>
      <c r="T351">
        <v>6</v>
      </c>
      <c r="U351">
        <v>20</v>
      </c>
      <c r="V351" t="s">
        <v>1730</v>
      </c>
      <c r="W351" t="s">
        <v>34</v>
      </c>
    </row>
    <row r="352" spans="1:24" x14ac:dyDescent="0.25">
      <c r="A352" t="s">
        <v>1731</v>
      </c>
      <c r="B352" t="s">
        <v>1732</v>
      </c>
      <c r="C352" t="s">
        <v>58</v>
      </c>
      <c r="D352">
        <v>43</v>
      </c>
      <c r="E352" t="s">
        <v>197</v>
      </c>
      <c r="F352" t="s">
        <v>573</v>
      </c>
      <c r="G352" t="s">
        <v>1733</v>
      </c>
      <c r="H352" t="s">
        <v>1734</v>
      </c>
      <c r="I352" t="s">
        <v>52</v>
      </c>
      <c r="J352" t="s">
        <v>97</v>
      </c>
      <c r="K352" t="s">
        <v>167</v>
      </c>
      <c r="L352" t="s">
        <v>43</v>
      </c>
      <c r="M352">
        <v>17</v>
      </c>
      <c r="N352" t="s">
        <v>34</v>
      </c>
      <c r="O352">
        <v>2</v>
      </c>
      <c r="P352">
        <v>4</v>
      </c>
      <c r="Q352">
        <v>4</v>
      </c>
      <c r="R352">
        <v>4</v>
      </c>
      <c r="S352">
        <v>1</v>
      </c>
      <c r="T352">
        <v>5</v>
      </c>
      <c r="U352">
        <v>18</v>
      </c>
      <c r="V352" t="s">
        <v>1735</v>
      </c>
      <c r="W352" t="s">
        <v>34</v>
      </c>
    </row>
    <row r="353" spans="1:24" x14ac:dyDescent="0.25">
      <c r="A353" t="s">
        <v>1736</v>
      </c>
      <c r="B353" t="s">
        <v>1737</v>
      </c>
      <c r="C353" t="s">
        <v>81</v>
      </c>
      <c r="D353">
        <v>34</v>
      </c>
      <c r="E353" t="s">
        <v>88</v>
      </c>
      <c r="F353" t="s">
        <v>261</v>
      </c>
      <c r="G353" t="s">
        <v>1738</v>
      </c>
      <c r="H353">
        <v>59783</v>
      </c>
      <c r="I353" t="s">
        <v>30</v>
      </c>
      <c r="J353" t="s">
        <v>31</v>
      </c>
      <c r="K353" t="s">
        <v>167</v>
      </c>
      <c r="L353" t="s">
        <v>33</v>
      </c>
      <c r="M353">
        <v>7</v>
      </c>
      <c r="N353" t="s">
        <v>34</v>
      </c>
      <c r="O353">
        <v>3</v>
      </c>
      <c r="P353">
        <v>2</v>
      </c>
      <c r="Q353">
        <v>3</v>
      </c>
      <c r="R353">
        <v>1</v>
      </c>
      <c r="S353">
        <v>1</v>
      </c>
      <c r="T353">
        <v>7</v>
      </c>
      <c r="U353">
        <v>21</v>
      </c>
      <c r="V353" t="s">
        <v>1739</v>
      </c>
      <c r="W353" t="s">
        <v>34</v>
      </c>
    </row>
    <row r="354" spans="1:24" x14ac:dyDescent="0.25">
      <c r="A354" t="s">
        <v>1740</v>
      </c>
      <c r="B354" t="s">
        <v>1741</v>
      </c>
      <c r="C354" t="s">
        <v>102</v>
      </c>
      <c r="E354" t="s">
        <v>147</v>
      </c>
      <c r="F354" t="s">
        <v>209</v>
      </c>
      <c r="G354" t="s">
        <v>1742</v>
      </c>
      <c r="H354">
        <v>94267</v>
      </c>
      <c r="I354" t="s">
        <v>42</v>
      </c>
      <c r="J354" t="s">
        <v>31</v>
      </c>
      <c r="K354" t="s">
        <v>98</v>
      </c>
      <c r="L354" t="s">
        <v>33</v>
      </c>
      <c r="M354">
        <v>27</v>
      </c>
      <c r="N354" t="s">
        <v>45</v>
      </c>
      <c r="O354">
        <v>2</v>
      </c>
      <c r="P354">
        <v>1</v>
      </c>
      <c r="Q354">
        <v>2</v>
      </c>
      <c r="R354">
        <v>1</v>
      </c>
      <c r="S354">
        <v>1</v>
      </c>
      <c r="T354">
        <v>7</v>
      </c>
      <c r="U354">
        <v>22</v>
      </c>
      <c r="V354" t="s">
        <v>1743</v>
      </c>
      <c r="W354" t="s">
        <v>45</v>
      </c>
      <c r="X354" t="s">
        <v>1744</v>
      </c>
    </row>
    <row r="355" spans="1:24" x14ac:dyDescent="0.25">
      <c r="A355" t="s">
        <v>1745</v>
      </c>
      <c r="B355" t="s">
        <v>1746</v>
      </c>
      <c r="C355" t="s">
        <v>26</v>
      </c>
      <c r="D355">
        <v>29</v>
      </c>
      <c r="E355" t="s">
        <v>94</v>
      </c>
      <c r="F355" t="s">
        <v>356</v>
      </c>
      <c r="G355" t="s">
        <v>1747</v>
      </c>
      <c r="H355">
        <v>50832</v>
      </c>
      <c r="I355" t="s">
        <v>52</v>
      </c>
      <c r="J355" t="s">
        <v>61</v>
      </c>
      <c r="K355" t="s">
        <v>113</v>
      </c>
      <c r="L355" t="s">
        <v>33</v>
      </c>
      <c r="M355">
        <v>31</v>
      </c>
      <c r="N355" t="s">
        <v>45</v>
      </c>
      <c r="O355">
        <v>1</v>
      </c>
      <c r="P355">
        <v>3</v>
      </c>
      <c r="Q355">
        <v>4</v>
      </c>
      <c r="R355">
        <v>3</v>
      </c>
      <c r="S355">
        <v>2</v>
      </c>
      <c r="T355">
        <v>5</v>
      </c>
      <c r="U355">
        <v>24</v>
      </c>
      <c r="V355" t="s">
        <v>1748</v>
      </c>
      <c r="W355" t="s">
        <v>45</v>
      </c>
      <c r="X355" t="s">
        <v>1749</v>
      </c>
    </row>
    <row r="356" spans="1:24" x14ac:dyDescent="0.25">
      <c r="A356" t="s">
        <v>1750</v>
      </c>
      <c r="B356" t="s">
        <v>1751</v>
      </c>
      <c r="C356" t="s">
        <v>102</v>
      </c>
      <c r="D356">
        <v>43</v>
      </c>
      <c r="E356" t="s">
        <v>128</v>
      </c>
      <c r="F356" t="s">
        <v>1752</v>
      </c>
      <c r="G356" t="s">
        <v>1753</v>
      </c>
      <c r="H356">
        <v>90528</v>
      </c>
      <c r="I356" t="s">
        <v>52</v>
      </c>
      <c r="J356" t="s">
        <v>31</v>
      </c>
      <c r="K356" t="s">
        <v>83</v>
      </c>
      <c r="L356" t="s">
        <v>62</v>
      </c>
      <c r="M356">
        <v>9</v>
      </c>
      <c r="N356" t="s">
        <v>45</v>
      </c>
      <c r="O356">
        <v>4</v>
      </c>
      <c r="P356">
        <v>3</v>
      </c>
      <c r="Q356">
        <v>1</v>
      </c>
      <c r="R356">
        <v>4</v>
      </c>
      <c r="S356">
        <v>5</v>
      </c>
      <c r="T356">
        <v>0</v>
      </c>
      <c r="V356" t="s">
        <v>1754</v>
      </c>
      <c r="W356" t="s">
        <v>34</v>
      </c>
    </row>
    <row r="357" spans="1:24" x14ac:dyDescent="0.25">
      <c r="A357" t="s">
        <v>1755</v>
      </c>
      <c r="B357" t="s">
        <v>1756</v>
      </c>
      <c r="C357" t="s">
        <v>73</v>
      </c>
      <c r="D357">
        <v>39</v>
      </c>
      <c r="E357" t="s">
        <v>572</v>
      </c>
      <c r="F357" t="s">
        <v>781</v>
      </c>
      <c r="G357" t="s">
        <v>1757</v>
      </c>
      <c r="H357">
        <v>93231</v>
      </c>
      <c r="I357" t="s">
        <v>42</v>
      </c>
      <c r="J357" t="s">
        <v>61</v>
      </c>
      <c r="K357" t="s">
        <v>54</v>
      </c>
      <c r="L357" t="s">
        <v>43</v>
      </c>
      <c r="M357">
        <v>41</v>
      </c>
      <c r="N357" t="s">
        <v>34</v>
      </c>
      <c r="O357">
        <v>2</v>
      </c>
      <c r="P357">
        <v>4</v>
      </c>
      <c r="Q357">
        <v>4</v>
      </c>
      <c r="R357">
        <v>4</v>
      </c>
      <c r="S357">
        <v>3</v>
      </c>
      <c r="T357">
        <v>8</v>
      </c>
      <c r="U357">
        <v>12</v>
      </c>
      <c r="V357" t="s">
        <v>1758</v>
      </c>
      <c r="W357" t="s">
        <v>34</v>
      </c>
    </row>
    <row r="358" spans="1:24" x14ac:dyDescent="0.25">
      <c r="A358" t="s">
        <v>1759</v>
      </c>
      <c r="B358" t="s">
        <v>1760</v>
      </c>
      <c r="C358" t="s">
        <v>102</v>
      </c>
      <c r="D358">
        <v>34</v>
      </c>
      <c r="E358" t="s">
        <v>609</v>
      </c>
      <c r="F358" t="s">
        <v>1146</v>
      </c>
      <c r="G358" t="s">
        <v>1761</v>
      </c>
      <c r="H358">
        <v>89442</v>
      </c>
      <c r="I358" t="s">
        <v>52</v>
      </c>
      <c r="J358" t="s">
        <v>97</v>
      </c>
      <c r="K358" t="s">
        <v>83</v>
      </c>
      <c r="L358" t="s">
        <v>62</v>
      </c>
      <c r="M358">
        <v>13</v>
      </c>
      <c r="N358" t="s">
        <v>34</v>
      </c>
      <c r="O358">
        <v>1</v>
      </c>
      <c r="P358">
        <v>1</v>
      </c>
      <c r="R358">
        <v>3</v>
      </c>
      <c r="S358">
        <v>5</v>
      </c>
      <c r="T358">
        <v>1</v>
      </c>
      <c r="U358">
        <v>11</v>
      </c>
      <c r="V358" t="s">
        <v>1762</v>
      </c>
      <c r="W358" t="s">
        <v>34</v>
      </c>
    </row>
    <row r="359" spans="1:24" x14ac:dyDescent="0.25">
      <c r="A359" t="s">
        <v>1763</v>
      </c>
      <c r="B359" t="s">
        <v>1764</v>
      </c>
      <c r="C359" t="s">
        <v>49</v>
      </c>
      <c r="D359">
        <v>37</v>
      </c>
      <c r="E359" t="s">
        <v>128</v>
      </c>
      <c r="F359" t="s">
        <v>226</v>
      </c>
      <c r="G359" t="s">
        <v>1765</v>
      </c>
      <c r="H359">
        <v>99205</v>
      </c>
      <c r="I359" t="s">
        <v>42</v>
      </c>
      <c r="J359" t="s">
        <v>31</v>
      </c>
      <c r="K359" t="s">
        <v>131</v>
      </c>
      <c r="L359" t="s">
        <v>43</v>
      </c>
      <c r="M359">
        <v>6</v>
      </c>
      <c r="O359">
        <v>4</v>
      </c>
      <c r="P359">
        <v>2</v>
      </c>
      <c r="Q359">
        <v>3</v>
      </c>
      <c r="R359">
        <v>3</v>
      </c>
      <c r="S359">
        <v>5</v>
      </c>
      <c r="T359">
        <v>0</v>
      </c>
      <c r="U359">
        <v>11</v>
      </c>
      <c r="V359" t="s">
        <v>1766</v>
      </c>
      <c r="W359" t="s">
        <v>34</v>
      </c>
    </row>
    <row r="360" spans="1:24" x14ac:dyDescent="0.25">
      <c r="A360" t="s">
        <v>1767</v>
      </c>
      <c r="B360" t="s">
        <v>1768</v>
      </c>
      <c r="C360" t="s">
        <v>87</v>
      </c>
      <c r="D360">
        <v>44</v>
      </c>
      <c r="E360" t="s">
        <v>38</v>
      </c>
      <c r="F360" t="s">
        <v>209</v>
      </c>
      <c r="G360" t="s">
        <v>1769</v>
      </c>
      <c r="H360" t="s">
        <v>1770</v>
      </c>
      <c r="I360" t="s">
        <v>30</v>
      </c>
      <c r="K360" t="s">
        <v>54</v>
      </c>
      <c r="L360" t="s">
        <v>62</v>
      </c>
      <c r="M360">
        <v>5</v>
      </c>
      <c r="N360" t="s">
        <v>45</v>
      </c>
      <c r="O360">
        <v>4</v>
      </c>
      <c r="P360">
        <v>4</v>
      </c>
      <c r="Q360">
        <v>3</v>
      </c>
      <c r="R360">
        <v>1</v>
      </c>
      <c r="S360">
        <v>4</v>
      </c>
      <c r="T360">
        <v>5</v>
      </c>
      <c r="U360">
        <v>22</v>
      </c>
      <c r="V360" t="s">
        <v>1771</v>
      </c>
      <c r="W360" t="s">
        <v>34</v>
      </c>
    </row>
    <row r="361" spans="1:24" x14ac:dyDescent="0.25">
      <c r="A361" t="s">
        <v>1772</v>
      </c>
      <c r="B361" t="s">
        <v>1235</v>
      </c>
      <c r="C361" t="s">
        <v>67</v>
      </c>
      <c r="D361">
        <v>38</v>
      </c>
      <c r="E361" t="s">
        <v>94</v>
      </c>
      <c r="F361" t="s">
        <v>356</v>
      </c>
      <c r="G361" t="s">
        <v>1773</v>
      </c>
      <c r="H361" t="s">
        <v>1774</v>
      </c>
      <c r="I361" t="s">
        <v>30</v>
      </c>
      <c r="J361" t="s">
        <v>61</v>
      </c>
      <c r="K361" t="s">
        <v>113</v>
      </c>
      <c r="L361" t="s">
        <v>62</v>
      </c>
      <c r="M361">
        <v>20</v>
      </c>
      <c r="N361" t="s">
        <v>34</v>
      </c>
      <c r="O361">
        <v>3</v>
      </c>
      <c r="P361">
        <v>4</v>
      </c>
      <c r="Q361">
        <v>3</v>
      </c>
      <c r="R361">
        <v>3</v>
      </c>
      <c r="S361">
        <v>1</v>
      </c>
      <c r="T361">
        <v>0</v>
      </c>
      <c r="U361">
        <v>11</v>
      </c>
      <c r="V361" t="s">
        <v>1775</v>
      </c>
      <c r="W361" t="s">
        <v>34</v>
      </c>
    </row>
    <row r="362" spans="1:24" x14ac:dyDescent="0.25">
      <c r="A362" t="s">
        <v>1776</v>
      </c>
      <c r="B362" t="s">
        <v>1777</v>
      </c>
      <c r="C362" t="s">
        <v>102</v>
      </c>
      <c r="D362">
        <v>40</v>
      </c>
      <c r="E362" t="s">
        <v>197</v>
      </c>
      <c r="F362" t="s">
        <v>235</v>
      </c>
      <c r="G362" t="s">
        <v>1778</v>
      </c>
      <c r="H362">
        <v>105476</v>
      </c>
      <c r="I362" t="s">
        <v>42</v>
      </c>
      <c r="J362" t="s">
        <v>61</v>
      </c>
      <c r="L362" t="s">
        <v>33</v>
      </c>
      <c r="M362">
        <v>8</v>
      </c>
      <c r="N362" t="s">
        <v>34</v>
      </c>
      <c r="O362">
        <v>1</v>
      </c>
      <c r="P362">
        <v>2</v>
      </c>
      <c r="Q362">
        <v>2</v>
      </c>
      <c r="R362">
        <v>4</v>
      </c>
      <c r="S362">
        <v>6</v>
      </c>
      <c r="T362">
        <v>6</v>
      </c>
      <c r="U362">
        <v>11</v>
      </c>
      <c r="V362" t="s">
        <v>1779</v>
      </c>
      <c r="W362" t="s">
        <v>34</v>
      </c>
    </row>
    <row r="363" spans="1:24" x14ac:dyDescent="0.25">
      <c r="A363" t="s">
        <v>1780</v>
      </c>
      <c r="B363" t="s">
        <v>1781</v>
      </c>
      <c r="C363" t="s">
        <v>49</v>
      </c>
      <c r="D363">
        <v>21</v>
      </c>
      <c r="E363" t="s">
        <v>88</v>
      </c>
      <c r="F363" t="s">
        <v>89</v>
      </c>
      <c r="G363" t="s">
        <v>1782</v>
      </c>
      <c r="H363">
        <v>144022</v>
      </c>
      <c r="I363" t="s">
        <v>42</v>
      </c>
      <c r="J363" t="s">
        <v>61</v>
      </c>
      <c r="K363" t="s">
        <v>113</v>
      </c>
      <c r="L363" t="s">
        <v>62</v>
      </c>
      <c r="M363">
        <v>31</v>
      </c>
      <c r="N363" t="s">
        <v>34</v>
      </c>
      <c r="O363">
        <v>3</v>
      </c>
      <c r="P363">
        <v>4</v>
      </c>
      <c r="Q363">
        <v>3</v>
      </c>
      <c r="R363">
        <v>2</v>
      </c>
      <c r="S363">
        <v>6</v>
      </c>
      <c r="T363">
        <v>6</v>
      </c>
      <c r="U363">
        <v>16</v>
      </c>
      <c r="V363" t="s">
        <v>1783</v>
      </c>
      <c r="W363" t="s">
        <v>34</v>
      </c>
    </row>
    <row r="364" spans="1:24" x14ac:dyDescent="0.25">
      <c r="A364" t="s">
        <v>1784</v>
      </c>
      <c r="B364" t="s">
        <v>1785</v>
      </c>
      <c r="C364" t="s">
        <v>26</v>
      </c>
      <c r="D364">
        <v>20</v>
      </c>
      <c r="E364" t="s">
        <v>94</v>
      </c>
      <c r="F364" t="s">
        <v>639</v>
      </c>
      <c r="G364" t="s">
        <v>1786</v>
      </c>
      <c r="H364">
        <v>118782</v>
      </c>
      <c r="I364" t="s">
        <v>42</v>
      </c>
      <c r="J364" t="s">
        <v>61</v>
      </c>
      <c r="K364" t="s">
        <v>200</v>
      </c>
      <c r="L364" t="s">
        <v>33</v>
      </c>
      <c r="M364">
        <v>36</v>
      </c>
      <c r="N364" t="s">
        <v>34</v>
      </c>
      <c r="O364">
        <v>2</v>
      </c>
      <c r="P364">
        <v>4</v>
      </c>
      <c r="Q364">
        <v>3</v>
      </c>
      <c r="R364">
        <v>4</v>
      </c>
      <c r="S364">
        <v>1</v>
      </c>
      <c r="T364">
        <v>5</v>
      </c>
      <c r="U364">
        <v>13</v>
      </c>
      <c r="V364" t="s">
        <v>1787</v>
      </c>
      <c r="W364" t="s">
        <v>34</v>
      </c>
    </row>
    <row r="365" spans="1:24" x14ac:dyDescent="0.25">
      <c r="A365" t="s">
        <v>1788</v>
      </c>
      <c r="B365" t="s">
        <v>1789</v>
      </c>
      <c r="C365" t="s">
        <v>49</v>
      </c>
      <c r="D365">
        <v>35</v>
      </c>
      <c r="E365" t="s">
        <v>128</v>
      </c>
      <c r="G365" t="s">
        <v>1790</v>
      </c>
      <c r="H365">
        <v>48716</v>
      </c>
      <c r="I365" t="s">
        <v>52</v>
      </c>
      <c r="J365" t="s">
        <v>61</v>
      </c>
      <c r="K365" t="s">
        <v>200</v>
      </c>
      <c r="L365" t="s">
        <v>33</v>
      </c>
      <c r="M365">
        <v>12</v>
      </c>
      <c r="N365" t="s">
        <v>34</v>
      </c>
      <c r="O365">
        <v>2</v>
      </c>
      <c r="P365">
        <v>2</v>
      </c>
      <c r="Q365">
        <v>3</v>
      </c>
      <c r="S365">
        <v>1</v>
      </c>
      <c r="T365">
        <v>2</v>
      </c>
      <c r="U365">
        <v>25</v>
      </c>
      <c r="V365" t="s">
        <v>1791</v>
      </c>
      <c r="W365" t="s">
        <v>34</v>
      </c>
    </row>
    <row r="366" spans="1:24" x14ac:dyDescent="0.25">
      <c r="A366" t="s">
        <v>1792</v>
      </c>
      <c r="B366" t="s">
        <v>1793</v>
      </c>
      <c r="C366" t="s">
        <v>58</v>
      </c>
      <c r="D366">
        <v>42</v>
      </c>
      <c r="E366" t="s">
        <v>1092</v>
      </c>
      <c r="F366" t="s">
        <v>1794</v>
      </c>
      <c r="G366" t="s">
        <v>1795</v>
      </c>
      <c r="H366">
        <v>59421</v>
      </c>
      <c r="I366" t="s">
        <v>52</v>
      </c>
      <c r="J366" t="s">
        <v>53</v>
      </c>
      <c r="K366" t="s">
        <v>200</v>
      </c>
      <c r="L366" t="s">
        <v>62</v>
      </c>
      <c r="M366">
        <v>32</v>
      </c>
      <c r="N366" t="s">
        <v>45</v>
      </c>
      <c r="O366">
        <v>4</v>
      </c>
      <c r="P366">
        <v>1</v>
      </c>
      <c r="Q366">
        <v>2</v>
      </c>
      <c r="R366">
        <v>3</v>
      </c>
      <c r="S366">
        <v>5</v>
      </c>
      <c r="T366">
        <v>4</v>
      </c>
      <c r="U366">
        <v>22</v>
      </c>
      <c r="V366" t="s">
        <v>1796</v>
      </c>
      <c r="W366" t="s">
        <v>45</v>
      </c>
      <c r="X366" t="s">
        <v>1797</v>
      </c>
    </row>
    <row r="367" spans="1:24" x14ac:dyDescent="0.25">
      <c r="A367" t="s">
        <v>1798</v>
      </c>
      <c r="B367" t="s">
        <v>1799</v>
      </c>
      <c r="C367" t="s">
        <v>58</v>
      </c>
      <c r="D367">
        <v>30</v>
      </c>
      <c r="E367" t="s">
        <v>27</v>
      </c>
      <c r="F367" t="s">
        <v>188</v>
      </c>
      <c r="G367" t="s">
        <v>1800</v>
      </c>
      <c r="H367">
        <v>95209</v>
      </c>
      <c r="I367" t="s">
        <v>30</v>
      </c>
      <c r="J367" t="s">
        <v>61</v>
      </c>
      <c r="K367" t="s">
        <v>54</v>
      </c>
      <c r="L367" t="s">
        <v>43</v>
      </c>
      <c r="M367">
        <v>43</v>
      </c>
      <c r="O367">
        <v>1</v>
      </c>
      <c r="P367">
        <v>4</v>
      </c>
      <c r="Q367">
        <v>3</v>
      </c>
      <c r="R367">
        <v>5</v>
      </c>
      <c r="S367">
        <v>3</v>
      </c>
      <c r="T367">
        <v>6</v>
      </c>
      <c r="U367">
        <v>13</v>
      </c>
      <c r="V367" t="s">
        <v>1801</v>
      </c>
      <c r="W367" t="s">
        <v>45</v>
      </c>
      <c r="X367" t="s">
        <v>1802</v>
      </c>
    </row>
    <row r="368" spans="1:24" x14ac:dyDescent="0.25">
      <c r="A368" t="s">
        <v>1803</v>
      </c>
      <c r="B368" t="s">
        <v>1804</v>
      </c>
      <c r="C368" t="s">
        <v>102</v>
      </c>
      <c r="D368">
        <v>25</v>
      </c>
      <c r="E368" t="s">
        <v>103</v>
      </c>
      <c r="F368" t="s">
        <v>271</v>
      </c>
      <c r="G368" t="s">
        <v>1805</v>
      </c>
      <c r="H368" t="s">
        <v>1806</v>
      </c>
      <c r="I368" t="s">
        <v>52</v>
      </c>
      <c r="J368" t="s">
        <v>61</v>
      </c>
      <c r="K368" t="s">
        <v>77</v>
      </c>
      <c r="L368" t="s">
        <v>62</v>
      </c>
      <c r="M368">
        <v>4</v>
      </c>
      <c r="N368" t="s">
        <v>45</v>
      </c>
      <c r="O368">
        <v>1</v>
      </c>
      <c r="P368">
        <v>1</v>
      </c>
      <c r="Q368">
        <v>3</v>
      </c>
      <c r="R368">
        <v>3</v>
      </c>
      <c r="S368">
        <v>0</v>
      </c>
      <c r="T368">
        <v>8</v>
      </c>
      <c r="U368">
        <v>12</v>
      </c>
      <c r="V368" t="s">
        <v>1807</v>
      </c>
      <c r="W368" t="s">
        <v>45</v>
      </c>
      <c r="X368" t="s">
        <v>1808</v>
      </c>
    </row>
    <row r="369" spans="1:24" x14ac:dyDescent="0.25">
      <c r="A369" t="s">
        <v>1202</v>
      </c>
      <c r="B369" t="s">
        <v>1203</v>
      </c>
      <c r="C369" t="s">
        <v>87</v>
      </c>
      <c r="D369">
        <v>38</v>
      </c>
      <c r="E369" t="s">
        <v>1669</v>
      </c>
      <c r="F369" t="s">
        <v>639</v>
      </c>
      <c r="G369" t="s">
        <v>1204</v>
      </c>
      <c r="H369">
        <v>55252</v>
      </c>
      <c r="J369" t="s">
        <v>31</v>
      </c>
      <c r="K369" t="s">
        <v>54</v>
      </c>
      <c r="L369" t="s">
        <v>62</v>
      </c>
      <c r="M369">
        <v>29</v>
      </c>
      <c r="N369" t="s">
        <v>45</v>
      </c>
      <c r="O369">
        <v>2</v>
      </c>
      <c r="P369">
        <v>3</v>
      </c>
      <c r="Q369">
        <v>4</v>
      </c>
      <c r="R369">
        <v>2</v>
      </c>
      <c r="S369">
        <v>3</v>
      </c>
      <c r="T369">
        <v>5</v>
      </c>
      <c r="U369">
        <v>21</v>
      </c>
      <c r="V369" t="s">
        <v>1205</v>
      </c>
      <c r="W369" t="s">
        <v>45</v>
      </c>
      <c r="X369" t="s">
        <v>1206</v>
      </c>
    </row>
    <row r="370" spans="1:24" x14ac:dyDescent="0.25">
      <c r="A370" t="s">
        <v>1809</v>
      </c>
      <c r="B370" t="s">
        <v>1810</v>
      </c>
      <c r="C370" t="s">
        <v>87</v>
      </c>
      <c r="D370">
        <v>37</v>
      </c>
      <c r="E370" t="s">
        <v>88</v>
      </c>
      <c r="F370" t="s">
        <v>469</v>
      </c>
      <c r="G370" t="s">
        <v>1811</v>
      </c>
      <c r="H370">
        <v>149599</v>
      </c>
      <c r="I370" t="s">
        <v>52</v>
      </c>
      <c r="J370" t="s">
        <v>53</v>
      </c>
      <c r="K370" t="s">
        <v>167</v>
      </c>
      <c r="L370" t="s">
        <v>62</v>
      </c>
      <c r="M370">
        <v>5</v>
      </c>
      <c r="N370" t="s">
        <v>34</v>
      </c>
      <c r="O370">
        <v>3</v>
      </c>
      <c r="P370">
        <v>2</v>
      </c>
      <c r="Q370">
        <v>3</v>
      </c>
      <c r="R370">
        <v>4</v>
      </c>
      <c r="S370">
        <v>4</v>
      </c>
      <c r="T370">
        <v>7</v>
      </c>
      <c r="U370">
        <v>23</v>
      </c>
      <c r="V370" t="s">
        <v>1812</v>
      </c>
      <c r="W370" t="s">
        <v>34</v>
      </c>
    </row>
    <row r="371" spans="1:24" x14ac:dyDescent="0.25">
      <c r="A371" t="s">
        <v>1813</v>
      </c>
      <c r="B371" t="s">
        <v>1814</v>
      </c>
      <c r="C371" t="s">
        <v>49</v>
      </c>
      <c r="D371">
        <v>36</v>
      </c>
      <c r="E371" t="s">
        <v>74</v>
      </c>
      <c r="F371" t="s">
        <v>188</v>
      </c>
      <c r="G371" t="s">
        <v>1815</v>
      </c>
      <c r="H371">
        <v>102226</v>
      </c>
      <c r="I371" t="s">
        <v>30</v>
      </c>
      <c r="J371" t="s">
        <v>31</v>
      </c>
      <c r="K371" t="s">
        <v>200</v>
      </c>
      <c r="L371" t="s">
        <v>62</v>
      </c>
      <c r="M371">
        <v>42</v>
      </c>
      <c r="N371" t="s">
        <v>34</v>
      </c>
      <c r="O371">
        <v>4</v>
      </c>
      <c r="P371">
        <v>3</v>
      </c>
      <c r="Q371">
        <v>2</v>
      </c>
      <c r="R371">
        <v>2</v>
      </c>
      <c r="S371">
        <v>3</v>
      </c>
      <c r="T371">
        <v>6</v>
      </c>
      <c r="U371">
        <v>23</v>
      </c>
      <c r="V371" t="s">
        <v>239</v>
      </c>
      <c r="W371" t="s">
        <v>34</v>
      </c>
    </row>
    <row r="372" spans="1:24" x14ac:dyDescent="0.25">
      <c r="A372" t="s">
        <v>1816</v>
      </c>
      <c r="B372" t="s">
        <v>1699</v>
      </c>
      <c r="C372" t="s">
        <v>81</v>
      </c>
      <c r="D372">
        <v>37</v>
      </c>
      <c r="E372" t="s">
        <v>88</v>
      </c>
      <c r="F372" t="s">
        <v>286</v>
      </c>
      <c r="G372" t="s">
        <v>1817</v>
      </c>
      <c r="H372">
        <v>128689</v>
      </c>
      <c r="I372" t="s">
        <v>52</v>
      </c>
      <c r="J372" t="s">
        <v>97</v>
      </c>
      <c r="K372" t="s">
        <v>54</v>
      </c>
      <c r="L372" t="s">
        <v>62</v>
      </c>
      <c r="M372">
        <v>25</v>
      </c>
      <c r="N372" t="s">
        <v>34</v>
      </c>
      <c r="O372">
        <v>2</v>
      </c>
      <c r="P372">
        <v>1</v>
      </c>
      <c r="Q372">
        <v>4</v>
      </c>
      <c r="R372">
        <v>3</v>
      </c>
      <c r="S372">
        <v>2</v>
      </c>
      <c r="T372">
        <v>0</v>
      </c>
      <c r="U372">
        <v>21</v>
      </c>
      <c r="V372" t="s">
        <v>1818</v>
      </c>
      <c r="W372" t="s">
        <v>34</v>
      </c>
    </row>
    <row r="373" spans="1:24" x14ac:dyDescent="0.25">
      <c r="A373" t="s">
        <v>1819</v>
      </c>
      <c r="B373" t="s">
        <v>1820</v>
      </c>
      <c r="C373" t="s">
        <v>67</v>
      </c>
      <c r="D373">
        <v>46</v>
      </c>
      <c r="E373" t="s">
        <v>629</v>
      </c>
      <c r="F373" t="s">
        <v>271</v>
      </c>
      <c r="G373" t="s">
        <v>1821</v>
      </c>
      <c r="H373">
        <v>74453</v>
      </c>
      <c r="I373" t="s">
        <v>30</v>
      </c>
      <c r="J373" t="s">
        <v>61</v>
      </c>
      <c r="K373" t="s">
        <v>83</v>
      </c>
      <c r="L373" t="s">
        <v>62</v>
      </c>
      <c r="M373">
        <v>32</v>
      </c>
      <c r="O373">
        <v>1</v>
      </c>
      <c r="P373">
        <v>3</v>
      </c>
      <c r="Q373">
        <v>3</v>
      </c>
      <c r="R373">
        <v>2</v>
      </c>
      <c r="S373">
        <v>1</v>
      </c>
      <c r="T373">
        <v>2</v>
      </c>
      <c r="U373">
        <v>19</v>
      </c>
      <c r="V373" t="s">
        <v>1822</v>
      </c>
      <c r="W373" t="s">
        <v>34</v>
      </c>
    </row>
    <row r="374" spans="1:24" x14ac:dyDescent="0.25">
      <c r="A374" t="s">
        <v>1823</v>
      </c>
      <c r="B374" t="s">
        <v>1824</v>
      </c>
      <c r="C374" t="s">
        <v>81</v>
      </c>
      <c r="D374">
        <v>34</v>
      </c>
      <c r="E374" t="s">
        <v>88</v>
      </c>
      <c r="F374" t="s">
        <v>261</v>
      </c>
      <c r="G374" t="s">
        <v>1825</v>
      </c>
      <c r="H374">
        <v>93795</v>
      </c>
      <c r="J374" t="s">
        <v>31</v>
      </c>
      <c r="K374" t="s">
        <v>98</v>
      </c>
      <c r="L374" t="s">
        <v>33</v>
      </c>
      <c r="M374">
        <v>32</v>
      </c>
      <c r="N374" t="s">
        <v>34</v>
      </c>
      <c r="O374">
        <v>4</v>
      </c>
      <c r="P374">
        <v>3</v>
      </c>
      <c r="Q374">
        <v>3</v>
      </c>
      <c r="R374">
        <v>3</v>
      </c>
      <c r="S374">
        <v>3</v>
      </c>
      <c r="T374">
        <v>3</v>
      </c>
      <c r="U374">
        <v>17</v>
      </c>
      <c r="V374" t="s">
        <v>1826</v>
      </c>
      <c r="W374" t="s">
        <v>34</v>
      </c>
    </row>
    <row r="375" spans="1:24" x14ac:dyDescent="0.25">
      <c r="A375" t="s">
        <v>1827</v>
      </c>
      <c r="B375" t="s">
        <v>1828</v>
      </c>
      <c r="C375" t="s">
        <v>73</v>
      </c>
      <c r="D375">
        <v>43</v>
      </c>
      <c r="E375" t="s">
        <v>94</v>
      </c>
      <c r="F375" t="s">
        <v>266</v>
      </c>
      <c r="G375" t="s">
        <v>1829</v>
      </c>
      <c r="H375">
        <v>105441</v>
      </c>
      <c r="I375" t="s">
        <v>30</v>
      </c>
      <c r="J375" t="s">
        <v>97</v>
      </c>
      <c r="K375" t="s">
        <v>98</v>
      </c>
      <c r="L375" t="s">
        <v>43</v>
      </c>
      <c r="M375">
        <v>16</v>
      </c>
      <c r="N375" t="s">
        <v>34</v>
      </c>
      <c r="O375">
        <v>2</v>
      </c>
      <c r="P375">
        <v>2</v>
      </c>
      <c r="Q375">
        <v>3</v>
      </c>
      <c r="R375">
        <v>2</v>
      </c>
      <c r="S375">
        <v>1</v>
      </c>
      <c r="T375">
        <v>0</v>
      </c>
      <c r="U375">
        <v>23</v>
      </c>
      <c r="V375" t="s">
        <v>1830</v>
      </c>
      <c r="W375" t="s">
        <v>34</v>
      </c>
    </row>
    <row r="376" spans="1:24" x14ac:dyDescent="0.25">
      <c r="A376" t="s">
        <v>1831</v>
      </c>
      <c r="B376" t="s">
        <v>1832</v>
      </c>
      <c r="C376" t="s">
        <v>26</v>
      </c>
      <c r="D376">
        <v>42</v>
      </c>
      <c r="E376" t="s">
        <v>38</v>
      </c>
      <c r="F376" t="s">
        <v>792</v>
      </c>
      <c r="G376" t="s">
        <v>1833</v>
      </c>
      <c r="H376">
        <v>82187</v>
      </c>
      <c r="I376" t="s">
        <v>52</v>
      </c>
      <c r="J376" t="s">
        <v>53</v>
      </c>
      <c r="K376" t="s">
        <v>77</v>
      </c>
      <c r="L376" t="s">
        <v>33</v>
      </c>
      <c r="M376">
        <v>17</v>
      </c>
      <c r="N376" t="s">
        <v>34</v>
      </c>
      <c r="O376">
        <v>1</v>
      </c>
      <c r="P376">
        <v>3</v>
      </c>
      <c r="Q376">
        <v>3</v>
      </c>
      <c r="R376">
        <v>3</v>
      </c>
      <c r="S376">
        <v>0</v>
      </c>
      <c r="T376">
        <v>4</v>
      </c>
      <c r="U376">
        <v>25</v>
      </c>
      <c r="V376" t="s">
        <v>1834</v>
      </c>
      <c r="W376" t="s">
        <v>34</v>
      </c>
    </row>
    <row r="377" spans="1:24" x14ac:dyDescent="0.25">
      <c r="A377" t="s">
        <v>1835</v>
      </c>
      <c r="B377" t="s">
        <v>1836</v>
      </c>
      <c r="C377" t="s">
        <v>81</v>
      </c>
      <c r="D377">
        <v>37</v>
      </c>
      <c r="E377" t="s">
        <v>38</v>
      </c>
      <c r="F377" t="s">
        <v>792</v>
      </c>
      <c r="G377" t="s">
        <v>1837</v>
      </c>
      <c r="H377">
        <v>88043</v>
      </c>
      <c r="I377" t="s">
        <v>42</v>
      </c>
      <c r="J377" t="s">
        <v>61</v>
      </c>
      <c r="K377" t="s">
        <v>77</v>
      </c>
      <c r="L377" t="s">
        <v>43</v>
      </c>
      <c r="M377">
        <v>34</v>
      </c>
      <c r="N377" t="s">
        <v>45</v>
      </c>
      <c r="O377">
        <v>3</v>
      </c>
      <c r="P377">
        <v>2</v>
      </c>
      <c r="Q377">
        <v>3</v>
      </c>
      <c r="R377">
        <v>5</v>
      </c>
      <c r="S377">
        <v>1</v>
      </c>
      <c r="T377">
        <v>4</v>
      </c>
      <c r="U377">
        <v>20</v>
      </c>
      <c r="V377" t="s">
        <v>1838</v>
      </c>
      <c r="W377" t="s">
        <v>45</v>
      </c>
      <c r="X377" t="s">
        <v>1839</v>
      </c>
    </row>
    <row r="378" spans="1:24" x14ac:dyDescent="0.25">
      <c r="A378" t="s">
        <v>1840</v>
      </c>
      <c r="B378" t="s">
        <v>1841</v>
      </c>
      <c r="C378" t="s">
        <v>87</v>
      </c>
      <c r="D378">
        <v>19</v>
      </c>
      <c r="E378" t="s">
        <v>94</v>
      </c>
      <c r="F378" t="s">
        <v>306</v>
      </c>
      <c r="G378" t="s">
        <v>1842</v>
      </c>
      <c r="H378">
        <v>57698</v>
      </c>
      <c r="I378" t="s">
        <v>52</v>
      </c>
      <c r="J378" t="s">
        <v>143</v>
      </c>
      <c r="K378" t="s">
        <v>32</v>
      </c>
      <c r="L378" t="s">
        <v>33</v>
      </c>
      <c r="N378" t="s">
        <v>34</v>
      </c>
      <c r="O378">
        <v>4</v>
      </c>
      <c r="P378">
        <v>4</v>
      </c>
      <c r="Q378">
        <v>3</v>
      </c>
      <c r="R378">
        <v>3</v>
      </c>
      <c r="S378">
        <v>5</v>
      </c>
      <c r="T378">
        <v>4</v>
      </c>
      <c r="U378">
        <v>22</v>
      </c>
      <c r="V378" t="s">
        <v>1843</v>
      </c>
      <c r="W378" t="s">
        <v>34</v>
      </c>
    </row>
    <row r="379" spans="1:24" x14ac:dyDescent="0.25">
      <c r="A379" t="s">
        <v>1844</v>
      </c>
      <c r="B379" t="s">
        <v>1845</v>
      </c>
      <c r="C379" t="s">
        <v>58</v>
      </c>
      <c r="D379">
        <v>48</v>
      </c>
      <c r="E379" t="s">
        <v>27</v>
      </c>
      <c r="F379" t="s">
        <v>59</v>
      </c>
      <c r="G379" t="s">
        <v>1846</v>
      </c>
      <c r="H379">
        <v>81630</v>
      </c>
      <c r="I379" t="s">
        <v>42</v>
      </c>
      <c r="J379" t="s">
        <v>31</v>
      </c>
      <c r="K379" t="s">
        <v>32</v>
      </c>
      <c r="L379" t="s">
        <v>33</v>
      </c>
      <c r="M379">
        <v>1</v>
      </c>
      <c r="N379" t="s">
        <v>34</v>
      </c>
      <c r="O379">
        <v>4</v>
      </c>
      <c r="P379">
        <v>1</v>
      </c>
      <c r="Q379">
        <v>1</v>
      </c>
      <c r="R379">
        <v>4</v>
      </c>
      <c r="S379">
        <v>1</v>
      </c>
      <c r="T379">
        <v>6</v>
      </c>
      <c r="U379">
        <v>13</v>
      </c>
      <c r="V379" t="s">
        <v>1847</v>
      </c>
      <c r="W379" t="s">
        <v>34</v>
      </c>
    </row>
    <row r="380" spans="1:24" x14ac:dyDescent="0.25">
      <c r="A380" t="s">
        <v>1848</v>
      </c>
      <c r="B380" t="s">
        <v>1849</v>
      </c>
      <c r="C380" t="s">
        <v>49</v>
      </c>
      <c r="D380">
        <v>44</v>
      </c>
      <c r="E380" t="s">
        <v>128</v>
      </c>
      <c r="F380" t="s">
        <v>129</v>
      </c>
      <c r="G380" t="s">
        <v>1850</v>
      </c>
      <c r="H380">
        <v>104180</v>
      </c>
      <c r="I380" t="s">
        <v>30</v>
      </c>
      <c r="J380" t="s">
        <v>97</v>
      </c>
      <c r="K380" t="s">
        <v>77</v>
      </c>
      <c r="L380" t="s">
        <v>43</v>
      </c>
      <c r="M380">
        <v>31</v>
      </c>
      <c r="N380" t="s">
        <v>34</v>
      </c>
      <c r="O380">
        <v>1</v>
      </c>
      <c r="P380">
        <v>1</v>
      </c>
      <c r="Q380">
        <v>1</v>
      </c>
      <c r="R380">
        <v>3</v>
      </c>
      <c r="S380">
        <v>1</v>
      </c>
      <c r="T380">
        <v>0</v>
      </c>
      <c r="U380">
        <v>15</v>
      </c>
      <c r="V380" t="s">
        <v>1851</v>
      </c>
      <c r="W380" t="s">
        <v>45</v>
      </c>
      <c r="X380" t="s">
        <v>1852</v>
      </c>
    </row>
    <row r="381" spans="1:24" x14ac:dyDescent="0.25">
      <c r="A381" t="s">
        <v>1853</v>
      </c>
      <c r="B381" t="s">
        <v>1854</v>
      </c>
      <c r="C381" t="s">
        <v>73</v>
      </c>
      <c r="D381">
        <v>37</v>
      </c>
      <c r="E381" t="s">
        <v>128</v>
      </c>
      <c r="G381" t="s">
        <v>1855</v>
      </c>
      <c r="H381">
        <v>69611</v>
      </c>
      <c r="I381" t="s">
        <v>42</v>
      </c>
      <c r="J381" t="s">
        <v>61</v>
      </c>
      <c r="K381" t="s">
        <v>83</v>
      </c>
      <c r="L381" t="s">
        <v>62</v>
      </c>
      <c r="M381">
        <v>9</v>
      </c>
      <c r="N381" t="s">
        <v>34</v>
      </c>
      <c r="O381">
        <v>2</v>
      </c>
      <c r="P381">
        <v>2</v>
      </c>
      <c r="Q381">
        <v>4</v>
      </c>
      <c r="R381">
        <v>4</v>
      </c>
      <c r="S381">
        <v>2</v>
      </c>
      <c r="T381">
        <v>3</v>
      </c>
      <c r="U381">
        <v>12</v>
      </c>
      <c r="V381" t="s">
        <v>1856</v>
      </c>
      <c r="W381" t="s">
        <v>34</v>
      </c>
    </row>
    <row r="382" spans="1:24" x14ac:dyDescent="0.25">
      <c r="A382" t="s">
        <v>1857</v>
      </c>
      <c r="B382" t="s">
        <v>1858</v>
      </c>
      <c r="C382" t="s">
        <v>73</v>
      </c>
      <c r="D382">
        <v>36</v>
      </c>
      <c r="E382" t="s">
        <v>128</v>
      </c>
      <c r="F382" t="s">
        <v>848</v>
      </c>
      <c r="G382" t="s">
        <v>1859</v>
      </c>
      <c r="H382" t="s">
        <v>1860</v>
      </c>
      <c r="I382" t="s">
        <v>30</v>
      </c>
      <c r="J382" t="s">
        <v>53</v>
      </c>
      <c r="K382" t="s">
        <v>32</v>
      </c>
      <c r="L382" t="s">
        <v>43</v>
      </c>
      <c r="M382">
        <v>5</v>
      </c>
      <c r="N382" t="s">
        <v>34</v>
      </c>
      <c r="O382">
        <v>1</v>
      </c>
      <c r="P382">
        <v>4</v>
      </c>
      <c r="Q382">
        <v>1</v>
      </c>
      <c r="R382">
        <v>2</v>
      </c>
      <c r="S382">
        <v>3</v>
      </c>
      <c r="T382">
        <v>1</v>
      </c>
      <c r="U382">
        <v>12</v>
      </c>
      <c r="V382" t="s">
        <v>1861</v>
      </c>
      <c r="W382" t="s">
        <v>34</v>
      </c>
    </row>
    <row r="383" spans="1:24" x14ac:dyDescent="0.25">
      <c r="A383" t="s">
        <v>1862</v>
      </c>
      <c r="B383" t="s">
        <v>1863</v>
      </c>
      <c r="C383" t="s">
        <v>73</v>
      </c>
      <c r="D383">
        <v>27</v>
      </c>
      <c r="F383" t="s">
        <v>573</v>
      </c>
      <c r="G383" t="s">
        <v>934</v>
      </c>
      <c r="H383">
        <v>52107</v>
      </c>
      <c r="I383" t="s">
        <v>52</v>
      </c>
      <c r="J383" t="s">
        <v>31</v>
      </c>
      <c r="K383" t="s">
        <v>131</v>
      </c>
      <c r="L383" t="s">
        <v>43</v>
      </c>
      <c r="M383">
        <v>18</v>
      </c>
      <c r="N383" t="s">
        <v>45</v>
      </c>
      <c r="O383">
        <v>1</v>
      </c>
      <c r="P383">
        <v>1</v>
      </c>
      <c r="R383">
        <v>3</v>
      </c>
      <c r="S383">
        <v>2</v>
      </c>
      <c r="T383">
        <v>6</v>
      </c>
      <c r="U383">
        <v>24</v>
      </c>
      <c r="V383" t="s">
        <v>1864</v>
      </c>
      <c r="W383" t="s">
        <v>45</v>
      </c>
      <c r="X383" t="s">
        <v>1865</v>
      </c>
    </row>
    <row r="384" spans="1:24" x14ac:dyDescent="0.25">
      <c r="A384" t="s">
        <v>1866</v>
      </c>
      <c r="B384" t="s">
        <v>1867</v>
      </c>
      <c r="C384" t="s">
        <v>58</v>
      </c>
      <c r="D384">
        <v>27</v>
      </c>
      <c r="E384" t="s">
        <v>88</v>
      </c>
      <c r="F384" t="s">
        <v>1644</v>
      </c>
      <c r="G384" t="s">
        <v>1868</v>
      </c>
      <c r="H384">
        <v>56583</v>
      </c>
      <c r="I384" t="s">
        <v>52</v>
      </c>
      <c r="J384" t="s">
        <v>61</v>
      </c>
      <c r="K384" t="s">
        <v>131</v>
      </c>
      <c r="L384" t="s">
        <v>62</v>
      </c>
      <c r="M384">
        <v>9</v>
      </c>
      <c r="N384" t="s">
        <v>34</v>
      </c>
      <c r="O384">
        <v>4</v>
      </c>
      <c r="P384">
        <v>2</v>
      </c>
      <c r="Q384">
        <v>3</v>
      </c>
      <c r="R384">
        <v>4</v>
      </c>
      <c r="S384">
        <v>2</v>
      </c>
      <c r="T384">
        <v>3</v>
      </c>
      <c r="U384">
        <v>13</v>
      </c>
      <c r="V384" t="s">
        <v>1869</v>
      </c>
      <c r="W384" t="s">
        <v>34</v>
      </c>
    </row>
    <row r="385" spans="1:24" x14ac:dyDescent="0.25">
      <c r="A385" t="s">
        <v>1870</v>
      </c>
      <c r="B385" t="s">
        <v>1871</v>
      </c>
      <c r="C385" t="s">
        <v>73</v>
      </c>
      <c r="D385">
        <v>30</v>
      </c>
      <c r="E385" t="s">
        <v>128</v>
      </c>
      <c r="F385" t="s">
        <v>255</v>
      </c>
      <c r="G385" t="s">
        <v>1872</v>
      </c>
      <c r="H385">
        <v>96633</v>
      </c>
      <c r="I385" t="s">
        <v>52</v>
      </c>
      <c r="J385" t="s">
        <v>53</v>
      </c>
      <c r="K385" t="s">
        <v>32</v>
      </c>
      <c r="L385" t="s">
        <v>43</v>
      </c>
      <c r="M385">
        <v>13</v>
      </c>
      <c r="N385" t="s">
        <v>45</v>
      </c>
      <c r="O385">
        <v>4</v>
      </c>
      <c r="P385">
        <v>2</v>
      </c>
      <c r="Q385">
        <v>2</v>
      </c>
      <c r="R385">
        <v>3</v>
      </c>
      <c r="S385">
        <v>2</v>
      </c>
      <c r="T385">
        <v>2</v>
      </c>
      <c r="U385">
        <v>24</v>
      </c>
      <c r="V385" t="s">
        <v>1873</v>
      </c>
      <c r="W385" t="s">
        <v>34</v>
      </c>
    </row>
    <row r="386" spans="1:24" x14ac:dyDescent="0.25">
      <c r="A386" t="s">
        <v>1874</v>
      </c>
      <c r="B386" t="s">
        <v>1875</v>
      </c>
      <c r="C386" t="s">
        <v>87</v>
      </c>
      <c r="D386">
        <v>33</v>
      </c>
      <c r="E386" t="s">
        <v>88</v>
      </c>
      <c r="F386" t="s">
        <v>1876</v>
      </c>
      <c r="G386" t="s">
        <v>1877</v>
      </c>
      <c r="H386">
        <v>138478</v>
      </c>
      <c r="I386" t="s">
        <v>30</v>
      </c>
      <c r="J386" t="s">
        <v>31</v>
      </c>
      <c r="K386" t="s">
        <v>83</v>
      </c>
      <c r="L386" t="s">
        <v>33</v>
      </c>
      <c r="M386">
        <v>17</v>
      </c>
      <c r="N386" t="s">
        <v>34</v>
      </c>
      <c r="O386">
        <v>4</v>
      </c>
      <c r="Q386">
        <v>4</v>
      </c>
      <c r="R386">
        <v>4</v>
      </c>
      <c r="S386">
        <v>3</v>
      </c>
      <c r="U386">
        <v>17</v>
      </c>
      <c r="V386" t="s">
        <v>1878</v>
      </c>
      <c r="W386" t="s">
        <v>34</v>
      </c>
    </row>
    <row r="387" spans="1:24" x14ac:dyDescent="0.25">
      <c r="A387" t="s">
        <v>1879</v>
      </c>
      <c r="B387" t="s">
        <v>1880</v>
      </c>
      <c r="C387" t="s">
        <v>58</v>
      </c>
      <c r="D387">
        <v>39</v>
      </c>
      <c r="E387" t="s">
        <v>798</v>
      </c>
      <c r="F387" t="s">
        <v>380</v>
      </c>
      <c r="G387" t="s">
        <v>1881</v>
      </c>
      <c r="H387" t="s">
        <v>1882</v>
      </c>
      <c r="I387" t="s">
        <v>52</v>
      </c>
      <c r="K387" t="s">
        <v>106</v>
      </c>
      <c r="L387" t="s">
        <v>33</v>
      </c>
      <c r="M387">
        <v>21</v>
      </c>
      <c r="N387" t="s">
        <v>45</v>
      </c>
      <c r="O387">
        <v>1</v>
      </c>
      <c r="P387">
        <v>1</v>
      </c>
      <c r="Q387">
        <v>1</v>
      </c>
      <c r="R387">
        <v>3</v>
      </c>
      <c r="S387">
        <v>0</v>
      </c>
      <c r="T387">
        <v>6</v>
      </c>
      <c r="U387">
        <v>13</v>
      </c>
      <c r="V387" t="s">
        <v>1883</v>
      </c>
      <c r="W387" t="s">
        <v>45</v>
      </c>
      <c r="X387" t="s">
        <v>1884</v>
      </c>
    </row>
    <row r="388" spans="1:24" x14ac:dyDescent="0.25">
      <c r="A388" t="s">
        <v>1885</v>
      </c>
      <c r="B388" t="s">
        <v>1886</v>
      </c>
      <c r="C388" t="s">
        <v>26</v>
      </c>
      <c r="D388">
        <v>28</v>
      </c>
      <c r="E388" t="s">
        <v>27</v>
      </c>
      <c r="F388" t="s">
        <v>59</v>
      </c>
      <c r="G388" t="s">
        <v>1887</v>
      </c>
      <c r="H388">
        <v>55343</v>
      </c>
      <c r="I388" t="s">
        <v>30</v>
      </c>
      <c r="J388" t="s">
        <v>61</v>
      </c>
      <c r="K388" t="s">
        <v>167</v>
      </c>
      <c r="L388" t="s">
        <v>43</v>
      </c>
      <c r="M388">
        <v>32</v>
      </c>
      <c r="N388" t="s">
        <v>34</v>
      </c>
      <c r="O388">
        <v>3</v>
      </c>
      <c r="P388">
        <v>1</v>
      </c>
      <c r="Q388">
        <v>3</v>
      </c>
      <c r="S388">
        <v>4</v>
      </c>
      <c r="T388">
        <v>4</v>
      </c>
      <c r="U388">
        <v>21</v>
      </c>
      <c r="V388" t="s">
        <v>1888</v>
      </c>
      <c r="W388" t="s">
        <v>34</v>
      </c>
    </row>
    <row r="389" spans="1:24" x14ac:dyDescent="0.25">
      <c r="A389" t="s">
        <v>1889</v>
      </c>
      <c r="B389" t="s">
        <v>1890</v>
      </c>
      <c r="C389" t="s">
        <v>49</v>
      </c>
      <c r="D389">
        <v>31</v>
      </c>
      <c r="E389" t="s">
        <v>197</v>
      </c>
      <c r="F389" t="s">
        <v>235</v>
      </c>
      <c r="G389" t="s">
        <v>1891</v>
      </c>
      <c r="H389" t="s">
        <v>1892</v>
      </c>
      <c r="I389" t="s">
        <v>30</v>
      </c>
      <c r="J389" t="s">
        <v>31</v>
      </c>
      <c r="K389" t="s">
        <v>167</v>
      </c>
      <c r="L389" t="s">
        <v>43</v>
      </c>
      <c r="M389">
        <v>8</v>
      </c>
      <c r="N389" t="s">
        <v>45</v>
      </c>
      <c r="P389">
        <v>3</v>
      </c>
      <c r="Q389">
        <v>4</v>
      </c>
      <c r="R389">
        <v>4</v>
      </c>
      <c r="S389">
        <v>4</v>
      </c>
      <c r="T389">
        <v>8</v>
      </c>
      <c r="U389">
        <v>18</v>
      </c>
      <c r="V389" t="s">
        <v>1893</v>
      </c>
      <c r="W389" t="s">
        <v>34</v>
      </c>
    </row>
    <row r="390" spans="1:24" x14ac:dyDescent="0.25">
      <c r="A390" t="s">
        <v>1894</v>
      </c>
      <c r="B390" t="s">
        <v>1895</v>
      </c>
      <c r="C390" t="s">
        <v>81</v>
      </c>
      <c r="D390">
        <v>33</v>
      </c>
      <c r="E390" t="s">
        <v>332</v>
      </c>
      <c r="F390" t="s">
        <v>136</v>
      </c>
      <c r="G390" t="s">
        <v>1896</v>
      </c>
      <c r="H390">
        <v>38380</v>
      </c>
      <c r="I390" t="s">
        <v>42</v>
      </c>
      <c r="J390" t="s">
        <v>61</v>
      </c>
      <c r="K390" t="s">
        <v>106</v>
      </c>
      <c r="L390" t="s">
        <v>43</v>
      </c>
      <c r="M390">
        <v>15</v>
      </c>
      <c r="N390" t="s">
        <v>34</v>
      </c>
      <c r="P390">
        <v>3</v>
      </c>
      <c r="Q390">
        <v>2</v>
      </c>
      <c r="R390">
        <v>4</v>
      </c>
      <c r="S390">
        <v>0</v>
      </c>
      <c r="T390">
        <v>4</v>
      </c>
      <c r="U390">
        <v>12</v>
      </c>
      <c r="V390" t="s">
        <v>1897</v>
      </c>
      <c r="W390" t="s">
        <v>34</v>
      </c>
    </row>
    <row r="391" spans="1:24" x14ac:dyDescent="0.25">
      <c r="A391" t="s">
        <v>1898</v>
      </c>
      <c r="B391" t="s">
        <v>1899</v>
      </c>
      <c r="C391" t="s">
        <v>73</v>
      </c>
      <c r="D391">
        <v>28</v>
      </c>
      <c r="E391" t="s">
        <v>38</v>
      </c>
      <c r="F391" t="s">
        <v>792</v>
      </c>
      <c r="G391" t="s">
        <v>1900</v>
      </c>
      <c r="H391">
        <v>83421</v>
      </c>
      <c r="I391" t="s">
        <v>30</v>
      </c>
      <c r="J391" t="s">
        <v>61</v>
      </c>
      <c r="K391" t="s">
        <v>106</v>
      </c>
      <c r="L391" t="s">
        <v>62</v>
      </c>
      <c r="M391">
        <v>37</v>
      </c>
      <c r="N391" t="s">
        <v>45</v>
      </c>
      <c r="O391">
        <v>4</v>
      </c>
      <c r="P391">
        <v>3</v>
      </c>
      <c r="Q391">
        <v>3</v>
      </c>
      <c r="R391">
        <v>3</v>
      </c>
      <c r="S391">
        <v>0</v>
      </c>
      <c r="T391">
        <v>3</v>
      </c>
      <c r="U391">
        <v>11</v>
      </c>
      <c r="V391" t="s">
        <v>1901</v>
      </c>
      <c r="W391" t="s">
        <v>34</v>
      </c>
    </row>
    <row r="392" spans="1:24" x14ac:dyDescent="0.25">
      <c r="A392" t="s">
        <v>1902</v>
      </c>
      <c r="B392" t="s">
        <v>1903</v>
      </c>
      <c r="C392" t="s">
        <v>87</v>
      </c>
      <c r="D392">
        <v>42</v>
      </c>
      <c r="E392" t="s">
        <v>27</v>
      </c>
      <c r="F392" t="s">
        <v>188</v>
      </c>
      <c r="G392" t="s">
        <v>1904</v>
      </c>
      <c r="H392">
        <v>63252</v>
      </c>
      <c r="I392" t="s">
        <v>30</v>
      </c>
      <c r="J392" t="s">
        <v>61</v>
      </c>
      <c r="K392" t="s">
        <v>32</v>
      </c>
      <c r="M392">
        <v>44</v>
      </c>
      <c r="N392" t="s">
        <v>45</v>
      </c>
      <c r="O392">
        <v>3</v>
      </c>
      <c r="P392">
        <v>4</v>
      </c>
      <c r="Q392">
        <v>1</v>
      </c>
      <c r="R392">
        <v>2</v>
      </c>
      <c r="S392">
        <v>4</v>
      </c>
      <c r="T392">
        <v>2</v>
      </c>
      <c r="U392">
        <v>14</v>
      </c>
      <c r="V392" t="s">
        <v>1905</v>
      </c>
      <c r="W392" t="s">
        <v>45</v>
      </c>
      <c r="X392" t="s">
        <v>1906</v>
      </c>
    </row>
    <row r="393" spans="1:24" x14ac:dyDescent="0.25">
      <c r="A393" t="s">
        <v>1907</v>
      </c>
      <c r="B393" t="s">
        <v>1908</v>
      </c>
      <c r="C393" t="s">
        <v>58</v>
      </c>
      <c r="D393">
        <v>35</v>
      </c>
      <c r="E393" t="s">
        <v>88</v>
      </c>
      <c r="F393" t="s">
        <v>141</v>
      </c>
      <c r="G393" t="s">
        <v>1909</v>
      </c>
      <c r="H393">
        <v>148796</v>
      </c>
      <c r="I393" t="s">
        <v>52</v>
      </c>
      <c r="J393" t="s">
        <v>53</v>
      </c>
      <c r="K393" t="s">
        <v>106</v>
      </c>
      <c r="L393" t="s">
        <v>33</v>
      </c>
      <c r="M393">
        <v>26</v>
      </c>
      <c r="N393" t="s">
        <v>34</v>
      </c>
      <c r="O393">
        <v>3</v>
      </c>
      <c r="Q393">
        <v>3</v>
      </c>
      <c r="R393">
        <v>1</v>
      </c>
      <c r="S393">
        <v>5</v>
      </c>
      <c r="T393">
        <v>1</v>
      </c>
      <c r="U393">
        <v>15</v>
      </c>
      <c r="V393" t="s">
        <v>1910</v>
      </c>
      <c r="W393" t="s">
        <v>34</v>
      </c>
    </row>
    <row r="394" spans="1:24" x14ac:dyDescent="0.25">
      <c r="A394" t="s">
        <v>1911</v>
      </c>
      <c r="B394" t="s">
        <v>1912</v>
      </c>
      <c r="C394" t="s">
        <v>67</v>
      </c>
      <c r="D394">
        <v>25</v>
      </c>
      <c r="E394" t="s">
        <v>27</v>
      </c>
      <c r="F394" t="s">
        <v>50</v>
      </c>
      <c r="G394" t="s">
        <v>1913</v>
      </c>
      <c r="H394" t="s">
        <v>1914</v>
      </c>
      <c r="I394" t="s">
        <v>42</v>
      </c>
      <c r="J394" t="s">
        <v>31</v>
      </c>
      <c r="K394" t="s">
        <v>77</v>
      </c>
      <c r="L394" t="s">
        <v>43</v>
      </c>
      <c r="M394">
        <v>2</v>
      </c>
      <c r="N394" t="s">
        <v>34</v>
      </c>
      <c r="O394">
        <v>3</v>
      </c>
      <c r="P394">
        <v>1</v>
      </c>
      <c r="R394">
        <v>3</v>
      </c>
      <c r="S394">
        <v>2</v>
      </c>
      <c r="T394">
        <v>6</v>
      </c>
      <c r="U394">
        <v>18</v>
      </c>
      <c r="V394" t="s">
        <v>1915</v>
      </c>
      <c r="W394" t="s">
        <v>34</v>
      </c>
    </row>
    <row r="395" spans="1:24" x14ac:dyDescent="0.25">
      <c r="A395" t="s">
        <v>1916</v>
      </c>
      <c r="B395" t="s">
        <v>1917</v>
      </c>
      <c r="C395" t="s">
        <v>87</v>
      </c>
      <c r="D395">
        <v>21</v>
      </c>
      <c r="E395" t="s">
        <v>88</v>
      </c>
      <c r="F395" t="s">
        <v>286</v>
      </c>
      <c r="G395" t="s">
        <v>1918</v>
      </c>
      <c r="H395" t="s">
        <v>1919</v>
      </c>
      <c r="I395" t="s">
        <v>42</v>
      </c>
      <c r="K395" t="s">
        <v>32</v>
      </c>
      <c r="L395" t="s">
        <v>62</v>
      </c>
      <c r="M395">
        <v>24</v>
      </c>
      <c r="N395" t="s">
        <v>45</v>
      </c>
      <c r="O395">
        <v>4</v>
      </c>
      <c r="P395">
        <v>2</v>
      </c>
      <c r="R395">
        <v>3</v>
      </c>
      <c r="S395">
        <v>3</v>
      </c>
      <c r="T395">
        <v>7</v>
      </c>
      <c r="U395">
        <v>18</v>
      </c>
      <c r="V395" t="s">
        <v>1920</v>
      </c>
      <c r="W395" t="s">
        <v>34</v>
      </c>
    </row>
    <row r="396" spans="1:24" x14ac:dyDescent="0.25">
      <c r="A396" t="s">
        <v>1921</v>
      </c>
      <c r="B396" t="s">
        <v>1922</v>
      </c>
      <c r="C396" t="s">
        <v>26</v>
      </c>
      <c r="D396">
        <v>54</v>
      </c>
      <c r="E396" t="s">
        <v>197</v>
      </c>
      <c r="F396" t="s">
        <v>1923</v>
      </c>
      <c r="G396" t="s">
        <v>1924</v>
      </c>
      <c r="H396" t="s">
        <v>1925</v>
      </c>
      <c r="I396" t="s">
        <v>42</v>
      </c>
      <c r="J396" t="s">
        <v>53</v>
      </c>
      <c r="K396" t="s">
        <v>77</v>
      </c>
      <c r="L396" t="s">
        <v>62</v>
      </c>
      <c r="M396">
        <v>5</v>
      </c>
      <c r="N396" t="s">
        <v>34</v>
      </c>
      <c r="O396">
        <v>2</v>
      </c>
      <c r="Q396">
        <v>3</v>
      </c>
      <c r="R396">
        <v>3</v>
      </c>
      <c r="S396">
        <v>4</v>
      </c>
      <c r="T396">
        <v>2</v>
      </c>
      <c r="U396">
        <v>20</v>
      </c>
      <c r="V396" t="s">
        <v>1926</v>
      </c>
      <c r="W396" t="s">
        <v>34</v>
      </c>
    </row>
    <row r="397" spans="1:24" x14ac:dyDescent="0.25">
      <c r="A397" t="s">
        <v>1927</v>
      </c>
      <c r="B397" t="s">
        <v>1928</v>
      </c>
      <c r="C397" t="s">
        <v>67</v>
      </c>
      <c r="D397">
        <v>25</v>
      </c>
      <c r="E397" t="s">
        <v>128</v>
      </c>
      <c r="F397" t="s">
        <v>123</v>
      </c>
      <c r="G397" t="s">
        <v>1929</v>
      </c>
      <c r="H397" t="s">
        <v>1930</v>
      </c>
      <c r="I397" t="s">
        <v>30</v>
      </c>
      <c r="K397" t="s">
        <v>54</v>
      </c>
      <c r="L397" t="s">
        <v>43</v>
      </c>
      <c r="M397">
        <v>37</v>
      </c>
      <c r="N397" t="s">
        <v>45</v>
      </c>
      <c r="O397">
        <v>1</v>
      </c>
      <c r="P397">
        <v>4</v>
      </c>
      <c r="Q397">
        <v>2</v>
      </c>
      <c r="R397">
        <v>3</v>
      </c>
      <c r="S397">
        <v>5</v>
      </c>
      <c r="T397">
        <v>5</v>
      </c>
      <c r="U397">
        <v>22</v>
      </c>
      <c r="V397" t="s">
        <v>1931</v>
      </c>
      <c r="W397" t="s">
        <v>45</v>
      </c>
      <c r="X397" t="s">
        <v>1932</v>
      </c>
    </row>
    <row r="398" spans="1:24" x14ac:dyDescent="0.25">
      <c r="A398" t="s">
        <v>1933</v>
      </c>
      <c r="B398" t="s">
        <v>1934</v>
      </c>
      <c r="C398" t="s">
        <v>26</v>
      </c>
      <c r="D398">
        <v>19</v>
      </c>
      <c r="E398" t="s">
        <v>798</v>
      </c>
      <c r="F398" t="s">
        <v>281</v>
      </c>
      <c r="G398" t="s">
        <v>1935</v>
      </c>
      <c r="H398">
        <v>85585</v>
      </c>
      <c r="I398" t="s">
        <v>52</v>
      </c>
      <c r="K398" t="s">
        <v>77</v>
      </c>
      <c r="L398" t="s">
        <v>43</v>
      </c>
      <c r="M398">
        <v>9</v>
      </c>
      <c r="N398" t="s">
        <v>45</v>
      </c>
      <c r="O398">
        <v>2</v>
      </c>
      <c r="P398">
        <v>2</v>
      </c>
      <c r="Q398">
        <v>4</v>
      </c>
      <c r="R398">
        <v>1</v>
      </c>
      <c r="S398">
        <v>3</v>
      </c>
      <c r="T398">
        <v>2</v>
      </c>
      <c r="U398">
        <v>14</v>
      </c>
      <c r="V398" t="s">
        <v>1936</v>
      </c>
      <c r="W398" t="s">
        <v>45</v>
      </c>
      <c r="X398" t="s">
        <v>1937</v>
      </c>
    </row>
    <row r="399" spans="1:24" x14ac:dyDescent="0.25">
      <c r="A399" t="s">
        <v>1938</v>
      </c>
      <c r="B399" t="s">
        <v>1939</v>
      </c>
      <c r="C399" t="s">
        <v>73</v>
      </c>
      <c r="D399">
        <v>29</v>
      </c>
      <c r="E399" t="s">
        <v>128</v>
      </c>
      <c r="F399" t="s">
        <v>255</v>
      </c>
      <c r="G399" t="s">
        <v>1940</v>
      </c>
      <c r="H399">
        <v>40514</v>
      </c>
      <c r="I399" t="s">
        <v>30</v>
      </c>
      <c r="J399" t="s">
        <v>61</v>
      </c>
      <c r="K399" t="s">
        <v>106</v>
      </c>
      <c r="L399" t="s">
        <v>33</v>
      </c>
      <c r="M399">
        <v>9</v>
      </c>
      <c r="N399" t="s">
        <v>45</v>
      </c>
      <c r="O399">
        <v>1</v>
      </c>
      <c r="P399">
        <v>2</v>
      </c>
      <c r="Q399">
        <v>2</v>
      </c>
      <c r="R399">
        <v>3</v>
      </c>
      <c r="S399">
        <v>6</v>
      </c>
      <c r="T399">
        <v>8</v>
      </c>
      <c r="U399">
        <v>23</v>
      </c>
      <c r="V399" t="s">
        <v>1941</v>
      </c>
      <c r="W399" t="s">
        <v>45</v>
      </c>
      <c r="X399" t="s">
        <v>1942</v>
      </c>
    </row>
    <row r="400" spans="1:24" x14ac:dyDescent="0.25">
      <c r="A400" t="s">
        <v>1943</v>
      </c>
      <c r="B400" t="s">
        <v>1944</v>
      </c>
      <c r="C400" t="s">
        <v>81</v>
      </c>
      <c r="D400">
        <v>41</v>
      </c>
      <c r="E400" t="s">
        <v>94</v>
      </c>
      <c r="F400" t="s">
        <v>266</v>
      </c>
      <c r="G400" t="s">
        <v>1945</v>
      </c>
      <c r="H400">
        <v>87025</v>
      </c>
      <c r="I400" t="s">
        <v>42</v>
      </c>
      <c r="J400" t="s">
        <v>61</v>
      </c>
      <c r="K400" t="s">
        <v>200</v>
      </c>
      <c r="L400" t="s">
        <v>62</v>
      </c>
      <c r="M400">
        <v>32</v>
      </c>
      <c r="N400" t="s">
        <v>45</v>
      </c>
      <c r="O400">
        <v>2</v>
      </c>
      <c r="P400">
        <v>1</v>
      </c>
      <c r="Q400">
        <v>4</v>
      </c>
      <c r="R400">
        <v>3</v>
      </c>
      <c r="S400">
        <v>2</v>
      </c>
      <c r="T400">
        <v>4</v>
      </c>
      <c r="U400">
        <v>16</v>
      </c>
      <c r="V400" t="s">
        <v>1946</v>
      </c>
      <c r="W400" t="s">
        <v>45</v>
      </c>
      <c r="X400" t="s">
        <v>1947</v>
      </c>
    </row>
    <row r="401" spans="1:24" x14ac:dyDescent="0.25">
      <c r="A401" t="s">
        <v>1948</v>
      </c>
      <c r="B401" t="s">
        <v>1949</v>
      </c>
      <c r="C401" t="s">
        <v>26</v>
      </c>
      <c r="D401">
        <v>25</v>
      </c>
      <c r="E401" t="s">
        <v>128</v>
      </c>
      <c r="F401" t="s">
        <v>271</v>
      </c>
      <c r="G401" t="s">
        <v>1950</v>
      </c>
      <c r="H401" t="s">
        <v>1951</v>
      </c>
      <c r="I401" t="s">
        <v>30</v>
      </c>
      <c r="J401" t="s">
        <v>31</v>
      </c>
      <c r="K401" t="s">
        <v>131</v>
      </c>
      <c r="L401" t="s">
        <v>33</v>
      </c>
      <c r="M401">
        <v>22</v>
      </c>
      <c r="N401" t="s">
        <v>34</v>
      </c>
      <c r="O401">
        <v>4</v>
      </c>
      <c r="P401">
        <v>3</v>
      </c>
      <c r="Q401">
        <v>4</v>
      </c>
      <c r="S401">
        <v>6</v>
      </c>
      <c r="T401">
        <v>7</v>
      </c>
      <c r="V401" t="s">
        <v>1952</v>
      </c>
      <c r="W401" t="s">
        <v>34</v>
      </c>
    </row>
    <row r="402" spans="1:24" x14ac:dyDescent="0.25">
      <c r="A402" t="s">
        <v>1953</v>
      </c>
      <c r="B402" t="s">
        <v>1954</v>
      </c>
      <c r="D402">
        <v>31</v>
      </c>
      <c r="E402" t="s">
        <v>94</v>
      </c>
      <c r="F402" t="s">
        <v>306</v>
      </c>
      <c r="G402" t="s">
        <v>1955</v>
      </c>
      <c r="H402">
        <v>133090</v>
      </c>
      <c r="I402" t="s">
        <v>42</v>
      </c>
      <c r="J402" t="s">
        <v>31</v>
      </c>
      <c r="K402" t="s">
        <v>77</v>
      </c>
      <c r="M402">
        <v>44</v>
      </c>
      <c r="N402" t="s">
        <v>34</v>
      </c>
      <c r="O402">
        <v>2</v>
      </c>
      <c r="P402">
        <v>2</v>
      </c>
      <c r="Q402">
        <v>1</v>
      </c>
      <c r="R402">
        <v>3</v>
      </c>
      <c r="S402">
        <v>6</v>
      </c>
      <c r="T402">
        <v>5</v>
      </c>
      <c r="U402">
        <v>21</v>
      </c>
      <c r="V402" t="s">
        <v>1956</v>
      </c>
      <c r="W402" t="s">
        <v>34</v>
      </c>
    </row>
    <row r="403" spans="1:24" x14ac:dyDescent="0.25">
      <c r="A403" t="s">
        <v>1957</v>
      </c>
      <c r="B403" t="s">
        <v>1958</v>
      </c>
      <c r="C403" t="s">
        <v>102</v>
      </c>
      <c r="D403">
        <v>37</v>
      </c>
      <c r="E403" t="s">
        <v>94</v>
      </c>
      <c r="F403" t="s">
        <v>306</v>
      </c>
      <c r="G403" t="s">
        <v>1959</v>
      </c>
      <c r="H403">
        <v>108494</v>
      </c>
      <c r="I403" t="s">
        <v>42</v>
      </c>
      <c r="K403" t="s">
        <v>77</v>
      </c>
      <c r="L403" t="s">
        <v>33</v>
      </c>
      <c r="M403">
        <v>15</v>
      </c>
      <c r="N403" t="s">
        <v>34</v>
      </c>
      <c r="O403">
        <v>3</v>
      </c>
      <c r="P403">
        <v>1</v>
      </c>
      <c r="Q403">
        <v>2</v>
      </c>
      <c r="R403">
        <v>3</v>
      </c>
      <c r="S403">
        <v>2</v>
      </c>
      <c r="T403">
        <v>7</v>
      </c>
      <c r="U403">
        <v>24</v>
      </c>
      <c r="V403" t="s">
        <v>1960</v>
      </c>
      <c r="W403" t="s">
        <v>34</v>
      </c>
    </row>
    <row r="404" spans="1:24" x14ac:dyDescent="0.25">
      <c r="A404" t="s">
        <v>1961</v>
      </c>
      <c r="B404" t="s">
        <v>1962</v>
      </c>
      <c r="C404" t="s">
        <v>73</v>
      </c>
      <c r="D404">
        <v>49</v>
      </c>
      <c r="E404" t="s">
        <v>38</v>
      </c>
      <c r="F404" t="s">
        <v>1963</v>
      </c>
      <c r="G404" t="s">
        <v>1964</v>
      </c>
      <c r="H404" t="s">
        <v>1965</v>
      </c>
      <c r="J404" t="s">
        <v>31</v>
      </c>
      <c r="K404" t="s">
        <v>131</v>
      </c>
      <c r="L404" t="s">
        <v>33</v>
      </c>
      <c r="M404">
        <v>22</v>
      </c>
      <c r="N404" t="s">
        <v>45</v>
      </c>
      <c r="O404">
        <v>2</v>
      </c>
      <c r="P404">
        <v>3</v>
      </c>
      <c r="Q404">
        <v>3</v>
      </c>
      <c r="R404">
        <v>2</v>
      </c>
      <c r="T404">
        <v>5</v>
      </c>
      <c r="U404">
        <v>20</v>
      </c>
      <c r="V404" t="s">
        <v>1966</v>
      </c>
      <c r="W404" t="s">
        <v>45</v>
      </c>
      <c r="X404" t="s">
        <v>1967</v>
      </c>
    </row>
    <row r="405" spans="1:24" x14ac:dyDescent="0.25">
      <c r="A405" t="s">
        <v>1968</v>
      </c>
      <c r="B405" t="s">
        <v>1969</v>
      </c>
      <c r="C405" t="s">
        <v>81</v>
      </c>
      <c r="D405">
        <v>26</v>
      </c>
      <c r="E405" t="s">
        <v>88</v>
      </c>
      <c r="F405" t="s">
        <v>286</v>
      </c>
      <c r="G405" t="s">
        <v>1970</v>
      </c>
      <c r="H405" t="s">
        <v>1971</v>
      </c>
      <c r="I405" t="s">
        <v>30</v>
      </c>
      <c r="J405" t="s">
        <v>61</v>
      </c>
      <c r="K405" t="s">
        <v>113</v>
      </c>
      <c r="L405" t="s">
        <v>62</v>
      </c>
      <c r="M405">
        <v>28</v>
      </c>
      <c r="N405" t="s">
        <v>45</v>
      </c>
      <c r="O405">
        <v>1</v>
      </c>
      <c r="P405">
        <v>4</v>
      </c>
      <c r="Q405">
        <v>4</v>
      </c>
      <c r="R405">
        <v>5</v>
      </c>
      <c r="S405">
        <v>3</v>
      </c>
      <c r="T405">
        <v>7</v>
      </c>
      <c r="U405">
        <v>14</v>
      </c>
      <c r="V405" t="s">
        <v>1972</v>
      </c>
      <c r="W405" t="s">
        <v>45</v>
      </c>
      <c r="X405" t="s">
        <v>1973</v>
      </c>
    </row>
    <row r="406" spans="1:24" x14ac:dyDescent="0.25">
      <c r="A406" t="s">
        <v>1974</v>
      </c>
      <c r="B406" t="s">
        <v>1975</v>
      </c>
      <c r="C406" t="s">
        <v>81</v>
      </c>
      <c r="D406">
        <v>43</v>
      </c>
      <c r="E406" t="s">
        <v>197</v>
      </c>
      <c r="F406" t="s">
        <v>433</v>
      </c>
      <c r="G406" t="s">
        <v>1976</v>
      </c>
      <c r="H406">
        <v>51234</v>
      </c>
      <c r="I406" t="s">
        <v>30</v>
      </c>
      <c r="J406" t="s">
        <v>31</v>
      </c>
      <c r="K406" t="s">
        <v>77</v>
      </c>
      <c r="L406" t="s">
        <v>33</v>
      </c>
      <c r="M406">
        <v>11</v>
      </c>
      <c r="N406" t="s">
        <v>45</v>
      </c>
      <c r="O406">
        <v>2</v>
      </c>
      <c r="P406">
        <v>4</v>
      </c>
      <c r="Q406">
        <v>4</v>
      </c>
      <c r="R406">
        <v>3</v>
      </c>
      <c r="S406">
        <v>1</v>
      </c>
      <c r="T406">
        <v>5</v>
      </c>
      <c r="U406">
        <v>19</v>
      </c>
      <c r="V406" t="s">
        <v>1977</v>
      </c>
      <c r="W406" t="s">
        <v>45</v>
      </c>
      <c r="X406" t="s">
        <v>1469</v>
      </c>
    </row>
    <row r="407" spans="1:24" x14ac:dyDescent="0.25">
      <c r="A407" t="s">
        <v>1978</v>
      </c>
      <c r="B407" t="s">
        <v>1979</v>
      </c>
      <c r="C407" t="s">
        <v>81</v>
      </c>
      <c r="D407">
        <v>37</v>
      </c>
      <c r="E407" t="s">
        <v>128</v>
      </c>
      <c r="F407" t="s">
        <v>463</v>
      </c>
      <c r="G407" t="s">
        <v>1980</v>
      </c>
      <c r="H407" t="s">
        <v>1981</v>
      </c>
      <c r="I407" t="s">
        <v>52</v>
      </c>
      <c r="J407" t="s">
        <v>143</v>
      </c>
      <c r="K407" t="s">
        <v>54</v>
      </c>
      <c r="L407" t="s">
        <v>62</v>
      </c>
      <c r="M407">
        <v>40</v>
      </c>
      <c r="N407" t="s">
        <v>34</v>
      </c>
      <c r="O407">
        <v>3</v>
      </c>
      <c r="P407">
        <v>2</v>
      </c>
      <c r="Q407">
        <v>4</v>
      </c>
      <c r="R407">
        <v>4</v>
      </c>
      <c r="T407">
        <v>6</v>
      </c>
      <c r="U407">
        <v>24</v>
      </c>
      <c r="V407" t="s">
        <v>1982</v>
      </c>
      <c r="W407" t="s">
        <v>34</v>
      </c>
    </row>
    <row r="408" spans="1:24" x14ac:dyDescent="0.25">
      <c r="A408" t="s">
        <v>1983</v>
      </c>
      <c r="B408" t="s">
        <v>1984</v>
      </c>
      <c r="C408" t="s">
        <v>102</v>
      </c>
      <c r="D408">
        <v>43</v>
      </c>
      <c r="E408" t="s">
        <v>88</v>
      </c>
      <c r="F408" t="s">
        <v>141</v>
      </c>
      <c r="G408" t="s">
        <v>1985</v>
      </c>
      <c r="H408">
        <v>136653</v>
      </c>
      <c r="I408" t="s">
        <v>30</v>
      </c>
      <c r="J408" t="s">
        <v>61</v>
      </c>
      <c r="K408" t="s">
        <v>77</v>
      </c>
      <c r="L408" t="s">
        <v>62</v>
      </c>
      <c r="M408">
        <v>33</v>
      </c>
      <c r="N408" t="s">
        <v>34</v>
      </c>
      <c r="O408">
        <v>3</v>
      </c>
      <c r="P408">
        <v>2</v>
      </c>
      <c r="Q408">
        <v>1</v>
      </c>
      <c r="R408">
        <v>3</v>
      </c>
      <c r="S408">
        <v>3</v>
      </c>
      <c r="T408">
        <v>0</v>
      </c>
      <c r="U408">
        <v>11</v>
      </c>
      <c r="V408" t="s">
        <v>1986</v>
      </c>
      <c r="W408" t="s">
        <v>34</v>
      </c>
    </row>
    <row r="409" spans="1:24" x14ac:dyDescent="0.25">
      <c r="A409" t="s">
        <v>1987</v>
      </c>
      <c r="B409" t="s">
        <v>1988</v>
      </c>
      <c r="C409" t="s">
        <v>26</v>
      </c>
      <c r="D409">
        <v>32</v>
      </c>
      <c r="E409" t="s">
        <v>88</v>
      </c>
      <c r="F409" t="s">
        <v>1989</v>
      </c>
      <c r="G409" t="s">
        <v>1990</v>
      </c>
      <c r="H409" t="s">
        <v>1991</v>
      </c>
      <c r="I409" t="s">
        <v>42</v>
      </c>
      <c r="J409" t="s">
        <v>31</v>
      </c>
      <c r="K409" t="s">
        <v>113</v>
      </c>
      <c r="L409" t="s">
        <v>62</v>
      </c>
      <c r="M409">
        <v>14</v>
      </c>
      <c r="N409" t="s">
        <v>45</v>
      </c>
      <c r="O409">
        <v>2</v>
      </c>
      <c r="P409">
        <v>2</v>
      </c>
      <c r="Q409">
        <v>3</v>
      </c>
      <c r="R409">
        <v>1</v>
      </c>
      <c r="S409">
        <v>0</v>
      </c>
      <c r="T409">
        <v>4</v>
      </c>
      <c r="U409">
        <v>13</v>
      </c>
      <c r="V409" t="s">
        <v>1992</v>
      </c>
      <c r="W409" t="s">
        <v>34</v>
      </c>
    </row>
    <row r="410" spans="1:24" x14ac:dyDescent="0.25">
      <c r="A410" t="s">
        <v>1993</v>
      </c>
      <c r="B410" t="s">
        <v>1994</v>
      </c>
      <c r="C410" t="s">
        <v>102</v>
      </c>
      <c r="D410">
        <v>35</v>
      </c>
      <c r="E410" t="s">
        <v>27</v>
      </c>
      <c r="F410" t="s">
        <v>75</v>
      </c>
      <c r="G410" t="s">
        <v>1995</v>
      </c>
      <c r="H410" t="s">
        <v>1996</v>
      </c>
      <c r="I410" t="s">
        <v>30</v>
      </c>
      <c r="J410" t="s">
        <v>61</v>
      </c>
      <c r="K410" t="s">
        <v>131</v>
      </c>
      <c r="L410" t="s">
        <v>62</v>
      </c>
      <c r="M410">
        <v>2</v>
      </c>
      <c r="N410" t="s">
        <v>34</v>
      </c>
      <c r="O410">
        <v>3</v>
      </c>
      <c r="P410">
        <v>1</v>
      </c>
      <c r="Q410">
        <v>4</v>
      </c>
      <c r="R410">
        <v>3</v>
      </c>
      <c r="S410">
        <v>3</v>
      </c>
      <c r="U410">
        <v>13</v>
      </c>
      <c r="V410" t="s">
        <v>1997</v>
      </c>
      <c r="W410" t="s">
        <v>34</v>
      </c>
    </row>
    <row r="411" spans="1:24" x14ac:dyDescent="0.25">
      <c r="A411" t="s">
        <v>1998</v>
      </c>
      <c r="B411" t="s">
        <v>1999</v>
      </c>
      <c r="C411" t="s">
        <v>58</v>
      </c>
      <c r="D411">
        <v>28</v>
      </c>
      <c r="E411" t="s">
        <v>128</v>
      </c>
      <c r="F411" t="s">
        <v>255</v>
      </c>
      <c r="G411" t="s">
        <v>2000</v>
      </c>
      <c r="H411">
        <v>88001</v>
      </c>
      <c r="I411" t="s">
        <v>30</v>
      </c>
      <c r="J411" t="s">
        <v>53</v>
      </c>
      <c r="K411" t="s">
        <v>113</v>
      </c>
      <c r="L411" t="s">
        <v>43</v>
      </c>
      <c r="M411">
        <v>5</v>
      </c>
      <c r="N411" t="s">
        <v>34</v>
      </c>
      <c r="O411">
        <v>2</v>
      </c>
      <c r="P411">
        <v>4</v>
      </c>
      <c r="Q411">
        <v>3</v>
      </c>
      <c r="R411">
        <v>4</v>
      </c>
      <c r="S411">
        <v>4</v>
      </c>
      <c r="T411">
        <v>0</v>
      </c>
      <c r="U411">
        <v>25</v>
      </c>
      <c r="V411" t="s">
        <v>2001</v>
      </c>
      <c r="W411" t="s">
        <v>45</v>
      </c>
      <c r="X411" t="s">
        <v>2002</v>
      </c>
    </row>
    <row r="412" spans="1:24" x14ac:dyDescent="0.25">
      <c r="A412" t="s">
        <v>2003</v>
      </c>
      <c r="B412" t="s">
        <v>2004</v>
      </c>
      <c r="C412" t="s">
        <v>58</v>
      </c>
      <c r="D412">
        <v>29</v>
      </c>
      <c r="E412" t="s">
        <v>38</v>
      </c>
      <c r="F412" t="s">
        <v>209</v>
      </c>
      <c r="G412" t="s">
        <v>2005</v>
      </c>
      <c r="H412" t="s">
        <v>2006</v>
      </c>
      <c r="I412" t="s">
        <v>30</v>
      </c>
      <c r="J412" t="s">
        <v>143</v>
      </c>
      <c r="K412" t="s">
        <v>131</v>
      </c>
      <c r="L412" t="s">
        <v>62</v>
      </c>
      <c r="M412">
        <v>20</v>
      </c>
      <c r="N412" t="s">
        <v>34</v>
      </c>
      <c r="O412">
        <v>4</v>
      </c>
      <c r="P412">
        <v>4</v>
      </c>
      <c r="Q412">
        <v>2</v>
      </c>
      <c r="R412">
        <v>3</v>
      </c>
      <c r="S412">
        <v>1</v>
      </c>
      <c r="T412">
        <v>4</v>
      </c>
      <c r="U412">
        <v>14</v>
      </c>
      <c r="V412" t="s">
        <v>2007</v>
      </c>
      <c r="W412" t="s">
        <v>34</v>
      </c>
    </row>
    <row r="413" spans="1:24" x14ac:dyDescent="0.25">
      <c r="A413" t="s">
        <v>2008</v>
      </c>
      <c r="B413" t="s">
        <v>2009</v>
      </c>
      <c r="C413" t="s">
        <v>102</v>
      </c>
      <c r="D413">
        <v>36</v>
      </c>
      <c r="E413" t="s">
        <v>457</v>
      </c>
      <c r="F413" t="s">
        <v>50</v>
      </c>
      <c r="G413" t="s">
        <v>2010</v>
      </c>
      <c r="H413">
        <v>75205</v>
      </c>
      <c r="I413" t="s">
        <v>52</v>
      </c>
      <c r="J413" t="s">
        <v>61</v>
      </c>
      <c r="K413" t="s">
        <v>113</v>
      </c>
      <c r="L413" t="s">
        <v>62</v>
      </c>
      <c r="M413">
        <v>3</v>
      </c>
      <c r="N413" t="s">
        <v>34</v>
      </c>
      <c r="O413">
        <v>1</v>
      </c>
      <c r="P413">
        <v>4</v>
      </c>
      <c r="Q413">
        <v>3</v>
      </c>
      <c r="R413">
        <v>5</v>
      </c>
      <c r="S413">
        <v>3</v>
      </c>
      <c r="T413">
        <v>8</v>
      </c>
      <c r="U413">
        <v>16</v>
      </c>
      <c r="V413" t="s">
        <v>2011</v>
      </c>
      <c r="W413" t="s">
        <v>34</v>
      </c>
    </row>
    <row r="414" spans="1:24" x14ac:dyDescent="0.25">
      <c r="A414" t="s">
        <v>2012</v>
      </c>
      <c r="B414" t="s">
        <v>2013</v>
      </c>
      <c r="C414" t="s">
        <v>26</v>
      </c>
      <c r="D414">
        <v>35</v>
      </c>
      <c r="E414" t="s">
        <v>38</v>
      </c>
      <c r="F414" t="s">
        <v>209</v>
      </c>
      <c r="G414" t="s">
        <v>2014</v>
      </c>
      <c r="H414">
        <v>75767</v>
      </c>
      <c r="I414" t="s">
        <v>52</v>
      </c>
      <c r="J414" t="s">
        <v>61</v>
      </c>
      <c r="K414" t="s">
        <v>54</v>
      </c>
      <c r="L414" t="s">
        <v>33</v>
      </c>
      <c r="M414">
        <v>41</v>
      </c>
      <c r="N414" t="s">
        <v>34</v>
      </c>
      <c r="O414">
        <v>1</v>
      </c>
      <c r="P414">
        <v>4</v>
      </c>
      <c r="Q414">
        <v>2</v>
      </c>
      <c r="R414">
        <v>4</v>
      </c>
      <c r="S414">
        <v>4</v>
      </c>
      <c r="T414">
        <v>6</v>
      </c>
      <c r="U414">
        <v>15</v>
      </c>
      <c r="V414" t="s">
        <v>2015</v>
      </c>
      <c r="W414" t="s">
        <v>45</v>
      </c>
      <c r="X414" t="s">
        <v>2016</v>
      </c>
    </row>
    <row r="415" spans="1:24" x14ac:dyDescent="0.25">
      <c r="A415" t="s">
        <v>2017</v>
      </c>
      <c r="B415" t="s">
        <v>2018</v>
      </c>
      <c r="C415" t="s">
        <v>87</v>
      </c>
      <c r="D415">
        <v>49</v>
      </c>
      <c r="E415" t="s">
        <v>27</v>
      </c>
      <c r="F415" t="s">
        <v>75</v>
      </c>
      <c r="G415" t="s">
        <v>2019</v>
      </c>
      <c r="H415" t="s">
        <v>2020</v>
      </c>
      <c r="I415" t="s">
        <v>30</v>
      </c>
      <c r="J415" t="s">
        <v>97</v>
      </c>
      <c r="K415" t="s">
        <v>167</v>
      </c>
      <c r="L415" t="s">
        <v>33</v>
      </c>
      <c r="M415">
        <v>13</v>
      </c>
      <c r="N415" t="s">
        <v>34</v>
      </c>
      <c r="O415">
        <v>3</v>
      </c>
      <c r="P415">
        <v>1</v>
      </c>
      <c r="Q415">
        <v>4</v>
      </c>
      <c r="R415">
        <v>4</v>
      </c>
      <c r="S415">
        <v>0</v>
      </c>
      <c r="T415">
        <v>4</v>
      </c>
      <c r="U415">
        <v>24</v>
      </c>
      <c r="V415" t="s">
        <v>2021</v>
      </c>
      <c r="W415" t="s">
        <v>34</v>
      </c>
    </row>
    <row r="416" spans="1:24" x14ac:dyDescent="0.25">
      <c r="A416" t="s">
        <v>2022</v>
      </c>
      <c r="B416" t="s">
        <v>2023</v>
      </c>
      <c r="C416" t="s">
        <v>81</v>
      </c>
      <c r="D416">
        <v>37</v>
      </c>
      <c r="E416" t="s">
        <v>197</v>
      </c>
      <c r="F416" t="s">
        <v>323</v>
      </c>
      <c r="G416" t="s">
        <v>2024</v>
      </c>
      <c r="H416">
        <v>48988</v>
      </c>
      <c r="I416" t="s">
        <v>42</v>
      </c>
      <c r="J416" t="s">
        <v>31</v>
      </c>
      <c r="K416" t="s">
        <v>200</v>
      </c>
      <c r="L416" t="s">
        <v>62</v>
      </c>
      <c r="M416">
        <v>16</v>
      </c>
      <c r="N416" t="s">
        <v>45</v>
      </c>
      <c r="O416">
        <v>3</v>
      </c>
      <c r="P416">
        <v>1</v>
      </c>
      <c r="Q416">
        <v>1</v>
      </c>
      <c r="R416">
        <v>4</v>
      </c>
      <c r="T416">
        <v>4</v>
      </c>
      <c r="U416">
        <v>20</v>
      </c>
      <c r="V416" t="s">
        <v>2025</v>
      </c>
      <c r="W416" t="s">
        <v>45</v>
      </c>
      <c r="X416" t="s">
        <v>2026</v>
      </c>
    </row>
    <row r="417" spans="1:24" x14ac:dyDescent="0.25">
      <c r="A417" t="s">
        <v>2027</v>
      </c>
      <c r="B417" t="s">
        <v>2028</v>
      </c>
      <c r="C417" t="s">
        <v>26</v>
      </c>
      <c r="D417">
        <v>28</v>
      </c>
      <c r="E417" t="s">
        <v>27</v>
      </c>
      <c r="F417" t="s">
        <v>28</v>
      </c>
      <c r="G417" t="s">
        <v>2029</v>
      </c>
      <c r="H417" t="s">
        <v>2030</v>
      </c>
      <c r="I417" t="s">
        <v>42</v>
      </c>
      <c r="J417" t="s">
        <v>61</v>
      </c>
      <c r="K417" t="s">
        <v>131</v>
      </c>
      <c r="L417" t="s">
        <v>33</v>
      </c>
      <c r="N417" t="s">
        <v>34</v>
      </c>
      <c r="O417">
        <v>3</v>
      </c>
      <c r="R417">
        <v>5</v>
      </c>
      <c r="S417">
        <v>3</v>
      </c>
      <c r="T417">
        <v>2</v>
      </c>
      <c r="U417">
        <v>21</v>
      </c>
      <c r="W417" t="s">
        <v>34</v>
      </c>
    </row>
    <row r="418" spans="1:24" x14ac:dyDescent="0.25">
      <c r="A418" t="s">
        <v>2031</v>
      </c>
      <c r="B418" t="s">
        <v>2032</v>
      </c>
      <c r="C418" t="s">
        <v>87</v>
      </c>
      <c r="D418">
        <v>46</v>
      </c>
      <c r="E418" t="s">
        <v>579</v>
      </c>
      <c r="F418" t="s">
        <v>286</v>
      </c>
      <c r="G418" t="s">
        <v>2033</v>
      </c>
      <c r="H418">
        <v>144318</v>
      </c>
      <c r="I418" t="s">
        <v>30</v>
      </c>
      <c r="J418" t="s">
        <v>31</v>
      </c>
      <c r="K418" t="s">
        <v>200</v>
      </c>
      <c r="L418" t="s">
        <v>62</v>
      </c>
      <c r="M418">
        <v>37</v>
      </c>
      <c r="N418" t="s">
        <v>34</v>
      </c>
      <c r="O418">
        <v>1</v>
      </c>
      <c r="P418">
        <v>3</v>
      </c>
      <c r="Q418">
        <v>2</v>
      </c>
      <c r="R418">
        <v>3</v>
      </c>
      <c r="S418">
        <v>6</v>
      </c>
      <c r="T418">
        <v>1</v>
      </c>
      <c r="U418">
        <v>21</v>
      </c>
      <c r="V418" t="s">
        <v>2034</v>
      </c>
      <c r="W418" t="s">
        <v>45</v>
      </c>
      <c r="X418" t="s">
        <v>2035</v>
      </c>
    </row>
    <row r="419" spans="1:24" x14ac:dyDescent="0.25">
      <c r="A419" t="s">
        <v>2036</v>
      </c>
      <c r="B419" t="s">
        <v>2037</v>
      </c>
      <c r="C419" t="s">
        <v>102</v>
      </c>
      <c r="D419">
        <v>37</v>
      </c>
      <c r="E419" t="s">
        <v>1669</v>
      </c>
      <c r="F419" t="s">
        <v>639</v>
      </c>
      <c r="G419" t="s">
        <v>2038</v>
      </c>
      <c r="H419">
        <v>126193</v>
      </c>
      <c r="I419" t="s">
        <v>42</v>
      </c>
      <c r="J419" t="s">
        <v>31</v>
      </c>
      <c r="K419" t="s">
        <v>106</v>
      </c>
      <c r="L419" t="s">
        <v>33</v>
      </c>
      <c r="M419">
        <v>16</v>
      </c>
      <c r="N419" t="s">
        <v>45</v>
      </c>
      <c r="O419">
        <v>2</v>
      </c>
      <c r="P419">
        <v>2</v>
      </c>
      <c r="Q419">
        <v>2</v>
      </c>
      <c r="R419">
        <v>4</v>
      </c>
      <c r="S419">
        <v>4</v>
      </c>
      <c r="T419">
        <v>7</v>
      </c>
      <c r="U419">
        <v>12</v>
      </c>
      <c r="V419" t="s">
        <v>2039</v>
      </c>
      <c r="W419" t="s">
        <v>45</v>
      </c>
      <c r="X419" t="s">
        <v>2040</v>
      </c>
    </row>
    <row r="420" spans="1:24" x14ac:dyDescent="0.25">
      <c r="A420" t="s">
        <v>2041</v>
      </c>
      <c r="B420" t="s">
        <v>2042</v>
      </c>
      <c r="C420" t="s">
        <v>49</v>
      </c>
      <c r="D420">
        <v>33</v>
      </c>
      <c r="E420" t="s">
        <v>197</v>
      </c>
      <c r="F420" t="s">
        <v>235</v>
      </c>
      <c r="G420" t="s">
        <v>2043</v>
      </c>
      <c r="H420">
        <v>39646</v>
      </c>
      <c r="I420" t="s">
        <v>52</v>
      </c>
      <c r="K420" t="s">
        <v>106</v>
      </c>
      <c r="L420" t="s">
        <v>43</v>
      </c>
      <c r="M420">
        <v>15</v>
      </c>
      <c r="N420" t="s">
        <v>45</v>
      </c>
      <c r="O420">
        <v>3</v>
      </c>
      <c r="P420">
        <v>4</v>
      </c>
      <c r="Q420">
        <v>1</v>
      </c>
      <c r="R420">
        <v>3</v>
      </c>
      <c r="S420">
        <v>0</v>
      </c>
      <c r="T420">
        <v>7</v>
      </c>
      <c r="U420">
        <v>22</v>
      </c>
      <c r="V420" t="s">
        <v>2044</v>
      </c>
      <c r="W420" t="s">
        <v>45</v>
      </c>
      <c r="X420" t="s">
        <v>2045</v>
      </c>
    </row>
    <row r="421" spans="1:24" x14ac:dyDescent="0.25">
      <c r="A421" t="s">
        <v>2046</v>
      </c>
      <c r="B421" t="s">
        <v>2047</v>
      </c>
      <c r="C421" t="s">
        <v>58</v>
      </c>
      <c r="D421">
        <v>28</v>
      </c>
      <c r="E421" t="s">
        <v>128</v>
      </c>
      <c r="F421" t="s">
        <v>255</v>
      </c>
      <c r="G421" t="s">
        <v>2048</v>
      </c>
      <c r="H421" t="s">
        <v>2049</v>
      </c>
      <c r="I421" t="s">
        <v>42</v>
      </c>
      <c r="J421" t="s">
        <v>31</v>
      </c>
      <c r="K421" t="s">
        <v>167</v>
      </c>
      <c r="L421" t="s">
        <v>62</v>
      </c>
      <c r="M421">
        <v>43</v>
      </c>
      <c r="N421" t="s">
        <v>34</v>
      </c>
      <c r="O421">
        <v>4</v>
      </c>
      <c r="P421">
        <v>1</v>
      </c>
      <c r="Q421">
        <v>2</v>
      </c>
      <c r="R421">
        <v>3</v>
      </c>
      <c r="S421">
        <v>6</v>
      </c>
      <c r="U421">
        <v>21</v>
      </c>
      <c r="V421" t="s">
        <v>2050</v>
      </c>
      <c r="W421" t="s">
        <v>34</v>
      </c>
    </row>
    <row r="422" spans="1:24" x14ac:dyDescent="0.25">
      <c r="A422" t="s">
        <v>2051</v>
      </c>
      <c r="B422" t="s">
        <v>2052</v>
      </c>
      <c r="C422" t="s">
        <v>58</v>
      </c>
      <c r="E422" t="s">
        <v>27</v>
      </c>
      <c r="F422" t="s">
        <v>75</v>
      </c>
      <c r="G422" t="s">
        <v>2053</v>
      </c>
      <c r="H422">
        <v>47177</v>
      </c>
      <c r="I422" t="s">
        <v>30</v>
      </c>
      <c r="J422" t="s">
        <v>61</v>
      </c>
      <c r="K422" t="s">
        <v>113</v>
      </c>
      <c r="L422" t="s">
        <v>62</v>
      </c>
      <c r="M422">
        <v>11</v>
      </c>
      <c r="N422" t="s">
        <v>45</v>
      </c>
      <c r="O422">
        <v>4</v>
      </c>
      <c r="P422">
        <v>4</v>
      </c>
      <c r="Q422">
        <v>1</v>
      </c>
      <c r="R422">
        <v>2</v>
      </c>
      <c r="S422">
        <v>5</v>
      </c>
      <c r="T422">
        <v>1</v>
      </c>
      <c r="U422">
        <v>14</v>
      </c>
      <c r="V422" t="s">
        <v>2054</v>
      </c>
      <c r="W422" t="s">
        <v>45</v>
      </c>
      <c r="X422" t="s">
        <v>2055</v>
      </c>
    </row>
    <row r="423" spans="1:24" x14ac:dyDescent="0.25">
      <c r="A423" t="s">
        <v>2056</v>
      </c>
      <c r="B423" t="s">
        <v>2057</v>
      </c>
      <c r="C423" t="s">
        <v>58</v>
      </c>
      <c r="D423">
        <v>34</v>
      </c>
      <c r="E423" t="s">
        <v>88</v>
      </c>
      <c r="F423" t="s">
        <v>1644</v>
      </c>
      <c r="G423" t="s">
        <v>2058</v>
      </c>
      <c r="H423">
        <v>82389</v>
      </c>
      <c r="I423" t="s">
        <v>30</v>
      </c>
      <c r="J423" t="s">
        <v>31</v>
      </c>
      <c r="K423" t="s">
        <v>83</v>
      </c>
      <c r="L423" t="s">
        <v>62</v>
      </c>
      <c r="M423">
        <v>14</v>
      </c>
      <c r="N423" t="s">
        <v>34</v>
      </c>
      <c r="O423">
        <v>3</v>
      </c>
      <c r="P423">
        <v>3</v>
      </c>
      <c r="Q423">
        <v>3</v>
      </c>
      <c r="S423">
        <v>5</v>
      </c>
      <c r="T423">
        <v>4</v>
      </c>
      <c r="U423">
        <v>21</v>
      </c>
      <c r="V423" t="s">
        <v>2059</v>
      </c>
      <c r="W423" t="s">
        <v>34</v>
      </c>
    </row>
    <row r="424" spans="1:24" x14ac:dyDescent="0.25">
      <c r="A424" t="s">
        <v>2060</v>
      </c>
      <c r="B424" t="s">
        <v>2061</v>
      </c>
      <c r="C424" t="s">
        <v>49</v>
      </c>
      <c r="D424">
        <v>41</v>
      </c>
      <c r="E424" t="s">
        <v>103</v>
      </c>
      <c r="F424" t="s">
        <v>351</v>
      </c>
      <c r="G424" t="s">
        <v>2062</v>
      </c>
      <c r="H424">
        <v>78541</v>
      </c>
      <c r="I424" t="s">
        <v>52</v>
      </c>
      <c r="J424" t="s">
        <v>61</v>
      </c>
      <c r="K424" t="s">
        <v>54</v>
      </c>
      <c r="L424" t="s">
        <v>33</v>
      </c>
      <c r="M424">
        <v>11</v>
      </c>
      <c r="N424" t="s">
        <v>34</v>
      </c>
      <c r="O424">
        <v>2</v>
      </c>
      <c r="P424">
        <v>2</v>
      </c>
      <c r="Q424">
        <v>2</v>
      </c>
      <c r="R424">
        <v>3</v>
      </c>
      <c r="S424">
        <v>5</v>
      </c>
      <c r="T424">
        <v>4</v>
      </c>
      <c r="U424">
        <v>20</v>
      </c>
      <c r="V424" t="s">
        <v>2063</v>
      </c>
      <c r="W424" t="s">
        <v>45</v>
      </c>
      <c r="X424" t="s">
        <v>2064</v>
      </c>
    </row>
    <row r="425" spans="1:24" x14ac:dyDescent="0.25">
      <c r="A425" t="s">
        <v>2065</v>
      </c>
      <c r="B425" t="s">
        <v>2066</v>
      </c>
      <c r="C425" t="s">
        <v>26</v>
      </c>
      <c r="E425" t="s">
        <v>27</v>
      </c>
      <c r="F425" t="s">
        <v>75</v>
      </c>
      <c r="G425" t="s">
        <v>2067</v>
      </c>
      <c r="I425" t="s">
        <v>52</v>
      </c>
      <c r="J425" t="s">
        <v>143</v>
      </c>
      <c r="K425" t="s">
        <v>32</v>
      </c>
      <c r="L425" t="s">
        <v>33</v>
      </c>
      <c r="M425">
        <v>25</v>
      </c>
      <c r="N425" t="s">
        <v>34</v>
      </c>
      <c r="O425">
        <v>3</v>
      </c>
      <c r="P425">
        <v>3</v>
      </c>
      <c r="Q425">
        <v>3</v>
      </c>
      <c r="R425">
        <v>3</v>
      </c>
      <c r="S425">
        <v>1</v>
      </c>
      <c r="T425">
        <v>2</v>
      </c>
      <c r="U425">
        <v>18</v>
      </c>
      <c r="V425" t="s">
        <v>2068</v>
      </c>
      <c r="W425" t="s">
        <v>34</v>
      </c>
    </row>
    <row r="426" spans="1:24" x14ac:dyDescent="0.25">
      <c r="A426" t="s">
        <v>2069</v>
      </c>
      <c r="B426" t="s">
        <v>2070</v>
      </c>
      <c r="C426" t="s">
        <v>87</v>
      </c>
      <c r="D426">
        <v>34</v>
      </c>
      <c r="E426" t="s">
        <v>88</v>
      </c>
      <c r="F426" t="s">
        <v>1655</v>
      </c>
      <c r="G426" t="s">
        <v>2071</v>
      </c>
      <c r="H426">
        <v>142196</v>
      </c>
      <c r="I426" t="s">
        <v>42</v>
      </c>
      <c r="J426" t="s">
        <v>31</v>
      </c>
      <c r="K426" t="s">
        <v>113</v>
      </c>
      <c r="L426" t="s">
        <v>62</v>
      </c>
      <c r="M426">
        <v>43</v>
      </c>
      <c r="N426" t="s">
        <v>45</v>
      </c>
      <c r="P426">
        <v>4</v>
      </c>
      <c r="R426">
        <v>3</v>
      </c>
      <c r="S426">
        <v>0</v>
      </c>
      <c r="T426">
        <v>3</v>
      </c>
      <c r="U426">
        <v>22</v>
      </c>
      <c r="V426" t="s">
        <v>2072</v>
      </c>
      <c r="W426" t="s">
        <v>45</v>
      </c>
      <c r="X426" t="s">
        <v>2073</v>
      </c>
    </row>
    <row r="427" spans="1:24" x14ac:dyDescent="0.25">
      <c r="A427" t="s">
        <v>2074</v>
      </c>
      <c r="B427" t="s">
        <v>2075</v>
      </c>
      <c r="C427" t="s">
        <v>87</v>
      </c>
      <c r="D427">
        <v>49</v>
      </c>
      <c r="E427" t="s">
        <v>88</v>
      </c>
      <c r="F427" t="s">
        <v>286</v>
      </c>
      <c r="G427" t="s">
        <v>2076</v>
      </c>
      <c r="H427">
        <v>142452</v>
      </c>
      <c r="I427" t="s">
        <v>30</v>
      </c>
      <c r="J427" t="s">
        <v>61</v>
      </c>
      <c r="K427" t="s">
        <v>167</v>
      </c>
      <c r="L427" t="s">
        <v>62</v>
      </c>
      <c r="M427">
        <v>19</v>
      </c>
      <c r="N427" t="s">
        <v>45</v>
      </c>
      <c r="O427">
        <v>3</v>
      </c>
      <c r="P427">
        <v>1</v>
      </c>
      <c r="Q427">
        <v>4</v>
      </c>
      <c r="R427">
        <v>2</v>
      </c>
      <c r="S427">
        <v>3</v>
      </c>
      <c r="T427">
        <v>4</v>
      </c>
      <c r="U427">
        <v>21</v>
      </c>
      <c r="V427" t="s">
        <v>2077</v>
      </c>
      <c r="W427" t="s">
        <v>34</v>
      </c>
    </row>
    <row r="428" spans="1:24" x14ac:dyDescent="0.25">
      <c r="A428" t="s">
        <v>2078</v>
      </c>
      <c r="B428" t="s">
        <v>2079</v>
      </c>
      <c r="C428" t="s">
        <v>102</v>
      </c>
      <c r="D428">
        <v>41</v>
      </c>
      <c r="E428" t="s">
        <v>128</v>
      </c>
      <c r="F428" t="s">
        <v>271</v>
      </c>
      <c r="G428" t="s">
        <v>2080</v>
      </c>
      <c r="H428" t="s">
        <v>2081</v>
      </c>
      <c r="I428" t="s">
        <v>30</v>
      </c>
      <c r="J428" t="s">
        <v>61</v>
      </c>
      <c r="K428" t="s">
        <v>167</v>
      </c>
      <c r="L428" t="s">
        <v>33</v>
      </c>
      <c r="M428">
        <v>32</v>
      </c>
      <c r="N428" t="s">
        <v>45</v>
      </c>
      <c r="O428">
        <v>4</v>
      </c>
      <c r="P428">
        <v>2</v>
      </c>
      <c r="Q428">
        <v>3</v>
      </c>
      <c r="R428">
        <v>5</v>
      </c>
      <c r="S428">
        <v>1</v>
      </c>
      <c r="T428">
        <v>0</v>
      </c>
      <c r="U428">
        <v>19</v>
      </c>
      <c r="V428" t="s">
        <v>2082</v>
      </c>
      <c r="W428" t="s">
        <v>34</v>
      </c>
    </row>
    <row r="429" spans="1:24" x14ac:dyDescent="0.25">
      <c r="A429" t="s">
        <v>2083</v>
      </c>
      <c r="B429" t="s">
        <v>2084</v>
      </c>
      <c r="C429" t="s">
        <v>81</v>
      </c>
      <c r="D429">
        <v>38</v>
      </c>
      <c r="E429" t="s">
        <v>1166</v>
      </c>
      <c r="F429" t="s">
        <v>323</v>
      </c>
      <c r="G429" t="s">
        <v>2085</v>
      </c>
      <c r="H429">
        <v>55561</v>
      </c>
      <c r="I429" t="s">
        <v>30</v>
      </c>
      <c r="J429" t="s">
        <v>61</v>
      </c>
      <c r="K429" t="s">
        <v>131</v>
      </c>
      <c r="L429" t="s">
        <v>33</v>
      </c>
      <c r="M429">
        <v>14</v>
      </c>
      <c r="O429">
        <v>2</v>
      </c>
      <c r="P429">
        <v>3</v>
      </c>
      <c r="Q429">
        <v>1</v>
      </c>
      <c r="R429">
        <v>4</v>
      </c>
      <c r="S429">
        <v>6</v>
      </c>
      <c r="T429">
        <v>7</v>
      </c>
      <c r="V429" t="s">
        <v>2086</v>
      </c>
      <c r="W429" t="s">
        <v>34</v>
      </c>
    </row>
    <row r="430" spans="1:24" x14ac:dyDescent="0.25">
      <c r="A430" t="s">
        <v>2087</v>
      </c>
      <c r="B430" t="s">
        <v>2088</v>
      </c>
      <c r="C430" t="s">
        <v>49</v>
      </c>
      <c r="D430">
        <v>39</v>
      </c>
      <c r="E430" t="s">
        <v>457</v>
      </c>
      <c r="F430" t="s">
        <v>188</v>
      </c>
      <c r="G430" t="s">
        <v>2089</v>
      </c>
      <c r="H430">
        <v>71829</v>
      </c>
      <c r="I430" t="s">
        <v>30</v>
      </c>
      <c r="K430" t="s">
        <v>131</v>
      </c>
      <c r="L430" t="s">
        <v>62</v>
      </c>
      <c r="M430">
        <v>4</v>
      </c>
      <c r="N430" t="s">
        <v>34</v>
      </c>
      <c r="O430">
        <v>2</v>
      </c>
      <c r="P430">
        <v>2</v>
      </c>
      <c r="Q430">
        <v>1</v>
      </c>
      <c r="R430">
        <v>3</v>
      </c>
      <c r="S430">
        <v>2</v>
      </c>
      <c r="T430">
        <v>6</v>
      </c>
      <c r="U430">
        <v>18</v>
      </c>
      <c r="W430" t="s">
        <v>45</v>
      </c>
      <c r="X430" t="s">
        <v>2090</v>
      </c>
    </row>
    <row r="431" spans="1:24" x14ac:dyDescent="0.25">
      <c r="A431" t="s">
        <v>2091</v>
      </c>
      <c r="B431" t="s">
        <v>2092</v>
      </c>
      <c r="C431" t="s">
        <v>58</v>
      </c>
      <c r="D431">
        <v>42</v>
      </c>
      <c r="E431" t="s">
        <v>27</v>
      </c>
      <c r="F431" t="s">
        <v>59</v>
      </c>
      <c r="G431" t="s">
        <v>2093</v>
      </c>
      <c r="H431">
        <v>87849</v>
      </c>
      <c r="I431" t="s">
        <v>42</v>
      </c>
      <c r="J431" t="s">
        <v>31</v>
      </c>
      <c r="K431" t="s">
        <v>98</v>
      </c>
      <c r="L431" t="s">
        <v>33</v>
      </c>
      <c r="M431">
        <v>21</v>
      </c>
      <c r="N431" t="s">
        <v>34</v>
      </c>
      <c r="O431">
        <v>3</v>
      </c>
      <c r="P431">
        <v>3</v>
      </c>
      <c r="Q431">
        <v>2</v>
      </c>
      <c r="R431">
        <v>5</v>
      </c>
      <c r="S431">
        <v>0</v>
      </c>
      <c r="U431">
        <v>24</v>
      </c>
      <c r="V431" t="s">
        <v>2094</v>
      </c>
      <c r="W431" t="s">
        <v>34</v>
      </c>
    </row>
    <row r="432" spans="1:24" x14ac:dyDescent="0.25">
      <c r="A432" t="s">
        <v>2095</v>
      </c>
      <c r="B432" t="s">
        <v>2096</v>
      </c>
      <c r="C432" t="s">
        <v>26</v>
      </c>
      <c r="D432">
        <v>30</v>
      </c>
      <c r="E432" t="s">
        <v>88</v>
      </c>
      <c r="F432" t="s">
        <v>261</v>
      </c>
      <c r="G432" t="s">
        <v>2097</v>
      </c>
      <c r="H432" t="s">
        <v>2098</v>
      </c>
      <c r="J432" t="s">
        <v>31</v>
      </c>
      <c r="K432" t="s">
        <v>167</v>
      </c>
      <c r="L432" t="s">
        <v>62</v>
      </c>
      <c r="M432">
        <v>27</v>
      </c>
      <c r="N432" t="s">
        <v>34</v>
      </c>
      <c r="O432">
        <v>4</v>
      </c>
      <c r="P432">
        <v>4</v>
      </c>
      <c r="Q432">
        <v>2</v>
      </c>
      <c r="R432">
        <v>3</v>
      </c>
      <c r="S432">
        <v>6</v>
      </c>
      <c r="T432">
        <v>3</v>
      </c>
      <c r="U432">
        <v>14</v>
      </c>
      <c r="V432" t="s">
        <v>2099</v>
      </c>
      <c r="W432" t="s">
        <v>34</v>
      </c>
    </row>
    <row r="433" spans="1:24" x14ac:dyDescent="0.25">
      <c r="A433" t="s">
        <v>2100</v>
      </c>
      <c r="B433" t="s">
        <v>2101</v>
      </c>
      <c r="C433" t="s">
        <v>26</v>
      </c>
      <c r="D433">
        <v>21</v>
      </c>
      <c r="E433" t="s">
        <v>412</v>
      </c>
      <c r="F433" t="s">
        <v>506</v>
      </c>
      <c r="G433" t="s">
        <v>2102</v>
      </c>
      <c r="H433">
        <v>43873</v>
      </c>
      <c r="I433" t="s">
        <v>52</v>
      </c>
      <c r="J433" t="s">
        <v>143</v>
      </c>
      <c r="K433" t="s">
        <v>54</v>
      </c>
      <c r="L433" t="s">
        <v>62</v>
      </c>
      <c r="M433">
        <v>32</v>
      </c>
      <c r="N433" t="s">
        <v>34</v>
      </c>
      <c r="O433">
        <v>3</v>
      </c>
      <c r="P433">
        <v>4</v>
      </c>
      <c r="Q433">
        <v>3</v>
      </c>
      <c r="R433">
        <v>5</v>
      </c>
      <c r="S433">
        <v>4</v>
      </c>
      <c r="T433">
        <v>6</v>
      </c>
      <c r="U433">
        <v>11</v>
      </c>
      <c r="V433" t="s">
        <v>2103</v>
      </c>
      <c r="W433" t="s">
        <v>34</v>
      </c>
    </row>
    <row r="434" spans="1:24" x14ac:dyDescent="0.25">
      <c r="A434" t="s">
        <v>2104</v>
      </c>
      <c r="B434" t="s">
        <v>2105</v>
      </c>
      <c r="C434" t="s">
        <v>87</v>
      </c>
      <c r="D434">
        <v>48</v>
      </c>
      <c r="E434" t="s">
        <v>128</v>
      </c>
      <c r="F434" t="s">
        <v>123</v>
      </c>
      <c r="G434" t="s">
        <v>2106</v>
      </c>
      <c r="H434">
        <v>100029</v>
      </c>
      <c r="I434" t="s">
        <v>42</v>
      </c>
      <c r="J434" t="s">
        <v>61</v>
      </c>
      <c r="K434" t="s">
        <v>200</v>
      </c>
      <c r="L434" t="s">
        <v>33</v>
      </c>
      <c r="M434">
        <v>2</v>
      </c>
      <c r="N434" t="s">
        <v>34</v>
      </c>
      <c r="P434">
        <v>1</v>
      </c>
      <c r="Q434">
        <v>4</v>
      </c>
      <c r="R434">
        <v>4</v>
      </c>
      <c r="S434">
        <v>2</v>
      </c>
      <c r="T434">
        <v>4</v>
      </c>
      <c r="U434">
        <v>13</v>
      </c>
      <c r="V434" t="s">
        <v>2107</v>
      </c>
      <c r="W434" t="s">
        <v>34</v>
      </c>
    </row>
    <row r="435" spans="1:24" x14ac:dyDescent="0.25">
      <c r="A435" t="s">
        <v>2108</v>
      </c>
      <c r="B435" t="s">
        <v>2109</v>
      </c>
      <c r="C435" t="s">
        <v>67</v>
      </c>
      <c r="D435">
        <v>35</v>
      </c>
      <c r="E435" t="s">
        <v>27</v>
      </c>
      <c r="F435" t="s">
        <v>75</v>
      </c>
      <c r="G435" t="s">
        <v>2110</v>
      </c>
      <c r="H435">
        <v>109405</v>
      </c>
      <c r="I435" t="s">
        <v>30</v>
      </c>
      <c r="J435" t="s">
        <v>61</v>
      </c>
      <c r="K435" t="s">
        <v>32</v>
      </c>
      <c r="L435" t="s">
        <v>62</v>
      </c>
      <c r="M435">
        <v>17</v>
      </c>
      <c r="N435" t="s">
        <v>34</v>
      </c>
      <c r="O435">
        <v>2</v>
      </c>
      <c r="P435">
        <v>3</v>
      </c>
      <c r="Q435">
        <v>2</v>
      </c>
      <c r="R435">
        <v>4</v>
      </c>
      <c r="S435">
        <v>1</v>
      </c>
      <c r="T435">
        <v>5</v>
      </c>
      <c r="U435">
        <v>15</v>
      </c>
      <c r="V435" t="s">
        <v>2111</v>
      </c>
      <c r="W435" t="s">
        <v>45</v>
      </c>
      <c r="X435" t="s">
        <v>1964</v>
      </c>
    </row>
    <row r="436" spans="1:24" x14ac:dyDescent="0.25">
      <c r="A436" t="s">
        <v>2112</v>
      </c>
      <c r="B436" t="s">
        <v>2113</v>
      </c>
      <c r="C436" t="s">
        <v>102</v>
      </c>
      <c r="D436">
        <v>31</v>
      </c>
      <c r="F436" t="s">
        <v>266</v>
      </c>
      <c r="G436" t="s">
        <v>2114</v>
      </c>
      <c r="H436">
        <v>75664</v>
      </c>
      <c r="I436" t="s">
        <v>52</v>
      </c>
      <c r="J436" t="s">
        <v>61</v>
      </c>
      <c r="K436" t="s">
        <v>83</v>
      </c>
      <c r="L436" t="s">
        <v>33</v>
      </c>
      <c r="M436">
        <v>10</v>
      </c>
      <c r="N436" t="s">
        <v>34</v>
      </c>
      <c r="O436">
        <v>4</v>
      </c>
      <c r="P436">
        <v>4</v>
      </c>
      <c r="Q436">
        <v>4</v>
      </c>
      <c r="R436">
        <v>4</v>
      </c>
      <c r="S436">
        <v>4</v>
      </c>
      <c r="T436">
        <v>5</v>
      </c>
      <c r="U436">
        <v>18</v>
      </c>
      <c r="V436" t="s">
        <v>2115</v>
      </c>
      <c r="W436" t="s">
        <v>34</v>
      </c>
    </row>
    <row r="437" spans="1:24" x14ac:dyDescent="0.25">
      <c r="A437" t="s">
        <v>2116</v>
      </c>
      <c r="B437" t="s">
        <v>2117</v>
      </c>
      <c r="C437" t="s">
        <v>81</v>
      </c>
      <c r="D437">
        <v>35</v>
      </c>
      <c r="E437" t="s">
        <v>103</v>
      </c>
      <c r="F437" t="s">
        <v>255</v>
      </c>
      <c r="G437" t="s">
        <v>2118</v>
      </c>
      <c r="H437" t="s">
        <v>2119</v>
      </c>
      <c r="I437" t="s">
        <v>42</v>
      </c>
      <c r="J437" t="s">
        <v>61</v>
      </c>
      <c r="K437" t="s">
        <v>113</v>
      </c>
      <c r="L437" t="s">
        <v>33</v>
      </c>
      <c r="M437">
        <v>15</v>
      </c>
      <c r="N437" t="s">
        <v>34</v>
      </c>
      <c r="O437">
        <v>2</v>
      </c>
      <c r="P437">
        <v>3</v>
      </c>
      <c r="Q437">
        <v>4</v>
      </c>
      <c r="R437">
        <v>2</v>
      </c>
      <c r="S437">
        <v>0</v>
      </c>
      <c r="T437">
        <v>0</v>
      </c>
      <c r="U437">
        <v>15</v>
      </c>
      <c r="V437" t="s">
        <v>2011</v>
      </c>
      <c r="W437" t="s">
        <v>45</v>
      </c>
      <c r="X437" t="s">
        <v>2120</v>
      </c>
    </row>
    <row r="438" spans="1:24" x14ac:dyDescent="0.25">
      <c r="A438" t="s">
        <v>2121</v>
      </c>
      <c r="B438" t="s">
        <v>2122</v>
      </c>
      <c r="C438" t="s">
        <v>73</v>
      </c>
      <c r="D438">
        <v>36</v>
      </c>
      <c r="E438" t="s">
        <v>88</v>
      </c>
      <c r="F438" t="s">
        <v>89</v>
      </c>
      <c r="G438" t="s">
        <v>2123</v>
      </c>
      <c r="H438" t="s">
        <v>2124</v>
      </c>
      <c r="I438" t="s">
        <v>52</v>
      </c>
      <c r="J438" t="s">
        <v>61</v>
      </c>
      <c r="K438" t="s">
        <v>131</v>
      </c>
      <c r="L438" t="s">
        <v>62</v>
      </c>
      <c r="M438">
        <v>18</v>
      </c>
      <c r="N438" t="s">
        <v>34</v>
      </c>
      <c r="O438">
        <v>3</v>
      </c>
      <c r="P438">
        <v>4</v>
      </c>
      <c r="Q438">
        <v>2</v>
      </c>
      <c r="R438">
        <v>4</v>
      </c>
      <c r="S438">
        <v>5</v>
      </c>
      <c r="T438">
        <v>6</v>
      </c>
      <c r="U438">
        <v>25</v>
      </c>
      <c r="V438" t="s">
        <v>2125</v>
      </c>
      <c r="W438" t="s">
        <v>34</v>
      </c>
    </row>
    <row r="439" spans="1:24" x14ac:dyDescent="0.25">
      <c r="A439" t="s">
        <v>2126</v>
      </c>
      <c r="B439" t="s">
        <v>2127</v>
      </c>
      <c r="C439" t="s">
        <v>67</v>
      </c>
      <c r="D439">
        <v>50</v>
      </c>
      <c r="E439" t="s">
        <v>88</v>
      </c>
      <c r="F439" t="s">
        <v>261</v>
      </c>
      <c r="G439" t="s">
        <v>2128</v>
      </c>
      <c r="H439">
        <v>115896</v>
      </c>
      <c r="I439" t="s">
        <v>42</v>
      </c>
      <c r="J439" t="s">
        <v>143</v>
      </c>
      <c r="K439" t="s">
        <v>131</v>
      </c>
      <c r="L439" t="s">
        <v>62</v>
      </c>
      <c r="M439">
        <v>29</v>
      </c>
      <c r="N439" t="s">
        <v>34</v>
      </c>
      <c r="O439">
        <v>3</v>
      </c>
      <c r="P439">
        <v>4</v>
      </c>
      <c r="Q439">
        <v>3</v>
      </c>
      <c r="R439">
        <v>3</v>
      </c>
      <c r="S439">
        <v>2</v>
      </c>
      <c r="T439">
        <v>5</v>
      </c>
      <c r="U439">
        <v>24</v>
      </c>
      <c r="V439" t="s">
        <v>2129</v>
      </c>
      <c r="W439" t="s">
        <v>34</v>
      </c>
    </row>
    <row r="440" spans="1:24" x14ac:dyDescent="0.25">
      <c r="A440" t="s">
        <v>2130</v>
      </c>
      <c r="B440" t="s">
        <v>2131</v>
      </c>
      <c r="C440" t="s">
        <v>49</v>
      </c>
      <c r="D440">
        <v>22</v>
      </c>
      <c r="E440" t="s">
        <v>27</v>
      </c>
      <c r="F440" t="s">
        <v>188</v>
      </c>
      <c r="G440" t="s">
        <v>2132</v>
      </c>
      <c r="H440">
        <v>56028</v>
      </c>
      <c r="I440" t="s">
        <v>30</v>
      </c>
      <c r="J440" t="s">
        <v>31</v>
      </c>
      <c r="K440" t="s">
        <v>54</v>
      </c>
      <c r="L440" t="s">
        <v>62</v>
      </c>
      <c r="M440">
        <v>28</v>
      </c>
      <c r="P440">
        <v>4</v>
      </c>
      <c r="Q440">
        <v>4</v>
      </c>
      <c r="R440">
        <v>3</v>
      </c>
      <c r="S440">
        <v>2</v>
      </c>
      <c r="T440">
        <v>1</v>
      </c>
      <c r="U440">
        <v>23</v>
      </c>
      <c r="V440" t="s">
        <v>2133</v>
      </c>
      <c r="W440" t="s">
        <v>34</v>
      </c>
    </row>
    <row r="441" spans="1:24" x14ac:dyDescent="0.25">
      <c r="A441" t="s">
        <v>2134</v>
      </c>
      <c r="B441" t="s">
        <v>2135</v>
      </c>
      <c r="C441" t="s">
        <v>73</v>
      </c>
      <c r="D441">
        <v>36</v>
      </c>
      <c r="E441" t="s">
        <v>128</v>
      </c>
      <c r="F441" t="s">
        <v>271</v>
      </c>
      <c r="G441" t="s">
        <v>2136</v>
      </c>
      <c r="H441" t="s">
        <v>2137</v>
      </c>
      <c r="I441" t="s">
        <v>30</v>
      </c>
      <c r="J441" t="s">
        <v>31</v>
      </c>
      <c r="K441" t="s">
        <v>131</v>
      </c>
      <c r="L441" t="s">
        <v>43</v>
      </c>
      <c r="M441">
        <v>35</v>
      </c>
      <c r="N441" t="s">
        <v>34</v>
      </c>
      <c r="O441">
        <v>1</v>
      </c>
      <c r="Q441">
        <v>2</v>
      </c>
      <c r="R441">
        <v>5</v>
      </c>
      <c r="S441">
        <v>5</v>
      </c>
      <c r="T441">
        <v>5</v>
      </c>
      <c r="U441">
        <v>13</v>
      </c>
      <c r="V441" t="s">
        <v>2138</v>
      </c>
      <c r="W441" t="s">
        <v>45</v>
      </c>
      <c r="X441" t="s">
        <v>2139</v>
      </c>
    </row>
    <row r="442" spans="1:24" x14ac:dyDescent="0.25">
      <c r="A442" t="s">
        <v>2140</v>
      </c>
      <c r="B442" t="s">
        <v>2141</v>
      </c>
      <c r="C442" t="s">
        <v>67</v>
      </c>
      <c r="D442">
        <v>30</v>
      </c>
      <c r="E442" t="s">
        <v>609</v>
      </c>
      <c r="F442" t="s">
        <v>1436</v>
      </c>
      <c r="G442" t="s">
        <v>2142</v>
      </c>
      <c r="H442" t="s">
        <v>2143</v>
      </c>
      <c r="I442" t="s">
        <v>52</v>
      </c>
      <c r="J442" t="s">
        <v>53</v>
      </c>
      <c r="K442" t="s">
        <v>113</v>
      </c>
      <c r="L442" t="s">
        <v>43</v>
      </c>
      <c r="M442">
        <v>2</v>
      </c>
      <c r="N442" t="s">
        <v>34</v>
      </c>
      <c r="O442">
        <v>1</v>
      </c>
      <c r="P442">
        <v>1</v>
      </c>
      <c r="Q442">
        <v>3</v>
      </c>
      <c r="R442">
        <v>3</v>
      </c>
      <c r="S442">
        <v>5</v>
      </c>
      <c r="T442">
        <v>0</v>
      </c>
      <c r="U442">
        <v>16</v>
      </c>
      <c r="V442" t="s">
        <v>2144</v>
      </c>
      <c r="W442" t="s">
        <v>34</v>
      </c>
    </row>
    <row r="443" spans="1:24" x14ac:dyDescent="0.25">
      <c r="A443" t="s">
        <v>2145</v>
      </c>
      <c r="B443" t="s">
        <v>2146</v>
      </c>
      <c r="C443" t="s">
        <v>67</v>
      </c>
      <c r="D443">
        <v>23</v>
      </c>
      <c r="E443" t="s">
        <v>94</v>
      </c>
      <c r="F443" t="s">
        <v>639</v>
      </c>
      <c r="G443" t="s">
        <v>2147</v>
      </c>
      <c r="H443">
        <v>124474</v>
      </c>
      <c r="I443" t="s">
        <v>30</v>
      </c>
      <c r="J443" t="s">
        <v>53</v>
      </c>
      <c r="K443" t="s">
        <v>131</v>
      </c>
      <c r="L443" t="s">
        <v>33</v>
      </c>
      <c r="M443">
        <v>31</v>
      </c>
      <c r="N443" t="s">
        <v>45</v>
      </c>
      <c r="O443">
        <v>3</v>
      </c>
      <c r="P443">
        <v>4</v>
      </c>
      <c r="Q443">
        <v>3</v>
      </c>
      <c r="R443">
        <v>3</v>
      </c>
      <c r="S443">
        <v>2</v>
      </c>
      <c r="T443">
        <v>7</v>
      </c>
      <c r="U443">
        <v>17</v>
      </c>
      <c r="V443" t="s">
        <v>2148</v>
      </c>
      <c r="W443" t="s">
        <v>34</v>
      </c>
    </row>
    <row r="444" spans="1:24" x14ac:dyDescent="0.25">
      <c r="A444" t="s">
        <v>2149</v>
      </c>
      <c r="B444" t="s">
        <v>2150</v>
      </c>
      <c r="C444" t="s">
        <v>81</v>
      </c>
      <c r="D444">
        <v>26</v>
      </c>
      <c r="E444" t="s">
        <v>332</v>
      </c>
      <c r="F444" t="s">
        <v>148</v>
      </c>
      <c r="G444" t="s">
        <v>2151</v>
      </c>
      <c r="H444">
        <v>92167</v>
      </c>
      <c r="I444" t="s">
        <v>30</v>
      </c>
      <c r="J444" t="s">
        <v>31</v>
      </c>
      <c r="K444" t="s">
        <v>167</v>
      </c>
      <c r="L444" t="s">
        <v>43</v>
      </c>
      <c r="M444">
        <v>1</v>
      </c>
      <c r="N444" t="s">
        <v>34</v>
      </c>
      <c r="O444">
        <v>2</v>
      </c>
      <c r="P444">
        <v>3</v>
      </c>
      <c r="Q444">
        <v>1</v>
      </c>
      <c r="R444">
        <v>3</v>
      </c>
      <c r="S444">
        <v>3</v>
      </c>
      <c r="T444">
        <v>5</v>
      </c>
      <c r="U444">
        <v>13</v>
      </c>
      <c r="V444" t="s">
        <v>2152</v>
      </c>
      <c r="W444" t="s">
        <v>34</v>
      </c>
    </row>
    <row r="445" spans="1:24" x14ac:dyDescent="0.25">
      <c r="A445" t="s">
        <v>2153</v>
      </c>
      <c r="B445" t="s">
        <v>2154</v>
      </c>
      <c r="C445" t="s">
        <v>102</v>
      </c>
      <c r="D445">
        <v>28</v>
      </c>
      <c r="E445" t="s">
        <v>147</v>
      </c>
      <c r="F445" t="s">
        <v>2155</v>
      </c>
      <c r="G445" t="s">
        <v>2156</v>
      </c>
      <c r="H445" t="s">
        <v>2157</v>
      </c>
      <c r="I445" t="s">
        <v>52</v>
      </c>
      <c r="J445" t="s">
        <v>31</v>
      </c>
      <c r="K445" t="s">
        <v>54</v>
      </c>
      <c r="L445" t="s">
        <v>43</v>
      </c>
      <c r="M445">
        <v>35</v>
      </c>
      <c r="N445" t="s">
        <v>34</v>
      </c>
      <c r="O445">
        <v>4</v>
      </c>
      <c r="P445">
        <v>1</v>
      </c>
      <c r="Q445">
        <v>1</v>
      </c>
      <c r="R445">
        <v>3</v>
      </c>
      <c r="S445">
        <v>4</v>
      </c>
      <c r="T445">
        <v>5</v>
      </c>
      <c r="U445">
        <v>25</v>
      </c>
      <c r="V445" t="s">
        <v>2158</v>
      </c>
      <c r="W445" t="s">
        <v>34</v>
      </c>
    </row>
    <row r="446" spans="1:24" x14ac:dyDescent="0.25">
      <c r="A446" t="s">
        <v>2159</v>
      </c>
      <c r="B446" t="s">
        <v>2160</v>
      </c>
      <c r="C446" t="s">
        <v>58</v>
      </c>
      <c r="D446">
        <v>43</v>
      </c>
      <c r="E446" t="s">
        <v>457</v>
      </c>
      <c r="F446" t="s">
        <v>172</v>
      </c>
      <c r="G446" t="s">
        <v>2161</v>
      </c>
      <c r="H446">
        <v>122610</v>
      </c>
      <c r="I446" t="s">
        <v>30</v>
      </c>
      <c r="J446" t="s">
        <v>31</v>
      </c>
      <c r="K446" t="s">
        <v>98</v>
      </c>
      <c r="L446" t="s">
        <v>62</v>
      </c>
      <c r="M446">
        <v>29</v>
      </c>
      <c r="N446" t="s">
        <v>45</v>
      </c>
      <c r="O446">
        <v>3</v>
      </c>
      <c r="P446">
        <v>1</v>
      </c>
      <c r="Q446">
        <v>4</v>
      </c>
      <c r="R446">
        <v>3</v>
      </c>
      <c r="S446">
        <v>3</v>
      </c>
      <c r="T446">
        <v>2</v>
      </c>
      <c r="U446">
        <v>24</v>
      </c>
      <c r="V446" t="s">
        <v>2162</v>
      </c>
      <c r="W446" t="s">
        <v>34</v>
      </c>
    </row>
    <row r="447" spans="1:24" x14ac:dyDescent="0.25">
      <c r="A447" t="s">
        <v>2163</v>
      </c>
      <c r="B447" t="s">
        <v>2164</v>
      </c>
      <c r="C447" t="s">
        <v>67</v>
      </c>
      <c r="D447">
        <v>33</v>
      </c>
      <c r="E447" t="s">
        <v>27</v>
      </c>
      <c r="F447" t="s">
        <v>75</v>
      </c>
      <c r="G447" t="s">
        <v>2165</v>
      </c>
      <c r="H447">
        <v>88915</v>
      </c>
      <c r="I447" t="s">
        <v>52</v>
      </c>
      <c r="J447" t="s">
        <v>53</v>
      </c>
      <c r="K447" t="s">
        <v>83</v>
      </c>
      <c r="L447" t="s">
        <v>62</v>
      </c>
      <c r="M447">
        <v>39</v>
      </c>
      <c r="N447" t="s">
        <v>34</v>
      </c>
      <c r="O447">
        <v>2</v>
      </c>
      <c r="P447">
        <v>3</v>
      </c>
      <c r="Q447">
        <v>3</v>
      </c>
      <c r="R447">
        <v>4</v>
      </c>
      <c r="S447">
        <v>5</v>
      </c>
      <c r="T447">
        <v>6</v>
      </c>
      <c r="U447">
        <v>17</v>
      </c>
      <c r="V447" t="s">
        <v>2166</v>
      </c>
      <c r="W447" t="s">
        <v>34</v>
      </c>
    </row>
    <row r="448" spans="1:24" x14ac:dyDescent="0.25">
      <c r="A448" t="s">
        <v>2167</v>
      </c>
      <c r="B448" t="s">
        <v>2168</v>
      </c>
      <c r="C448" t="s">
        <v>49</v>
      </c>
      <c r="D448">
        <v>38</v>
      </c>
      <c r="E448" t="s">
        <v>128</v>
      </c>
      <c r="F448" t="s">
        <v>226</v>
      </c>
      <c r="G448" t="s">
        <v>2169</v>
      </c>
      <c r="H448">
        <v>54687</v>
      </c>
      <c r="I448" t="s">
        <v>52</v>
      </c>
      <c r="J448" t="s">
        <v>61</v>
      </c>
      <c r="L448" t="s">
        <v>62</v>
      </c>
      <c r="M448">
        <v>32</v>
      </c>
      <c r="N448" t="s">
        <v>45</v>
      </c>
      <c r="O448">
        <v>1</v>
      </c>
      <c r="P448">
        <v>1</v>
      </c>
      <c r="Q448">
        <v>4</v>
      </c>
      <c r="R448">
        <v>5</v>
      </c>
      <c r="S448">
        <v>6</v>
      </c>
      <c r="T448">
        <v>6</v>
      </c>
      <c r="U448">
        <v>19</v>
      </c>
      <c r="V448" t="s">
        <v>2170</v>
      </c>
      <c r="W448" t="s">
        <v>45</v>
      </c>
      <c r="X448" t="s">
        <v>2171</v>
      </c>
    </row>
    <row r="449" spans="1:24" x14ac:dyDescent="0.25">
      <c r="A449" t="s">
        <v>2172</v>
      </c>
      <c r="B449" t="s">
        <v>2173</v>
      </c>
      <c r="C449" t="s">
        <v>67</v>
      </c>
      <c r="D449">
        <v>49</v>
      </c>
      <c r="E449" t="s">
        <v>665</v>
      </c>
      <c r="F449" t="s">
        <v>136</v>
      </c>
      <c r="G449" t="s">
        <v>2174</v>
      </c>
      <c r="H449">
        <v>70607</v>
      </c>
      <c r="I449" t="s">
        <v>42</v>
      </c>
      <c r="J449" t="s">
        <v>31</v>
      </c>
      <c r="K449" t="s">
        <v>54</v>
      </c>
      <c r="L449" t="s">
        <v>33</v>
      </c>
      <c r="M449">
        <v>45</v>
      </c>
      <c r="N449" t="s">
        <v>34</v>
      </c>
      <c r="O449">
        <v>2</v>
      </c>
      <c r="P449">
        <v>2</v>
      </c>
      <c r="Q449">
        <v>2</v>
      </c>
      <c r="R449">
        <v>4</v>
      </c>
      <c r="S449">
        <v>4</v>
      </c>
      <c r="T449">
        <v>0</v>
      </c>
      <c r="U449">
        <v>19</v>
      </c>
      <c r="V449" t="s">
        <v>2175</v>
      </c>
      <c r="W449" t="s">
        <v>45</v>
      </c>
      <c r="X449" t="s">
        <v>2176</v>
      </c>
    </row>
    <row r="450" spans="1:24" x14ac:dyDescent="0.25">
      <c r="A450" t="s">
        <v>2177</v>
      </c>
      <c r="B450" t="s">
        <v>2178</v>
      </c>
      <c r="C450" t="s">
        <v>49</v>
      </c>
      <c r="D450">
        <v>51</v>
      </c>
      <c r="E450" t="s">
        <v>128</v>
      </c>
      <c r="F450" t="s">
        <v>848</v>
      </c>
      <c r="G450" t="s">
        <v>2179</v>
      </c>
      <c r="H450">
        <v>92755</v>
      </c>
      <c r="I450" t="s">
        <v>42</v>
      </c>
      <c r="J450" t="s">
        <v>61</v>
      </c>
      <c r="K450" t="s">
        <v>77</v>
      </c>
      <c r="L450" t="s">
        <v>43</v>
      </c>
      <c r="M450">
        <v>32</v>
      </c>
      <c r="N450" t="s">
        <v>34</v>
      </c>
      <c r="P450">
        <v>2</v>
      </c>
      <c r="Q450">
        <v>1</v>
      </c>
      <c r="R450">
        <v>3</v>
      </c>
      <c r="S450">
        <v>1</v>
      </c>
      <c r="T450">
        <v>3</v>
      </c>
      <c r="U450">
        <v>18</v>
      </c>
      <c r="V450" t="s">
        <v>2180</v>
      </c>
      <c r="W450" t="s">
        <v>45</v>
      </c>
      <c r="X450" t="s">
        <v>2181</v>
      </c>
    </row>
    <row r="451" spans="1:24" x14ac:dyDescent="0.25">
      <c r="A451" t="s">
        <v>2182</v>
      </c>
      <c r="B451" t="s">
        <v>2183</v>
      </c>
      <c r="C451" t="s">
        <v>102</v>
      </c>
      <c r="D451">
        <v>35</v>
      </c>
      <c r="E451" t="s">
        <v>27</v>
      </c>
      <c r="F451" t="s">
        <v>562</v>
      </c>
      <c r="G451" t="s">
        <v>2184</v>
      </c>
      <c r="I451" t="s">
        <v>30</v>
      </c>
      <c r="J451" t="s">
        <v>31</v>
      </c>
      <c r="K451" t="s">
        <v>200</v>
      </c>
      <c r="L451" t="s">
        <v>62</v>
      </c>
      <c r="M451">
        <v>10</v>
      </c>
      <c r="N451" t="s">
        <v>34</v>
      </c>
      <c r="O451">
        <v>4</v>
      </c>
      <c r="P451">
        <v>2</v>
      </c>
      <c r="Q451">
        <v>1</v>
      </c>
      <c r="R451">
        <v>5</v>
      </c>
      <c r="S451">
        <v>0</v>
      </c>
      <c r="T451">
        <v>3</v>
      </c>
      <c r="U451">
        <v>11</v>
      </c>
      <c r="V451" t="s">
        <v>2185</v>
      </c>
      <c r="W451" t="s">
        <v>34</v>
      </c>
    </row>
    <row r="452" spans="1:24" x14ac:dyDescent="0.25">
      <c r="A452" t="s">
        <v>2186</v>
      </c>
      <c r="B452" t="s">
        <v>2187</v>
      </c>
      <c r="C452" t="s">
        <v>26</v>
      </c>
      <c r="D452">
        <v>34</v>
      </c>
      <c r="E452" t="s">
        <v>94</v>
      </c>
      <c r="F452" t="s">
        <v>1013</v>
      </c>
      <c r="G452" t="s">
        <v>1753</v>
      </c>
      <c r="H452">
        <v>114116</v>
      </c>
      <c r="I452" t="s">
        <v>30</v>
      </c>
      <c r="J452" t="s">
        <v>61</v>
      </c>
      <c r="K452" t="s">
        <v>113</v>
      </c>
      <c r="L452" t="s">
        <v>43</v>
      </c>
      <c r="M452">
        <v>14</v>
      </c>
      <c r="N452" t="s">
        <v>34</v>
      </c>
      <c r="O452">
        <v>2</v>
      </c>
      <c r="Q452">
        <v>1</v>
      </c>
      <c r="R452">
        <v>2</v>
      </c>
      <c r="S452">
        <v>5</v>
      </c>
      <c r="T452">
        <v>2</v>
      </c>
      <c r="U452">
        <v>17</v>
      </c>
      <c r="V452" t="s">
        <v>2188</v>
      </c>
      <c r="W452" t="s">
        <v>34</v>
      </c>
    </row>
    <row r="453" spans="1:24" x14ac:dyDescent="0.25">
      <c r="A453" t="s">
        <v>2189</v>
      </c>
      <c r="B453" t="s">
        <v>2190</v>
      </c>
      <c r="C453" t="s">
        <v>49</v>
      </c>
      <c r="D453">
        <v>40</v>
      </c>
      <c r="E453" t="s">
        <v>27</v>
      </c>
      <c r="F453" t="s">
        <v>75</v>
      </c>
      <c r="G453" t="s">
        <v>2191</v>
      </c>
      <c r="H453">
        <v>74701</v>
      </c>
      <c r="I453" t="s">
        <v>30</v>
      </c>
      <c r="J453" t="s">
        <v>61</v>
      </c>
      <c r="K453" t="s">
        <v>54</v>
      </c>
      <c r="L453" t="s">
        <v>33</v>
      </c>
      <c r="M453">
        <v>45</v>
      </c>
      <c r="N453" t="s">
        <v>45</v>
      </c>
      <c r="O453">
        <v>2</v>
      </c>
      <c r="P453">
        <v>4</v>
      </c>
      <c r="Q453">
        <v>2</v>
      </c>
      <c r="R453">
        <v>3</v>
      </c>
      <c r="S453">
        <v>2</v>
      </c>
      <c r="T453">
        <v>2</v>
      </c>
      <c r="V453" t="s">
        <v>2192</v>
      </c>
      <c r="W453" t="s">
        <v>45</v>
      </c>
      <c r="X453" t="s">
        <v>2193</v>
      </c>
    </row>
    <row r="454" spans="1:24" x14ac:dyDescent="0.25">
      <c r="A454" t="s">
        <v>2194</v>
      </c>
      <c r="B454" t="s">
        <v>2195</v>
      </c>
      <c r="C454" t="s">
        <v>26</v>
      </c>
      <c r="E454" t="s">
        <v>38</v>
      </c>
      <c r="F454" t="s">
        <v>1963</v>
      </c>
      <c r="G454" t="s">
        <v>2196</v>
      </c>
      <c r="H454">
        <v>68845</v>
      </c>
      <c r="I454" t="s">
        <v>30</v>
      </c>
      <c r="J454" t="s">
        <v>31</v>
      </c>
      <c r="K454" t="s">
        <v>32</v>
      </c>
      <c r="L454" t="s">
        <v>43</v>
      </c>
      <c r="M454">
        <v>4</v>
      </c>
      <c r="N454" t="s">
        <v>34</v>
      </c>
      <c r="O454">
        <v>1</v>
      </c>
      <c r="P454">
        <v>1</v>
      </c>
      <c r="Q454">
        <v>4</v>
      </c>
      <c r="S454">
        <v>5</v>
      </c>
      <c r="T454">
        <v>6</v>
      </c>
      <c r="U454">
        <v>22</v>
      </c>
      <c r="V454" t="s">
        <v>2197</v>
      </c>
      <c r="W454" t="s">
        <v>45</v>
      </c>
      <c r="X454" t="s">
        <v>2198</v>
      </c>
    </row>
    <row r="455" spans="1:24" x14ac:dyDescent="0.25">
      <c r="A455" t="s">
        <v>2199</v>
      </c>
      <c r="B455" t="s">
        <v>2200</v>
      </c>
      <c r="C455" t="s">
        <v>81</v>
      </c>
      <c r="D455">
        <v>42</v>
      </c>
      <c r="E455" t="s">
        <v>197</v>
      </c>
      <c r="F455" t="s">
        <v>323</v>
      </c>
      <c r="G455" t="s">
        <v>2201</v>
      </c>
      <c r="H455">
        <v>102052</v>
      </c>
      <c r="I455" t="s">
        <v>52</v>
      </c>
      <c r="J455" t="s">
        <v>31</v>
      </c>
      <c r="K455" t="s">
        <v>131</v>
      </c>
      <c r="L455" t="s">
        <v>33</v>
      </c>
      <c r="M455">
        <v>28</v>
      </c>
      <c r="N455" t="s">
        <v>34</v>
      </c>
      <c r="O455">
        <v>2</v>
      </c>
      <c r="P455">
        <v>2</v>
      </c>
      <c r="Q455">
        <v>2</v>
      </c>
      <c r="R455">
        <v>5</v>
      </c>
      <c r="S455">
        <v>5</v>
      </c>
      <c r="T455">
        <v>7</v>
      </c>
      <c r="U455">
        <v>14</v>
      </c>
      <c r="V455" t="s">
        <v>2202</v>
      </c>
      <c r="W455" t="s">
        <v>45</v>
      </c>
      <c r="X455" t="s">
        <v>2203</v>
      </c>
    </row>
    <row r="456" spans="1:24" x14ac:dyDescent="0.25">
      <c r="A456" t="s">
        <v>2204</v>
      </c>
      <c r="B456" t="s">
        <v>2205</v>
      </c>
      <c r="C456" t="s">
        <v>87</v>
      </c>
      <c r="D456">
        <v>36</v>
      </c>
      <c r="E456" t="s">
        <v>128</v>
      </c>
      <c r="F456" t="s">
        <v>271</v>
      </c>
      <c r="G456" t="s">
        <v>2206</v>
      </c>
      <c r="H456">
        <v>78358</v>
      </c>
      <c r="I456" t="s">
        <v>42</v>
      </c>
      <c r="J456" t="s">
        <v>61</v>
      </c>
      <c r="K456" t="s">
        <v>200</v>
      </c>
      <c r="L456" t="s">
        <v>43</v>
      </c>
      <c r="M456">
        <v>12</v>
      </c>
      <c r="N456" t="s">
        <v>45</v>
      </c>
      <c r="O456">
        <v>4</v>
      </c>
      <c r="P456">
        <v>1</v>
      </c>
      <c r="Q456">
        <v>4</v>
      </c>
      <c r="R456">
        <v>4</v>
      </c>
      <c r="S456">
        <v>4</v>
      </c>
      <c r="T456">
        <v>8</v>
      </c>
      <c r="U456">
        <v>24</v>
      </c>
      <c r="W456" t="s">
        <v>34</v>
      </c>
    </row>
    <row r="457" spans="1:24" x14ac:dyDescent="0.25">
      <c r="A457" t="s">
        <v>2207</v>
      </c>
      <c r="B457" t="s">
        <v>2208</v>
      </c>
      <c r="C457" t="s">
        <v>73</v>
      </c>
      <c r="D457">
        <v>32</v>
      </c>
      <c r="E457" t="s">
        <v>88</v>
      </c>
      <c r="F457" t="s">
        <v>483</v>
      </c>
      <c r="G457" t="s">
        <v>2209</v>
      </c>
      <c r="H457" t="s">
        <v>2210</v>
      </c>
      <c r="I457" t="s">
        <v>42</v>
      </c>
      <c r="J457" t="s">
        <v>61</v>
      </c>
      <c r="K457" t="s">
        <v>77</v>
      </c>
      <c r="L457" t="s">
        <v>33</v>
      </c>
      <c r="M457">
        <v>29</v>
      </c>
      <c r="N457" t="s">
        <v>34</v>
      </c>
      <c r="O457">
        <v>4</v>
      </c>
      <c r="P457">
        <v>4</v>
      </c>
      <c r="Q457">
        <v>3</v>
      </c>
      <c r="R457">
        <v>3</v>
      </c>
      <c r="S457">
        <v>5</v>
      </c>
      <c r="T457">
        <v>6</v>
      </c>
      <c r="U457">
        <v>21</v>
      </c>
      <c r="V457" t="s">
        <v>2211</v>
      </c>
      <c r="W457" t="s">
        <v>34</v>
      </c>
    </row>
    <row r="458" spans="1:24" x14ac:dyDescent="0.25">
      <c r="A458" t="s">
        <v>2212</v>
      </c>
      <c r="B458" t="s">
        <v>2213</v>
      </c>
      <c r="C458" t="s">
        <v>67</v>
      </c>
      <c r="D458">
        <v>42</v>
      </c>
      <c r="E458" t="s">
        <v>572</v>
      </c>
      <c r="F458" t="s">
        <v>884</v>
      </c>
      <c r="G458" t="s">
        <v>2214</v>
      </c>
      <c r="H458">
        <v>94992</v>
      </c>
      <c r="I458" t="s">
        <v>52</v>
      </c>
      <c r="K458" t="s">
        <v>32</v>
      </c>
      <c r="L458" t="s">
        <v>62</v>
      </c>
      <c r="M458">
        <v>16</v>
      </c>
      <c r="N458" t="s">
        <v>34</v>
      </c>
      <c r="O458">
        <v>4</v>
      </c>
      <c r="P458">
        <v>4</v>
      </c>
      <c r="Q458">
        <v>1</v>
      </c>
      <c r="R458">
        <v>3</v>
      </c>
      <c r="S458">
        <v>4</v>
      </c>
      <c r="T458">
        <v>3</v>
      </c>
      <c r="U458">
        <v>15</v>
      </c>
      <c r="V458" t="s">
        <v>2215</v>
      </c>
      <c r="W458" t="s">
        <v>34</v>
      </c>
    </row>
    <row r="459" spans="1:24" x14ac:dyDescent="0.25">
      <c r="A459" t="s">
        <v>2216</v>
      </c>
      <c r="B459" t="s">
        <v>2217</v>
      </c>
      <c r="C459" t="s">
        <v>26</v>
      </c>
      <c r="D459">
        <v>20</v>
      </c>
      <c r="E459" t="s">
        <v>94</v>
      </c>
      <c r="F459" t="s">
        <v>639</v>
      </c>
      <c r="G459" t="s">
        <v>2218</v>
      </c>
      <c r="H459">
        <v>82103</v>
      </c>
      <c r="I459" t="s">
        <v>42</v>
      </c>
      <c r="J459" t="s">
        <v>31</v>
      </c>
      <c r="K459" t="s">
        <v>77</v>
      </c>
      <c r="L459" t="s">
        <v>43</v>
      </c>
      <c r="M459">
        <v>27</v>
      </c>
      <c r="N459" t="s">
        <v>45</v>
      </c>
      <c r="O459">
        <v>1</v>
      </c>
      <c r="P459">
        <v>1</v>
      </c>
      <c r="Q459">
        <v>3</v>
      </c>
      <c r="S459">
        <v>0</v>
      </c>
      <c r="V459" t="s">
        <v>2219</v>
      </c>
      <c r="W459" t="s">
        <v>45</v>
      </c>
      <c r="X459" t="s">
        <v>2220</v>
      </c>
    </row>
    <row r="460" spans="1:24" x14ac:dyDescent="0.25">
      <c r="A460" t="s">
        <v>2221</v>
      </c>
      <c r="B460" t="s">
        <v>2222</v>
      </c>
      <c r="C460" t="s">
        <v>26</v>
      </c>
      <c r="D460">
        <v>53</v>
      </c>
      <c r="E460" t="s">
        <v>27</v>
      </c>
      <c r="F460" t="s">
        <v>50</v>
      </c>
      <c r="G460" t="s">
        <v>2223</v>
      </c>
      <c r="H460">
        <v>90033</v>
      </c>
      <c r="I460" t="s">
        <v>42</v>
      </c>
      <c r="J460" t="s">
        <v>31</v>
      </c>
      <c r="K460" t="s">
        <v>98</v>
      </c>
      <c r="L460" t="s">
        <v>43</v>
      </c>
      <c r="M460">
        <v>11</v>
      </c>
      <c r="N460" t="s">
        <v>34</v>
      </c>
      <c r="P460">
        <v>4</v>
      </c>
      <c r="Q460">
        <v>3</v>
      </c>
      <c r="R460">
        <v>5</v>
      </c>
      <c r="S460">
        <v>4</v>
      </c>
      <c r="T460">
        <v>3</v>
      </c>
      <c r="U460">
        <v>14</v>
      </c>
      <c r="V460" t="s">
        <v>2224</v>
      </c>
      <c r="W460" t="s">
        <v>34</v>
      </c>
    </row>
    <row r="461" spans="1:24" x14ac:dyDescent="0.25">
      <c r="A461" t="s">
        <v>2225</v>
      </c>
      <c r="B461" t="s">
        <v>2226</v>
      </c>
      <c r="C461" t="s">
        <v>81</v>
      </c>
      <c r="D461">
        <v>36</v>
      </c>
      <c r="E461" t="s">
        <v>88</v>
      </c>
      <c r="F461" t="s">
        <v>2227</v>
      </c>
      <c r="G461" t="s">
        <v>2228</v>
      </c>
      <c r="H461">
        <v>58348</v>
      </c>
      <c r="I461" t="s">
        <v>52</v>
      </c>
      <c r="J461" t="s">
        <v>61</v>
      </c>
      <c r="K461" t="s">
        <v>167</v>
      </c>
      <c r="L461" t="s">
        <v>43</v>
      </c>
      <c r="M461">
        <v>33</v>
      </c>
      <c r="N461" t="s">
        <v>34</v>
      </c>
      <c r="O461">
        <v>3</v>
      </c>
      <c r="P461">
        <v>3</v>
      </c>
      <c r="Q461">
        <v>1</v>
      </c>
      <c r="R461">
        <v>3</v>
      </c>
      <c r="S461">
        <v>0</v>
      </c>
      <c r="U461">
        <v>16</v>
      </c>
      <c r="V461" t="s">
        <v>2229</v>
      </c>
      <c r="W461" t="s">
        <v>34</v>
      </c>
    </row>
    <row r="462" spans="1:24" x14ac:dyDescent="0.25">
      <c r="A462" t="s">
        <v>2230</v>
      </c>
      <c r="B462" t="s">
        <v>2231</v>
      </c>
      <c r="C462" t="s">
        <v>26</v>
      </c>
      <c r="D462">
        <v>28</v>
      </c>
      <c r="E462" t="s">
        <v>27</v>
      </c>
      <c r="F462" t="s">
        <v>59</v>
      </c>
      <c r="G462" t="s">
        <v>2232</v>
      </c>
      <c r="H462">
        <v>93265</v>
      </c>
      <c r="I462" t="s">
        <v>42</v>
      </c>
      <c r="J462" t="s">
        <v>31</v>
      </c>
      <c r="K462" t="s">
        <v>77</v>
      </c>
      <c r="L462" t="s">
        <v>62</v>
      </c>
      <c r="M462">
        <v>40</v>
      </c>
      <c r="N462" t="s">
        <v>34</v>
      </c>
      <c r="O462">
        <v>1</v>
      </c>
      <c r="P462">
        <v>2</v>
      </c>
      <c r="Q462">
        <v>3</v>
      </c>
      <c r="S462">
        <v>4</v>
      </c>
      <c r="T462">
        <v>3</v>
      </c>
      <c r="U462">
        <v>25</v>
      </c>
      <c r="V462" t="s">
        <v>2233</v>
      </c>
      <c r="W462" t="s">
        <v>45</v>
      </c>
      <c r="X462" t="s">
        <v>2234</v>
      </c>
    </row>
    <row r="463" spans="1:24" x14ac:dyDescent="0.25">
      <c r="A463" t="s">
        <v>2235</v>
      </c>
      <c r="B463" t="s">
        <v>2236</v>
      </c>
      <c r="C463" t="s">
        <v>73</v>
      </c>
      <c r="D463">
        <v>35</v>
      </c>
      <c r="E463" t="s">
        <v>128</v>
      </c>
      <c r="F463" t="s">
        <v>255</v>
      </c>
      <c r="G463" t="s">
        <v>2237</v>
      </c>
      <c r="H463">
        <v>100628</v>
      </c>
      <c r="I463" t="s">
        <v>42</v>
      </c>
      <c r="J463" t="s">
        <v>53</v>
      </c>
      <c r="K463" t="s">
        <v>77</v>
      </c>
      <c r="L463" t="s">
        <v>33</v>
      </c>
      <c r="M463">
        <v>10</v>
      </c>
      <c r="N463" t="s">
        <v>34</v>
      </c>
      <c r="O463">
        <v>4</v>
      </c>
      <c r="P463">
        <v>4</v>
      </c>
      <c r="Q463">
        <v>3</v>
      </c>
      <c r="R463">
        <v>4</v>
      </c>
      <c r="S463">
        <v>2</v>
      </c>
      <c r="T463">
        <v>4</v>
      </c>
      <c r="U463">
        <v>18</v>
      </c>
      <c r="V463" t="s">
        <v>2238</v>
      </c>
      <c r="W463" t="s">
        <v>34</v>
      </c>
    </row>
    <row r="464" spans="1:24" x14ac:dyDescent="0.25">
      <c r="A464" t="s">
        <v>2239</v>
      </c>
      <c r="B464" t="s">
        <v>2240</v>
      </c>
      <c r="C464" t="s">
        <v>58</v>
      </c>
      <c r="D464">
        <v>19</v>
      </c>
      <c r="E464" t="s">
        <v>94</v>
      </c>
      <c r="F464" t="s">
        <v>266</v>
      </c>
      <c r="G464" t="s">
        <v>2241</v>
      </c>
      <c r="H464">
        <v>123828</v>
      </c>
      <c r="I464" t="s">
        <v>52</v>
      </c>
      <c r="J464" t="s">
        <v>143</v>
      </c>
      <c r="K464" t="s">
        <v>98</v>
      </c>
      <c r="L464" t="s">
        <v>33</v>
      </c>
      <c r="M464">
        <v>28</v>
      </c>
      <c r="N464" t="s">
        <v>34</v>
      </c>
      <c r="O464">
        <v>1</v>
      </c>
      <c r="P464">
        <v>1</v>
      </c>
      <c r="R464">
        <v>5</v>
      </c>
      <c r="S464">
        <v>6</v>
      </c>
      <c r="T464">
        <v>6</v>
      </c>
      <c r="V464" t="s">
        <v>2242</v>
      </c>
      <c r="W464" t="s">
        <v>45</v>
      </c>
      <c r="X464" t="s">
        <v>2243</v>
      </c>
    </row>
    <row r="465" spans="1:24" x14ac:dyDescent="0.25">
      <c r="A465" t="s">
        <v>2244</v>
      </c>
      <c r="B465" t="s">
        <v>2245</v>
      </c>
      <c r="C465" t="s">
        <v>67</v>
      </c>
      <c r="D465">
        <v>35</v>
      </c>
      <c r="E465" t="s">
        <v>609</v>
      </c>
      <c r="F465" t="s">
        <v>306</v>
      </c>
      <c r="G465" t="s">
        <v>2246</v>
      </c>
      <c r="H465" t="s">
        <v>2247</v>
      </c>
      <c r="I465" t="s">
        <v>30</v>
      </c>
      <c r="J465" t="s">
        <v>61</v>
      </c>
      <c r="K465" t="s">
        <v>167</v>
      </c>
      <c r="L465" t="s">
        <v>43</v>
      </c>
      <c r="M465">
        <v>10</v>
      </c>
      <c r="N465" t="s">
        <v>45</v>
      </c>
      <c r="O465">
        <v>4</v>
      </c>
      <c r="P465">
        <v>3</v>
      </c>
      <c r="Q465">
        <v>2</v>
      </c>
      <c r="R465">
        <v>2</v>
      </c>
      <c r="S465">
        <v>4</v>
      </c>
      <c r="T465">
        <v>2</v>
      </c>
      <c r="U465">
        <v>15</v>
      </c>
      <c r="V465" t="s">
        <v>2248</v>
      </c>
      <c r="W465" t="s">
        <v>34</v>
      </c>
    </row>
    <row r="466" spans="1:24" x14ac:dyDescent="0.25">
      <c r="A466" t="s">
        <v>2249</v>
      </c>
      <c r="B466" t="s">
        <v>2250</v>
      </c>
      <c r="C466" t="s">
        <v>26</v>
      </c>
      <c r="D466">
        <v>45</v>
      </c>
      <c r="E466" t="s">
        <v>572</v>
      </c>
      <c r="F466" t="s">
        <v>323</v>
      </c>
      <c r="G466" t="s">
        <v>2251</v>
      </c>
      <c r="H466" t="s">
        <v>2252</v>
      </c>
      <c r="I466" t="s">
        <v>42</v>
      </c>
      <c r="J466" t="s">
        <v>31</v>
      </c>
      <c r="K466" t="s">
        <v>106</v>
      </c>
      <c r="L466" t="s">
        <v>62</v>
      </c>
      <c r="M466">
        <v>17</v>
      </c>
      <c r="N466" t="s">
        <v>45</v>
      </c>
      <c r="O466">
        <v>2</v>
      </c>
      <c r="P466">
        <v>4</v>
      </c>
      <c r="Q466">
        <v>1</v>
      </c>
      <c r="R466">
        <v>3</v>
      </c>
      <c r="S466">
        <v>3</v>
      </c>
      <c r="T466">
        <v>4</v>
      </c>
      <c r="U466">
        <v>24</v>
      </c>
      <c r="V466" t="s">
        <v>2253</v>
      </c>
      <c r="W466" t="s">
        <v>45</v>
      </c>
      <c r="X466" t="s">
        <v>2254</v>
      </c>
    </row>
    <row r="467" spans="1:24" x14ac:dyDescent="0.25">
      <c r="A467" t="s">
        <v>2255</v>
      </c>
      <c r="B467" t="s">
        <v>2256</v>
      </c>
      <c r="C467" t="s">
        <v>58</v>
      </c>
      <c r="D467">
        <v>35</v>
      </c>
      <c r="E467" t="s">
        <v>197</v>
      </c>
      <c r="F467" t="s">
        <v>323</v>
      </c>
      <c r="G467" t="s">
        <v>2257</v>
      </c>
      <c r="H467">
        <v>91218</v>
      </c>
      <c r="I467" t="s">
        <v>52</v>
      </c>
      <c r="J467" t="s">
        <v>31</v>
      </c>
      <c r="K467" t="s">
        <v>113</v>
      </c>
      <c r="L467" t="s">
        <v>43</v>
      </c>
      <c r="M467">
        <v>14</v>
      </c>
      <c r="N467" t="s">
        <v>34</v>
      </c>
      <c r="O467">
        <v>2</v>
      </c>
      <c r="P467">
        <v>3</v>
      </c>
      <c r="Q467">
        <v>3</v>
      </c>
      <c r="R467">
        <v>5</v>
      </c>
      <c r="S467">
        <v>2</v>
      </c>
      <c r="T467">
        <v>8</v>
      </c>
      <c r="U467">
        <v>25</v>
      </c>
      <c r="V467" t="s">
        <v>2258</v>
      </c>
      <c r="W467" t="s">
        <v>34</v>
      </c>
    </row>
    <row r="468" spans="1:24" x14ac:dyDescent="0.25">
      <c r="A468" t="s">
        <v>2259</v>
      </c>
      <c r="B468" t="s">
        <v>2260</v>
      </c>
      <c r="C468" t="s">
        <v>58</v>
      </c>
      <c r="D468">
        <v>37</v>
      </c>
      <c r="E468" t="s">
        <v>629</v>
      </c>
      <c r="F468" t="s">
        <v>226</v>
      </c>
      <c r="G468" t="s">
        <v>2261</v>
      </c>
      <c r="H468" t="s">
        <v>2262</v>
      </c>
      <c r="I468" t="s">
        <v>52</v>
      </c>
      <c r="J468" t="s">
        <v>61</v>
      </c>
      <c r="K468" t="s">
        <v>77</v>
      </c>
      <c r="L468" t="s">
        <v>43</v>
      </c>
      <c r="M468">
        <v>40</v>
      </c>
      <c r="N468" t="s">
        <v>34</v>
      </c>
      <c r="O468">
        <v>3</v>
      </c>
      <c r="P468">
        <v>2</v>
      </c>
      <c r="Q468">
        <v>1</v>
      </c>
      <c r="R468">
        <v>3</v>
      </c>
      <c r="S468">
        <v>6</v>
      </c>
      <c r="T468">
        <v>2</v>
      </c>
      <c r="U468">
        <v>16</v>
      </c>
      <c r="V468" t="s">
        <v>2263</v>
      </c>
      <c r="W468" t="s">
        <v>34</v>
      </c>
    </row>
    <row r="469" spans="1:24" x14ac:dyDescent="0.25">
      <c r="A469" t="s">
        <v>2264</v>
      </c>
      <c r="B469" t="s">
        <v>2265</v>
      </c>
      <c r="C469" t="s">
        <v>73</v>
      </c>
      <c r="D469">
        <v>36</v>
      </c>
      <c r="E469" t="s">
        <v>38</v>
      </c>
      <c r="F469" t="s">
        <v>1963</v>
      </c>
      <c r="G469" t="s">
        <v>2266</v>
      </c>
      <c r="H469">
        <v>67215</v>
      </c>
      <c r="I469" t="s">
        <v>42</v>
      </c>
      <c r="J469" t="s">
        <v>31</v>
      </c>
      <c r="K469" t="s">
        <v>113</v>
      </c>
      <c r="L469" t="s">
        <v>33</v>
      </c>
      <c r="M469">
        <v>40</v>
      </c>
      <c r="N469" t="s">
        <v>34</v>
      </c>
      <c r="O469">
        <v>4</v>
      </c>
      <c r="P469">
        <v>3</v>
      </c>
      <c r="Q469">
        <v>1</v>
      </c>
      <c r="R469">
        <v>2</v>
      </c>
      <c r="S469">
        <v>0</v>
      </c>
      <c r="T469">
        <v>1</v>
      </c>
      <c r="U469">
        <v>20</v>
      </c>
      <c r="V469" t="s">
        <v>2267</v>
      </c>
      <c r="W469" t="s">
        <v>34</v>
      </c>
    </row>
    <row r="470" spans="1:24" x14ac:dyDescent="0.25">
      <c r="A470" t="s">
        <v>2268</v>
      </c>
      <c r="B470" t="s">
        <v>2269</v>
      </c>
      <c r="C470" t="s">
        <v>26</v>
      </c>
      <c r="D470">
        <v>39</v>
      </c>
      <c r="E470" t="s">
        <v>706</v>
      </c>
      <c r="F470" t="s">
        <v>356</v>
      </c>
      <c r="G470" t="s">
        <v>2270</v>
      </c>
      <c r="H470">
        <v>84049</v>
      </c>
      <c r="I470" t="s">
        <v>52</v>
      </c>
      <c r="J470" t="s">
        <v>53</v>
      </c>
      <c r="K470" t="s">
        <v>54</v>
      </c>
      <c r="L470" t="s">
        <v>43</v>
      </c>
      <c r="M470">
        <v>13</v>
      </c>
      <c r="N470" t="s">
        <v>34</v>
      </c>
      <c r="O470">
        <v>2</v>
      </c>
      <c r="P470">
        <v>3</v>
      </c>
      <c r="Q470">
        <v>1</v>
      </c>
      <c r="S470">
        <v>5</v>
      </c>
      <c r="T470">
        <v>6</v>
      </c>
      <c r="U470">
        <v>24</v>
      </c>
      <c r="V470" t="s">
        <v>2271</v>
      </c>
      <c r="W470" t="s">
        <v>45</v>
      </c>
      <c r="X470" t="s">
        <v>2272</v>
      </c>
    </row>
    <row r="471" spans="1:24" x14ac:dyDescent="0.25">
      <c r="A471" t="s">
        <v>2273</v>
      </c>
      <c r="B471" t="s">
        <v>2274</v>
      </c>
      <c r="C471" t="s">
        <v>87</v>
      </c>
      <c r="E471" t="s">
        <v>94</v>
      </c>
      <c r="F471" t="s">
        <v>356</v>
      </c>
      <c r="G471" t="s">
        <v>2275</v>
      </c>
      <c r="H471" t="s">
        <v>2276</v>
      </c>
      <c r="I471" t="s">
        <v>52</v>
      </c>
      <c r="J471" t="s">
        <v>61</v>
      </c>
      <c r="L471" t="s">
        <v>33</v>
      </c>
      <c r="M471">
        <v>38</v>
      </c>
      <c r="N471" t="s">
        <v>34</v>
      </c>
      <c r="O471">
        <v>2</v>
      </c>
      <c r="P471">
        <v>4</v>
      </c>
      <c r="Q471">
        <v>2</v>
      </c>
      <c r="R471">
        <v>3</v>
      </c>
      <c r="S471">
        <v>6</v>
      </c>
      <c r="T471">
        <v>6</v>
      </c>
      <c r="U471">
        <v>15</v>
      </c>
      <c r="V471" t="s">
        <v>2277</v>
      </c>
      <c r="W471" t="s">
        <v>45</v>
      </c>
      <c r="X471" t="s">
        <v>2278</v>
      </c>
    </row>
    <row r="472" spans="1:24" x14ac:dyDescent="0.25">
      <c r="A472" t="s">
        <v>2279</v>
      </c>
      <c r="B472" t="s">
        <v>2280</v>
      </c>
      <c r="C472" t="s">
        <v>73</v>
      </c>
      <c r="D472">
        <v>29</v>
      </c>
      <c r="E472" t="s">
        <v>94</v>
      </c>
      <c r="F472" t="s">
        <v>639</v>
      </c>
      <c r="G472" t="s">
        <v>2281</v>
      </c>
      <c r="H472">
        <v>59183</v>
      </c>
      <c r="I472" t="s">
        <v>42</v>
      </c>
      <c r="J472" t="s">
        <v>61</v>
      </c>
      <c r="K472" t="s">
        <v>32</v>
      </c>
      <c r="L472" t="s">
        <v>62</v>
      </c>
      <c r="M472">
        <v>38</v>
      </c>
      <c r="N472" t="s">
        <v>34</v>
      </c>
      <c r="O472">
        <v>2</v>
      </c>
      <c r="P472">
        <v>4</v>
      </c>
      <c r="Q472">
        <v>4</v>
      </c>
      <c r="R472">
        <v>4</v>
      </c>
      <c r="S472">
        <v>3</v>
      </c>
      <c r="T472">
        <v>3</v>
      </c>
      <c r="U472">
        <v>21</v>
      </c>
      <c r="V472" t="s">
        <v>2282</v>
      </c>
      <c r="W472" t="s">
        <v>34</v>
      </c>
    </row>
    <row r="473" spans="1:24" x14ac:dyDescent="0.25">
      <c r="A473" t="s">
        <v>2283</v>
      </c>
      <c r="B473" t="s">
        <v>2284</v>
      </c>
      <c r="C473" t="s">
        <v>102</v>
      </c>
      <c r="D473">
        <v>29</v>
      </c>
      <c r="E473" t="s">
        <v>197</v>
      </c>
      <c r="F473" t="s">
        <v>573</v>
      </c>
      <c r="G473" t="s">
        <v>2285</v>
      </c>
      <c r="H473">
        <v>108479</v>
      </c>
      <c r="I473" t="s">
        <v>30</v>
      </c>
      <c r="J473" t="s">
        <v>61</v>
      </c>
      <c r="K473" t="s">
        <v>106</v>
      </c>
      <c r="L473" t="s">
        <v>43</v>
      </c>
      <c r="M473">
        <v>40</v>
      </c>
      <c r="N473" t="s">
        <v>34</v>
      </c>
      <c r="O473">
        <v>4</v>
      </c>
      <c r="P473">
        <v>2</v>
      </c>
      <c r="Q473">
        <v>4</v>
      </c>
      <c r="R473">
        <v>3</v>
      </c>
      <c r="S473">
        <v>1</v>
      </c>
      <c r="T473">
        <v>7</v>
      </c>
      <c r="U473">
        <v>19</v>
      </c>
      <c r="V473" t="s">
        <v>2286</v>
      </c>
      <c r="W473" t="s">
        <v>34</v>
      </c>
    </row>
    <row r="474" spans="1:24" x14ac:dyDescent="0.25">
      <c r="A474" t="s">
        <v>2287</v>
      </c>
      <c r="B474" t="s">
        <v>2288</v>
      </c>
      <c r="C474" t="s">
        <v>102</v>
      </c>
      <c r="D474">
        <v>36</v>
      </c>
      <c r="E474" t="s">
        <v>609</v>
      </c>
      <c r="F474" t="s">
        <v>306</v>
      </c>
      <c r="G474" t="s">
        <v>2289</v>
      </c>
      <c r="H474">
        <v>129523</v>
      </c>
      <c r="I474" t="s">
        <v>30</v>
      </c>
      <c r="K474" t="s">
        <v>32</v>
      </c>
      <c r="L474" t="s">
        <v>43</v>
      </c>
      <c r="M474">
        <v>15</v>
      </c>
      <c r="N474" t="s">
        <v>34</v>
      </c>
      <c r="O474">
        <v>2</v>
      </c>
      <c r="P474">
        <v>3</v>
      </c>
      <c r="Q474">
        <v>1</v>
      </c>
      <c r="R474">
        <v>2</v>
      </c>
      <c r="S474">
        <v>5</v>
      </c>
      <c r="T474">
        <v>2</v>
      </c>
      <c r="U474">
        <v>20</v>
      </c>
      <c r="V474" t="s">
        <v>2290</v>
      </c>
      <c r="W474" t="s">
        <v>34</v>
      </c>
    </row>
    <row r="475" spans="1:24" x14ac:dyDescent="0.25">
      <c r="A475" t="s">
        <v>2291</v>
      </c>
      <c r="B475" t="s">
        <v>2292</v>
      </c>
      <c r="C475" t="s">
        <v>67</v>
      </c>
      <c r="D475">
        <v>26</v>
      </c>
      <c r="E475" t="s">
        <v>27</v>
      </c>
      <c r="F475" t="s">
        <v>59</v>
      </c>
      <c r="G475" t="s">
        <v>2293</v>
      </c>
      <c r="H475">
        <v>87765</v>
      </c>
      <c r="I475" t="s">
        <v>52</v>
      </c>
      <c r="J475" t="s">
        <v>61</v>
      </c>
      <c r="K475" t="s">
        <v>77</v>
      </c>
      <c r="L475" t="s">
        <v>62</v>
      </c>
      <c r="M475">
        <v>23</v>
      </c>
      <c r="N475" t="s">
        <v>34</v>
      </c>
      <c r="O475">
        <v>4</v>
      </c>
      <c r="P475">
        <v>1</v>
      </c>
      <c r="Q475">
        <v>3</v>
      </c>
      <c r="R475">
        <v>3</v>
      </c>
      <c r="S475">
        <v>0</v>
      </c>
      <c r="T475">
        <v>4</v>
      </c>
      <c r="U475">
        <v>15</v>
      </c>
      <c r="V475" t="s">
        <v>2294</v>
      </c>
      <c r="W475" t="s">
        <v>34</v>
      </c>
    </row>
    <row r="476" spans="1:24" x14ac:dyDescent="0.25">
      <c r="A476" t="s">
        <v>2295</v>
      </c>
      <c r="B476" t="s">
        <v>2296</v>
      </c>
      <c r="C476" t="s">
        <v>81</v>
      </c>
      <c r="D476">
        <v>35</v>
      </c>
      <c r="E476" t="s">
        <v>88</v>
      </c>
      <c r="F476" t="s">
        <v>261</v>
      </c>
      <c r="G476" t="s">
        <v>2297</v>
      </c>
      <c r="H476">
        <v>89896</v>
      </c>
      <c r="I476" t="s">
        <v>52</v>
      </c>
      <c r="J476" t="s">
        <v>143</v>
      </c>
      <c r="K476" t="s">
        <v>167</v>
      </c>
      <c r="L476" t="s">
        <v>33</v>
      </c>
      <c r="M476">
        <v>41</v>
      </c>
      <c r="N476" t="s">
        <v>34</v>
      </c>
      <c r="O476">
        <v>2</v>
      </c>
      <c r="P476">
        <v>2</v>
      </c>
      <c r="Q476">
        <v>1</v>
      </c>
      <c r="R476">
        <v>3</v>
      </c>
      <c r="S476">
        <v>0</v>
      </c>
      <c r="T476">
        <v>1</v>
      </c>
      <c r="U476">
        <v>19</v>
      </c>
      <c r="W476" t="s">
        <v>45</v>
      </c>
      <c r="X476" t="s">
        <v>2298</v>
      </c>
    </row>
    <row r="477" spans="1:24" x14ac:dyDescent="0.25">
      <c r="A477" t="s">
        <v>2299</v>
      </c>
      <c r="B477" t="s">
        <v>2300</v>
      </c>
      <c r="C477" t="s">
        <v>67</v>
      </c>
      <c r="D477">
        <v>34</v>
      </c>
      <c r="E477" t="s">
        <v>94</v>
      </c>
      <c r="F477" t="s">
        <v>356</v>
      </c>
      <c r="G477" t="s">
        <v>2301</v>
      </c>
      <c r="H477">
        <v>74816</v>
      </c>
      <c r="I477" t="s">
        <v>30</v>
      </c>
      <c r="J477" t="s">
        <v>61</v>
      </c>
      <c r="K477" t="s">
        <v>77</v>
      </c>
      <c r="L477" t="s">
        <v>43</v>
      </c>
      <c r="M477">
        <v>24</v>
      </c>
      <c r="N477" t="s">
        <v>45</v>
      </c>
      <c r="O477">
        <v>1</v>
      </c>
      <c r="P477">
        <v>2</v>
      </c>
      <c r="Q477">
        <v>3</v>
      </c>
      <c r="R477">
        <v>2</v>
      </c>
      <c r="S477">
        <v>3</v>
      </c>
      <c r="T477">
        <v>6</v>
      </c>
      <c r="U477">
        <v>14</v>
      </c>
      <c r="V477" t="s">
        <v>2302</v>
      </c>
      <c r="W477" t="s">
        <v>45</v>
      </c>
      <c r="X477" t="s">
        <v>2303</v>
      </c>
    </row>
    <row r="478" spans="1:24" x14ac:dyDescent="0.25">
      <c r="A478" t="s">
        <v>2304</v>
      </c>
      <c r="B478" t="s">
        <v>2305</v>
      </c>
      <c r="C478" t="s">
        <v>58</v>
      </c>
      <c r="D478">
        <v>28</v>
      </c>
      <c r="E478" t="s">
        <v>88</v>
      </c>
      <c r="F478" t="s">
        <v>249</v>
      </c>
      <c r="G478" t="s">
        <v>2306</v>
      </c>
      <c r="H478" t="s">
        <v>2307</v>
      </c>
      <c r="I478" t="s">
        <v>42</v>
      </c>
      <c r="K478" t="s">
        <v>83</v>
      </c>
      <c r="L478" t="s">
        <v>33</v>
      </c>
      <c r="M478">
        <v>22</v>
      </c>
      <c r="N478" t="s">
        <v>34</v>
      </c>
      <c r="O478">
        <v>4</v>
      </c>
      <c r="P478">
        <v>1</v>
      </c>
      <c r="S478">
        <v>6</v>
      </c>
      <c r="T478">
        <v>2</v>
      </c>
      <c r="U478">
        <v>17</v>
      </c>
      <c r="V478" t="s">
        <v>2308</v>
      </c>
      <c r="W478" t="s">
        <v>34</v>
      </c>
    </row>
    <row r="479" spans="1:24" x14ac:dyDescent="0.25">
      <c r="A479" t="s">
        <v>2309</v>
      </c>
      <c r="B479" t="s">
        <v>2310</v>
      </c>
      <c r="C479" t="s">
        <v>87</v>
      </c>
      <c r="D479">
        <v>50</v>
      </c>
      <c r="E479" t="s">
        <v>197</v>
      </c>
      <c r="F479" t="s">
        <v>573</v>
      </c>
      <c r="G479" t="s">
        <v>2311</v>
      </c>
      <c r="H479">
        <v>73478</v>
      </c>
      <c r="I479" t="s">
        <v>42</v>
      </c>
      <c r="J479" t="s">
        <v>53</v>
      </c>
      <c r="K479" t="s">
        <v>113</v>
      </c>
      <c r="L479" t="s">
        <v>43</v>
      </c>
      <c r="M479">
        <v>30</v>
      </c>
      <c r="N479" t="s">
        <v>34</v>
      </c>
      <c r="O479">
        <v>1</v>
      </c>
      <c r="P479">
        <v>2</v>
      </c>
      <c r="Q479">
        <v>2</v>
      </c>
      <c r="R479">
        <v>5</v>
      </c>
      <c r="S479">
        <v>5</v>
      </c>
      <c r="T479">
        <v>2</v>
      </c>
      <c r="U479">
        <v>14</v>
      </c>
      <c r="V479" t="s">
        <v>2312</v>
      </c>
      <c r="W479" t="s">
        <v>45</v>
      </c>
      <c r="X479" t="s">
        <v>2313</v>
      </c>
    </row>
    <row r="480" spans="1:24" x14ac:dyDescent="0.25">
      <c r="A480" t="s">
        <v>2314</v>
      </c>
      <c r="B480" t="s">
        <v>2315</v>
      </c>
      <c r="C480" t="s">
        <v>58</v>
      </c>
      <c r="D480">
        <v>39</v>
      </c>
      <c r="E480" t="s">
        <v>94</v>
      </c>
      <c r="F480" t="s">
        <v>266</v>
      </c>
      <c r="G480" t="s">
        <v>2316</v>
      </c>
      <c r="H480">
        <v>72904</v>
      </c>
      <c r="I480" t="s">
        <v>30</v>
      </c>
      <c r="J480" t="s">
        <v>61</v>
      </c>
      <c r="K480" t="s">
        <v>83</v>
      </c>
      <c r="L480" t="s">
        <v>33</v>
      </c>
      <c r="M480">
        <v>42</v>
      </c>
      <c r="N480" t="s">
        <v>34</v>
      </c>
      <c r="O480">
        <v>4</v>
      </c>
      <c r="P480">
        <v>3</v>
      </c>
      <c r="Q480">
        <v>3</v>
      </c>
      <c r="R480">
        <v>3</v>
      </c>
      <c r="S480">
        <v>5</v>
      </c>
      <c r="T480">
        <v>4</v>
      </c>
      <c r="U480">
        <v>16</v>
      </c>
      <c r="V480" t="s">
        <v>2317</v>
      </c>
      <c r="W480" t="s">
        <v>34</v>
      </c>
    </row>
    <row r="481" spans="1:24" x14ac:dyDescent="0.25">
      <c r="A481" t="s">
        <v>2318</v>
      </c>
      <c r="B481" t="s">
        <v>2319</v>
      </c>
      <c r="C481" t="s">
        <v>102</v>
      </c>
      <c r="D481">
        <v>30</v>
      </c>
      <c r="E481" t="s">
        <v>579</v>
      </c>
      <c r="F481" t="s">
        <v>261</v>
      </c>
      <c r="G481" t="s">
        <v>2320</v>
      </c>
      <c r="H481">
        <v>74189</v>
      </c>
      <c r="I481" t="s">
        <v>30</v>
      </c>
      <c r="J481" t="s">
        <v>143</v>
      </c>
      <c r="L481" t="s">
        <v>62</v>
      </c>
      <c r="M481">
        <v>44</v>
      </c>
      <c r="N481" t="s">
        <v>34</v>
      </c>
      <c r="O481">
        <v>2</v>
      </c>
      <c r="P481">
        <v>1</v>
      </c>
      <c r="Q481">
        <v>3</v>
      </c>
      <c r="R481">
        <v>3</v>
      </c>
      <c r="T481">
        <v>0</v>
      </c>
      <c r="U481">
        <v>23</v>
      </c>
      <c r="V481" t="s">
        <v>2321</v>
      </c>
      <c r="W481" t="s">
        <v>45</v>
      </c>
      <c r="X481" t="s">
        <v>2322</v>
      </c>
    </row>
    <row r="482" spans="1:24" x14ac:dyDescent="0.25">
      <c r="A482" t="s">
        <v>2323</v>
      </c>
      <c r="B482" t="s">
        <v>2324</v>
      </c>
      <c r="C482" t="s">
        <v>67</v>
      </c>
      <c r="D482">
        <v>23</v>
      </c>
      <c r="E482" t="s">
        <v>27</v>
      </c>
      <c r="F482" t="s">
        <v>50</v>
      </c>
      <c r="G482" t="s">
        <v>2325</v>
      </c>
      <c r="H482">
        <v>95356</v>
      </c>
      <c r="I482" t="s">
        <v>52</v>
      </c>
      <c r="J482" t="s">
        <v>61</v>
      </c>
      <c r="K482" t="s">
        <v>98</v>
      </c>
      <c r="L482" t="s">
        <v>62</v>
      </c>
      <c r="M482">
        <v>32</v>
      </c>
      <c r="N482" t="s">
        <v>34</v>
      </c>
      <c r="O482">
        <v>4</v>
      </c>
      <c r="P482">
        <v>3</v>
      </c>
      <c r="Q482">
        <v>1</v>
      </c>
      <c r="R482">
        <v>3</v>
      </c>
      <c r="S482">
        <v>0</v>
      </c>
      <c r="T482">
        <v>1</v>
      </c>
      <c r="U482">
        <v>11</v>
      </c>
      <c r="V482" t="s">
        <v>2326</v>
      </c>
      <c r="W482" t="s">
        <v>34</v>
      </c>
    </row>
    <row r="483" spans="1:24" x14ac:dyDescent="0.25">
      <c r="A483" t="s">
        <v>2327</v>
      </c>
      <c r="B483" t="s">
        <v>2328</v>
      </c>
      <c r="C483" t="s">
        <v>87</v>
      </c>
      <c r="D483">
        <v>40</v>
      </c>
      <c r="E483" t="s">
        <v>128</v>
      </c>
      <c r="F483" t="s">
        <v>226</v>
      </c>
      <c r="G483" t="s">
        <v>2329</v>
      </c>
      <c r="H483">
        <v>41021</v>
      </c>
      <c r="I483" t="s">
        <v>52</v>
      </c>
      <c r="J483" t="s">
        <v>31</v>
      </c>
      <c r="K483" t="s">
        <v>77</v>
      </c>
      <c r="L483" t="s">
        <v>62</v>
      </c>
      <c r="M483">
        <v>9</v>
      </c>
      <c r="N483" t="s">
        <v>34</v>
      </c>
      <c r="O483">
        <v>1</v>
      </c>
      <c r="Q483">
        <v>2</v>
      </c>
      <c r="R483">
        <v>3</v>
      </c>
      <c r="S483">
        <v>2</v>
      </c>
      <c r="T483">
        <v>4</v>
      </c>
      <c r="U483">
        <v>23</v>
      </c>
      <c r="V483" t="s">
        <v>2330</v>
      </c>
      <c r="W483" t="s">
        <v>34</v>
      </c>
    </row>
    <row r="484" spans="1:24" x14ac:dyDescent="0.25">
      <c r="A484" t="s">
        <v>2331</v>
      </c>
      <c r="B484" t="s">
        <v>2332</v>
      </c>
      <c r="C484" t="s">
        <v>73</v>
      </c>
      <c r="D484">
        <v>43</v>
      </c>
      <c r="E484" t="s">
        <v>27</v>
      </c>
      <c r="F484" t="s">
        <v>59</v>
      </c>
      <c r="G484" t="s">
        <v>2333</v>
      </c>
      <c r="I484" t="s">
        <v>52</v>
      </c>
      <c r="J484" t="s">
        <v>31</v>
      </c>
      <c r="K484" t="s">
        <v>77</v>
      </c>
      <c r="L484" t="s">
        <v>62</v>
      </c>
      <c r="M484">
        <v>15</v>
      </c>
      <c r="N484" t="s">
        <v>34</v>
      </c>
      <c r="O484">
        <v>1</v>
      </c>
      <c r="P484">
        <v>2</v>
      </c>
      <c r="Q484">
        <v>2</v>
      </c>
      <c r="R484">
        <v>3</v>
      </c>
      <c r="S484">
        <v>4</v>
      </c>
      <c r="T484">
        <v>7</v>
      </c>
      <c r="U484">
        <v>12</v>
      </c>
      <c r="V484" t="s">
        <v>2334</v>
      </c>
      <c r="W484" t="s">
        <v>34</v>
      </c>
    </row>
    <row r="485" spans="1:24" x14ac:dyDescent="0.25">
      <c r="A485" t="s">
        <v>2335</v>
      </c>
      <c r="B485" t="s">
        <v>2336</v>
      </c>
      <c r="C485" t="s">
        <v>49</v>
      </c>
      <c r="D485">
        <v>34</v>
      </c>
      <c r="E485" t="s">
        <v>197</v>
      </c>
      <c r="F485" t="s">
        <v>235</v>
      </c>
      <c r="G485" t="s">
        <v>2337</v>
      </c>
      <c r="H485">
        <v>58736</v>
      </c>
      <c r="J485" t="s">
        <v>61</v>
      </c>
      <c r="K485" t="s">
        <v>98</v>
      </c>
      <c r="L485" t="s">
        <v>33</v>
      </c>
      <c r="M485">
        <v>8</v>
      </c>
      <c r="N485" t="s">
        <v>34</v>
      </c>
      <c r="O485">
        <v>2</v>
      </c>
      <c r="Q485">
        <v>1</v>
      </c>
      <c r="R485">
        <v>4</v>
      </c>
      <c r="S485">
        <v>2</v>
      </c>
      <c r="T485">
        <v>5</v>
      </c>
      <c r="U485">
        <v>15</v>
      </c>
      <c r="V485" t="s">
        <v>2338</v>
      </c>
      <c r="W485" t="s">
        <v>45</v>
      </c>
      <c r="X485" t="s">
        <v>2339</v>
      </c>
    </row>
    <row r="486" spans="1:24" x14ac:dyDescent="0.25">
      <c r="A486" t="s">
        <v>2340</v>
      </c>
      <c r="C486" t="s">
        <v>26</v>
      </c>
      <c r="D486">
        <v>37</v>
      </c>
      <c r="E486" t="s">
        <v>27</v>
      </c>
      <c r="F486" t="s">
        <v>50</v>
      </c>
      <c r="G486" t="s">
        <v>2341</v>
      </c>
      <c r="H486">
        <v>47458</v>
      </c>
      <c r="I486" t="s">
        <v>30</v>
      </c>
      <c r="J486" t="s">
        <v>31</v>
      </c>
      <c r="K486" t="s">
        <v>113</v>
      </c>
      <c r="L486" t="s">
        <v>62</v>
      </c>
      <c r="M486">
        <v>24</v>
      </c>
      <c r="N486" t="s">
        <v>34</v>
      </c>
      <c r="O486">
        <v>4</v>
      </c>
      <c r="P486">
        <v>1</v>
      </c>
      <c r="Q486">
        <v>4</v>
      </c>
      <c r="R486">
        <v>5</v>
      </c>
      <c r="S486">
        <v>2</v>
      </c>
      <c r="T486">
        <v>6</v>
      </c>
      <c r="U486">
        <v>13</v>
      </c>
      <c r="V486" t="s">
        <v>2342</v>
      </c>
      <c r="W486" t="s">
        <v>34</v>
      </c>
    </row>
    <row r="487" spans="1:24" x14ac:dyDescent="0.25">
      <c r="A487" t="s">
        <v>2343</v>
      </c>
      <c r="B487" t="s">
        <v>2344</v>
      </c>
      <c r="C487" t="s">
        <v>87</v>
      </c>
      <c r="D487">
        <v>34</v>
      </c>
      <c r="E487" t="s">
        <v>27</v>
      </c>
      <c r="F487" t="s">
        <v>50</v>
      </c>
      <c r="G487" t="s">
        <v>2345</v>
      </c>
      <c r="H487">
        <v>101453</v>
      </c>
      <c r="I487" t="s">
        <v>52</v>
      </c>
      <c r="J487" t="s">
        <v>61</v>
      </c>
      <c r="K487" t="s">
        <v>54</v>
      </c>
      <c r="L487" t="s">
        <v>33</v>
      </c>
      <c r="M487">
        <v>20</v>
      </c>
      <c r="N487" t="s">
        <v>34</v>
      </c>
      <c r="O487">
        <v>2</v>
      </c>
      <c r="P487">
        <v>2</v>
      </c>
      <c r="Q487">
        <v>1</v>
      </c>
      <c r="R487">
        <v>3</v>
      </c>
      <c r="T487">
        <v>2</v>
      </c>
      <c r="U487">
        <v>11</v>
      </c>
      <c r="V487" t="s">
        <v>2346</v>
      </c>
      <c r="W487" t="s">
        <v>34</v>
      </c>
    </row>
    <row r="488" spans="1:24" x14ac:dyDescent="0.25">
      <c r="A488" t="s">
        <v>2347</v>
      </c>
      <c r="B488" t="s">
        <v>2348</v>
      </c>
      <c r="C488" t="s">
        <v>81</v>
      </c>
      <c r="D488">
        <v>26</v>
      </c>
      <c r="E488" t="s">
        <v>122</v>
      </c>
      <c r="F488" t="s">
        <v>226</v>
      </c>
      <c r="G488" t="s">
        <v>2349</v>
      </c>
      <c r="H488">
        <v>71930</v>
      </c>
      <c r="I488" t="s">
        <v>42</v>
      </c>
      <c r="J488" t="s">
        <v>53</v>
      </c>
      <c r="K488" t="s">
        <v>98</v>
      </c>
      <c r="L488" t="s">
        <v>43</v>
      </c>
      <c r="M488">
        <v>20</v>
      </c>
      <c r="N488" t="s">
        <v>34</v>
      </c>
      <c r="O488">
        <v>3</v>
      </c>
      <c r="P488">
        <v>3</v>
      </c>
      <c r="Q488">
        <v>1</v>
      </c>
      <c r="R488">
        <v>2</v>
      </c>
      <c r="S488">
        <v>4</v>
      </c>
      <c r="T488">
        <v>2</v>
      </c>
      <c r="U488">
        <v>18</v>
      </c>
      <c r="V488" t="s">
        <v>2350</v>
      </c>
      <c r="W488" t="s">
        <v>34</v>
      </c>
    </row>
    <row r="489" spans="1:24" x14ac:dyDescent="0.25">
      <c r="A489" t="s">
        <v>2351</v>
      </c>
      <c r="B489" t="s">
        <v>2352</v>
      </c>
      <c r="C489" t="s">
        <v>26</v>
      </c>
      <c r="D489">
        <v>44</v>
      </c>
      <c r="E489" t="s">
        <v>88</v>
      </c>
      <c r="F489" t="s">
        <v>89</v>
      </c>
      <c r="G489" t="s">
        <v>2353</v>
      </c>
      <c r="H489">
        <v>76061</v>
      </c>
      <c r="I489" t="s">
        <v>42</v>
      </c>
      <c r="J489" t="s">
        <v>143</v>
      </c>
      <c r="K489" t="s">
        <v>113</v>
      </c>
      <c r="L489" t="s">
        <v>33</v>
      </c>
      <c r="M489">
        <v>22</v>
      </c>
      <c r="N489" t="s">
        <v>45</v>
      </c>
      <c r="O489">
        <v>1</v>
      </c>
      <c r="P489">
        <v>1</v>
      </c>
      <c r="Q489">
        <v>3</v>
      </c>
      <c r="R489">
        <v>5</v>
      </c>
      <c r="S489">
        <v>1</v>
      </c>
      <c r="T489">
        <v>1</v>
      </c>
      <c r="U489">
        <v>22</v>
      </c>
      <c r="V489" t="s">
        <v>2354</v>
      </c>
      <c r="W489" t="s">
        <v>34</v>
      </c>
    </row>
    <row r="490" spans="1:24" x14ac:dyDescent="0.25">
      <c r="A490" t="s">
        <v>2355</v>
      </c>
      <c r="B490" t="s">
        <v>2356</v>
      </c>
      <c r="C490" t="s">
        <v>87</v>
      </c>
      <c r="D490">
        <v>50</v>
      </c>
      <c r="E490" t="s">
        <v>27</v>
      </c>
      <c r="F490" t="s">
        <v>188</v>
      </c>
      <c r="G490" t="s">
        <v>2357</v>
      </c>
      <c r="H490" t="s">
        <v>2358</v>
      </c>
      <c r="I490" t="s">
        <v>30</v>
      </c>
      <c r="J490" t="s">
        <v>53</v>
      </c>
      <c r="K490" t="s">
        <v>83</v>
      </c>
      <c r="L490" t="s">
        <v>62</v>
      </c>
      <c r="M490">
        <v>5</v>
      </c>
      <c r="N490" t="s">
        <v>34</v>
      </c>
      <c r="O490">
        <v>1</v>
      </c>
      <c r="P490">
        <v>3</v>
      </c>
      <c r="Q490">
        <v>4</v>
      </c>
      <c r="R490">
        <v>3</v>
      </c>
      <c r="S490">
        <v>5</v>
      </c>
      <c r="T490">
        <v>2</v>
      </c>
      <c r="U490">
        <v>18</v>
      </c>
      <c r="V490" t="s">
        <v>2359</v>
      </c>
      <c r="W490" t="s">
        <v>34</v>
      </c>
    </row>
    <row r="491" spans="1:24" x14ac:dyDescent="0.25">
      <c r="A491" t="s">
        <v>842</v>
      </c>
      <c r="B491" t="s">
        <v>843</v>
      </c>
      <c r="C491" t="s">
        <v>81</v>
      </c>
      <c r="D491">
        <v>38</v>
      </c>
      <c r="E491" t="s">
        <v>88</v>
      </c>
      <c r="F491" t="s">
        <v>1655</v>
      </c>
      <c r="G491" t="s">
        <v>844</v>
      </c>
      <c r="H491">
        <v>72710</v>
      </c>
      <c r="I491" t="s">
        <v>52</v>
      </c>
      <c r="J491" t="s">
        <v>31</v>
      </c>
      <c r="K491" t="s">
        <v>113</v>
      </c>
      <c r="L491" t="s">
        <v>43</v>
      </c>
      <c r="M491">
        <v>26</v>
      </c>
      <c r="N491" t="s">
        <v>34</v>
      </c>
      <c r="O491">
        <v>1</v>
      </c>
      <c r="P491">
        <v>1</v>
      </c>
      <c r="Q491">
        <v>3</v>
      </c>
      <c r="R491">
        <v>3</v>
      </c>
      <c r="S491">
        <v>5</v>
      </c>
      <c r="T491">
        <v>8</v>
      </c>
      <c r="U491">
        <v>21</v>
      </c>
      <c r="V491" t="s">
        <v>845</v>
      </c>
      <c r="W491" t="s">
        <v>34</v>
      </c>
    </row>
    <row r="492" spans="1:24" x14ac:dyDescent="0.25">
      <c r="A492" t="s">
        <v>2360</v>
      </c>
      <c r="B492" t="s">
        <v>2361</v>
      </c>
      <c r="C492" t="s">
        <v>26</v>
      </c>
      <c r="D492">
        <v>38</v>
      </c>
      <c r="E492" t="s">
        <v>412</v>
      </c>
      <c r="F492" t="s">
        <v>1482</v>
      </c>
      <c r="G492" t="s">
        <v>2362</v>
      </c>
      <c r="H492" t="s">
        <v>2363</v>
      </c>
      <c r="I492" t="s">
        <v>42</v>
      </c>
      <c r="J492" t="s">
        <v>61</v>
      </c>
      <c r="K492" t="s">
        <v>83</v>
      </c>
      <c r="L492" t="s">
        <v>33</v>
      </c>
      <c r="M492">
        <v>21</v>
      </c>
      <c r="N492" t="s">
        <v>45</v>
      </c>
      <c r="O492">
        <v>4</v>
      </c>
      <c r="P492">
        <v>3</v>
      </c>
      <c r="Q492">
        <v>1</v>
      </c>
      <c r="R492">
        <v>3</v>
      </c>
      <c r="S492">
        <v>1</v>
      </c>
      <c r="T492">
        <v>7</v>
      </c>
      <c r="U492">
        <v>21</v>
      </c>
      <c r="W492" t="s">
        <v>45</v>
      </c>
      <c r="X492" t="s">
        <v>2364</v>
      </c>
    </row>
    <row r="493" spans="1:24" x14ac:dyDescent="0.25">
      <c r="A493" t="s">
        <v>2365</v>
      </c>
      <c r="B493" t="s">
        <v>2366</v>
      </c>
      <c r="C493" t="s">
        <v>87</v>
      </c>
      <c r="D493">
        <v>36</v>
      </c>
      <c r="E493" t="s">
        <v>412</v>
      </c>
      <c r="F493" t="s">
        <v>1093</v>
      </c>
      <c r="G493" t="s">
        <v>2367</v>
      </c>
      <c r="H493">
        <v>54371</v>
      </c>
      <c r="I493" t="s">
        <v>30</v>
      </c>
      <c r="J493" t="s">
        <v>31</v>
      </c>
      <c r="K493" t="s">
        <v>83</v>
      </c>
      <c r="L493" t="s">
        <v>43</v>
      </c>
      <c r="M493">
        <v>21</v>
      </c>
      <c r="N493" t="s">
        <v>34</v>
      </c>
      <c r="O493">
        <v>2</v>
      </c>
      <c r="P493">
        <v>1</v>
      </c>
      <c r="Q493">
        <v>3</v>
      </c>
      <c r="R493">
        <v>4</v>
      </c>
      <c r="S493">
        <v>0</v>
      </c>
      <c r="T493">
        <v>4</v>
      </c>
      <c r="U493">
        <v>24</v>
      </c>
      <c r="V493" t="s">
        <v>2368</v>
      </c>
      <c r="W493" t="s">
        <v>34</v>
      </c>
    </row>
    <row r="494" spans="1:24" x14ac:dyDescent="0.25">
      <c r="A494" t="s">
        <v>2369</v>
      </c>
      <c r="B494" t="s">
        <v>2370</v>
      </c>
      <c r="C494" t="s">
        <v>87</v>
      </c>
      <c r="D494">
        <v>47</v>
      </c>
      <c r="E494" t="s">
        <v>128</v>
      </c>
      <c r="F494" t="s">
        <v>255</v>
      </c>
      <c r="G494" t="s">
        <v>2371</v>
      </c>
      <c r="H494">
        <v>58203</v>
      </c>
      <c r="I494" t="s">
        <v>52</v>
      </c>
      <c r="J494" t="s">
        <v>31</v>
      </c>
      <c r="K494" t="s">
        <v>200</v>
      </c>
      <c r="L494" t="s">
        <v>62</v>
      </c>
      <c r="M494">
        <v>10</v>
      </c>
      <c r="N494" t="s">
        <v>34</v>
      </c>
      <c r="O494">
        <v>1</v>
      </c>
      <c r="P494">
        <v>1</v>
      </c>
      <c r="Q494">
        <v>3</v>
      </c>
      <c r="R494">
        <v>2</v>
      </c>
      <c r="T494">
        <v>5</v>
      </c>
      <c r="U494">
        <v>24</v>
      </c>
      <c r="V494" t="s">
        <v>2372</v>
      </c>
      <c r="W494" t="s">
        <v>34</v>
      </c>
    </row>
    <row r="495" spans="1:24" x14ac:dyDescent="0.25">
      <c r="A495" t="s">
        <v>2373</v>
      </c>
      <c r="B495" t="s">
        <v>2374</v>
      </c>
      <c r="C495" t="s">
        <v>87</v>
      </c>
      <c r="D495">
        <v>47</v>
      </c>
      <c r="E495" t="s">
        <v>457</v>
      </c>
      <c r="F495" t="s">
        <v>75</v>
      </c>
      <c r="G495" t="s">
        <v>2375</v>
      </c>
      <c r="H495">
        <v>61074</v>
      </c>
      <c r="I495" t="s">
        <v>30</v>
      </c>
      <c r="J495" t="s">
        <v>61</v>
      </c>
      <c r="K495" t="s">
        <v>131</v>
      </c>
      <c r="L495" t="s">
        <v>33</v>
      </c>
      <c r="M495">
        <v>8</v>
      </c>
      <c r="N495" t="s">
        <v>34</v>
      </c>
      <c r="O495">
        <v>3</v>
      </c>
      <c r="P495">
        <v>4</v>
      </c>
      <c r="Q495">
        <v>1</v>
      </c>
      <c r="R495">
        <v>2</v>
      </c>
      <c r="S495">
        <v>1</v>
      </c>
      <c r="U495">
        <v>12</v>
      </c>
      <c r="V495" t="s">
        <v>2376</v>
      </c>
      <c r="W495" t="s">
        <v>34</v>
      </c>
    </row>
    <row r="496" spans="1:24" x14ac:dyDescent="0.25">
      <c r="A496" t="s">
        <v>2377</v>
      </c>
      <c r="B496" t="s">
        <v>2378</v>
      </c>
      <c r="C496" t="s">
        <v>81</v>
      </c>
      <c r="D496">
        <v>42</v>
      </c>
      <c r="E496" t="s">
        <v>88</v>
      </c>
      <c r="F496" t="s">
        <v>141</v>
      </c>
      <c r="G496" t="s">
        <v>2379</v>
      </c>
      <c r="H496">
        <v>79956</v>
      </c>
      <c r="I496" t="s">
        <v>42</v>
      </c>
      <c r="J496" t="s">
        <v>61</v>
      </c>
      <c r="K496" t="s">
        <v>200</v>
      </c>
      <c r="L496" t="s">
        <v>33</v>
      </c>
      <c r="M496">
        <v>28</v>
      </c>
      <c r="N496" t="s">
        <v>34</v>
      </c>
      <c r="O496">
        <v>3</v>
      </c>
      <c r="P496">
        <v>2</v>
      </c>
      <c r="Q496">
        <v>2</v>
      </c>
      <c r="R496">
        <v>1</v>
      </c>
      <c r="T496">
        <v>1</v>
      </c>
      <c r="U496">
        <v>13</v>
      </c>
      <c r="V496" t="s">
        <v>2380</v>
      </c>
      <c r="W496" t="s">
        <v>34</v>
      </c>
    </row>
    <row r="497" spans="1:24" x14ac:dyDescent="0.25">
      <c r="A497" t="s">
        <v>2381</v>
      </c>
      <c r="B497" t="s">
        <v>2382</v>
      </c>
      <c r="C497" t="s">
        <v>81</v>
      </c>
      <c r="D497">
        <v>42</v>
      </c>
      <c r="E497" t="s">
        <v>94</v>
      </c>
      <c r="F497" t="s">
        <v>306</v>
      </c>
      <c r="G497" t="s">
        <v>2383</v>
      </c>
      <c r="H497">
        <v>115607</v>
      </c>
      <c r="I497" t="s">
        <v>30</v>
      </c>
      <c r="K497" t="s">
        <v>200</v>
      </c>
      <c r="L497" t="s">
        <v>62</v>
      </c>
      <c r="M497">
        <v>20</v>
      </c>
      <c r="N497" t="s">
        <v>45</v>
      </c>
      <c r="O497">
        <v>1</v>
      </c>
      <c r="P497">
        <v>2</v>
      </c>
      <c r="Q497">
        <v>4</v>
      </c>
      <c r="R497">
        <v>3</v>
      </c>
      <c r="S497">
        <v>0</v>
      </c>
      <c r="T497">
        <v>0</v>
      </c>
      <c r="U497">
        <v>12</v>
      </c>
      <c r="V497" t="s">
        <v>2384</v>
      </c>
      <c r="W497" t="s">
        <v>45</v>
      </c>
      <c r="X497" t="s">
        <v>2385</v>
      </c>
    </row>
    <row r="498" spans="1:24" x14ac:dyDescent="0.25">
      <c r="A498" t="s">
        <v>2386</v>
      </c>
      <c r="B498" t="s">
        <v>2387</v>
      </c>
      <c r="C498" t="s">
        <v>49</v>
      </c>
      <c r="D498">
        <v>39</v>
      </c>
      <c r="E498" t="s">
        <v>579</v>
      </c>
      <c r="F498" t="s">
        <v>89</v>
      </c>
      <c r="G498" t="s">
        <v>2388</v>
      </c>
      <c r="H498">
        <v>133673</v>
      </c>
      <c r="I498" t="s">
        <v>52</v>
      </c>
      <c r="J498" t="s">
        <v>31</v>
      </c>
      <c r="K498" t="s">
        <v>83</v>
      </c>
      <c r="L498" t="s">
        <v>43</v>
      </c>
      <c r="M498">
        <v>15</v>
      </c>
      <c r="N498" t="s">
        <v>34</v>
      </c>
      <c r="O498">
        <v>4</v>
      </c>
      <c r="P498">
        <v>2</v>
      </c>
      <c r="Q498">
        <v>3</v>
      </c>
      <c r="R498">
        <v>3</v>
      </c>
      <c r="S498">
        <v>2</v>
      </c>
      <c r="T498">
        <v>4</v>
      </c>
      <c r="U498">
        <v>13</v>
      </c>
      <c r="V498" t="s">
        <v>2389</v>
      </c>
      <c r="W498" t="s">
        <v>34</v>
      </c>
    </row>
    <row r="499" spans="1:24" x14ac:dyDescent="0.25">
      <c r="A499" t="s">
        <v>2390</v>
      </c>
      <c r="B499" t="s">
        <v>2391</v>
      </c>
      <c r="C499" t="s">
        <v>26</v>
      </c>
      <c r="D499">
        <v>29</v>
      </c>
      <c r="E499" t="s">
        <v>197</v>
      </c>
      <c r="F499" t="s">
        <v>884</v>
      </c>
      <c r="G499" t="s">
        <v>2392</v>
      </c>
      <c r="H499">
        <v>87106</v>
      </c>
      <c r="I499" t="s">
        <v>30</v>
      </c>
      <c r="J499" t="s">
        <v>53</v>
      </c>
      <c r="K499" t="s">
        <v>98</v>
      </c>
      <c r="L499" t="s">
        <v>33</v>
      </c>
      <c r="M499">
        <v>43</v>
      </c>
      <c r="N499" t="s">
        <v>34</v>
      </c>
      <c r="O499">
        <v>1</v>
      </c>
      <c r="P499">
        <v>1</v>
      </c>
      <c r="Q499">
        <v>2</v>
      </c>
      <c r="R499">
        <v>4</v>
      </c>
      <c r="S499">
        <v>5</v>
      </c>
      <c r="T499">
        <v>4</v>
      </c>
      <c r="U499">
        <v>19</v>
      </c>
      <c r="V499" t="s">
        <v>2393</v>
      </c>
      <c r="W499" t="s">
        <v>45</v>
      </c>
      <c r="X499" t="s">
        <v>2394</v>
      </c>
    </row>
    <row r="500" spans="1:24" x14ac:dyDescent="0.25">
      <c r="A500" t="s">
        <v>2395</v>
      </c>
      <c r="B500" t="s">
        <v>2396</v>
      </c>
      <c r="C500" t="s">
        <v>26</v>
      </c>
      <c r="D500">
        <v>32</v>
      </c>
      <c r="E500" t="s">
        <v>27</v>
      </c>
      <c r="F500" t="s">
        <v>59</v>
      </c>
      <c r="G500" t="s">
        <v>2397</v>
      </c>
      <c r="H500">
        <v>44026</v>
      </c>
      <c r="I500" t="s">
        <v>42</v>
      </c>
      <c r="J500" t="s">
        <v>31</v>
      </c>
      <c r="K500" t="s">
        <v>32</v>
      </c>
      <c r="L500" t="s">
        <v>43</v>
      </c>
      <c r="M500">
        <v>7</v>
      </c>
      <c r="N500" t="s">
        <v>45</v>
      </c>
      <c r="O500">
        <v>2</v>
      </c>
      <c r="P500">
        <v>3</v>
      </c>
      <c r="Q500">
        <v>1</v>
      </c>
      <c r="R500">
        <v>3</v>
      </c>
      <c r="T500">
        <v>2</v>
      </c>
      <c r="U500">
        <v>15</v>
      </c>
      <c r="V500" t="s">
        <v>2398</v>
      </c>
      <c r="W500" t="s">
        <v>45</v>
      </c>
      <c r="X500" t="s">
        <v>2399</v>
      </c>
    </row>
    <row r="501" spans="1:24" x14ac:dyDescent="0.25">
      <c r="A501" t="s">
        <v>2400</v>
      </c>
      <c r="B501" t="s">
        <v>2401</v>
      </c>
      <c r="C501" t="s">
        <v>26</v>
      </c>
      <c r="D501">
        <v>40</v>
      </c>
      <c r="E501" t="s">
        <v>38</v>
      </c>
      <c r="F501" t="s">
        <v>2155</v>
      </c>
      <c r="G501" t="s">
        <v>2402</v>
      </c>
      <c r="H501" t="s">
        <v>2403</v>
      </c>
      <c r="I501" t="s">
        <v>42</v>
      </c>
      <c r="J501" t="s">
        <v>31</v>
      </c>
      <c r="K501" t="s">
        <v>113</v>
      </c>
      <c r="L501" t="s">
        <v>33</v>
      </c>
      <c r="M501">
        <v>41</v>
      </c>
      <c r="N501" t="s">
        <v>45</v>
      </c>
      <c r="O501">
        <v>4</v>
      </c>
      <c r="P501">
        <v>3</v>
      </c>
      <c r="Q501">
        <v>3</v>
      </c>
      <c r="R501">
        <v>1</v>
      </c>
      <c r="S501">
        <v>0</v>
      </c>
      <c r="T501">
        <v>8</v>
      </c>
      <c r="U501">
        <v>22</v>
      </c>
      <c r="V501" t="s">
        <v>2404</v>
      </c>
      <c r="W501" t="s">
        <v>34</v>
      </c>
    </row>
    <row r="502" spans="1:24" x14ac:dyDescent="0.25">
      <c r="A502" t="s">
        <v>2405</v>
      </c>
      <c r="B502" t="s">
        <v>2406</v>
      </c>
      <c r="C502" t="s">
        <v>87</v>
      </c>
      <c r="E502" t="s">
        <v>798</v>
      </c>
      <c r="F502" t="s">
        <v>799</v>
      </c>
      <c r="G502" t="s">
        <v>2407</v>
      </c>
      <c r="H502">
        <v>59686</v>
      </c>
      <c r="I502" t="s">
        <v>42</v>
      </c>
      <c r="J502" t="s">
        <v>53</v>
      </c>
      <c r="K502" t="s">
        <v>106</v>
      </c>
      <c r="L502" t="s">
        <v>33</v>
      </c>
      <c r="M502">
        <v>38</v>
      </c>
      <c r="N502" t="s">
        <v>34</v>
      </c>
      <c r="O502">
        <v>2</v>
      </c>
      <c r="P502">
        <v>3</v>
      </c>
      <c r="Q502">
        <v>3</v>
      </c>
      <c r="R502">
        <v>3</v>
      </c>
      <c r="S502">
        <v>1</v>
      </c>
      <c r="T502">
        <v>4</v>
      </c>
      <c r="U502">
        <v>11</v>
      </c>
      <c r="V502" t="s">
        <v>2408</v>
      </c>
      <c r="W502" t="s">
        <v>34</v>
      </c>
    </row>
    <row r="503" spans="1:24" x14ac:dyDescent="0.25">
      <c r="A503" t="s">
        <v>2409</v>
      </c>
      <c r="B503" t="s">
        <v>2410</v>
      </c>
      <c r="C503" t="s">
        <v>73</v>
      </c>
      <c r="D503">
        <v>22</v>
      </c>
      <c r="E503" t="s">
        <v>103</v>
      </c>
      <c r="F503" t="s">
        <v>226</v>
      </c>
      <c r="G503" t="s">
        <v>2411</v>
      </c>
      <c r="H503">
        <v>61904</v>
      </c>
      <c r="I503" t="s">
        <v>52</v>
      </c>
      <c r="J503" t="s">
        <v>61</v>
      </c>
      <c r="K503" t="s">
        <v>98</v>
      </c>
      <c r="L503" t="s">
        <v>33</v>
      </c>
      <c r="M503">
        <v>15</v>
      </c>
      <c r="N503" t="s">
        <v>34</v>
      </c>
      <c r="O503">
        <v>2</v>
      </c>
      <c r="P503">
        <v>4</v>
      </c>
      <c r="Q503">
        <v>3</v>
      </c>
      <c r="R503">
        <v>4</v>
      </c>
      <c r="S503">
        <v>6</v>
      </c>
      <c r="T503">
        <v>5</v>
      </c>
      <c r="U503">
        <v>14</v>
      </c>
      <c r="V503" t="s">
        <v>2412</v>
      </c>
      <c r="W503" t="s">
        <v>34</v>
      </c>
    </row>
    <row r="504" spans="1:24" x14ac:dyDescent="0.25">
      <c r="A504" t="s">
        <v>2413</v>
      </c>
      <c r="B504" t="s">
        <v>2414</v>
      </c>
      <c r="C504" t="s">
        <v>49</v>
      </c>
      <c r="D504">
        <v>24</v>
      </c>
      <c r="E504" t="s">
        <v>128</v>
      </c>
      <c r="F504" t="s">
        <v>123</v>
      </c>
      <c r="G504" t="s">
        <v>2415</v>
      </c>
      <c r="H504">
        <v>55140</v>
      </c>
      <c r="I504" t="s">
        <v>30</v>
      </c>
      <c r="J504" t="s">
        <v>61</v>
      </c>
      <c r="K504" t="s">
        <v>83</v>
      </c>
      <c r="L504" t="s">
        <v>33</v>
      </c>
      <c r="M504">
        <v>13</v>
      </c>
      <c r="N504" t="s">
        <v>45</v>
      </c>
      <c r="O504">
        <v>4</v>
      </c>
      <c r="P504">
        <v>4</v>
      </c>
      <c r="Q504">
        <v>4</v>
      </c>
      <c r="R504">
        <v>2</v>
      </c>
      <c r="S504">
        <v>3</v>
      </c>
      <c r="T504">
        <v>5</v>
      </c>
      <c r="U504">
        <v>20</v>
      </c>
      <c r="V504" t="s">
        <v>2416</v>
      </c>
      <c r="W504" t="s">
        <v>34</v>
      </c>
    </row>
    <row r="505" spans="1:24" x14ac:dyDescent="0.25">
      <c r="A505" t="s">
        <v>2417</v>
      </c>
      <c r="B505" t="s">
        <v>2418</v>
      </c>
      <c r="C505" t="s">
        <v>49</v>
      </c>
      <c r="D505">
        <v>27</v>
      </c>
      <c r="E505" t="s">
        <v>457</v>
      </c>
      <c r="F505" t="s">
        <v>2419</v>
      </c>
      <c r="G505" t="s">
        <v>2420</v>
      </c>
      <c r="H505">
        <v>113029</v>
      </c>
      <c r="I505" t="s">
        <v>52</v>
      </c>
      <c r="J505" t="s">
        <v>31</v>
      </c>
      <c r="K505" t="s">
        <v>167</v>
      </c>
      <c r="L505" t="s">
        <v>43</v>
      </c>
      <c r="M505">
        <v>8</v>
      </c>
      <c r="N505" t="s">
        <v>34</v>
      </c>
      <c r="O505">
        <v>2</v>
      </c>
      <c r="P505">
        <v>2</v>
      </c>
      <c r="Q505">
        <v>1</v>
      </c>
      <c r="R505">
        <v>3</v>
      </c>
      <c r="S505">
        <v>5</v>
      </c>
      <c r="T505">
        <v>1</v>
      </c>
      <c r="V505" t="s">
        <v>2421</v>
      </c>
      <c r="W505" t="s">
        <v>45</v>
      </c>
      <c r="X505" t="s">
        <v>2422</v>
      </c>
    </row>
    <row r="506" spans="1:24" x14ac:dyDescent="0.25">
      <c r="A506" t="s">
        <v>2423</v>
      </c>
      <c r="B506" t="s">
        <v>2424</v>
      </c>
      <c r="C506" t="s">
        <v>81</v>
      </c>
      <c r="D506">
        <v>43</v>
      </c>
      <c r="E506" t="s">
        <v>197</v>
      </c>
      <c r="F506" t="s">
        <v>1923</v>
      </c>
      <c r="G506" t="s">
        <v>2425</v>
      </c>
      <c r="H506">
        <v>89178</v>
      </c>
      <c r="I506" t="s">
        <v>42</v>
      </c>
      <c r="J506" t="s">
        <v>143</v>
      </c>
      <c r="K506" t="s">
        <v>77</v>
      </c>
      <c r="L506" t="s">
        <v>33</v>
      </c>
      <c r="M506">
        <v>36</v>
      </c>
      <c r="N506" t="s">
        <v>45</v>
      </c>
      <c r="O506">
        <v>4</v>
      </c>
      <c r="P506">
        <v>3</v>
      </c>
      <c r="Q506">
        <v>2</v>
      </c>
      <c r="R506">
        <v>4</v>
      </c>
      <c r="S506">
        <v>4</v>
      </c>
      <c r="T506">
        <v>3</v>
      </c>
      <c r="V506" t="s">
        <v>2426</v>
      </c>
      <c r="W506" t="s">
        <v>45</v>
      </c>
      <c r="X506" t="s">
        <v>2427</v>
      </c>
    </row>
    <row r="507" spans="1:24" x14ac:dyDescent="0.25">
      <c r="A507" t="s">
        <v>2428</v>
      </c>
      <c r="B507" t="s">
        <v>2429</v>
      </c>
      <c r="C507" t="s">
        <v>87</v>
      </c>
      <c r="D507">
        <v>48</v>
      </c>
      <c r="E507" t="s">
        <v>554</v>
      </c>
      <c r="F507" t="s">
        <v>483</v>
      </c>
      <c r="G507" t="s">
        <v>2430</v>
      </c>
      <c r="H507">
        <v>70882</v>
      </c>
      <c r="J507" t="s">
        <v>61</v>
      </c>
      <c r="K507" t="s">
        <v>54</v>
      </c>
      <c r="L507" t="s">
        <v>43</v>
      </c>
      <c r="M507">
        <v>43</v>
      </c>
      <c r="N507" t="s">
        <v>34</v>
      </c>
      <c r="O507">
        <v>3</v>
      </c>
      <c r="P507">
        <v>2</v>
      </c>
      <c r="R507">
        <v>3</v>
      </c>
      <c r="S507">
        <v>6</v>
      </c>
      <c r="T507">
        <v>8</v>
      </c>
      <c r="U507">
        <v>16</v>
      </c>
      <c r="V507" t="s">
        <v>2431</v>
      </c>
      <c r="W507" t="s">
        <v>34</v>
      </c>
    </row>
    <row r="508" spans="1:24" x14ac:dyDescent="0.25">
      <c r="A508" t="s">
        <v>2432</v>
      </c>
      <c r="B508" t="s">
        <v>2433</v>
      </c>
      <c r="C508" t="s">
        <v>81</v>
      </c>
      <c r="E508" t="s">
        <v>128</v>
      </c>
      <c r="F508" t="s">
        <v>463</v>
      </c>
      <c r="G508" t="s">
        <v>2434</v>
      </c>
      <c r="H508" t="s">
        <v>2435</v>
      </c>
      <c r="I508" t="s">
        <v>30</v>
      </c>
      <c r="J508" t="s">
        <v>31</v>
      </c>
      <c r="K508" t="s">
        <v>77</v>
      </c>
      <c r="M508">
        <v>30</v>
      </c>
      <c r="N508" t="s">
        <v>34</v>
      </c>
      <c r="O508">
        <v>3</v>
      </c>
      <c r="P508">
        <v>4</v>
      </c>
      <c r="Q508">
        <v>2</v>
      </c>
      <c r="R508">
        <v>3</v>
      </c>
      <c r="S508">
        <v>1</v>
      </c>
      <c r="T508">
        <v>6</v>
      </c>
      <c r="U508">
        <v>11</v>
      </c>
      <c r="V508" t="s">
        <v>2436</v>
      </c>
      <c r="W508" t="s">
        <v>34</v>
      </c>
    </row>
    <row r="509" spans="1:24" x14ac:dyDescent="0.25">
      <c r="A509" t="s">
        <v>2437</v>
      </c>
      <c r="B509" t="s">
        <v>2438</v>
      </c>
      <c r="C509" t="s">
        <v>81</v>
      </c>
      <c r="D509">
        <v>39</v>
      </c>
      <c r="E509" t="s">
        <v>88</v>
      </c>
      <c r="F509" t="s">
        <v>89</v>
      </c>
      <c r="G509" t="s">
        <v>2439</v>
      </c>
      <c r="H509" t="s">
        <v>2440</v>
      </c>
      <c r="I509" t="s">
        <v>52</v>
      </c>
      <c r="J509" t="s">
        <v>61</v>
      </c>
      <c r="K509" t="s">
        <v>32</v>
      </c>
      <c r="L509" t="s">
        <v>62</v>
      </c>
      <c r="M509">
        <v>24</v>
      </c>
      <c r="N509" t="s">
        <v>34</v>
      </c>
      <c r="O509">
        <v>4</v>
      </c>
      <c r="P509">
        <v>2</v>
      </c>
      <c r="R509">
        <v>4</v>
      </c>
      <c r="S509">
        <v>0</v>
      </c>
      <c r="U509">
        <v>16</v>
      </c>
      <c r="V509" t="s">
        <v>2441</v>
      </c>
      <c r="W509" t="s">
        <v>34</v>
      </c>
    </row>
    <row r="510" spans="1:24" x14ac:dyDescent="0.25">
      <c r="A510" t="s">
        <v>2442</v>
      </c>
      <c r="B510" t="s">
        <v>2443</v>
      </c>
      <c r="C510" t="s">
        <v>58</v>
      </c>
      <c r="D510">
        <v>33</v>
      </c>
      <c r="E510" t="s">
        <v>27</v>
      </c>
      <c r="F510" t="s">
        <v>50</v>
      </c>
      <c r="G510" t="s">
        <v>2444</v>
      </c>
      <c r="H510" t="s">
        <v>2445</v>
      </c>
      <c r="I510" t="s">
        <v>52</v>
      </c>
      <c r="J510" t="s">
        <v>31</v>
      </c>
      <c r="K510" t="s">
        <v>106</v>
      </c>
      <c r="L510" t="s">
        <v>43</v>
      </c>
      <c r="M510">
        <v>25</v>
      </c>
      <c r="N510" t="s">
        <v>45</v>
      </c>
      <c r="O510">
        <v>4</v>
      </c>
      <c r="P510">
        <v>1</v>
      </c>
      <c r="S510">
        <v>0</v>
      </c>
      <c r="T510">
        <v>8</v>
      </c>
      <c r="U510">
        <v>16</v>
      </c>
      <c r="V510" t="s">
        <v>2446</v>
      </c>
      <c r="W510" t="s">
        <v>45</v>
      </c>
      <c r="X510" t="s">
        <v>2447</v>
      </c>
    </row>
    <row r="511" spans="1:24" x14ac:dyDescent="0.25">
      <c r="A511" t="s">
        <v>2448</v>
      </c>
      <c r="B511" t="s">
        <v>2449</v>
      </c>
      <c r="E511" t="s">
        <v>128</v>
      </c>
      <c r="F511" t="s">
        <v>271</v>
      </c>
      <c r="G511" t="s">
        <v>2450</v>
      </c>
      <c r="H511">
        <v>108740</v>
      </c>
      <c r="I511" t="s">
        <v>30</v>
      </c>
      <c r="J511" t="s">
        <v>31</v>
      </c>
      <c r="K511" t="s">
        <v>83</v>
      </c>
      <c r="L511" t="s">
        <v>62</v>
      </c>
      <c r="M511">
        <v>13</v>
      </c>
      <c r="N511" t="s">
        <v>45</v>
      </c>
      <c r="O511">
        <v>3</v>
      </c>
      <c r="P511">
        <v>4</v>
      </c>
      <c r="Q511">
        <v>3</v>
      </c>
      <c r="R511">
        <v>5</v>
      </c>
      <c r="S511">
        <v>6</v>
      </c>
      <c r="T511">
        <v>1</v>
      </c>
      <c r="U511">
        <v>20</v>
      </c>
      <c r="W511" t="s">
        <v>34</v>
      </c>
    </row>
    <row r="512" spans="1:24" x14ac:dyDescent="0.25">
      <c r="A512" t="s">
        <v>2451</v>
      </c>
      <c r="B512" t="s">
        <v>2452</v>
      </c>
      <c r="C512" t="s">
        <v>87</v>
      </c>
      <c r="D512">
        <v>33</v>
      </c>
      <c r="E512" t="s">
        <v>38</v>
      </c>
      <c r="F512" t="s">
        <v>136</v>
      </c>
      <c r="G512" t="s">
        <v>2453</v>
      </c>
      <c r="H512">
        <v>63997</v>
      </c>
      <c r="I512" t="s">
        <v>52</v>
      </c>
      <c r="J512" t="s">
        <v>53</v>
      </c>
      <c r="K512" t="s">
        <v>32</v>
      </c>
      <c r="L512" t="s">
        <v>43</v>
      </c>
      <c r="M512">
        <v>45</v>
      </c>
      <c r="N512" t="s">
        <v>34</v>
      </c>
      <c r="O512">
        <v>1</v>
      </c>
      <c r="P512">
        <v>1</v>
      </c>
      <c r="Q512">
        <v>4</v>
      </c>
      <c r="R512">
        <v>3</v>
      </c>
      <c r="S512">
        <v>4</v>
      </c>
      <c r="T512">
        <v>5</v>
      </c>
      <c r="U512">
        <v>15</v>
      </c>
      <c r="V512" t="s">
        <v>2454</v>
      </c>
      <c r="W512" t="s">
        <v>34</v>
      </c>
    </row>
    <row r="513" spans="1:24" x14ac:dyDescent="0.25">
      <c r="A513" t="s">
        <v>2455</v>
      </c>
      <c r="B513" t="s">
        <v>2456</v>
      </c>
      <c r="C513" t="s">
        <v>87</v>
      </c>
      <c r="D513">
        <v>42</v>
      </c>
      <c r="E513" t="s">
        <v>197</v>
      </c>
      <c r="F513" t="s">
        <v>235</v>
      </c>
      <c r="G513" t="s">
        <v>2457</v>
      </c>
      <c r="I513" t="s">
        <v>30</v>
      </c>
      <c r="J513" t="s">
        <v>61</v>
      </c>
      <c r="K513" t="s">
        <v>32</v>
      </c>
      <c r="L513" t="s">
        <v>62</v>
      </c>
      <c r="M513">
        <v>40</v>
      </c>
      <c r="N513" t="s">
        <v>45</v>
      </c>
      <c r="O513">
        <v>1</v>
      </c>
      <c r="P513">
        <v>2</v>
      </c>
      <c r="Q513">
        <v>4</v>
      </c>
      <c r="R513">
        <v>3</v>
      </c>
      <c r="S513">
        <v>5</v>
      </c>
      <c r="T513">
        <v>5</v>
      </c>
      <c r="U513">
        <v>18</v>
      </c>
      <c r="V513" t="s">
        <v>2458</v>
      </c>
      <c r="W513" t="s">
        <v>45</v>
      </c>
      <c r="X513" t="s">
        <v>2459</v>
      </c>
    </row>
    <row r="514" spans="1:24" x14ac:dyDescent="0.25">
      <c r="A514" t="s">
        <v>2460</v>
      </c>
      <c r="B514" t="s">
        <v>2461</v>
      </c>
      <c r="C514" t="s">
        <v>49</v>
      </c>
      <c r="D514">
        <v>35</v>
      </c>
      <c r="E514" t="s">
        <v>128</v>
      </c>
      <c r="F514" t="s">
        <v>104</v>
      </c>
      <c r="G514" t="s">
        <v>2462</v>
      </c>
      <c r="H514">
        <v>61327</v>
      </c>
      <c r="I514" t="s">
        <v>52</v>
      </c>
      <c r="J514" t="s">
        <v>31</v>
      </c>
      <c r="K514" t="s">
        <v>32</v>
      </c>
      <c r="L514" t="s">
        <v>62</v>
      </c>
      <c r="M514">
        <v>5</v>
      </c>
      <c r="N514" t="s">
        <v>34</v>
      </c>
      <c r="O514">
        <v>2</v>
      </c>
      <c r="P514">
        <v>4</v>
      </c>
      <c r="Q514">
        <v>2</v>
      </c>
      <c r="R514">
        <v>3</v>
      </c>
      <c r="S514">
        <v>3</v>
      </c>
      <c r="W514" t="s">
        <v>34</v>
      </c>
    </row>
    <row r="515" spans="1:24" x14ac:dyDescent="0.25">
      <c r="A515" t="s">
        <v>2463</v>
      </c>
      <c r="B515" t="s">
        <v>2464</v>
      </c>
      <c r="D515">
        <v>41</v>
      </c>
      <c r="E515" t="s">
        <v>94</v>
      </c>
      <c r="F515" t="s">
        <v>266</v>
      </c>
      <c r="G515" t="s">
        <v>2465</v>
      </c>
      <c r="H515">
        <v>52615</v>
      </c>
      <c r="I515" t="s">
        <v>30</v>
      </c>
      <c r="J515" t="s">
        <v>61</v>
      </c>
      <c r="K515" t="s">
        <v>98</v>
      </c>
      <c r="L515" t="s">
        <v>62</v>
      </c>
      <c r="M515">
        <v>40</v>
      </c>
      <c r="N515" t="s">
        <v>45</v>
      </c>
      <c r="O515">
        <v>1</v>
      </c>
      <c r="P515">
        <v>3</v>
      </c>
      <c r="Q515">
        <v>2</v>
      </c>
      <c r="R515">
        <v>5</v>
      </c>
      <c r="S515">
        <v>4</v>
      </c>
      <c r="T515">
        <v>3</v>
      </c>
      <c r="U515">
        <v>13</v>
      </c>
      <c r="V515" t="s">
        <v>2466</v>
      </c>
      <c r="W515" t="s">
        <v>45</v>
      </c>
      <c r="X515" t="s">
        <v>2467</v>
      </c>
    </row>
    <row r="516" spans="1:24" x14ac:dyDescent="0.25">
      <c r="A516" t="s">
        <v>2468</v>
      </c>
      <c r="B516" t="s">
        <v>2469</v>
      </c>
      <c r="C516" t="s">
        <v>81</v>
      </c>
      <c r="D516">
        <v>25</v>
      </c>
      <c r="E516" t="s">
        <v>505</v>
      </c>
      <c r="F516" t="s">
        <v>828</v>
      </c>
      <c r="G516" t="s">
        <v>2470</v>
      </c>
      <c r="H516" t="s">
        <v>2471</v>
      </c>
      <c r="I516" t="s">
        <v>52</v>
      </c>
      <c r="J516" t="s">
        <v>61</v>
      </c>
      <c r="K516" t="s">
        <v>131</v>
      </c>
      <c r="L516" t="s">
        <v>43</v>
      </c>
      <c r="M516">
        <v>28</v>
      </c>
      <c r="N516" t="s">
        <v>34</v>
      </c>
      <c r="O516">
        <v>1</v>
      </c>
      <c r="P516">
        <v>3</v>
      </c>
      <c r="Q516">
        <v>2</v>
      </c>
      <c r="R516">
        <v>4</v>
      </c>
      <c r="S516">
        <v>0</v>
      </c>
      <c r="T516">
        <v>8</v>
      </c>
      <c r="U516">
        <v>18</v>
      </c>
      <c r="V516" t="s">
        <v>2472</v>
      </c>
      <c r="W516" t="s">
        <v>34</v>
      </c>
    </row>
    <row r="517" spans="1:24" x14ac:dyDescent="0.25">
      <c r="A517" t="s">
        <v>2473</v>
      </c>
      <c r="B517" t="s">
        <v>2474</v>
      </c>
      <c r="C517" t="s">
        <v>26</v>
      </c>
      <c r="D517">
        <v>40</v>
      </c>
      <c r="E517" t="s">
        <v>94</v>
      </c>
      <c r="F517" t="s">
        <v>356</v>
      </c>
      <c r="G517" t="s">
        <v>2475</v>
      </c>
      <c r="H517">
        <v>54711</v>
      </c>
      <c r="J517" t="s">
        <v>61</v>
      </c>
      <c r="K517" t="s">
        <v>200</v>
      </c>
      <c r="L517" t="s">
        <v>33</v>
      </c>
      <c r="M517">
        <v>30</v>
      </c>
      <c r="N517" t="s">
        <v>34</v>
      </c>
      <c r="O517">
        <v>2</v>
      </c>
      <c r="P517">
        <v>4</v>
      </c>
      <c r="Q517">
        <v>1</v>
      </c>
      <c r="R517">
        <v>1</v>
      </c>
      <c r="S517">
        <v>3</v>
      </c>
      <c r="T517">
        <v>4</v>
      </c>
      <c r="U517">
        <v>25</v>
      </c>
      <c r="V517" t="s">
        <v>2476</v>
      </c>
      <c r="W517" t="s">
        <v>34</v>
      </c>
    </row>
    <row r="518" spans="1:24" x14ac:dyDescent="0.25">
      <c r="A518" t="s">
        <v>2477</v>
      </c>
      <c r="B518" t="s">
        <v>2478</v>
      </c>
      <c r="D518">
        <v>30</v>
      </c>
      <c r="E518" t="s">
        <v>88</v>
      </c>
      <c r="F518" t="s">
        <v>141</v>
      </c>
      <c r="G518" t="s">
        <v>2479</v>
      </c>
      <c r="H518">
        <v>112767</v>
      </c>
      <c r="J518" t="s">
        <v>31</v>
      </c>
      <c r="K518" t="s">
        <v>167</v>
      </c>
      <c r="L518" t="s">
        <v>43</v>
      </c>
      <c r="M518">
        <v>13</v>
      </c>
      <c r="N518" t="s">
        <v>34</v>
      </c>
      <c r="O518">
        <v>4</v>
      </c>
      <c r="P518">
        <v>2</v>
      </c>
      <c r="Q518">
        <v>3</v>
      </c>
      <c r="R518">
        <v>3</v>
      </c>
      <c r="S518">
        <v>3</v>
      </c>
      <c r="T518">
        <v>8</v>
      </c>
      <c r="U518">
        <v>25</v>
      </c>
      <c r="V518" t="s">
        <v>2480</v>
      </c>
      <c r="W518" t="s">
        <v>34</v>
      </c>
    </row>
    <row r="519" spans="1:24" x14ac:dyDescent="0.25">
      <c r="A519" t="s">
        <v>191</v>
      </c>
      <c r="B519" t="s">
        <v>192</v>
      </c>
      <c r="C519" t="s">
        <v>102</v>
      </c>
      <c r="D519">
        <v>41</v>
      </c>
      <c r="E519" t="s">
        <v>554</v>
      </c>
      <c r="F519" t="s">
        <v>89</v>
      </c>
      <c r="G519" t="s">
        <v>193</v>
      </c>
      <c r="H519">
        <v>113587</v>
      </c>
      <c r="I519" t="s">
        <v>30</v>
      </c>
      <c r="J519" t="s">
        <v>143</v>
      </c>
      <c r="K519" t="s">
        <v>54</v>
      </c>
      <c r="L519" t="s">
        <v>62</v>
      </c>
      <c r="O519">
        <v>4</v>
      </c>
      <c r="P519">
        <v>4</v>
      </c>
      <c r="Q519">
        <v>2</v>
      </c>
      <c r="R519">
        <v>4</v>
      </c>
      <c r="S519">
        <v>2</v>
      </c>
      <c r="T519">
        <v>8</v>
      </c>
      <c r="U519">
        <v>13</v>
      </c>
      <c r="V519" t="s">
        <v>194</v>
      </c>
      <c r="W519" t="s">
        <v>34</v>
      </c>
    </row>
    <row r="520" spans="1:24" x14ac:dyDescent="0.25">
      <c r="A520" t="s">
        <v>2481</v>
      </c>
      <c r="B520" t="s">
        <v>1960</v>
      </c>
      <c r="C520" t="s">
        <v>73</v>
      </c>
      <c r="E520" t="s">
        <v>128</v>
      </c>
      <c r="F520" t="s">
        <v>226</v>
      </c>
      <c r="G520" t="s">
        <v>2482</v>
      </c>
      <c r="H520" t="s">
        <v>2483</v>
      </c>
      <c r="I520" t="s">
        <v>30</v>
      </c>
      <c r="J520" t="s">
        <v>53</v>
      </c>
      <c r="K520" t="s">
        <v>167</v>
      </c>
      <c r="L520" t="s">
        <v>43</v>
      </c>
      <c r="M520">
        <v>16</v>
      </c>
      <c r="N520" t="s">
        <v>34</v>
      </c>
      <c r="P520">
        <v>1</v>
      </c>
      <c r="Q520">
        <v>3</v>
      </c>
      <c r="R520">
        <v>4</v>
      </c>
      <c r="S520">
        <v>6</v>
      </c>
      <c r="T520">
        <v>0</v>
      </c>
      <c r="U520">
        <v>19</v>
      </c>
      <c r="V520" t="s">
        <v>2484</v>
      </c>
      <c r="W520" t="s">
        <v>34</v>
      </c>
    </row>
    <row r="521" spans="1:24" x14ac:dyDescent="0.25">
      <c r="A521" t="s">
        <v>2485</v>
      </c>
      <c r="B521" t="s">
        <v>2486</v>
      </c>
      <c r="C521" t="s">
        <v>102</v>
      </c>
      <c r="D521">
        <v>29</v>
      </c>
      <c r="E521" t="s">
        <v>128</v>
      </c>
      <c r="F521" t="s">
        <v>123</v>
      </c>
      <c r="G521" t="s">
        <v>2487</v>
      </c>
      <c r="H521">
        <v>92806</v>
      </c>
      <c r="I521" t="s">
        <v>52</v>
      </c>
      <c r="J521" t="s">
        <v>61</v>
      </c>
      <c r="K521" t="s">
        <v>98</v>
      </c>
      <c r="L521" t="s">
        <v>33</v>
      </c>
      <c r="M521">
        <v>45</v>
      </c>
      <c r="N521" t="s">
        <v>34</v>
      </c>
      <c r="O521">
        <v>4</v>
      </c>
      <c r="P521">
        <v>3</v>
      </c>
      <c r="Q521">
        <v>2</v>
      </c>
      <c r="R521">
        <v>3</v>
      </c>
      <c r="S521">
        <v>3</v>
      </c>
      <c r="T521">
        <v>3</v>
      </c>
      <c r="U521">
        <v>17</v>
      </c>
      <c r="V521" t="s">
        <v>2488</v>
      </c>
      <c r="W521" t="s">
        <v>34</v>
      </c>
    </row>
    <row r="522" spans="1:24" x14ac:dyDescent="0.25">
      <c r="A522" t="s">
        <v>2489</v>
      </c>
      <c r="B522" t="s">
        <v>2490</v>
      </c>
      <c r="C522" t="s">
        <v>49</v>
      </c>
      <c r="D522">
        <v>29</v>
      </c>
      <c r="E522" t="s">
        <v>94</v>
      </c>
      <c r="F522" t="s">
        <v>356</v>
      </c>
      <c r="G522" t="s">
        <v>2491</v>
      </c>
      <c r="H522" t="s">
        <v>2492</v>
      </c>
      <c r="I522" t="s">
        <v>30</v>
      </c>
      <c r="J522" t="s">
        <v>143</v>
      </c>
      <c r="K522" t="s">
        <v>200</v>
      </c>
      <c r="L522" t="s">
        <v>33</v>
      </c>
      <c r="M522">
        <v>45</v>
      </c>
      <c r="N522" t="s">
        <v>34</v>
      </c>
      <c r="O522">
        <v>2</v>
      </c>
      <c r="P522">
        <v>3</v>
      </c>
      <c r="Q522">
        <v>2</v>
      </c>
      <c r="R522">
        <v>3</v>
      </c>
      <c r="S522">
        <v>6</v>
      </c>
      <c r="T522">
        <v>0</v>
      </c>
      <c r="U522">
        <v>12</v>
      </c>
      <c r="V522" t="s">
        <v>2493</v>
      </c>
      <c r="W522" t="s">
        <v>34</v>
      </c>
    </row>
    <row r="523" spans="1:24" x14ac:dyDescent="0.25">
      <c r="A523" t="s">
        <v>2494</v>
      </c>
      <c r="B523" t="s">
        <v>2495</v>
      </c>
      <c r="C523" t="s">
        <v>87</v>
      </c>
      <c r="D523">
        <v>32</v>
      </c>
      <c r="E523" t="s">
        <v>27</v>
      </c>
      <c r="F523" t="s">
        <v>240</v>
      </c>
      <c r="G523" t="s">
        <v>2496</v>
      </c>
      <c r="H523">
        <v>56415</v>
      </c>
      <c r="I523" t="s">
        <v>52</v>
      </c>
      <c r="J523" t="s">
        <v>143</v>
      </c>
      <c r="K523" t="s">
        <v>106</v>
      </c>
      <c r="L523" t="s">
        <v>62</v>
      </c>
      <c r="M523">
        <v>44</v>
      </c>
      <c r="N523" t="s">
        <v>45</v>
      </c>
      <c r="O523">
        <v>1</v>
      </c>
      <c r="P523">
        <v>2</v>
      </c>
      <c r="Q523">
        <v>4</v>
      </c>
      <c r="R523">
        <v>1</v>
      </c>
      <c r="T523">
        <v>6</v>
      </c>
      <c r="U523">
        <v>22</v>
      </c>
      <c r="V523" t="s">
        <v>2497</v>
      </c>
      <c r="W523" t="s">
        <v>45</v>
      </c>
      <c r="X523" t="s">
        <v>2498</v>
      </c>
    </row>
    <row r="524" spans="1:24" x14ac:dyDescent="0.25">
      <c r="A524" t="s">
        <v>2499</v>
      </c>
      <c r="B524" t="s">
        <v>2500</v>
      </c>
      <c r="C524" t="s">
        <v>81</v>
      </c>
      <c r="D524">
        <v>29</v>
      </c>
      <c r="E524" t="s">
        <v>554</v>
      </c>
      <c r="F524" t="s">
        <v>286</v>
      </c>
      <c r="G524" t="s">
        <v>2501</v>
      </c>
      <c r="H524">
        <v>108533</v>
      </c>
      <c r="I524" t="s">
        <v>52</v>
      </c>
      <c r="J524" t="s">
        <v>61</v>
      </c>
      <c r="K524" t="s">
        <v>106</v>
      </c>
      <c r="L524" t="s">
        <v>62</v>
      </c>
      <c r="M524">
        <v>37</v>
      </c>
      <c r="N524" t="s">
        <v>34</v>
      </c>
      <c r="O524">
        <v>3</v>
      </c>
      <c r="P524">
        <v>1</v>
      </c>
      <c r="Q524">
        <v>3</v>
      </c>
      <c r="R524">
        <v>3</v>
      </c>
      <c r="S524">
        <v>5</v>
      </c>
      <c r="T524">
        <v>1</v>
      </c>
      <c r="U524">
        <v>17</v>
      </c>
      <c r="V524" t="s">
        <v>2502</v>
      </c>
      <c r="W524" t="s">
        <v>34</v>
      </c>
    </row>
    <row r="525" spans="1:24" x14ac:dyDescent="0.25">
      <c r="A525" t="s">
        <v>2485</v>
      </c>
      <c r="B525" t="s">
        <v>2486</v>
      </c>
      <c r="C525" t="s">
        <v>102</v>
      </c>
      <c r="D525">
        <v>29</v>
      </c>
      <c r="E525" t="s">
        <v>128</v>
      </c>
      <c r="F525" t="s">
        <v>351</v>
      </c>
      <c r="G525" t="s">
        <v>2487</v>
      </c>
      <c r="H525">
        <v>92806</v>
      </c>
      <c r="I525" t="s">
        <v>52</v>
      </c>
      <c r="J525" t="s">
        <v>61</v>
      </c>
      <c r="K525" t="s">
        <v>98</v>
      </c>
      <c r="L525" t="s">
        <v>33</v>
      </c>
      <c r="M525">
        <v>45</v>
      </c>
      <c r="N525" t="s">
        <v>34</v>
      </c>
      <c r="O525">
        <v>4</v>
      </c>
      <c r="P525">
        <v>3</v>
      </c>
      <c r="Q525">
        <v>2</v>
      </c>
      <c r="R525">
        <v>3</v>
      </c>
      <c r="S525">
        <v>3</v>
      </c>
      <c r="T525">
        <v>3</v>
      </c>
      <c r="U525">
        <v>17</v>
      </c>
      <c r="V525" t="s">
        <v>2488</v>
      </c>
      <c r="W525" t="s">
        <v>34</v>
      </c>
    </row>
    <row r="526" spans="1:24" x14ac:dyDescent="0.25">
      <c r="A526" t="s">
        <v>2503</v>
      </c>
      <c r="B526" t="s">
        <v>2504</v>
      </c>
      <c r="C526" t="s">
        <v>102</v>
      </c>
      <c r="D526">
        <v>33</v>
      </c>
      <c r="E526" t="s">
        <v>128</v>
      </c>
      <c r="F526" t="s">
        <v>123</v>
      </c>
      <c r="G526" t="s">
        <v>2505</v>
      </c>
      <c r="H526" t="s">
        <v>2506</v>
      </c>
      <c r="I526" t="s">
        <v>30</v>
      </c>
      <c r="J526" t="s">
        <v>97</v>
      </c>
      <c r="K526" t="s">
        <v>200</v>
      </c>
      <c r="L526" t="s">
        <v>43</v>
      </c>
      <c r="M526">
        <v>36</v>
      </c>
      <c r="N526" t="s">
        <v>34</v>
      </c>
      <c r="O526">
        <v>2</v>
      </c>
      <c r="P526">
        <v>2</v>
      </c>
      <c r="Q526">
        <v>2</v>
      </c>
      <c r="R526">
        <v>4</v>
      </c>
      <c r="S526">
        <v>5</v>
      </c>
      <c r="T526">
        <v>2</v>
      </c>
      <c r="U526">
        <v>23</v>
      </c>
      <c r="V526" t="s">
        <v>2507</v>
      </c>
      <c r="W526" t="s">
        <v>45</v>
      </c>
      <c r="X526" t="s">
        <v>2508</v>
      </c>
    </row>
    <row r="527" spans="1:24" x14ac:dyDescent="0.25">
      <c r="A527" t="s">
        <v>2509</v>
      </c>
      <c r="B527" t="s">
        <v>2510</v>
      </c>
      <c r="C527" t="s">
        <v>58</v>
      </c>
      <c r="D527">
        <v>50</v>
      </c>
      <c r="E527" t="s">
        <v>27</v>
      </c>
      <c r="F527" t="s">
        <v>50</v>
      </c>
      <c r="G527" t="s">
        <v>2511</v>
      </c>
      <c r="H527">
        <v>102577</v>
      </c>
      <c r="I527" t="s">
        <v>52</v>
      </c>
      <c r="J527" t="s">
        <v>53</v>
      </c>
      <c r="K527" t="s">
        <v>77</v>
      </c>
      <c r="L527" t="s">
        <v>33</v>
      </c>
      <c r="M527">
        <v>15</v>
      </c>
      <c r="N527" t="s">
        <v>34</v>
      </c>
      <c r="O527">
        <v>2</v>
      </c>
      <c r="P527">
        <v>1</v>
      </c>
      <c r="Q527">
        <v>1</v>
      </c>
      <c r="R527">
        <v>3</v>
      </c>
      <c r="S527">
        <v>3</v>
      </c>
      <c r="T527">
        <v>8</v>
      </c>
      <c r="U527">
        <v>22</v>
      </c>
      <c r="V527" t="s">
        <v>2512</v>
      </c>
      <c r="W527" t="s">
        <v>45</v>
      </c>
      <c r="X527" t="s">
        <v>2513</v>
      </c>
    </row>
    <row r="528" spans="1:24" x14ac:dyDescent="0.25">
      <c r="A528" t="s">
        <v>2514</v>
      </c>
      <c r="B528" t="s">
        <v>2515</v>
      </c>
      <c r="C528" t="s">
        <v>67</v>
      </c>
      <c r="D528">
        <v>31</v>
      </c>
      <c r="E528" t="s">
        <v>197</v>
      </c>
      <c r="F528" t="s">
        <v>323</v>
      </c>
      <c r="G528" t="s">
        <v>2516</v>
      </c>
      <c r="H528">
        <v>85818</v>
      </c>
      <c r="I528" t="s">
        <v>30</v>
      </c>
      <c r="J528" t="s">
        <v>61</v>
      </c>
      <c r="K528" t="s">
        <v>106</v>
      </c>
      <c r="L528" t="s">
        <v>33</v>
      </c>
      <c r="M528">
        <v>14</v>
      </c>
      <c r="N528" t="s">
        <v>34</v>
      </c>
      <c r="O528">
        <v>2</v>
      </c>
      <c r="P528">
        <v>2</v>
      </c>
      <c r="Q528">
        <v>3</v>
      </c>
      <c r="R528">
        <v>5</v>
      </c>
      <c r="S528">
        <v>0</v>
      </c>
      <c r="T528">
        <v>8</v>
      </c>
      <c r="U528">
        <v>23</v>
      </c>
      <c r="V528" t="s">
        <v>2517</v>
      </c>
      <c r="W528" t="s">
        <v>34</v>
      </c>
    </row>
    <row r="529" spans="1:24" x14ac:dyDescent="0.25">
      <c r="A529" t="s">
        <v>2518</v>
      </c>
      <c r="B529" t="s">
        <v>2519</v>
      </c>
      <c r="C529" t="s">
        <v>73</v>
      </c>
      <c r="D529">
        <v>46</v>
      </c>
      <c r="E529" t="s">
        <v>128</v>
      </c>
      <c r="F529" t="s">
        <v>226</v>
      </c>
      <c r="G529" t="s">
        <v>2520</v>
      </c>
      <c r="H529">
        <v>67646</v>
      </c>
      <c r="I529" t="s">
        <v>52</v>
      </c>
      <c r="J529" t="s">
        <v>31</v>
      </c>
      <c r="K529" t="s">
        <v>54</v>
      </c>
      <c r="L529" t="s">
        <v>43</v>
      </c>
      <c r="M529">
        <v>39</v>
      </c>
      <c r="N529" t="s">
        <v>34</v>
      </c>
      <c r="O529">
        <v>2</v>
      </c>
      <c r="P529">
        <v>2</v>
      </c>
      <c r="Q529">
        <v>4</v>
      </c>
      <c r="R529">
        <v>4</v>
      </c>
      <c r="S529">
        <v>2</v>
      </c>
      <c r="T529">
        <v>4</v>
      </c>
      <c r="V529" t="s">
        <v>2521</v>
      </c>
      <c r="W529" t="s">
        <v>34</v>
      </c>
    </row>
    <row r="530" spans="1:24" x14ac:dyDescent="0.25">
      <c r="A530" t="s">
        <v>2522</v>
      </c>
      <c r="B530" t="s">
        <v>2523</v>
      </c>
      <c r="D530">
        <v>22</v>
      </c>
      <c r="E530" t="s">
        <v>94</v>
      </c>
      <c r="F530" t="s">
        <v>266</v>
      </c>
      <c r="G530" t="s">
        <v>2524</v>
      </c>
      <c r="H530">
        <v>81747</v>
      </c>
      <c r="I530" t="s">
        <v>42</v>
      </c>
      <c r="J530" t="s">
        <v>97</v>
      </c>
      <c r="K530" t="s">
        <v>113</v>
      </c>
      <c r="L530" t="s">
        <v>62</v>
      </c>
      <c r="M530">
        <v>11</v>
      </c>
      <c r="N530" t="s">
        <v>34</v>
      </c>
      <c r="O530">
        <v>2</v>
      </c>
      <c r="P530">
        <v>4</v>
      </c>
      <c r="Q530">
        <v>2</v>
      </c>
      <c r="R530">
        <v>3</v>
      </c>
      <c r="S530">
        <v>0</v>
      </c>
      <c r="T530">
        <v>6</v>
      </c>
      <c r="U530">
        <v>25</v>
      </c>
      <c r="V530" t="s">
        <v>2525</v>
      </c>
      <c r="W530" t="s">
        <v>45</v>
      </c>
      <c r="X530" t="s">
        <v>2526</v>
      </c>
    </row>
    <row r="531" spans="1:24" x14ac:dyDescent="0.25">
      <c r="A531" t="s">
        <v>2527</v>
      </c>
      <c r="B531" t="s">
        <v>2528</v>
      </c>
      <c r="C531" t="s">
        <v>87</v>
      </c>
      <c r="D531">
        <v>41</v>
      </c>
      <c r="E531" t="s">
        <v>88</v>
      </c>
      <c r="F531" t="s">
        <v>261</v>
      </c>
      <c r="G531" t="s">
        <v>2529</v>
      </c>
      <c r="H531">
        <v>63047</v>
      </c>
      <c r="I531" t="s">
        <v>52</v>
      </c>
      <c r="J531" t="s">
        <v>61</v>
      </c>
      <c r="K531" t="s">
        <v>54</v>
      </c>
      <c r="L531" t="s">
        <v>43</v>
      </c>
      <c r="M531">
        <v>32</v>
      </c>
      <c r="N531" t="s">
        <v>34</v>
      </c>
      <c r="O531">
        <v>1</v>
      </c>
      <c r="P531">
        <v>3</v>
      </c>
      <c r="Q531">
        <v>1</v>
      </c>
      <c r="R531">
        <v>4</v>
      </c>
      <c r="S531">
        <v>1</v>
      </c>
      <c r="T531">
        <v>5</v>
      </c>
      <c r="U531">
        <v>20</v>
      </c>
      <c r="V531" t="s">
        <v>2530</v>
      </c>
      <c r="W531" t="s">
        <v>45</v>
      </c>
      <c r="X531" t="s">
        <v>2531</v>
      </c>
    </row>
    <row r="532" spans="1:24" x14ac:dyDescent="0.25">
      <c r="A532" t="s">
        <v>2532</v>
      </c>
      <c r="B532" t="s">
        <v>2533</v>
      </c>
      <c r="C532" t="s">
        <v>87</v>
      </c>
      <c r="D532">
        <v>37</v>
      </c>
      <c r="E532" t="s">
        <v>197</v>
      </c>
      <c r="F532" t="s">
        <v>235</v>
      </c>
      <c r="G532" t="s">
        <v>2534</v>
      </c>
      <c r="H532">
        <v>108153</v>
      </c>
      <c r="I532" t="s">
        <v>52</v>
      </c>
      <c r="J532" t="s">
        <v>31</v>
      </c>
      <c r="K532" t="s">
        <v>77</v>
      </c>
      <c r="L532" t="s">
        <v>43</v>
      </c>
      <c r="M532">
        <v>15</v>
      </c>
      <c r="N532" t="s">
        <v>34</v>
      </c>
      <c r="O532">
        <v>1</v>
      </c>
      <c r="P532">
        <v>4</v>
      </c>
      <c r="Q532">
        <v>1</v>
      </c>
      <c r="R532">
        <v>3</v>
      </c>
      <c r="S532">
        <v>1</v>
      </c>
      <c r="T532">
        <v>6</v>
      </c>
      <c r="U532">
        <v>16</v>
      </c>
      <c r="V532" t="s">
        <v>2535</v>
      </c>
      <c r="W532" t="s">
        <v>34</v>
      </c>
    </row>
    <row r="533" spans="1:24" x14ac:dyDescent="0.25">
      <c r="A533" t="s">
        <v>2536</v>
      </c>
      <c r="B533" t="s">
        <v>1960</v>
      </c>
      <c r="C533" t="s">
        <v>87</v>
      </c>
      <c r="D533">
        <v>50</v>
      </c>
      <c r="E533" t="s">
        <v>27</v>
      </c>
      <c r="F533" t="s">
        <v>50</v>
      </c>
      <c r="G533" t="s">
        <v>2537</v>
      </c>
      <c r="H533">
        <v>67151</v>
      </c>
      <c r="I533" t="s">
        <v>30</v>
      </c>
      <c r="J533" t="s">
        <v>31</v>
      </c>
      <c r="K533" t="s">
        <v>113</v>
      </c>
      <c r="L533" t="s">
        <v>33</v>
      </c>
      <c r="M533">
        <v>33</v>
      </c>
      <c r="N533" t="s">
        <v>34</v>
      </c>
      <c r="O533">
        <v>3</v>
      </c>
      <c r="P533">
        <v>1</v>
      </c>
      <c r="Q533">
        <v>4</v>
      </c>
      <c r="R533">
        <v>4</v>
      </c>
      <c r="S533">
        <v>2</v>
      </c>
      <c r="T533">
        <v>1</v>
      </c>
      <c r="U533">
        <v>23</v>
      </c>
      <c r="V533" t="s">
        <v>2538</v>
      </c>
      <c r="W533" t="s">
        <v>34</v>
      </c>
    </row>
    <row r="534" spans="1:24" x14ac:dyDescent="0.25">
      <c r="A534" t="s">
        <v>2539</v>
      </c>
      <c r="B534" t="s">
        <v>2540</v>
      </c>
      <c r="C534" t="s">
        <v>67</v>
      </c>
      <c r="D534">
        <v>47</v>
      </c>
      <c r="E534" t="s">
        <v>1669</v>
      </c>
      <c r="F534" t="s">
        <v>306</v>
      </c>
      <c r="G534" t="s">
        <v>2541</v>
      </c>
      <c r="H534" t="s">
        <v>2542</v>
      </c>
      <c r="I534" t="s">
        <v>30</v>
      </c>
      <c r="J534" t="s">
        <v>61</v>
      </c>
      <c r="K534" t="s">
        <v>113</v>
      </c>
      <c r="L534" t="s">
        <v>33</v>
      </c>
      <c r="M534">
        <v>2</v>
      </c>
      <c r="N534" t="s">
        <v>34</v>
      </c>
      <c r="O534">
        <v>3</v>
      </c>
      <c r="P534">
        <v>2</v>
      </c>
      <c r="Q534">
        <v>2</v>
      </c>
      <c r="R534">
        <v>4</v>
      </c>
      <c r="S534">
        <v>2</v>
      </c>
      <c r="T534">
        <v>7</v>
      </c>
      <c r="U534">
        <v>22</v>
      </c>
      <c r="V534" t="s">
        <v>2543</v>
      </c>
      <c r="W534" t="s">
        <v>34</v>
      </c>
    </row>
    <row r="535" spans="1:24" x14ac:dyDescent="0.25">
      <c r="A535" t="s">
        <v>2544</v>
      </c>
      <c r="B535" t="s">
        <v>2545</v>
      </c>
      <c r="C535" t="s">
        <v>49</v>
      </c>
      <c r="D535">
        <v>32</v>
      </c>
      <c r="E535" t="s">
        <v>88</v>
      </c>
      <c r="F535" t="s">
        <v>286</v>
      </c>
      <c r="G535" t="s">
        <v>2546</v>
      </c>
      <c r="I535" t="s">
        <v>42</v>
      </c>
      <c r="J535" t="s">
        <v>61</v>
      </c>
      <c r="K535" t="s">
        <v>200</v>
      </c>
      <c r="L535" t="s">
        <v>43</v>
      </c>
      <c r="M535">
        <v>22</v>
      </c>
      <c r="N535" t="s">
        <v>45</v>
      </c>
      <c r="O535">
        <v>2</v>
      </c>
      <c r="P535">
        <v>1</v>
      </c>
      <c r="Q535">
        <v>4</v>
      </c>
      <c r="R535">
        <v>3</v>
      </c>
      <c r="S535">
        <v>0</v>
      </c>
      <c r="T535">
        <v>6</v>
      </c>
      <c r="U535">
        <v>22</v>
      </c>
      <c r="V535" t="s">
        <v>2547</v>
      </c>
      <c r="W535" t="s">
        <v>45</v>
      </c>
      <c r="X535" t="s">
        <v>2548</v>
      </c>
    </row>
    <row r="536" spans="1:24" x14ac:dyDescent="0.25">
      <c r="A536" t="s">
        <v>2549</v>
      </c>
      <c r="B536" t="s">
        <v>2550</v>
      </c>
      <c r="C536" t="s">
        <v>102</v>
      </c>
      <c r="D536">
        <v>41</v>
      </c>
      <c r="E536" t="s">
        <v>88</v>
      </c>
      <c r="F536" t="s">
        <v>141</v>
      </c>
      <c r="G536" t="s">
        <v>2551</v>
      </c>
      <c r="H536">
        <v>94704</v>
      </c>
      <c r="J536" t="s">
        <v>31</v>
      </c>
      <c r="K536" t="s">
        <v>167</v>
      </c>
      <c r="L536" t="s">
        <v>43</v>
      </c>
      <c r="M536">
        <v>3</v>
      </c>
      <c r="N536" t="s">
        <v>45</v>
      </c>
      <c r="O536">
        <v>3</v>
      </c>
      <c r="P536">
        <v>3</v>
      </c>
      <c r="Q536">
        <v>1</v>
      </c>
      <c r="R536">
        <v>3</v>
      </c>
      <c r="S536">
        <v>0</v>
      </c>
      <c r="T536">
        <v>4</v>
      </c>
      <c r="U536">
        <v>22</v>
      </c>
      <c r="V536" t="s">
        <v>2552</v>
      </c>
      <c r="W536" t="s">
        <v>45</v>
      </c>
      <c r="X536" t="s">
        <v>2553</v>
      </c>
    </row>
    <row r="537" spans="1:24" x14ac:dyDescent="0.25">
      <c r="A537" t="s">
        <v>2554</v>
      </c>
      <c r="B537" t="s">
        <v>2555</v>
      </c>
      <c r="C537" t="s">
        <v>58</v>
      </c>
      <c r="D537">
        <v>39</v>
      </c>
      <c r="E537" t="s">
        <v>94</v>
      </c>
      <c r="G537" t="s">
        <v>2556</v>
      </c>
      <c r="H537">
        <v>84461</v>
      </c>
      <c r="I537" t="s">
        <v>52</v>
      </c>
      <c r="J537" t="s">
        <v>31</v>
      </c>
      <c r="K537" t="s">
        <v>106</v>
      </c>
      <c r="L537" t="s">
        <v>62</v>
      </c>
      <c r="M537">
        <v>26</v>
      </c>
      <c r="N537" t="s">
        <v>34</v>
      </c>
      <c r="O537">
        <v>3</v>
      </c>
      <c r="P537">
        <v>1</v>
      </c>
      <c r="Q537">
        <v>1</v>
      </c>
      <c r="R537">
        <v>4</v>
      </c>
      <c r="S537">
        <v>0</v>
      </c>
      <c r="T537">
        <v>3</v>
      </c>
      <c r="U537">
        <v>11</v>
      </c>
      <c r="V537" t="s">
        <v>2557</v>
      </c>
      <c r="W537" t="s">
        <v>34</v>
      </c>
    </row>
    <row r="538" spans="1:24" x14ac:dyDescent="0.25">
      <c r="A538" t="s">
        <v>2558</v>
      </c>
      <c r="B538" t="s">
        <v>2559</v>
      </c>
      <c r="C538" t="s">
        <v>87</v>
      </c>
      <c r="D538">
        <v>23</v>
      </c>
      <c r="E538" t="s">
        <v>128</v>
      </c>
      <c r="F538" t="s">
        <v>271</v>
      </c>
      <c r="G538" t="s">
        <v>2560</v>
      </c>
      <c r="H538">
        <v>93382</v>
      </c>
      <c r="I538" t="s">
        <v>30</v>
      </c>
      <c r="J538" t="s">
        <v>31</v>
      </c>
      <c r="K538" t="s">
        <v>167</v>
      </c>
      <c r="L538" t="s">
        <v>33</v>
      </c>
      <c r="M538">
        <v>32</v>
      </c>
      <c r="N538" t="s">
        <v>34</v>
      </c>
      <c r="O538">
        <v>4</v>
      </c>
      <c r="P538">
        <v>4</v>
      </c>
      <c r="Q538">
        <v>3</v>
      </c>
      <c r="R538">
        <v>4</v>
      </c>
      <c r="S538">
        <v>5</v>
      </c>
      <c r="T538">
        <v>4</v>
      </c>
      <c r="U538">
        <v>22</v>
      </c>
      <c r="V538" t="s">
        <v>2561</v>
      </c>
      <c r="W538" t="s">
        <v>34</v>
      </c>
    </row>
    <row r="539" spans="1:24" x14ac:dyDescent="0.25">
      <c r="A539" t="s">
        <v>2562</v>
      </c>
      <c r="B539" t="s">
        <v>2563</v>
      </c>
      <c r="C539" t="s">
        <v>58</v>
      </c>
      <c r="D539">
        <v>39</v>
      </c>
      <c r="E539" t="s">
        <v>88</v>
      </c>
      <c r="F539" t="s">
        <v>469</v>
      </c>
      <c r="G539" t="s">
        <v>2564</v>
      </c>
      <c r="H539">
        <v>55131</v>
      </c>
      <c r="I539" t="s">
        <v>42</v>
      </c>
      <c r="J539" t="s">
        <v>143</v>
      </c>
      <c r="K539" t="s">
        <v>83</v>
      </c>
      <c r="L539" t="s">
        <v>43</v>
      </c>
      <c r="M539">
        <v>19</v>
      </c>
      <c r="N539" t="s">
        <v>45</v>
      </c>
      <c r="O539">
        <v>4</v>
      </c>
      <c r="P539">
        <v>2</v>
      </c>
      <c r="Q539">
        <v>1</v>
      </c>
      <c r="R539">
        <v>3</v>
      </c>
      <c r="S539">
        <v>2</v>
      </c>
      <c r="T539">
        <v>3</v>
      </c>
      <c r="U539">
        <v>23</v>
      </c>
      <c r="V539" t="s">
        <v>2565</v>
      </c>
      <c r="W539" t="s">
        <v>34</v>
      </c>
    </row>
    <row r="540" spans="1:24" x14ac:dyDescent="0.25">
      <c r="A540" t="s">
        <v>2566</v>
      </c>
      <c r="B540" t="s">
        <v>2567</v>
      </c>
      <c r="C540" t="s">
        <v>26</v>
      </c>
      <c r="D540">
        <v>33</v>
      </c>
      <c r="E540" t="s">
        <v>94</v>
      </c>
      <c r="F540" t="s">
        <v>2568</v>
      </c>
      <c r="G540" t="s">
        <v>2569</v>
      </c>
      <c r="H540">
        <v>78658</v>
      </c>
      <c r="I540" t="s">
        <v>52</v>
      </c>
      <c r="J540" t="s">
        <v>31</v>
      </c>
      <c r="K540" t="s">
        <v>200</v>
      </c>
      <c r="L540" t="s">
        <v>33</v>
      </c>
      <c r="M540">
        <v>36</v>
      </c>
      <c r="N540" t="s">
        <v>34</v>
      </c>
      <c r="O540">
        <v>1</v>
      </c>
      <c r="P540">
        <v>3</v>
      </c>
      <c r="Q540">
        <v>2</v>
      </c>
      <c r="R540">
        <v>2</v>
      </c>
      <c r="S540">
        <v>4</v>
      </c>
      <c r="T540">
        <v>8</v>
      </c>
      <c r="U540">
        <v>23</v>
      </c>
      <c r="V540" t="s">
        <v>2570</v>
      </c>
      <c r="W540" t="s">
        <v>45</v>
      </c>
      <c r="X540" t="s">
        <v>2571</v>
      </c>
    </row>
    <row r="541" spans="1:24" x14ac:dyDescent="0.25">
      <c r="A541" t="s">
        <v>2572</v>
      </c>
      <c r="B541" t="s">
        <v>2573</v>
      </c>
      <c r="C541" t="s">
        <v>58</v>
      </c>
      <c r="D541">
        <v>48</v>
      </c>
      <c r="E541" t="s">
        <v>579</v>
      </c>
      <c r="F541" t="s">
        <v>483</v>
      </c>
      <c r="G541" t="s">
        <v>2574</v>
      </c>
      <c r="H541">
        <v>109922</v>
      </c>
      <c r="I541" t="s">
        <v>42</v>
      </c>
      <c r="J541" t="s">
        <v>31</v>
      </c>
      <c r="K541" t="s">
        <v>54</v>
      </c>
      <c r="L541" t="s">
        <v>33</v>
      </c>
      <c r="M541">
        <v>37</v>
      </c>
      <c r="N541" t="s">
        <v>34</v>
      </c>
      <c r="O541">
        <v>2</v>
      </c>
      <c r="P541">
        <v>3</v>
      </c>
      <c r="Q541">
        <v>1</v>
      </c>
      <c r="R541">
        <v>5</v>
      </c>
      <c r="S541">
        <v>0</v>
      </c>
      <c r="T541">
        <v>6</v>
      </c>
      <c r="U541">
        <v>12</v>
      </c>
      <c r="V541" t="s">
        <v>2575</v>
      </c>
      <c r="W541" t="s">
        <v>34</v>
      </c>
    </row>
    <row r="542" spans="1:24" x14ac:dyDescent="0.25">
      <c r="A542" t="s">
        <v>2576</v>
      </c>
      <c r="B542" t="s">
        <v>2577</v>
      </c>
      <c r="C542" t="s">
        <v>102</v>
      </c>
      <c r="D542">
        <v>37</v>
      </c>
      <c r="E542" t="s">
        <v>27</v>
      </c>
      <c r="F542" t="s">
        <v>75</v>
      </c>
      <c r="G542" t="s">
        <v>2578</v>
      </c>
      <c r="H542" t="s">
        <v>2579</v>
      </c>
      <c r="I542" t="s">
        <v>30</v>
      </c>
      <c r="J542" t="s">
        <v>143</v>
      </c>
      <c r="K542" t="s">
        <v>106</v>
      </c>
      <c r="L542" t="s">
        <v>33</v>
      </c>
      <c r="M542">
        <v>15</v>
      </c>
      <c r="N542" t="s">
        <v>34</v>
      </c>
      <c r="O542">
        <v>3</v>
      </c>
      <c r="P542">
        <v>2</v>
      </c>
      <c r="Q542">
        <v>4</v>
      </c>
      <c r="R542">
        <v>4</v>
      </c>
      <c r="S542">
        <v>6</v>
      </c>
      <c r="T542">
        <v>6</v>
      </c>
      <c r="U542">
        <v>17</v>
      </c>
      <c r="V542" t="s">
        <v>2580</v>
      </c>
      <c r="W542" t="s">
        <v>34</v>
      </c>
    </row>
    <row r="543" spans="1:24" x14ac:dyDescent="0.25">
      <c r="A543" t="s">
        <v>2581</v>
      </c>
      <c r="B543" t="s">
        <v>2582</v>
      </c>
      <c r="C543" t="s">
        <v>26</v>
      </c>
      <c r="D543">
        <v>28</v>
      </c>
      <c r="E543" t="s">
        <v>94</v>
      </c>
      <c r="F543" t="s">
        <v>356</v>
      </c>
      <c r="G543" t="s">
        <v>2583</v>
      </c>
      <c r="H543">
        <v>82457</v>
      </c>
      <c r="I543" t="s">
        <v>52</v>
      </c>
      <c r="J543" t="s">
        <v>61</v>
      </c>
      <c r="K543" t="s">
        <v>200</v>
      </c>
      <c r="L543" t="s">
        <v>43</v>
      </c>
      <c r="M543">
        <v>37</v>
      </c>
      <c r="N543" t="s">
        <v>34</v>
      </c>
      <c r="O543">
        <v>4</v>
      </c>
      <c r="P543">
        <v>4</v>
      </c>
      <c r="Q543">
        <v>4</v>
      </c>
      <c r="R543">
        <v>4</v>
      </c>
      <c r="S543">
        <v>4</v>
      </c>
      <c r="T543">
        <v>6</v>
      </c>
      <c r="U543">
        <v>22</v>
      </c>
      <c r="V543" t="s">
        <v>2584</v>
      </c>
      <c r="W543" t="s">
        <v>34</v>
      </c>
    </row>
    <row r="544" spans="1:24" x14ac:dyDescent="0.25">
      <c r="A544" t="s">
        <v>2585</v>
      </c>
      <c r="B544" t="s">
        <v>2586</v>
      </c>
      <c r="C544" t="s">
        <v>26</v>
      </c>
      <c r="E544" t="s">
        <v>88</v>
      </c>
      <c r="F544" t="s">
        <v>286</v>
      </c>
      <c r="G544" t="s">
        <v>2587</v>
      </c>
      <c r="H544">
        <v>113790</v>
      </c>
      <c r="I544" t="s">
        <v>42</v>
      </c>
      <c r="J544" t="s">
        <v>31</v>
      </c>
      <c r="K544" t="s">
        <v>32</v>
      </c>
      <c r="L544" t="s">
        <v>62</v>
      </c>
      <c r="M544">
        <v>6</v>
      </c>
      <c r="N544" t="s">
        <v>34</v>
      </c>
      <c r="O544">
        <v>4</v>
      </c>
      <c r="P544">
        <v>3</v>
      </c>
      <c r="Q544">
        <v>4</v>
      </c>
      <c r="R544">
        <v>3</v>
      </c>
      <c r="S544">
        <v>6</v>
      </c>
      <c r="U544">
        <v>19</v>
      </c>
      <c r="V544" t="s">
        <v>2588</v>
      </c>
      <c r="W544" t="s">
        <v>34</v>
      </c>
    </row>
    <row r="545" spans="1:24" x14ac:dyDescent="0.25">
      <c r="A545" t="s">
        <v>2589</v>
      </c>
      <c r="B545" t="s">
        <v>2590</v>
      </c>
      <c r="C545" t="s">
        <v>49</v>
      </c>
      <c r="D545">
        <v>23</v>
      </c>
      <c r="E545" t="s">
        <v>94</v>
      </c>
      <c r="F545" t="s">
        <v>639</v>
      </c>
      <c r="G545" t="s">
        <v>2591</v>
      </c>
      <c r="H545">
        <v>83027</v>
      </c>
      <c r="I545" t="s">
        <v>42</v>
      </c>
      <c r="J545" t="s">
        <v>31</v>
      </c>
      <c r="K545" t="s">
        <v>54</v>
      </c>
      <c r="L545" t="s">
        <v>33</v>
      </c>
      <c r="M545">
        <v>36</v>
      </c>
      <c r="N545" t="s">
        <v>34</v>
      </c>
      <c r="O545">
        <v>2</v>
      </c>
      <c r="P545">
        <v>4</v>
      </c>
      <c r="Q545">
        <v>1</v>
      </c>
      <c r="R545">
        <v>4</v>
      </c>
      <c r="S545">
        <v>3</v>
      </c>
      <c r="T545">
        <v>2</v>
      </c>
      <c r="U545">
        <v>12</v>
      </c>
      <c r="V545" t="s">
        <v>2592</v>
      </c>
      <c r="W545" t="s">
        <v>34</v>
      </c>
    </row>
    <row r="546" spans="1:24" x14ac:dyDescent="0.25">
      <c r="A546" t="s">
        <v>2593</v>
      </c>
      <c r="B546" t="s">
        <v>2594</v>
      </c>
      <c r="C546" t="s">
        <v>58</v>
      </c>
      <c r="D546">
        <v>19</v>
      </c>
      <c r="E546" t="s">
        <v>197</v>
      </c>
      <c r="F546" t="s">
        <v>323</v>
      </c>
      <c r="G546" t="s">
        <v>2595</v>
      </c>
      <c r="H546">
        <v>102550</v>
      </c>
      <c r="I546" t="s">
        <v>30</v>
      </c>
      <c r="J546" t="s">
        <v>61</v>
      </c>
      <c r="K546" t="s">
        <v>167</v>
      </c>
      <c r="L546" t="s">
        <v>62</v>
      </c>
      <c r="M546">
        <v>14</v>
      </c>
      <c r="N546" t="s">
        <v>34</v>
      </c>
      <c r="O546">
        <v>1</v>
      </c>
      <c r="P546">
        <v>3</v>
      </c>
      <c r="Q546">
        <v>4</v>
      </c>
      <c r="R546">
        <v>2</v>
      </c>
      <c r="S546">
        <v>3</v>
      </c>
      <c r="T546">
        <v>3</v>
      </c>
      <c r="U546">
        <v>19</v>
      </c>
      <c r="V546" t="s">
        <v>2596</v>
      </c>
      <c r="W546" t="s">
        <v>34</v>
      </c>
    </row>
    <row r="547" spans="1:24" x14ac:dyDescent="0.25">
      <c r="A547" t="s">
        <v>2597</v>
      </c>
      <c r="B547" t="s">
        <v>2598</v>
      </c>
      <c r="C547" t="s">
        <v>87</v>
      </c>
      <c r="D547">
        <v>39</v>
      </c>
      <c r="E547" t="s">
        <v>27</v>
      </c>
      <c r="F547" t="s">
        <v>59</v>
      </c>
      <c r="G547" t="s">
        <v>2599</v>
      </c>
      <c r="H547">
        <v>62523</v>
      </c>
      <c r="I547" t="s">
        <v>42</v>
      </c>
      <c r="J547" t="s">
        <v>61</v>
      </c>
      <c r="K547" t="s">
        <v>106</v>
      </c>
      <c r="L547" t="s">
        <v>33</v>
      </c>
      <c r="M547">
        <v>34</v>
      </c>
      <c r="N547" t="s">
        <v>34</v>
      </c>
      <c r="O547">
        <v>2</v>
      </c>
      <c r="P547">
        <v>3</v>
      </c>
      <c r="Q547">
        <v>3</v>
      </c>
      <c r="R547">
        <v>2</v>
      </c>
      <c r="S547">
        <v>1</v>
      </c>
      <c r="T547">
        <v>6</v>
      </c>
      <c r="U547">
        <v>24</v>
      </c>
      <c r="V547" t="s">
        <v>2600</v>
      </c>
      <c r="W547" t="s">
        <v>34</v>
      </c>
    </row>
    <row r="548" spans="1:24" x14ac:dyDescent="0.25">
      <c r="A548" t="s">
        <v>2601</v>
      </c>
      <c r="B548" t="s">
        <v>2602</v>
      </c>
      <c r="C548" t="s">
        <v>49</v>
      </c>
      <c r="D548">
        <v>39</v>
      </c>
      <c r="E548" t="s">
        <v>88</v>
      </c>
      <c r="F548" t="s">
        <v>261</v>
      </c>
      <c r="G548" t="s">
        <v>2603</v>
      </c>
      <c r="H548" t="s">
        <v>2604</v>
      </c>
      <c r="I548" t="s">
        <v>42</v>
      </c>
      <c r="J548" t="s">
        <v>61</v>
      </c>
      <c r="K548" t="s">
        <v>98</v>
      </c>
      <c r="L548" t="s">
        <v>62</v>
      </c>
      <c r="M548">
        <v>29</v>
      </c>
      <c r="N548" t="s">
        <v>45</v>
      </c>
      <c r="O548">
        <v>2</v>
      </c>
      <c r="P548">
        <v>4</v>
      </c>
      <c r="Q548">
        <v>3</v>
      </c>
      <c r="R548">
        <v>3</v>
      </c>
      <c r="S548">
        <v>1</v>
      </c>
      <c r="T548">
        <v>0</v>
      </c>
      <c r="U548">
        <v>14</v>
      </c>
      <c r="V548" t="s">
        <v>2605</v>
      </c>
      <c r="W548" t="s">
        <v>45</v>
      </c>
      <c r="X548" t="s">
        <v>2606</v>
      </c>
    </row>
    <row r="549" spans="1:24" x14ac:dyDescent="0.25">
      <c r="A549" t="s">
        <v>2607</v>
      </c>
      <c r="B549" t="s">
        <v>2608</v>
      </c>
      <c r="C549" t="s">
        <v>81</v>
      </c>
      <c r="D549">
        <v>38</v>
      </c>
      <c r="E549" t="s">
        <v>609</v>
      </c>
      <c r="F549" t="s">
        <v>639</v>
      </c>
      <c r="G549" t="s">
        <v>2609</v>
      </c>
      <c r="H549">
        <v>122369</v>
      </c>
      <c r="I549" t="s">
        <v>52</v>
      </c>
      <c r="J549" t="s">
        <v>61</v>
      </c>
      <c r="K549" t="s">
        <v>98</v>
      </c>
      <c r="L549" t="s">
        <v>43</v>
      </c>
      <c r="M549">
        <v>43</v>
      </c>
      <c r="N549" t="s">
        <v>45</v>
      </c>
      <c r="O549">
        <v>3</v>
      </c>
      <c r="P549">
        <v>3</v>
      </c>
      <c r="Q549">
        <v>2</v>
      </c>
      <c r="R549">
        <v>2</v>
      </c>
      <c r="S549">
        <v>5</v>
      </c>
      <c r="T549">
        <v>3</v>
      </c>
      <c r="U549">
        <v>18</v>
      </c>
      <c r="V549" t="s">
        <v>2610</v>
      </c>
      <c r="W549" t="s">
        <v>45</v>
      </c>
      <c r="X549" t="s">
        <v>2611</v>
      </c>
    </row>
    <row r="550" spans="1:24" x14ac:dyDescent="0.25">
      <c r="A550" t="s">
        <v>2612</v>
      </c>
      <c r="B550" t="s">
        <v>2613</v>
      </c>
      <c r="C550" t="s">
        <v>67</v>
      </c>
      <c r="E550" t="s">
        <v>457</v>
      </c>
      <c r="F550" t="s">
        <v>188</v>
      </c>
      <c r="G550" t="s">
        <v>2614</v>
      </c>
      <c r="H550" t="s">
        <v>2615</v>
      </c>
      <c r="I550" t="s">
        <v>42</v>
      </c>
      <c r="K550" t="s">
        <v>77</v>
      </c>
      <c r="L550" t="s">
        <v>43</v>
      </c>
      <c r="M550">
        <v>38</v>
      </c>
      <c r="N550" t="s">
        <v>34</v>
      </c>
      <c r="O550">
        <v>4</v>
      </c>
      <c r="P550">
        <v>3</v>
      </c>
      <c r="Q550">
        <v>1</v>
      </c>
      <c r="R550">
        <v>4</v>
      </c>
      <c r="S550">
        <v>6</v>
      </c>
      <c r="T550">
        <v>2</v>
      </c>
      <c r="U550">
        <v>24</v>
      </c>
      <c r="V550" t="s">
        <v>2616</v>
      </c>
      <c r="W550" t="s">
        <v>34</v>
      </c>
    </row>
    <row r="551" spans="1:24" x14ac:dyDescent="0.25">
      <c r="A551" t="s">
        <v>2617</v>
      </c>
      <c r="B551" t="s">
        <v>2618</v>
      </c>
      <c r="C551" t="s">
        <v>26</v>
      </c>
      <c r="D551">
        <v>25</v>
      </c>
      <c r="E551" t="s">
        <v>122</v>
      </c>
      <c r="F551" t="s">
        <v>255</v>
      </c>
      <c r="G551" t="s">
        <v>2619</v>
      </c>
      <c r="H551" t="s">
        <v>2620</v>
      </c>
      <c r="I551" t="s">
        <v>30</v>
      </c>
      <c r="J551" t="s">
        <v>61</v>
      </c>
      <c r="K551" t="s">
        <v>54</v>
      </c>
      <c r="L551" t="s">
        <v>43</v>
      </c>
      <c r="M551">
        <v>33</v>
      </c>
      <c r="N551" t="s">
        <v>34</v>
      </c>
      <c r="O551">
        <v>3</v>
      </c>
      <c r="P551">
        <v>4</v>
      </c>
      <c r="R551">
        <v>3</v>
      </c>
      <c r="S551">
        <v>1</v>
      </c>
      <c r="T551">
        <v>7</v>
      </c>
      <c r="U551">
        <v>21</v>
      </c>
      <c r="V551" t="s">
        <v>2621</v>
      </c>
      <c r="W551" t="s">
        <v>34</v>
      </c>
    </row>
    <row r="552" spans="1:24" x14ac:dyDescent="0.25">
      <c r="A552" t="s">
        <v>2622</v>
      </c>
      <c r="B552" t="s">
        <v>2623</v>
      </c>
      <c r="C552" t="s">
        <v>73</v>
      </c>
      <c r="D552">
        <v>44</v>
      </c>
      <c r="E552" t="s">
        <v>128</v>
      </c>
      <c r="F552" t="s">
        <v>226</v>
      </c>
      <c r="G552" t="s">
        <v>2624</v>
      </c>
      <c r="H552">
        <v>68035</v>
      </c>
      <c r="I552" t="s">
        <v>30</v>
      </c>
      <c r="J552" t="s">
        <v>143</v>
      </c>
      <c r="K552" t="s">
        <v>54</v>
      </c>
      <c r="L552" t="s">
        <v>43</v>
      </c>
      <c r="M552">
        <v>37</v>
      </c>
      <c r="N552" t="s">
        <v>34</v>
      </c>
      <c r="O552">
        <v>4</v>
      </c>
      <c r="P552">
        <v>1</v>
      </c>
      <c r="Q552">
        <v>1</v>
      </c>
      <c r="R552">
        <v>5</v>
      </c>
      <c r="S552">
        <v>5</v>
      </c>
      <c r="T552">
        <v>5</v>
      </c>
      <c r="U552">
        <v>18</v>
      </c>
      <c r="V552" t="s">
        <v>2625</v>
      </c>
      <c r="W552" t="s">
        <v>34</v>
      </c>
    </row>
    <row r="553" spans="1:24" x14ac:dyDescent="0.25">
      <c r="A553" t="s">
        <v>2626</v>
      </c>
      <c r="B553" t="s">
        <v>2627</v>
      </c>
      <c r="C553" t="s">
        <v>49</v>
      </c>
      <c r="D553">
        <v>34</v>
      </c>
      <c r="E553" t="s">
        <v>197</v>
      </c>
      <c r="F553" t="s">
        <v>1222</v>
      </c>
      <c r="G553" t="s">
        <v>2628</v>
      </c>
      <c r="I553" t="s">
        <v>52</v>
      </c>
      <c r="J553" t="s">
        <v>31</v>
      </c>
      <c r="K553" t="s">
        <v>131</v>
      </c>
      <c r="L553" t="s">
        <v>33</v>
      </c>
      <c r="M553">
        <v>27</v>
      </c>
      <c r="N553" t="s">
        <v>34</v>
      </c>
      <c r="O553">
        <v>1</v>
      </c>
      <c r="P553">
        <v>3</v>
      </c>
      <c r="Q553">
        <v>3</v>
      </c>
      <c r="R553">
        <v>3</v>
      </c>
      <c r="S553">
        <v>0</v>
      </c>
      <c r="T553">
        <v>4</v>
      </c>
      <c r="U553">
        <v>16</v>
      </c>
      <c r="V553" t="s">
        <v>2629</v>
      </c>
      <c r="W553" t="s">
        <v>34</v>
      </c>
    </row>
    <row r="554" spans="1:24" x14ac:dyDescent="0.25">
      <c r="A554" t="s">
        <v>2630</v>
      </c>
      <c r="B554" t="s">
        <v>2631</v>
      </c>
      <c r="C554" t="s">
        <v>67</v>
      </c>
      <c r="D554">
        <v>39</v>
      </c>
      <c r="E554" t="s">
        <v>74</v>
      </c>
      <c r="F554" t="s">
        <v>188</v>
      </c>
      <c r="G554" t="s">
        <v>2632</v>
      </c>
      <c r="H554" t="s">
        <v>2633</v>
      </c>
      <c r="I554" t="s">
        <v>30</v>
      </c>
      <c r="J554" t="s">
        <v>31</v>
      </c>
      <c r="K554" t="s">
        <v>83</v>
      </c>
      <c r="L554" t="s">
        <v>43</v>
      </c>
      <c r="M554">
        <v>4</v>
      </c>
      <c r="N554" t="s">
        <v>45</v>
      </c>
      <c r="O554">
        <v>1</v>
      </c>
      <c r="P554">
        <v>1</v>
      </c>
      <c r="Q554">
        <v>1</v>
      </c>
      <c r="R554">
        <v>3</v>
      </c>
      <c r="S554">
        <v>3</v>
      </c>
      <c r="T554">
        <v>6</v>
      </c>
      <c r="U554">
        <v>16</v>
      </c>
      <c r="V554" t="s">
        <v>2634</v>
      </c>
      <c r="W554" t="s">
        <v>45</v>
      </c>
      <c r="X554" t="s">
        <v>2635</v>
      </c>
    </row>
    <row r="555" spans="1:24" x14ac:dyDescent="0.25">
      <c r="A555" t="s">
        <v>2636</v>
      </c>
      <c r="B555" t="s">
        <v>2637</v>
      </c>
      <c r="C555" t="s">
        <v>102</v>
      </c>
      <c r="D555">
        <v>40</v>
      </c>
      <c r="E555" t="s">
        <v>94</v>
      </c>
      <c r="F555" t="s">
        <v>639</v>
      </c>
      <c r="G555" t="s">
        <v>2638</v>
      </c>
      <c r="H555">
        <v>69957</v>
      </c>
      <c r="I555" t="s">
        <v>52</v>
      </c>
      <c r="J555" t="s">
        <v>143</v>
      </c>
      <c r="K555" t="s">
        <v>167</v>
      </c>
      <c r="L555" t="s">
        <v>43</v>
      </c>
      <c r="M555">
        <v>8</v>
      </c>
      <c r="N555" t="s">
        <v>34</v>
      </c>
      <c r="O555">
        <v>2</v>
      </c>
      <c r="Q555">
        <v>2</v>
      </c>
      <c r="R555">
        <v>5</v>
      </c>
      <c r="S555">
        <v>2</v>
      </c>
      <c r="T555">
        <v>3</v>
      </c>
      <c r="U555">
        <v>11</v>
      </c>
      <c r="V555" t="s">
        <v>2639</v>
      </c>
      <c r="W555" t="s">
        <v>34</v>
      </c>
    </row>
    <row r="556" spans="1:24" x14ac:dyDescent="0.25">
      <c r="A556" t="s">
        <v>1418</v>
      </c>
      <c r="B556" t="s">
        <v>1419</v>
      </c>
      <c r="C556" t="s">
        <v>67</v>
      </c>
      <c r="D556">
        <v>47</v>
      </c>
      <c r="E556" t="s">
        <v>27</v>
      </c>
      <c r="F556" t="s">
        <v>59</v>
      </c>
      <c r="G556" t="s">
        <v>1420</v>
      </c>
      <c r="H556" t="s">
        <v>1421</v>
      </c>
      <c r="I556" t="s">
        <v>52</v>
      </c>
      <c r="J556" t="s">
        <v>61</v>
      </c>
      <c r="K556" t="s">
        <v>113</v>
      </c>
      <c r="L556" t="s">
        <v>43</v>
      </c>
      <c r="M556">
        <v>43</v>
      </c>
      <c r="N556" t="s">
        <v>45</v>
      </c>
      <c r="O556">
        <v>4</v>
      </c>
      <c r="P556">
        <v>4</v>
      </c>
      <c r="Q556">
        <v>1</v>
      </c>
      <c r="R556">
        <v>4</v>
      </c>
      <c r="S556">
        <v>5</v>
      </c>
      <c r="T556">
        <v>0</v>
      </c>
      <c r="U556">
        <v>19</v>
      </c>
      <c r="V556" t="s">
        <v>1422</v>
      </c>
      <c r="W556" t="s">
        <v>45</v>
      </c>
      <c r="X556" t="s">
        <v>1423</v>
      </c>
    </row>
    <row r="557" spans="1:24" x14ac:dyDescent="0.25">
      <c r="A557" t="s">
        <v>2640</v>
      </c>
      <c r="B557" t="s">
        <v>2641</v>
      </c>
      <c r="C557" t="s">
        <v>58</v>
      </c>
      <c r="D557">
        <v>46</v>
      </c>
      <c r="E557" t="s">
        <v>322</v>
      </c>
      <c r="F557" t="s">
        <v>573</v>
      </c>
      <c r="G557" t="s">
        <v>2193</v>
      </c>
      <c r="H557">
        <v>94053</v>
      </c>
      <c r="I557" t="s">
        <v>42</v>
      </c>
      <c r="J557" t="s">
        <v>97</v>
      </c>
      <c r="K557" t="s">
        <v>98</v>
      </c>
      <c r="L557" t="s">
        <v>62</v>
      </c>
      <c r="M557">
        <v>37</v>
      </c>
      <c r="N557" t="s">
        <v>34</v>
      </c>
      <c r="O557">
        <v>3</v>
      </c>
      <c r="P557">
        <v>4</v>
      </c>
      <c r="Q557">
        <v>1</v>
      </c>
      <c r="R557">
        <v>2</v>
      </c>
      <c r="S557">
        <v>6</v>
      </c>
      <c r="T557">
        <v>2</v>
      </c>
      <c r="U557">
        <v>13</v>
      </c>
      <c r="V557" t="s">
        <v>2642</v>
      </c>
      <c r="W557" t="s">
        <v>34</v>
      </c>
    </row>
    <row r="558" spans="1:24" x14ac:dyDescent="0.25">
      <c r="A558" t="s">
        <v>2643</v>
      </c>
      <c r="B558" t="s">
        <v>2644</v>
      </c>
      <c r="C558" t="s">
        <v>73</v>
      </c>
      <c r="D558">
        <v>43</v>
      </c>
      <c r="E558" t="s">
        <v>147</v>
      </c>
      <c r="F558" t="s">
        <v>438</v>
      </c>
      <c r="G558" t="s">
        <v>2645</v>
      </c>
      <c r="H558">
        <v>70929</v>
      </c>
      <c r="I558" t="s">
        <v>52</v>
      </c>
      <c r="J558" t="s">
        <v>97</v>
      </c>
      <c r="K558" t="s">
        <v>113</v>
      </c>
      <c r="L558" t="s">
        <v>62</v>
      </c>
      <c r="M558">
        <v>35</v>
      </c>
      <c r="N558" t="s">
        <v>34</v>
      </c>
      <c r="O558">
        <v>3</v>
      </c>
      <c r="P558">
        <v>1</v>
      </c>
      <c r="Q558">
        <v>3</v>
      </c>
      <c r="R558">
        <v>3</v>
      </c>
      <c r="S558">
        <v>0</v>
      </c>
      <c r="T558">
        <v>6</v>
      </c>
      <c r="U558">
        <v>24</v>
      </c>
      <c r="V558" t="s">
        <v>2646</v>
      </c>
      <c r="W558" t="s">
        <v>34</v>
      </c>
    </row>
    <row r="559" spans="1:24" x14ac:dyDescent="0.25">
      <c r="A559" t="s">
        <v>2647</v>
      </c>
      <c r="B559" t="s">
        <v>2648</v>
      </c>
      <c r="C559" t="s">
        <v>73</v>
      </c>
      <c r="D559">
        <v>48</v>
      </c>
      <c r="E559" t="s">
        <v>1669</v>
      </c>
      <c r="F559" t="s">
        <v>362</v>
      </c>
      <c r="G559" t="s">
        <v>2649</v>
      </c>
      <c r="H559">
        <v>54758</v>
      </c>
      <c r="I559" t="s">
        <v>42</v>
      </c>
      <c r="J559" t="s">
        <v>61</v>
      </c>
      <c r="K559" t="s">
        <v>200</v>
      </c>
      <c r="L559" t="s">
        <v>43</v>
      </c>
      <c r="M559">
        <v>44</v>
      </c>
      <c r="N559" t="s">
        <v>34</v>
      </c>
      <c r="O559">
        <v>3</v>
      </c>
      <c r="P559">
        <v>2</v>
      </c>
      <c r="Q559">
        <v>1</v>
      </c>
      <c r="R559">
        <v>4</v>
      </c>
      <c r="T559">
        <v>7</v>
      </c>
      <c r="U559">
        <v>25</v>
      </c>
      <c r="V559" t="s">
        <v>2650</v>
      </c>
      <c r="W559" t="s">
        <v>34</v>
      </c>
    </row>
    <row r="560" spans="1:24" x14ac:dyDescent="0.25">
      <c r="A560" t="s">
        <v>2651</v>
      </c>
      <c r="B560" t="s">
        <v>2652</v>
      </c>
      <c r="C560" t="s">
        <v>102</v>
      </c>
      <c r="D560">
        <v>26</v>
      </c>
      <c r="E560" t="s">
        <v>798</v>
      </c>
      <c r="F560" t="s">
        <v>75</v>
      </c>
      <c r="G560" t="s">
        <v>2653</v>
      </c>
      <c r="H560">
        <v>128143</v>
      </c>
      <c r="I560" t="s">
        <v>30</v>
      </c>
      <c r="J560" t="s">
        <v>61</v>
      </c>
      <c r="K560" t="s">
        <v>32</v>
      </c>
      <c r="L560" t="s">
        <v>62</v>
      </c>
      <c r="M560">
        <v>3</v>
      </c>
      <c r="N560" t="s">
        <v>34</v>
      </c>
      <c r="O560">
        <v>1</v>
      </c>
      <c r="P560">
        <v>2</v>
      </c>
      <c r="Q560">
        <v>3</v>
      </c>
      <c r="R560">
        <v>3</v>
      </c>
      <c r="S560">
        <v>6</v>
      </c>
      <c r="T560">
        <v>7</v>
      </c>
      <c r="U560">
        <v>20</v>
      </c>
      <c r="V560" t="s">
        <v>2654</v>
      </c>
      <c r="W560" t="s">
        <v>34</v>
      </c>
    </row>
    <row r="561" spans="1:24" x14ac:dyDescent="0.25">
      <c r="A561" t="s">
        <v>2655</v>
      </c>
      <c r="B561" t="s">
        <v>2656</v>
      </c>
      <c r="C561" t="s">
        <v>49</v>
      </c>
      <c r="D561">
        <v>56</v>
      </c>
      <c r="E561" t="s">
        <v>128</v>
      </c>
      <c r="F561" t="s">
        <v>271</v>
      </c>
      <c r="G561" t="s">
        <v>2657</v>
      </c>
      <c r="H561" t="s">
        <v>2658</v>
      </c>
      <c r="I561" t="s">
        <v>42</v>
      </c>
      <c r="J561" t="s">
        <v>97</v>
      </c>
      <c r="K561" t="s">
        <v>167</v>
      </c>
      <c r="L561" t="s">
        <v>62</v>
      </c>
      <c r="M561">
        <v>33</v>
      </c>
      <c r="O561">
        <v>2</v>
      </c>
      <c r="P561">
        <v>2</v>
      </c>
      <c r="Q561">
        <v>2</v>
      </c>
      <c r="R561">
        <v>5</v>
      </c>
      <c r="S561">
        <v>2</v>
      </c>
      <c r="T561">
        <v>3</v>
      </c>
      <c r="U561">
        <v>21</v>
      </c>
      <c r="V561" t="s">
        <v>2659</v>
      </c>
      <c r="W561" t="s">
        <v>45</v>
      </c>
      <c r="X561" t="s">
        <v>2660</v>
      </c>
    </row>
    <row r="562" spans="1:24" x14ac:dyDescent="0.25">
      <c r="A562" t="s">
        <v>2661</v>
      </c>
      <c r="B562" t="s">
        <v>2662</v>
      </c>
      <c r="C562" t="s">
        <v>49</v>
      </c>
      <c r="D562">
        <v>44</v>
      </c>
      <c r="E562" t="s">
        <v>94</v>
      </c>
      <c r="F562" t="s">
        <v>266</v>
      </c>
      <c r="G562" t="s">
        <v>2663</v>
      </c>
      <c r="H562">
        <v>138196</v>
      </c>
      <c r="I562" t="s">
        <v>42</v>
      </c>
      <c r="J562" t="s">
        <v>143</v>
      </c>
      <c r="K562" t="s">
        <v>131</v>
      </c>
      <c r="L562" t="s">
        <v>43</v>
      </c>
      <c r="M562">
        <v>44</v>
      </c>
      <c r="N562" t="s">
        <v>45</v>
      </c>
      <c r="O562">
        <v>4</v>
      </c>
      <c r="P562">
        <v>1</v>
      </c>
      <c r="Q562">
        <v>2</v>
      </c>
      <c r="R562">
        <v>5</v>
      </c>
      <c r="S562">
        <v>3</v>
      </c>
      <c r="T562">
        <v>6</v>
      </c>
      <c r="U562">
        <v>18</v>
      </c>
      <c r="V562" t="s">
        <v>2664</v>
      </c>
      <c r="W562" t="s">
        <v>34</v>
      </c>
    </row>
    <row r="563" spans="1:24" x14ac:dyDescent="0.25">
      <c r="A563" t="s">
        <v>2665</v>
      </c>
      <c r="B563" t="s">
        <v>2666</v>
      </c>
      <c r="C563" t="s">
        <v>49</v>
      </c>
      <c r="D563">
        <v>39</v>
      </c>
      <c r="E563" t="s">
        <v>94</v>
      </c>
      <c r="F563" t="s">
        <v>639</v>
      </c>
      <c r="G563" t="s">
        <v>2667</v>
      </c>
      <c r="H563">
        <v>113349</v>
      </c>
      <c r="I563" t="s">
        <v>42</v>
      </c>
      <c r="J563" t="s">
        <v>61</v>
      </c>
      <c r="K563" t="s">
        <v>54</v>
      </c>
      <c r="L563" t="s">
        <v>43</v>
      </c>
      <c r="M563">
        <v>12</v>
      </c>
      <c r="N563" t="s">
        <v>34</v>
      </c>
      <c r="O563">
        <v>4</v>
      </c>
      <c r="P563">
        <v>3</v>
      </c>
      <c r="Q563">
        <v>4</v>
      </c>
      <c r="R563">
        <v>4</v>
      </c>
      <c r="S563">
        <v>1</v>
      </c>
      <c r="T563">
        <v>7</v>
      </c>
      <c r="U563">
        <v>16</v>
      </c>
      <c r="V563" t="s">
        <v>2668</v>
      </c>
      <c r="W563" t="s">
        <v>34</v>
      </c>
    </row>
    <row r="564" spans="1:24" x14ac:dyDescent="0.25">
      <c r="A564" t="s">
        <v>2669</v>
      </c>
      <c r="B564" t="s">
        <v>2670</v>
      </c>
      <c r="C564" t="s">
        <v>67</v>
      </c>
      <c r="D564">
        <v>45</v>
      </c>
      <c r="E564" t="s">
        <v>88</v>
      </c>
      <c r="F564" t="s">
        <v>1989</v>
      </c>
      <c r="G564" t="s">
        <v>2671</v>
      </c>
      <c r="H564">
        <v>89123</v>
      </c>
      <c r="I564" t="s">
        <v>52</v>
      </c>
      <c r="J564" t="s">
        <v>61</v>
      </c>
      <c r="K564" t="s">
        <v>77</v>
      </c>
      <c r="M564">
        <v>38</v>
      </c>
      <c r="N564" t="s">
        <v>45</v>
      </c>
      <c r="O564">
        <v>3</v>
      </c>
      <c r="P564">
        <v>2</v>
      </c>
      <c r="Q564">
        <v>4</v>
      </c>
      <c r="R564">
        <v>3</v>
      </c>
      <c r="S564">
        <v>6</v>
      </c>
      <c r="T564">
        <v>5</v>
      </c>
      <c r="U564">
        <v>12</v>
      </c>
      <c r="V564" t="s">
        <v>2672</v>
      </c>
      <c r="W564" t="s">
        <v>45</v>
      </c>
      <c r="X564" t="s">
        <v>2673</v>
      </c>
    </row>
    <row r="565" spans="1:24" x14ac:dyDescent="0.25">
      <c r="A565" t="s">
        <v>2674</v>
      </c>
      <c r="B565" t="s">
        <v>2675</v>
      </c>
      <c r="C565" t="s">
        <v>58</v>
      </c>
      <c r="D565">
        <v>40</v>
      </c>
      <c r="E565" t="s">
        <v>128</v>
      </c>
      <c r="F565" t="s">
        <v>226</v>
      </c>
      <c r="G565" t="s">
        <v>2676</v>
      </c>
      <c r="H565" t="s">
        <v>2677</v>
      </c>
      <c r="I565" t="s">
        <v>30</v>
      </c>
      <c r="J565" t="s">
        <v>61</v>
      </c>
      <c r="K565" t="s">
        <v>167</v>
      </c>
      <c r="L565" t="s">
        <v>33</v>
      </c>
      <c r="M565">
        <v>24</v>
      </c>
      <c r="N565" t="s">
        <v>45</v>
      </c>
      <c r="O565">
        <v>4</v>
      </c>
      <c r="P565">
        <v>2</v>
      </c>
      <c r="Q565">
        <v>2</v>
      </c>
      <c r="R565">
        <v>5</v>
      </c>
      <c r="S565">
        <v>1</v>
      </c>
      <c r="T565">
        <v>8</v>
      </c>
      <c r="U565">
        <v>21</v>
      </c>
      <c r="V565" t="s">
        <v>2678</v>
      </c>
      <c r="W565" t="s">
        <v>34</v>
      </c>
    </row>
    <row r="566" spans="1:24" x14ac:dyDescent="0.25">
      <c r="A566" t="s">
        <v>2679</v>
      </c>
      <c r="B566" t="s">
        <v>2680</v>
      </c>
      <c r="C566" t="s">
        <v>81</v>
      </c>
      <c r="D566">
        <v>43</v>
      </c>
      <c r="E566" t="s">
        <v>128</v>
      </c>
      <c r="F566" t="s">
        <v>271</v>
      </c>
      <c r="G566" t="s">
        <v>2681</v>
      </c>
      <c r="I566" t="s">
        <v>30</v>
      </c>
      <c r="J566" t="s">
        <v>31</v>
      </c>
      <c r="K566" t="s">
        <v>106</v>
      </c>
      <c r="L566" t="s">
        <v>62</v>
      </c>
      <c r="M566">
        <v>36</v>
      </c>
      <c r="N566" t="s">
        <v>34</v>
      </c>
      <c r="O566">
        <v>2</v>
      </c>
      <c r="P566">
        <v>2</v>
      </c>
      <c r="Q566">
        <v>2</v>
      </c>
      <c r="R566">
        <v>5</v>
      </c>
      <c r="S566">
        <v>6</v>
      </c>
      <c r="T566">
        <v>6</v>
      </c>
      <c r="U566">
        <v>21</v>
      </c>
      <c r="V566" t="s">
        <v>2682</v>
      </c>
      <c r="W566" t="s">
        <v>45</v>
      </c>
      <c r="X566" t="s">
        <v>2683</v>
      </c>
    </row>
    <row r="567" spans="1:24" x14ac:dyDescent="0.25">
      <c r="A567" t="s">
        <v>2684</v>
      </c>
      <c r="B567" t="s">
        <v>2685</v>
      </c>
      <c r="C567" t="s">
        <v>49</v>
      </c>
      <c r="D567">
        <v>31</v>
      </c>
      <c r="E567" t="s">
        <v>457</v>
      </c>
      <c r="F567" t="s">
        <v>50</v>
      </c>
      <c r="G567" t="s">
        <v>2686</v>
      </c>
      <c r="H567">
        <v>121597</v>
      </c>
      <c r="I567" t="s">
        <v>52</v>
      </c>
      <c r="J567" t="s">
        <v>143</v>
      </c>
      <c r="K567" t="s">
        <v>32</v>
      </c>
      <c r="L567" t="s">
        <v>62</v>
      </c>
      <c r="M567">
        <v>23</v>
      </c>
      <c r="N567" t="s">
        <v>45</v>
      </c>
      <c r="O567">
        <v>2</v>
      </c>
      <c r="P567">
        <v>2</v>
      </c>
      <c r="Q567">
        <v>2</v>
      </c>
      <c r="R567">
        <v>3</v>
      </c>
      <c r="T567">
        <v>0</v>
      </c>
      <c r="U567">
        <v>12</v>
      </c>
      <c r="W567" t="s">
        <v>45</v>
      </c>
      <c r="X567" t="s">
        <v>2687</v>
      </c>
    </row>
    <row r="568" spans="1:24" x14ac:dyDescent="0.25">
      <c r="A568" t="s">
        <v>2688</v>
      </c>
      <c r="B568" t="s">
        <v>2689</v>
      </c>
      <c r="C568" t="s">
        <v>26</v>
      </c>
      <c r="D568">
        <v>42</v>
      </c>
      <c r="E568" t="s">
        <v>103</v>
      </c>
      <c r="F568" t="s">
        <v>123</v>
      </c>
      <c r="G568" t="s">
        <v>2690</v>
      </c>
      <c r="H568" t="s">
        <v>2691</v>
      </c>
      <c r="I568" t="s">
        <v>52</v>
      </c>
      <c r="J568" t="s">
        <v>61</v>
      </c>
      <c r="K568" t="s">
        <v>54</v>
      </c>
      <c r="L568" t="s">
        <v>43</v>
      </c>
      <c r="M568">
        <v>4</v>
      </c>
      <c r="N568" t="s">
        <v>34</v>
      </c>
      <c r="O568">
        <v>3</v>
      </c>
      <c r="P568">
        <v>4</v>
      </c>
      <c r="Q568">
        <v>1</v>
      </c>
      <c r="R568">
        <v>3</v>
      </c>
      <c r="S568">
        <v>4</v>
      </c>
      <c r="T568">
        <v>1</v>
      </c>
      <c r="U568">
        <v>13</v>
      </c>
      <c r="V568" t="s">
        <v>2692</v>
      </c>
      <c r="W568" t="s">
        <v>34</v>
      </c>
    </row>
    <row r="569" spans="1:24" x14ac:dyDescent="0.25">
      <c r="A569" t="s">
        <v>2693</v>
      </c>
      <c r="B569" t="s">
        <v>2694</v>
      </c>
      <c r="C569" t="s">
        <v>81</v>
      </c>
      <c r="D569">
        <v>36</v>
      </c>
      <c r="E569" t="s">
        <v>88</v>
      </c>
      <c r="F569" t="s">
        <v>261</v>
      </c>
      <c r="G569" t="s">
        <v>2695</v>
      </c>
      <c r="H569">
        <v>75544</v>
      </c>
      <c r="I569" t="s">
        <v>42</v>
      </c>
      <c r="J569" t="s">
        <v>31</v>
      </c>
      <c r="K569" t="s">
        <v>54</v>
      </c>
      <c r="L569" t="s">
        <v>33</v>
      </c>
      <c r="M569">
        <v>36</v>
      </c>
      <c r="N569" t="s">
        <v>34</v>
      </c>
      <c r="O569">
        <v>4</v>
      </c>
      <c r="P569">
        <v>4</v>
      </c>
      <c r="Q569">
        <v>2</v>
      </c>
      <c r="R569">
        <v>5</v>
      </c>
      <c r="S569">
        <v>4</v>
      </c>
      <c r="T569">
        <v>1</v>
      </c>
      <c r="U569">
        <v>21</v>
      </c>
      <c r="V569" t="s">
        <v>2696</v>
      </c>
      <c r="W569" t="s">
        <v>34</v>
      </c>
    </row>
    <row r="570" spans="1:24" x14ac:dyDescent="0.25">
      <c r="A570" t="s">
        <v>2697</v>
      </c>
      <c r="B570" t="s">
        <v>2698</v>
      </c>
      <c r="C570" t="s">
        <v>102</v>
      </c>
      <c r="D570">
        <v>34</v>
      </c>
      <c r="E570" t="s">
        <v>94</v>
      </c>
      <c r="F570" t="s">
        <v>639</v>
      </c>
      <c r="G570" t="s">
        <v>2699</v>
      </c>
      <c r="H570">
        <v>63079</v>
      </c>
      <c r="I570" t="s">
        <v>30</v>
      </c>
      <c r="J570" t="s">
        <v>61</v>
      </c>
      <c r="K570" t="s">
        <v>77</v>
      </c>
      <c r="L570" t="s">
        <v>62</v>
      </c>
      <c r="M570">
        <v>4</v>
      </c>
      <c r="N570" t="s">
        <v>34</v>
      </c>
      <c r="O570">
        <v>3</v>
      </c>
      <c r="P570">
        <v>2</v>
      </c>
      <c r="Q570">
        <v>3</v>
      </c>
      <c r="R570">
        <v>3</v>
      </c>
      <c r="S570">
        <v>4</v>
      </c>
      <c r="T570">
        <v>7</v>
      </c>
      <c r="U570">
        <v>13</v>
      </c>
      <c r="V570" t="s">
        <v>2700</v>
      </c>
      <c r="W570" t="s">
        <v>34</v>
      </c>
    </row>
    <row r="571" spans="1:24" x14ac:dyDescent="0.25">
      <c r="A571" t="s">
        <v>2701</v>
      </c>
      <c r="B571" t="s">
        <v>2702</v>
      </c>
      <c r="C571" t="s">
        <v>81</v>
      </c>
      <c r="D571">
        <v>30</v>
      </c>
      <c r="E571" t="s">
        <v>332</v>
      </c>
      <c r="F571" t="s">
        <v>209</v>
      </c>
      <c r="G571" t="s">
        <v>2703</v>
      </c>
      <c r="H571" t="s">
        <v>2704</v>
      </c>
      <c r="I571" t="s">
        <v>42</v>
      </c>
      <c r="J571" t="s">
        <v>61</v>
      </c>
      <c r="K571" t="s">
        <v>131</v>
      </c>
      <c r="L571" t="s">
        <v>62</v>
      </c>
      <c r="M571">
        <v>4</v>
      </c>
      <c r="N571" t="s">
        <v>45</v>
      </c>
      <c r="O571">
        <v>3</v>
      </c>
      <c r="P571">
        <v>3</v>
      </c>
      <c r="Q571">
        <v>4</v>
      </c>
      <c r="R571">
        <v>2</v>
      </c>
      <c r="S571">
        <v>1</v>
      </c>
      <c r="T571">
        <v>3</v>
      </c>
      <c r="U571">
        <v>25</v>
      </c>
      <c r="V571" t="s">
        <v>2705</v>
      </c>
      <c r="W571" t="s">
        <v>34</v>
      </c>
    </row>
    <row r="572" spans="1:24" x14ac:dyDescent="0.25">
      <c r="A572" t="s">
        <v>2706</v>
      </c>
      <c r="B572" t="s">
        <v>2707</v>
      </c>
      <c r="C572" t="s">
        <v>67</v>
      </c>
      <c r="D572">
        <v>37</v>
      </c>
      <c r="E572" t="s">
        <v>27</v>
      </c>
      <c r="F572" t="s">
        <v>2419</v>
      </c>
      <c r="G572" t="s">
        <v>2708</v>
      </c>
      <c r="H572">
        <v>77677</v>
      </c>
      <c r="I572" t="s">
        <v>52</v>
      </c>
      <c r="J572" t="s">
        <v>61</v>
      </c>
      <c r="K572" t="s">
        <v>83</v>
      </c>
      <c r="L572" t="s">
        <v>33</v>
      </c>
      <c r="M572">
        <v>17</v>
      </c>
      <c r="N572" t="s">
        <v>34</v>
      </c>
      <c r="O572">
        <v>3</v>
      </c>
      <c r="P572">
        <v>1</v>
      </c>
      <c r="Q572">
        <v>3</v>
      </c>
      <c r="R572">
        <v>4</v>
      </c>
      <c r="S572">
        <v>0</v>
      </c>
      <c r="T572">
        <v>0</v>
      </c>
      <c r="U572">
        <v>14</v>
      </c>
      <c r="V572" t="s">
        <v>2709</v>
      </c>
      <c r="W572" t="s">
        <v>34</v>
      </c>
    </row>
    <row r="573" spans="1:24" x14ac:dyDescent="0.25">
      <c r="A573" t="s">
        <v>2710</v>
      </c>
      <c r="B573" t="s">
        <v>2711</v>
      </c>
      <c r="C573" t="s">
        <v>87</v>
      </c>
      <c r="D573">
        <v>38</v>
      </c>
      <c r="E573" t="s">
        <v>94</v>
      </c>
      <c r="F573" t="s">
        <v>356</v>
      </c>
      <c r="G573" t="s">
        <v>2712</v>
      </c>
      <c r="H573">
        <v>53440</v>
      </c>
      <c r="I573" t="s">
        <v>42</v>
      </c>
      <c r="J573" t="s">
        <v>61</v>
      </c>
      <c r="K573" t="s">
        <v>131</v>
      </c>
      <c r="L573" t="s">
        <v>43</v>
      </c>
      <c r="M573">
        <v>44</v>
      </c>
      <c r="N573" t="s">
        <v>34</v>
      </c>
      <c r="O573">
        <v>4</v>
      </c>
      <c r="P573">
        <v>3</v>
      </c>
      <c r="R573">
        <v>3</v>
      </c>
      <c r="S573">
        <v>0</v>
      </c>
      <c r="T573">
        <v>2</v>
      </c>
      <c r="U573">
        <v>16</v>
      </c>
      <c r="V573" t="s">
        <v>2713</v>
      </c>
      <c r="W573" t="s">
        <v>34</v>
      </c>
    </row>
    <row r="574" spans="1:24" x14ac:dyDescent="0.25">
      <c r="A574" t="s">
        <v>2714</v>
      </c>
      <c r="B574" t="s">
        <v>2715</v>
      </c>
      <c r="C574" t="s">
        <v>49</v>
      </c>
      <c r="D574">
        <v>43</v>
      </c>
      <c r="E574" t="s">
        <v>412</v>
      </c>
      <c r="F574" t="s">
        <v>828</v>
      </c>
      <c r="G574" t="s">
        <v>2716</v>
      </c>
      <c r="H574">
        <v>68911</v>
      </c>
      <c r="I574" t="s">
        <v>30</v>
      </c>
      <c r="J574" t="s">
        <v>61</v>
      </c>
      <c r="K574" t="s">
        <v>54</v>
      </c>
      <c r="L574" t="s">
        <v>33</v>
      </c>
      <c r="M574">
        <v>32</v>
      </c>
      <c r="N574" t="s">
        <v>45</v>
      </c>
      <c r="O574">
        <v>1</v>
      </c>
      <c r="P574">
        <v>2</v>
      </c>
      <c r="Q574">
        <v>3</v>
      </c>
      <c r="R574">
        <v>3</v>
      </c>
      <c r="T574">
        <v>6</v>
      </c>
      <c r="U574">
        <v>23</v>
      </c>
      <c r="V574" t="s">
        <v>2717</v>
      </c>
      <c r="W574" t="s">
        <v>45</v>
      </c>
      <c r="X574" t="s">
        <v>2718</v>
      </c>
    </row>
    <row r="575" spans="1:24" x14ac:dyDescent="0.25">
      <c r="A575" t="s">
        <v>2719</v>
      </c>
      <c r="B575" t="s">
        <v>2720</v>
      </c>
      <c r="C575" t="s">
        <v>73</v>
      </c>
      <c r="D575">
        <v>48</v>
      </c>
      <c r="E575" t="s">
        <v>629</v>
      </c>
      <c r="F575" t="s">
        <v>1107</v>
      </c>
      <c r="G575" t="s">
        <v>2721</v>
      </c>
      <c r="H575">
        <v>56823</v>
      </c>
      <c r="I575" t="s">
        <v>52</v>
      </c>
      <c r="J575" t="s">
        <v>61</v>
      </c>
      <c r="K575" t="s">
        <v>77</v>
      </c>
      <c r="L575" t="s">
        <v>62</v>
      </c>
      <c r="M575">
        <v>29</v>
      </c>
      <c r="N575" t="s">
        <v>34</v>
      </c>
      <c r="O575">
        <v>3</v>
      </c>
      <c r="Q575">
        <v>1</v>
      </c>
      <c r="R575">
        <v>3</v>
      </c>
      <c r="S575">
        <v>2</v>
      </c>
      <c r="T575">
        <v>1</v>
      </c>
      <c r="U575">
        <v>16</v>
      </c>
      <c r="V575" t="s">
        <v>2722</v>
      </c>
      <c r="W575" t="s">
        <v>34</v>
      </c>
    </row>
    <row r="576" spans="1:24" x14ac:dyDescent="0.25">
      <c r="A576" t="s">
        <v>2723</v>
      </c>
      <c r="B576" t="s">
        <v>2724</v>
      </c>
      <c r="C576" t="s">
        <v>26</v>
      </c>
      <c r="D576">
        <v>46</v>
      </c>
      <c r="E576" t="s">
        <v>74</v>
      </c>
      <c r="F576" t="s">
        <v>75</v>
      </c>
      <c r="G576" t="s">
        <v>2725</v>
      </c>
      <c r="H576">
        <v>66171</v>
      </c>
      <c r="I576" t="s">
        <v>52</v>
      </c>
      <c r="J576" t="s">
        <v>31</v>
      </c>
      <c r="K576" t="s">
        <v>54</v>
      </c>
      <c r="L576" t="s">
        <v>33</v>
      </c>
      <c r="M576">
        <v>1</v>
      </c>
      <c r="N576" t="s">
        <v>34</v>
      </c>
      <c r="O576">
        <v>2</v>
      </c>
      <c r="P576">
        <v>1</v>
      </c>
      <c r="Q576">
        <v>3</v>
      </c>
      <c r="R576">
        <v>4</v>
      </c>
      <c r="S576">
        <v>3</v>
      </c>
      <c r="T576">
        <v>0</v>
      </c>
      <c r="U576">
        <v>20</v>
      </c>
      <c r="V576" t="s">
        <v>2726</v>
      </c>
      <c r="W576" t="s">
        <v>34</v>
      </c>
    </row>
    <row r="577" spans="1:24" x14ac:dyDescent="0.25">
      <c r="A577" t="s">
        <v>2727</v>
      </c>
      <c r="B577" t="s">
        <v>2728</v>
      </c>
      <c r="C577" t="s">
        <v>102</v>
      </c>
      <c r="D577">
        <v>58</v>
      </c>
      <c r="E577" t="s">
        <v>706</v>
      </c>
      <c r="F577" t="s">
        <v>306</v>
      </c>
      <c r="G577" t="s">
        <v>2729</v>
      </c>
      <c r="H577">
        <v>74850</v>
      </c>
      <c r="I577" t="s">
        <v>52</v>
      </c>
      <c r="J577" t="s">
        <v>61</v>
      </c>
      <c r="K577" t="s">
        <v>200</v>
      </c>
      <c r="L577" t="s">
        <v>62</v>
      </c>
      <c r="M577">
        <v>28</v>
      </c>
      <c r="N577" t="s">
        <v>45</v>
      </c>
      <c r="O577">
        <v>2</v>
      </c>
      <c r="Q577">
        <v>4</v>
      </c>
      <c r="R577">
        <v>4</v>
      </c>
      <c r="S577">
        <v>4</v>
      </c>
      <c r="T577">
        <v>2</v>
      </c>
      <c r="U577">
        <v>25</v>
      </c>
      <c r="V577" t="s">
        <v>2730</v>
      </c>
      <c r="W577" t="s">
        <v>45</v>
      </c>
      <c r="X577" t="s">
        <v>2731</v>
      </c>
    </row>
    <row r="578" spans="1:24" x14ac:dyDescent="0.25">
      <c r="A578" t="s">
        <v>2732</v>
      </c>
      <c r="B578" t="s">
        <v>2733</v>
      </c>
      <c r="C578" t="s">
        <v>81</v>
      </c>
      <c r="D578">
        <v>19</v>
      </c>
      <c r="E578" t="s">
        <v>27</v>
      </c>
      <c r="F578" t="s">
        <v>594</v>
      </c>
      <c r="G578" t="s">
        <v>2734</v>
      </c>
      <c r="H578" t="s">
        <v>2735</v>
      </c>
      <c r="I578" t="s">
        <v>52</v>
      </c>
      <c r="J578" t="s">
        <v>61</v>
      </c>
      <c r="K578" t="s">
        <v>200</v>
      </c>
      <c r="L578" t="s">
        <v>33</v>
      </c>
      <c r="M578">
        <v>45</v>
      </c>
      <c r="N578" t="s">
        <v>45</v>
      </c>
      <c r="O578">
        <v>3</v>
      </c>
      <c r="P578">
        <v>4</v>
      </c>
      <c r="Q578">
        <v>1</v>
      </c>
      <c r="R578">
        <v>2</v>
      </c>
      <c r="S578">
        <v>5</v>
      </c>
      <c r="T578">
        <v>2</v>
      </c>
      <c r="U578">
        <v>23</v>
      </c>
      <c r="V578" t="s">
        <v>2736</v>
      </c>
      <c r="W578" t="s">
        <v>45</v>
      </c>
      <c r="X578" t="s">
        <v>2737</v>
      </c>
    </row>
    <row r="579" spans="1:24" x14ac:dyDescent="0.25">
      <c r="A579" t="s">
        <v>2738</v>
      </c>
      <c r="B579" t="s">
        <v>2739</v>
      </c>
      <c r="C579" t="s">
        <v>87</v>
      </c>
      <c r="D579">
        <v>36</v>
      </c>
      <c r="E579" t="s">
        <v>128</v>
      </c>
      <c r="F579" t="s">
        <v>255</v>
      </c>
      <c r="G579" t="s">
        <v>2740</v>
      </c>
      <c r="H579">
        <v>73964</v>
      </c>
      <c r="I579" t="s">
        <v>52</v>
      </c>
      <c r="J579" t="s">
        <v>61</v>
      </c>
      <c r="K579" t="s">
        <v>32</v>
      </c>
      <c r="L579" t="s">
        <v>33</v>
      </c>
      <c r="M579">
        <v>25</v>
      </c>
      <c r="O579">
        <v>4</v>
      </c>
      <c r="P579">
        <v>3</v>
      </c>
      <c r="Q579">
        <v>4</v>
      </c>
      <c r="R579">
        <v>4</v>
      </c>
      <c r="S579">
        <v>3</v>
      </c>
      <c r="T579">
        <v>0</v>
      </c>
      <c r="U579">
        <v>15</v>
      </c>
      <c r="W579" t="s">
        <v>34</v>
      </c>
    </row>
    <row r="580" spans="1:24" x14ac:dyDescent="0.25">
      <c r="A580" t="s">
        <v>2741</v>
      </c>
      <c r="B580" t="s">
        <v>2742</v>
      </c>
      <c r="C580" t="s">
        <v>26</v>
      </c>
      <c r="D580">
        <v>44</v>
      </c>
      <c r="E580" t="s">
        <v>128</v>
      </c>
      <c r="F580" t="s">
        <v>226</v>
      </c>
      <c r="G580" t="s">
        <v>2743</v>
      </c>
      <c r="H580">
        <v>53602</v>
      </c>
      <c r="I580" t="s">
        <v>52</v>
      </c>
      <c r="J580" t="s">
        <v>31</v>
      </c>
      <c r="K580" t="s">
        <v>167</v>
      </c>
      <c r="L580" t="s">
        <v>43</v>
      </c>
      <c r="M580">
        <v>37</v>
      </c>
      <c r="N580" t="s">
        <v>34</v>
      </c>
      <c r="O580">
        <v>2</v>
      </c>
      <c r="Q580">
        <v>2</v>
      </c>
      <c r="R580">
        <v>3</v>
      </c>
      <c r="S580">
        <v>1</v>
      </c>
      <c r="T580">
        <v>1</v>
      </c>
      <c r="U580">
        <v>14</v>
      </c>
      <c r="V580" t="s">
        <v>2744</v>
      </c>
      <c r="W580" t="s">
        <v>34</v>
      </c>
    </row>
    <row r="581" spans="1:24" x14ac:dyDescent="0.25">
      <c r="A581" t="s">
        <v>2745</v>
      </c>
      <c r="B581" t="s">
        <v>2746</v>
      </c>
      <c r="C581" t="s">
        <v>73</v>
      </c>
      <c r="D581">
        <v>45</v>
      </c>
      <c r="E581" t="s">
        <v>197</v>
      </c>
      <c r="F581" t="s">
        <v>433</v>
      </c>
      <c r="G581" t="s">
        <v>2747</v>
      </c>
      <c r="H581">
        <v>66310</v>
      </c>
      <c r="I581" t="s">
        <v>42</v>
      </c>
      <c r="J581" t="s">
        <v>61</v>
      </c>
      <c r="K581" t="s">
        <v>131</v>
      </c>
      <c r="L581" t="s">
        <v>33</v>
      </c>
      <c r="M581">
        <v>24</v>
      </c>
      <c r="N581" t="s">
        <v>34</v>
      </c>
      <c r="O581">
        <v>1</v>
      </c>
      <c r="P581">
        <v>2</v>
      </c>
      <c r="Q581">
        <v>3</v>
      </c>
      <c r="R581">
        <v>3</v>
      </c>
      <c r="S581">
        <v>6</v>
      </c>
      <c r="T581">
        <v>0</v>
      </c>
      <c r="U581">
        <v>18</v>
      </c>
      <c r="V581" t="s">
        <v>2748</v>
      </c>
      <c r="W581" t="s">
        <v>34</v>
      </c>
    </row>
    <row r="582" spans="1:24" x14ac:dyDescent="0.25">
      <c r="A582" t="s">
        <v>2749</v>
      </c>
      <c r="B582" t="s">
        <v>2750</v>
      </c>
      <c r="C582" t="s">
        <v>26</v>
      </c>
      <c r="D582">
        <v>19</v>
      </c>
      <c r="E582" t="s">
        <v>27</v>
      </c>
      <c r="F582" t="s">
        <v>50</v>
      </c>
      <c r="G582" t="s">
        <v>2751</v>
      </c>
      <c r="H582" t="s">
        <v>2752</v>
      </c>
      <c r="I582" t="s">
        <v>42</v>
      </c>
      <c r="J582" t="s">
        <v>31</v>
      </c>
      <c r="K582" t="s">
        <v>32</v>
      </c>
      <c r="L582" t="s">
        <v>62</v>
      </c>
      <c r="M582">
        <v>34</v>
      </c>
      <c r="N582" t="s">
        <v>34</v>
      </c>
      <c r="O582">
        <v>3</v>
      </c>
      <c r="P582">
        <v>4</v>
      </c>
      <c r="Q582">
        <v>4</v>
      </c>
      <c r="R582">
        <v>5</v>
      </c>
      <c r="T582">
        <v>1</v>
      </c>
      <c r="U582">
        <v>18</v>
      </c>
      <c r="V582" t="s">
        <v>2753</v>
      </c>
      <c r="W582" t="s">
        <v>34</v>
      </c>
    </row>
    <row r="583" spans="1:24" x14ac:dyDescent="0.25">
      <c r="A583" t="s">
        <v>2754</v>
      </c>
      <c r="B583" t="s">
        <v>2755</v>
      </c>
      <c r="C583" t="s">
        <v>26</v>
      </c>
      <c r="D583">
        <v>23</v>
      </c>
      <c r="E583" t="s">
        <v>412</v>
      </c>
      <c r="F583" t="s">
        <v>828</v>
      </c>
      <c r="G583" t="s">
        <v>2756</v>
      </c>
      <c r="H583">
        <v>56461</v>
      </c>
      <c r="I583" t="s">
        <v>52</v>
      </c>
      <c r="J583" t="s">
        <v>31</v>
      </c>
      <c r="K583" t="s">
        <v>98</v>
      </c>
      <c r="L583" t="s">
        <v>62</v>
      </c>
      <c r="M583">
        <v>45</v>
      </c>
      <c r="N583" t="s">
        <v>45</v>
      </c>
      <c r="O583">
        <v>3</v>
      </c>
      <c r="P583">
        <v>3</v>
      </c>
      <c r="Q583">
        <v>4</v>
      </c>
      <c r="R583">
        <v>5</v>
      </c>
      <c r="S583">
        <v>1</v>
      </c>
      <c r="T583">
        <v>0</v>
      </c>
      <c r="U583">
        <v>16</v>
      </c>
      <c r="V583" t="s">
        <v>2757</v>
      </c>
      <c r="W583" t="s">
        <v>34</v>
      </c>
    </row>
    <row r="584" spans="1:24" x14ac:dyDescent="0.25">
      <c r="A584" t="s">
        <v>2758</v>
      </c>
      <c r="B584" t="s">
        <v>2759</v>
      </c>
      <c r="C584" t="s">
        <v>102</v>
      </c>
      <c r="D584">
        <v>30</v>
      </c>
      <c r="E584" t="s">
        <v>128</v>
      </c>
      <c r="F584" t="s">
        <v>123</v>
      </c>
      <c r="G584" t="s">
        <v>2760</v>
      </c>
      <c r="H584">
        <v>47255</v>
      </c>
      <c r="I584" t="s">
        <v>52</v>
      </c>
      <c r="J584" t="s">
        <v>61</v>
      </c>
      <c r="K584" t="s">
        <v>200</v>
      </c>
      <c r="L584" t="s">
        <v>33</v>
      </c>
      <c r="M584">
        <v>25</v>
      </c>
      <c r="N584" t="s">
        <v>45</v>
      </c>
      <c r="O584">
        <v>4</v>
      </c>
      <c r="P584">
        <v>2</v>
      </c>
      <c r="Q584">
        <v>3</v>
      </c>
      <c r="R584">
        <v>3</v>
      </c>
      <c r="T584">
        <v>3</v>
      </c>
      <c r="U584">
        <v>17</v>
      </c>
      <c r="V584" t="s">
        <v>2761</v>
      </c>
      <c r="W584" t="s">
        <v>34</v>
      </c>
    </row>
    <row r="585" spans="1:24" x14ac:dyDescent="0.25">
      <c r="A585" t="s">
        <v>2762</v>
      </c>
      <c r="B585" t="s">
        <v>2763</v>
      </c>
      <c r="C585" t="s">
        <v>49</v>
      </c>
      <c r="D585">
        <v>40</v>
      </c>
      <c r="E585" t="s">
        <v>88</v>
      </c>
      <c r="F585" t="s">
        <v>89</v>
      </c>
      <c r="G585" t="s">
        <v>2764</v>
      </c>
      <c r="H585">
        <v>100840</v>
      </c>
      <c r="I585" t="s">
        <v>42</v>
      </c>
      <c r="J585" t="s">
        <v>143</v>
      </c>
      <c r="K585" t="s">
        <v>113</v>
      </c>
      <c r="L585" t="s">
        <v>43</v>
      </c>
      <c r="M585">
        <v>20</v>
      </c>
      <c r="N585" t="s">
        <v>34</v>
      </c>
      <c r="O585">
        <v>4</v>
      </c>
      <c r="P585">
        <v>4</v>
      </c>
      <c r="Q585">
        <v>2</v>
      </c>
      <c r="R585">
        <v>4</v>
      </c>
      <c r="S585">
        <v>5</v>
      </c>
      <c r="T585">
        <v>2</v>
      </c>
      <c r="U585">
        <v>19</v>
      </c>
      <c r="V585" t="s">
        <v>2765</v>
      </c>
      <c r="W585" t="s">
        <v>34</v>
      </c>
    </row>
    <row r="586" spans="1:24" x14ac:dyDescent="0.25">
      <c r="A586" t="s">
        <v>2766</v>
      </c>
      <c r="B586" t="s">
        <v>2767</v>
      </c>
      <c r="C586" t="s">
        <v>58</v>
      </c>
      <c r="D586">
        <v>29</v>
      </c>
      <c r="E586" t="s">
        <v>128</v>
      </c>
      <c r="F586" t="s">
        <v>104</v>
      </c>
      <c r="G586" t="s">
        <v>2768</v>
      </c>
      <c r="H586" t="s">
        <v>2769</v>
      </c>
      <c r="I586" t="s">
        <v>52</v>
      </c>
      <c r="K586" t="s">
        <v>98</v>
      </c>
      <c r="L586" t="s">
        <v>33</v>
      </c>
      <c r="M586">
        <v>11</v>
      </c>
      <c r="N586" t="s">
        <v>45</v>
      </c>
      <c r="O586">
        <v>3</v>
      </c>
      <c r="P586">
        <v>2</v>
      </c>
      <c r="Q586">
        <v>4</v>
      </c>
      <c r="R586">
        <v>4</v>
      </c>
      <c r="T586">
        <v>8</v>
      </c>
      <c r="U586">
        <v>14</v>
      </c>
      <c r="V586" t="s">
        <v>2770</v>
      </c>
      <c r="W586" t="s">
        <v>34</v>
      </c>
    </row>
    <row r="587" spans="1:24" x14ac:dyDescent="0.25">
      <c r="A587" t="s">
        <v>2771</v>
      </c>
      <c r="B587" t="s">
        <v>2772</v>
      </c>
      <c r="C587" t="s">
        <v>49</v>
      </c>
      <c r="D587">
        <v>50</v>
      </c>
      <c r="E587" t="s">
        <v>412</v>
      </c>
      <c r="F587" t="s">
        <v>2773</v>
      </c>
      <c r="G587" t="s">
        <v>2774</v>
      </c>
      <c r="H587">
        <v>47315</v>
      </c>
      <c r="I587" t="s">
        <v>52</v>
      </c>
      <c r="J587" t="s">
        <v>31</v>
      </c>
      <c r="K587" t="s">
        <v>167</v>
      </c>
      <c r="L587" t="s">
        <v>43</v>
      </c>
      <c r="M587">
        <v>13</v>
      </c>
      <c r="N587" t="s">
        <v>34</v>
      </c>
      <c r="O587">
        <v>3</v>
      </c>
      <c r="P587">
        <v>2</v>
      </c>
      <c r="R587">
        <v>2</v>
      </c>
      <c r="S587">
        <v>5</v>
      </c>
      <c r="T587">
        <v>0</v>
      </c>
      <c r="U587">
        <v>15</v>
      </c>
      <c r="V587" t="s">
        <v>2775</v>
      </c>
      <c r="W587" t="s">
        <v>34</v>
      </c>
    </row>
    <row r="588" spans="1:24" x14ac:dyDescent="0.25">
      <c r="A588" t="s">
        <v>2776</v>
      </c>
      <c r="B588" t="s">
        <v>2777</v>
      </c>
      <c r="C588" t="s">
        <v>81</v>
      </c>
      <c r="D588">
        <v>33</v>
      </c>
      <c r="E588" t="s">
        <v>128</v>
      </c>
      <c r="F588" t="s">
        <v>271</v>
      </c>
      <c r="G588" t="s">
        <v>2778</v>
      </c>
      <c r="I588" t="s">
        <v>42</v>
      </c>
      <c r="J588" t="s">
        <v>61</v>
      </c>
      <c r="K588" t="s">
        <v>98</v>
      </c>
      <c r="L588" t="s">
        <v>43</v>
      </c>
      <c r="M588">
        <v>5</v>
      </c>
      <c r="N588" t="s">
        <v>34</v>
      </c>
      <c r="O588">
        <v>2</v>
      </c>
      <c r="P588">
        <v>3</v>
      </c>
      <c r="Q588">
        <v>4</v>
      </c>
      <c r="S588">
        <v>5</v>
      </c>
      <c r="T588">
        <v>2</v>
      </c>
      <c r="U588">
        <v>25</v>
      </c>
      <c r="V588" t="s">
        <v>2779</v>
      </c>
      <c r="W588" t="s">
        <v>34</v>
      </c>
    </row>
    <row r="589" spans="1:24" x14ac:dyDescent="0.25">
      <c r="A589" t="s">
        <v>2780</v>
      </c>
      <c r="B589" t="s">
        <v>2781</v>
      </c>
      <c r="C589" t="s">
        <v>81</v>
      </c>
      <c r="D589">
        <v>19</v>
      </c>
      <c r="E589" t="s">
        <v>94</v>
      </c>
      <c r="F589" t="s">
        <v>306</v>
      </c>
      <c r="G589" t="s">
        <v>2782</v>
      </c>
      <c r="H589">
        <v>122377</v>
      </c>
      <c r="I589" t="s">
        <v>52</v>
      </c>
      <c r="J589" t="s">
        <v>31</v>
      </c>
      <c r="K589" t="s">
        <v>113</v>
      </c>
      <c r="L589" t="s">
        <v>43</v>
      </c>
      <c r="M589">
        <v>31</v>
      </c>
      <c r="N589" t="s">
        <v>34</v>
      </c>
      <c r="O589">
        <v>4</v>
      </c>
      <c r="P589">
        <v>2</v>
      </c>
      <c r="Q589">
        <v>2</v>
      </c>
      <c r="R589">
        <v>3</v>
      </c>
      <c r="S589">
        <v>6</v>
      </c>
      <c r="T589">
        <v>1</v>
      </c>
      <c r="U589">
        <v>25</v>
      </c>
      <c r="V589" t="s">
        <v>2783</v>
      </c>
      <c r="W589" t="s">
        <v>34</v>
      </c>
    </row>
    <row r="590" spans="1:24" x14ac:dyDescent="0.25">
      <c r="A590" t="s">
        <v>2784</v>
      </c>
      <c r="B590" t="s">
        <v>2785</v>
      </c>
      <c r="C590" t="s">
        <v>26</v>
      </c>
      <c r="D590">
        <v>35</v>
      </c>
      <c r="E590" t="s">
        <v>665</v>
      </c>
      <c r="F590" t="s">
        <v>792</v>
      </c>
      <c r="G590" t="s">
        <v>2786</v>
      </c>
      <c r="H590" t="s">
        <v>2787</v>
      </c>
      <c r="I590" t="s">
        <v>30</v>
      </c>
      <c r="J590" t="s">
        <v>143</v>
      </c>
      <c r="K590" t="s">
        <v>83</v>
      </c>
      <c r="L590" t="s">
        <v>43</v>
      </c>
      <c r="M590">
        <v>19</v>
      </c>
      <c r="N590" t="s">
        <v>34</v>
      </c>
      <c r="O590">
        <v>1</v>
      </c>
      <c r="P590">
        <v>1</v>
      </c>
      <c r="Q590">
        <v>1</v>
      </c>
      <c r="R590">
        <v>4</v>
      </c>
      <c r="S590">
        <v>1</v>
      </c>
      <c r="T590">
        <v>7</v>
      </c>
      <c r="U590">
        <v>14</v>
      </c>
      <c r="V590" t="s">
        <v>2788</v>
      </c>
      <c r="W590" t="s">
        <v>34</v>
      </c>
    </row>
    <row r="591" spans="1:24" x14ac:dyDescent="0.25">
      <c r="A591" t="s">
        <v>2789</v>
      </c>
      <c r="B591" t="s">
        <v>2790</v>
      </c>
      <c r="E591" t="s">
        <v>128</v>
      </c>
      <c r="F591" t="s">
        <v>271</v>
      </c>
      <c r="G591" t="s">
        <v>2791</v>
      </c>
      <c r="H591" t="s">
        <v>2792</v>
      </c>
      <c r="I591" t="s">
        <v>52</v>
      </c>
      <c r="J591" t="s">
        <v>143</v>
      </c>
      <c r="K591" t="s">
        <v>83</v>
      </c>
      <c r="L591" t="s">
        <v>43</v>
      </c>
      <c r="M591">
        <v>41</v>
      </c>
      <c r="N591" t="s">
        <v>34</v>
      </c>
      <c r="O591">
        <v>3</v>
      </c>
      <c r="P591">
        <v>2</v>
      </c>
      <c r="Q591">
        <v>4</v>
      </c>
      <c r="R591">
        <v>4</v>
      </c>
      <c r="S591">
        <v>3</v>
      </c>
      <c r="T591">
        <v>2</v>
      </c>
      <c r="U591">
        <v>23</v>
      </c>
      <c r="W591" t="s">
        <v>34</v>
      </c>
    </row>
    <row r="592" spans="1:24" x14ac:dyDescent="0.25">
      <c r="A592" t="s">
        <v>2793</v>
      </c>
      <c r="B592" t="s">
        <v>2794</v>
      </c>
      <c r="C592" t="s">
        <v>102</v>
      </c>
      <c r="D592">
        <v>20</v>
      </c>
      <c r="E592" t="s">
        <v>412</v>
      </c>
      <c r="F592" t="s">
        <v>1093</v>
      </c>
      <c r="G592" t="s">
        <v>2795</v>
      </c>
      <c r="H592" t="s">
        <v>2796</v>
      </c>
      <c r="I592" t="s">
        <v>52</v>
      </c>
      <c r="J592" t="s">
        <v>61</v>
      </c>
      <c r="K592" t="s">
        <v>32</v>
      </c>
      <c r="L592" t="s">
        <v>62</v>
      </c>
      <c r="M592">
        <v>17</v>
      </c>
      <c r="N592" t="s">
        <v>34</v>
      </c>
      <c r="O592">
        <v>1</v>
      </c>
      <c r="P592">
        <v>2</v>
      </c>
      <c r="Q592">
        <v>1</v>
      </c>
      <c r="R592">
        <v>5</v>
      </c>
      <c r="S592">
        <v>2</v>
      </c>
      <c r="T592">
        <v>5</v>
      </c>
      <c r="U592">
        <v>17</v>
      </c>
      <c r="V592" t="s">
        <v>2797</v>
      </c>
      <c r="W592" t="s">
        <v>34</v>
      </c>
    </row>
    <row r="593" spans="1:24" x14ac:dyDescent="0.25">
      <c r="A593" t="s">
        <v>2798</v>
      </c>
      <c r="B593" t="s">
        <v>2799</v>
      </c>
      <c r="C593" t="s">
        <v>58</v>
      </c>
      <c r="E593" t="s">
        <v>27</v>
      </c>
      <c r="F593" t="s">
        <v>59</v>
      </c>
      <c r="G593" t="s">
        <v>2800</v>
      </c>
      <c r="H593" t="s">
        <v>2801</v>
      </c>
      <c r="I593" t="s">
        <v>42</v>
      </c>
      <c r="J593" t="s">
        <v>143</v>
      </c>
      <c r="K593" t="s">
        <v>200</v>
      </c>
      <c r="L593" t="s">
        <v>43</v>
      </c>
      <c r="M593">
        <v>42</v>
      </c>
      <c r="N593" t="s">
        <v>45</v>
      </c>
      <c r="O593">
        <v>2</v>
      </c>
      <c r="P593">
        <v>2</v>
      </c>
      <c r="Q593">
        <v>4</v>
      </c>
      <c r="R593">
        <v>1</v>
      </c>
      <c r="S593">
        <v>2</v>
      </c>
      <c r="T593">
        <v>6</v>
      </c>
      <c r="U593">
        <v>15</v>
      </c>
      <c r="V593" t="s">
        <v>2802</v>
      </c>
      <c r="W593" t="s">
        <v>45</v>
      </c>
      <c r="X593" t="s">
        <v>2803</v>
      </c>
    </row>
    <row r="594" spans="1:24" x14ac:dyDescent="0.25">
      <c r="A594" t="s">
        <v>2804</v>
      </c>
      <c r="B594" t="s">
        <v>2805</v>
      </c>
      <c r="C594" t="s">
        <v>102</v>
      </c>
      <c r="D594">
        <v>32</v>
      </c>
      <c r="E594" t="s">
        <v>27</v>
      </c>
      <c r="F594" t="s">
        <v>188</v>
      </c>
      <c r="G594" t="s">
        <v>2806</v>
      </c>
      <c r="H594">
        <v>76116</v>
      </c>
      <c r="I594" t="s">
        <v>42</v>
      </c>
      <c r="J594" t="s">
        <v>53</v>
      </c>
      <c r="K594" t="s">
        <v>200</v>
      </c>
      <c r="L594" t="s">
        <v>33</v>
      </c>
      <c r="M594">
        <v>26</v>
      </c>
      <c r="N594" t="s">
        <v>45</v>
      </c>
      <c r="O594">
        <v>1</v>
      </c>
      <c r="P594">
        <v>1</v>
      </c>
      <c r="Q594">
        <v>3</v>
      </c>
      <c r="R594">
        <v>3</v>
      </c>
      <c r="S594">
        <v>3</v>
      </c>
      <c r="T594">
        <v>3</v>
      </c>
      <c r="U594">
        <v>17</v>
      </c>
      <c r="V594" t="s">
        <v>2807</v>
      </c>
      <c r="W594" t="s">
        <v>45</v>
      </c>
      <c r="X594" t="s">
        <v>2808</v>
      </c>
    </row>
    <row r="595" spans="1:24" x14ac:dyDescent="0.25">
      <c r="A595" t="s">
        <v>2809</v>
      </c>
      <c r="B595" t="s">
        <v>2810</v>
      </c>
      <c r="C595" t="s">
        <v>58</v>
      </c>
      <c r="D595">
        <v>22</v>
      </c>
      <c r="E595" t="s">
        <v>629</v>
      </c>
      <c r="F595" t="s">
        <v>271</v>
      </c>
      <c r="G595" t="s">
        <v>2811</v>
      </c>
      <c r="H595" t="s">
        <v>2812</v>
      </c>
      <c r="I595" t="s">
        <v>30</v>
      </c>
      <c r="J595" t="s">
        <v>53</v>
      </c>
      <c r="K595" t="s">
        <v>83</v>
      </c>
      <c r="L595" t="s">
        <v>62</v>
      </c>
      <c r="M595">
        <v>15</v>
      </c>
      <c r="N595" t="s">
        <v>45</v>
      </c>
      <c r="O595">
        <v>1</v>
      </c>
      <c r="P595">
        <v>2</v>
      </c>
      <c r="R595">
        <v>2</v>
      </c>
      <c r="S595">
        <v>3</v>
      </c>
      <c r="T595">
        <v>7</v>
      </c>
      <c r="U595">
        <v>22</v>
      </c>
      <c r="V595" t="s">
        <v>2813</v>
      </c>
      <c r="W595" t="s">
        <v>45</v>
      </c>
      <c r="X595" t="s">
        <v>2814</v>
      </c>
    </row>
    <row r="596" spans="1:24" x14ac:dyDescent="0.25">
      <c r="A596" t="s">
        <v>2815</v>
      </c>
      <c r="B596" t="s">
        <v>2816</v>
      </c>
      <c r="C596" t="s">
        <v>87</v>
      </c>
      <c r="D596">
        <v>33</v>
      </c>
      <c r="E596" t="s">
        <v>27</v>
      </c>
      <c r="F596" t="s">
        <v>188</v>
      </c>
      <c r="G596" t="s">
        <v>2817</v>
      </c>
      <c r="H596">
        <v>93042</v>
      </c>
      <c r="I596" t="s">
        <v>30</v>
      </c>
      <c r="J596" t="s">
        <v>61</v>
      </c>
      <c r="K596" t="s">
        <v>113</v>
      </c>
      <c r="L596" t="s">
        <v>43</v>
      </c>
      <c r="M596">
        <v>18</v>
      </c>
      <c r="N596" t="s">
        <v>34</v>
      </c>
      <c r="O596">
        <v>1</v>
      </c>
      <c r="P596">
        <v>3</v>
      </c>
      <c r="Q596">
        <v>2</v>
      </c>
      <c r="R596">
        <v>4</v>
      </c>
      <c r="S596">
        <v>2</v>
      </c>
      <c r="T596">
        <v>6</v>
      </c>
      <c r="U596">
        <v>11</v>
      </c>
      <c r="V596" t="s">
        <v>2818</v>
      </c>
      <c r="W596" t="s">
        <v>34</v>
      </c>
    </row>
    <row r="597" spans="1:24" x14ac:dyDescent="0.25">
      <c r="A597" t="s">
        <v>2819</v>
      </c>
      <c r="B597" t="s">
        <v>2820</v>
      </c>
      <c r="C597" t="s">
        <v>102</v>
      </c>
      <c r="D597">
        <v>30</v>
      </c>
      <c r="E597" t="s">
        <v>128</v>
      </c>
      <c r="F597" t="s">
        <v>271</v>
      </c>
      <c r="G597" t="s">
        <v>2821</v>
      </c>
      <c r="H597" t="s">
        <v>2822</v>
      </c>
      <c r="I597" t="s">
        <v>42</v>
      </c>
      <c r="J597" t="s">
        <v>97</v>
      </c>
      <c r="K597" t="s">
        <v>32</v>
      </c>
      <c r="L597" t="s">
        <v>33</v>
      </c>
      <c r="M597">
        <v>4</v>
      </c>
      <c r="N597" t="s">
        <v>34</v>
      </c>
      <c r="O597">
        <v>1</v>
      </c>
      <c r="P597">
        <v>2</v>
      </c>
      <c r="Q597">
        <v>3</v>
      </c>
      <c r="R597">
        <v>4</v>
      </c>
      <c r="S597">
        <v>0</v>
      </c>
      <c r="T597">
        <v>1</v>
      </c>
      <c r="U597">
        <v>17</v>
      </c>
      <c r="V597" t="s">
        <v>2823</v>
      </c>
      <c r="W597" t="s">
        <v>34</v>
      </c>
    </row>
    <row r="598" spans="1:24" x14ac:dyDescent="0.25">
      <c r="A598" t="s">
        <v>2824</v>
      </c>
      <c r="B598" t="s">
        <v>2825</v>
      </c>
      <c r="C598" t="s">
        <v>73</v>
      </c>
      <c r="D598">
        <v>24</v>
      </c>
      <c r="E598" t="s">
        <v>1166</v>
      </c>
      <c r="F598" t="s">
        <v>235</v>
      </c>
      <c r="G598" t="s">
        <v>2826</v>
      </c>
      <c r="H598">
        <v>69101</v>
      </c>
      <c r="I598" t="s">
        <v>30</v>
      </c>
      <c r="J598" t="s">
        <v>31</v>
      </c>
      <c r="K598" t="s">
        <v>32</v>
      </c>
      <c r="L598" t="s">
        <v>33</v>
      </c>
      <c r="M598">
        <v>6</v>
      </c>
      <c r="N598" t="s">
        <v>34</v>
      </c>
      <c r="O598">
        <v>3</v>
      </c>
      <c r="P598">
        <v>2</v>
      </c>
      <c r="Q598">
        <v>4</v>
      </c>
      <c r="R598">
        <v>2</v>
      </c>
      <c r="S598">
        <v>3</v>
      </c>
      <c r="T598">
        <v>4</v>
      </c>
      <c r="U598">
        <v>16</v>
      </c>
      <c r="W598" t="s">
        <v>34</v>
      </c>
    </row>
    <row r="599" spans="1:24" x14ac:dyDescent="0.25">
      <c r="A599" t="s">
        <v>2827</v>
      </c>
      <c r="B599" t="s">
        <v>2828</v>
      </c>
      <c r="C599" t="s">
        <v>87</v>
      </c>
      <c r="D599">
        <v>58</v>
      </c>
      <c r="E599" t="s">
        <v>88</v>
      </c>
      <c r="G599" t="s">
        <v>2829</v>
      </c>
      <c r="H599" t="s">
        <v>2830</v>
      </c>
      <c r="I599" t="s">
        <v>42</v>
      </c>
      <c r="J599" t="s">
        <v>61</v>
      </c>
      <c r="K599" t="s">
        <v>200</v>
      </c>
      <c r="M599">
        <v>1</v>
      </c>
      <c r="N599" t="s">
        <v>45</v>
      </c>
      <c r="O599">
        <v>4</v>
      </c>
      <c r="P599">
        <v>4</v>
      </c>
      <c r="Q599">
        <v>3</v>
      </c>
      <c r="R599">
        <v>3</v>
      </c>
      <c r="S599">
        <v>2</v>
      </c>
      <c r="T599">
        <v>4</v>
      </c>
      <c r="U599">
        <v>25</v>
      </c>
      <c r="V599" t="s">
        <v>2831</v>
      </c>
      <c r="W599" t="s">
        <v>34</v>
      </c>
    </row>
    <row r="600" spans="1:24" x14ac:dyDescent="0.25">
      <c r="A600" t="s">
        <v>2832</v>
      </c>
      <c r="B600" t="s">
        <v>2833</v>
      </c>
      <c r="C600" t="s">
        <v>81</v>
      </c>
      <c r="D600">
        <v>38</v>
      </c>
      <c r="F600" t="s">
        <v>75</v>
      </c>
      <c r="G600" t="s">
        <v>2834</v>
      </c>
      <c r="H600">
        <v>50241</v>
      </c>
      <c r="I600" t="s">
        <v>52</v>
      </c>
      <c r="J600" t="s">
        <v>143</v>
      </c>
      <c r="K600" t="s">
        <v>113</v>
      </c>
      <c r="L600" t="s">
        <v>62</v>
      </c>
      <c r="M600">
        <v>42</v>
      </c>
      <c r="N600" t="s">
        <v>34</v>
      </c>
      <c r="O600">
        <v>1</v>
      </c>
      <c r="P600">
        <v>2</v>
      </c>
      <c r="Q600">
        <v>3</v>
      </c>
      <c r="R600">
        <v>3</v>
      </c>
      <c r="S600">
        <v>3</v>
      </c>
      <c r="T600">
        <v>6</v>
      </c>
      <c r="U600">
        <v>25</v>
      </c>
      <c r="V600" t="s">
        <v>2835</v>
      </c>
      <c r="W600" t="s">
        <v>34</v>
      </c>
    </row>
    <row r="601" spans="1:24" x14ac:dyDescent="0.25">
      <c r="A601" t="s">
        <v>2836</v>
      </c>
      <c r="B601" t="s">
        <v>2837</v>
      </c>
      <c r="C601" t="s">
        <v>87</v>
      </c>
      <c r="D601">
        <v>23</v>
      </c>
      <c r="E601" t="s">
        <v>27</v>
      </c>
      <c r="F601" t="s">
        <v>59</v>
      </c>
      <c r="G601" t="s">
        <v>2838</v>
      </c>
      <c r="H601">
        <v>85245</v>
      </c>
      <c r="I601" t="s">
        <v>42</v>
      </c>
      <c r="J601" t="s">
        <v>61</v>
      </c>
      <c r="K601" t="s">
        <v>167</v>
      </c>
      <c r="L601" t="s">
        <v>33</v>
      </c>
      <c r="M601">
        <v>45</v>
      </c>
      <c r="N601" t="s">
        <v>45</v>
      </c>
      <c r="O601">
        <v>4</v>
      </c>
      <c r="P601">
        <v>4</v>
      </c>
      <c r="Q601">
        <v>4</v>
      </c>
      <c r="R601">
        <v>4</v>
      </c>
      <c r="S601">
        <v>1</v>
      </c>
      <c r="U601">
        <v>23</v>
      </c>
      <c r="V601" t="s">
        <v>2839</v>
      </c>
      <c r="W601" t="s">
        <v>34</v>
      </c>
    </row>
    <row r="602" spans="1:24" x14ac:dyDescent="0.25">
      <c r="A602" t="s">
        <v>2840</v>
      </c>
      <c r="B602" t="s">
        <v>2841</v>
      </c>
      <c r="C602" t="s">
        <v>102</v>
      </c>
      <c r="D602">
        <v>36</v>
      </c>
      <c r="E602" t="s">
        <v>27</v>
      </c>
      <c r="F602" t="s">
        <v>281</v>
      </c>
      <c r="G602" t="s">
        <v>2842</v>
      </c>
      <c r="H602">
        <v>105560</v>
      </c>
      <c r="I602" t="s">
        <v>30</v>
      </c>
      <c r="J602" t="s">
        <v>61</v>
      </c>
      <c r="K602" t="s">
        <v>77</v>
      </c>
      <c r="L602" t="s">
        <v>43</v>
      </c>
      <c r="M602">
        <v>45</v>
      </c>
      <c r="N602" t="s">
        <v>34</v>
      </c>
      <c r="O602">
        <v>1</v>
      </c>
      <c r="P602">
        <v>1</v>
      </c>
      <c r="Q602">
        <v>4</v>
      </c>
      <c r="R602">
        <v>3</v>
      </c>
      <c r="S602">
        <v>2</v>
      </c>
      <c r="T602">
        <v>4</v>
      </c>
      <c r="U602">
        <v>17</v>
      </c>
      <c r="V602" t="s">
        <v>2843</v>
      </c>
      <c r="W602" t="s">
        <v>34</v>
      </c>
    </row>
    <row r="603" spans="1:24" x14ac:dyDescent="0.25">
      <c r="A603" t="s">
        <v>2844</v>
      </c>
      <c r="B603" t="s">
        <v>2845</v>
      </c>
      <c r="C603" t="s">
        <v>58</v>
      </c>
      <c r="D603">
        <v>45</v>
      </c>
      <c r="E603" t="s">
        <v>629</v>
      </c>
      <c r="F603" t="s">
        <v>271</v>
      </c>
      <c r="G603" t="s">
        <v>2846</v>
      </c>
      <c r="H603">
        <v>43332</v>
      </c>
      <c r="I603" t="s">
        <v>52</v>
      </c>
      <c r="J603" t="s">
        <v>61</v>
      </c>
      <c r="K603" t="s">
        <v>98</v>
      </c>
      <c r="L603" t="s">
        <v>62</v>
      </c>
      <c r="M603">
        <v>15</v>
      </c>
      <c r="N603" t="s">
        <v>45</v>
      </c>
      <c r="O603">
        <v>3</v>
      </c>
      <c r="P603">
        <v>3</v>
      </c>
      <c r="Q603">
        <v>4</v>
      </c>
      <c r="R603">
        <v>4</v>
      </c>
      <c r="S603">
        <v>2</v>
      </c>
      <c r="T603">
        <v>6</v>
      </c>
      <c r="U603">
        <v>25</v>
      </c>
      <c r="V603" t="s">
        <v>2847</v>
      </c>
      <c r="W603" t="s">
        <v>34</v>
      </c>
    </row>
    <row r="604" spans="1:24" x14ac:dyDescent="0.25">
      <c r="A604" t="s">
        <v>2848</v>
      </c>
      <c r="B604" t="s">
        <v>2849</v>
      </c>
      <c r="C604" t="s">
        <v>87</v>
      </c>
      <c r="D604">
        <v>48</v>
      </c>
      <c r="E604" t="s">
        <v>27</v>
      </c>
      <c r="F604" t="s">
        <v>75</v>
      </c>
      <c r="G604" t="s">
        <v>2850</v>
      </c>
      <c r="H604">
        <v>55078</v>
      </c>
      <c r="I604" t="s">
        <v>30</v>
      </c>
      <c r="J604" t="s">
        <v>53</v>
      </c>
      <c r="K604" t="s">
        <v>83</v>
      </c>
      <c r="L604" t="s">
        <v>43</v>
      </c>
      <c r="M604">
        <v>6</v>
      </c>
      <c r="N604" t="s">
        <v>34</v>
      </c>
      <c r="O604">
        <v>1</v>
      </c>
      <c r="P604">
        <v>3</v>
      </c>
      <c r="Q604">
        <v>2</v>
      </c>
      <c r="R604">
        <v>3</v>
      </c>
      <c r="S604">
        <v>2</v>
      </c>
      <c r="T604">
        <v>5</v>
      </c>
      <c r="U604">
        <v>18</v>
      </c>
      <c r="V604" t="s">
        <v>2851</v>
      </c>
      <c r="W604" t="s">
        <v>34</v>
      </c>
    </row>
    <row r="605" spans="1:24" x14ac:dyDescent="0.25">
      <c r="A605" t="s">
        <v>2852</v>
      </c>
      <c r="B605" t="s">
        <v>2853</v>
      </c>
      <c r="C605" t="s">
        <v>81</v>
      </c>
      <c r="D605">
        <v>21</v>
      </c>
      <c r="E605" t="s">
        <v>27</v>
      </c>
      <c r="F605" t="s">
        <v>188</v>
      </c>
      <c r="G605" t="s">
        <v>2854</v>
      </c>
      <c r="H605">
        <v>117728</v>
      </c>
      <c r="I605" t="s">
        <v>42</v>
      </c>
      <c r="J605" t="s">
        <v>61</v>
      </c>
      <c r="K605" t="s">
        <v>83</v>
      </c>
      <c r="L605" t="s">
        <v>33</v>
      </c>
      <c r="M605">
        <v>13</v>
      </c>
      <c r="N605" t="s">
        <v>34</v>
      </c>
      <c r="O605">
        <v>4</v>
      </c>
      <c r="P605">
        <v>4</v>
      </c>
      <c r="Q605">
        <v>1</v>
      </c>
      <c r="R605">
        <v>3</v>
      </c>
      <c r="S605">
        <v>2</v>
      </c>
      <c r="T605">
        <v>5</v>
      </c>
      <c r="U605">
        <v>13</v>
      </c>
      <c r="V605" t="s">
        <v>2398</v>
      </c>
      <c r="W605" t="s">
        <v>34</v>
      </c>
    </row>
    <row r="606" spans="1:24" x14ac:dyDescent="0.25">
      <c r="A606" t="s">
        <v>2855</v>
      </c>
      <c r="B606" t="s">
        <v>2856</v>
      </c>
      <c r="C606" t="s">
        <v>26</v>
      </c>
      <c r="D606">
        <v>29</v>
      </c>
      <c r="E606" t="s">
        <v>128</v>
      </c>
      <c r="F606" t="s">
        <v>123</v>
      </c>
      <c r="G606" t="s">
        <v>2857</v>
      </c>
      <c r="H606">
        <v>46925</v>
      </c>
      <c r="I606" t="s">
        <v>52</v>
      </c>
      <c r="J606" t="s">
        <v>31</v>
      </c>
      <c r="K606" t="s">
        <v>167</v>
      </c>
      <c r="L606" t="s">
        <v>33</v>
      </c>
      <c r="M606">
        <v>6</v>
      </c>
      <c r="N606" t="s">
        <v>34</v>
      </c>
      <c r="O606">
        <v>3</v>
      </c>
      <c r="P606">
        <v>2</v>
      </c>
      <c r="Q606">
        <v>4</v>
      </c>
      <c r="R606">
        <v>4</v>
      </c>
      <c r="S606">
        <v>0</v>
      </c>
      <c r="T606">
        <v>7</v>
      </c>
      <c r="U606">
        <v>24</v>
      </c>
      <c r="V606" t="s">
        <v>2858</v>
      </c>
      <c r="W606" t="s">
        <v>34</v>
      </c>
    </row>
    <row r="607" spans="1:24" x14ac:dyDescent="0.25">
      <c r="A607" t="s">
        <v>2859</v>
      </c>
      <c r="B607" t="s">
        <v>2860</v>
      </c>
      <c r="C607" t="s">
        <v>102</v>
      </c>
      <c r="D607">
        <v>36</v>
      </c>
      <c r="E607" t="s">
        <v>197</v>
      </c>
      <c r="F607" t="s">
        <v>433</v>
      </c>
      <c r="G607" t="s">
        <v>2861</v>
      </c>
      <c r="H607">
        <v>46025</v>
      </c>
      <c r="J607" t="s">
        <v>61</v>
      </c>
      <c r="K607" t="s">
        <v>113</v>
      </c>
      <c r="L607" t="s">
        <v>62</v>
      </c>
      <c r="M607">
        <v>43</v>
      </c>
      <c r="N607" t="s">
        <v>34</v>
      </c>
      <c r="O607">
        <v>2</v>
      </c>
      <c r="P607">
        <v>4</v>
      </c>
      <c r="Q607">
        <v>4</v>
      </c>
      <c r="R607">
        <v>4</v>
      </c>
      <c r="S607">
        <v>6</v>
      </c>
      <c r="T607">
        <v>6</v>
      </c>
      <c r="U607">
        <v>17</v>
      </c>
      <c r="V607" t="s">
        <v>2862</v>
      </c>
      <c r="W607" t="s">
        <v>34</v>
      </c>
    </row>
    <row r="608" spans="1:24" x14ac:dyDescent="0.25">
      <c r="A608" t="s">
        <v>2863</v>
      </c>
      <c r="B608" t="s">
        <v>2864</v>
      </c>
      <c r="C608" t="s">
        <v>102</v>
      </c>
      <c r="D608">
        <v>50</v>
      </c>
      <c r="E608" t="s">
        <v>27</v>
      </c>
      <c r="F608" t="s">
        <v>75</v>
      </c>
      <c r="G608" t="s">
        <v>2865</v>
      </c>
      <c r="H608">
        <v>93483</v>
      </c>
      <c r="I608" t="s">
        <v>42</v>
      </c>
      <c r="J608" t="s">
        <v>31</v>
      </c>
      <c r="K608" t="s">
        <v>98</v>
      </c>
      <c r="L608" t="s">
        <v>43</v>
      </c>
      <c r="M608">
        <v>29</v>
      </c>
      <c r="N608" t="s">
        <v>34</v>
      </c>
      <c r="O608">
        <v>1</v>
      </c>
      <c r="P608">
        <v>3</v>
      </c>
      <c r="Q608">
        <v>4</v>
      </c>
      <c r="R608">
        <v>3</v>
      </c>
      <c r="S608">
        <v>5</v>
      </c>
      <c r="T608">
        <v>0</v>
      </c>
      <c r="U608">
        <v>19</v>
      </c>
      <c r="V608" t="s">
        <v>2866</v>
      </c>
      <c r="W608" t="s">
        <v>34</v>
      </c>
    </row>
    <row r="609" spans="1:24" x14ac:dyDescent="0.25">
      <c r="A609" t="s">
        <v>2867</v>
      </c>
      <c r="B609" t="s">
        <v>2868</v>
      </c>
      <c r="C609" t="s">
        <v>73</v>
      </c>
      <c r="D609">
        <v>40</v>
      </c>
      <c r="E609" t="s">
        <v>88</v>
      </c>
      <c r="F609" t="s">
        <v>141</v>
      </c>
      <c r="G609" t="s">
        <v>2869</v>
      </c>
      <c r="H609" t="s">
        <v>2870</v>
      </c>
      <c r="I609" t="s">
        <v>30</v>
      </c>
      <c r="J609" t="s">
        <v>61</v>
      </c>
      <c r="K609" t="s">
        <v>106</v>
      </c>
      <c r="L609" t="s">
        <v>33</v>
      </c>
      <c r="M609">
        <v>10</v>
      </c>
      <c r="N609" t="s">
        <v>34</v>
      </c>
      <c r="O609">
        <v>4</v>
      </c>
      <c r="P609">
        <v>4</v>
      </c>
      <c r="Q609">
        <v>2</v>
      </c>
      <c r="R609">
        <v>3</v>
      </c>
      <c r="S609">
        <v>2</v>
      </c>
      <c r="T609">
        <v>0</v>
      </c>
      <c r="U609">
        <v>18</v>
      </c>
      <c r="W609" t="s">
        <v>34</v>
      </c>
    </row>
    <row r="610" spans="1:24" x14ac:dyDescent="0.25">
      <c r="A610" t="s">
        <v>2871</v>
      </c>
      <c r="B610" t="s">
        <v>2872</v>
      </c>
      <c r="C610" t="s">
        <v>87</v>
      </c>
      <c r="D610">
        <v>30</v>
      </c>
      <c r="E610" t="s">
        <v>38</v>
      </c>
      <c r="F610" t="s">
        <v>148</v>
      </c>
      <c r="G610" t="s">
        <v>2873</v>
      </c>
      <c r="H610">
        <v>53356</v>
      </c>
      <c r="I610" t="s">
        <v>52</v>
      </c>
      <c r="J610" t="s">
        <v>61</v>
      </c>
      <c r="K610" t="s">
        <v>200</v>
      </c>
      <c r="L610" t="s">
        <v>62</v>
      </c>
      <c r="M610">
        <v>25</v>
      </c>
      <c r="N610" t="s">
        <v>34</v>
      </c>
      <c r="P610">
        <v>1</v>
      </c>
      <c r="Q610">
        <v>3</v>
      </c>
      <c r="R610">
        <v>4</v>
      </c>
      <c r="S610">
        <v>2</v>
      </c>
      <c r="T610">
        <v>8</v>
      </c>
      <c r="U610">
        <v>14</v>
      </c>
      <c r="V610" t="s">
        <v>2874</v>
      </c>
      <c r="W610" t="s">
        <v>34</v>
      </c>
    </row>
    <row r="611" spans="1:24" x14ac:dyDescent="0.25">
      <c r="A611" t="s">
        <v>2875</v>
      </c>
      <c r="B611" t="s">
        <v>2876</v>
      </c>
      <c r="C611" t="s">
        <v>87</v>
      </c>
      <c r="D611">
        <v>32</v>
      </c>
      <c r="E611" t="s">
        <v>128</v>
      </c>
      <c r="F611" t="s">
        <v>123</v>
      </c>
      <c r="G611" t="s">
        <v>2877</v>
      </c>
      <c r="H611">
        <v>59598</v>
      </c>
      <c r="I611" t="s">
        <v>30</v>
      </c>
      <c r="K611" t="s">
        <v>167</v>
      </c>
      <c r="L611" t="s">
        <v>62</v>
      </c>
      <c r="M611">
        <v>23</v>
      </c>
      <c r="N611" t="s">
        <v>34</v>
      </c>
      <c r="O611">
        <v>4</v>
      </c>
      <c r="P611">
        <v>1</v>
      </c>
      <c r="Q611">
        <v>1</v>
      </c>
      <c r="R611">
        <v>3</v>
      </c>
      <c r="S611">
        <v>0</v>
      </c>
      <c r="T611">
        <v>0</v>
      </c>
      <c r="U611">
        <v>12</v>
      </c>
      <c r="V611" t="s">
        <v>2878</v>
      </c>
      <c r="W611" t="s">
        <v>34</v>
      </c>
    </row>
    <row r="612" spans="1:24" x14ac:dyDescent="0.25">
      <c r="A612" t="s">
        <v>2879</v>
      </c>
      <c r="B612" t="s">
        <v>2880</v>
      </c>
      <c r="C612" t="s">
        <v>26</v>
      </c>
      <c r="D612">
        <v>28</v>
      </c>
      <c r="E612" t="s">
        <v>128</v>
      </c>
      <c r="F612" t="s">
        <v>123</v>
      </c>
      <c r="G612" t="s">
        <v>2881</v>
      </c>
      <c r="H612">
        <v>38244</v>
      </c>
      <c r="I612" t="s">
        <v>52</v>
      </c>
      <c r="J612" t="s">
        <v>31</v>
      </c>
      <c r="K612" t="s">
        <v>32</v>
      </c>
      <c r="L612" t="s">
        <v>43</v>
      </c>
      <c r="M612">
        <v>41</v>
      </c>
      <c r="N612" t="s">
        <v>34</v>
      </c>
      <c r="O612">
        <v>3</v>
      </c>
      <c r="P612">
        <v>4</v>
      </c>
      <c r="Q612">
        <v>2</v>
      </c>
      <c r="R612">
        <v>2</v>
      </c>
      <c r="S612">
        <v>2</v>
      </c>
      <c r="T612">
        <v>7</v>
      </c>
      <c r="U612">
        <v>23</v>
      </c>
      <c r="V612" t="s">
        <v>2882</v>
      </c>
      <c r="W612" t="s">
        <v>34</v>
      </c>
    </row>
    <row r="613" spans="1:24" x14ac:dyDescent="0.25">
      <c r="A613" t="s">
        <v>2883</v>
      </c>
      <c r="B613" t="s">
        <v>2884</v>
      </c>
      <c r="C613" t="s">
        <v>73</v>
      </c>
      <c r="D613">
        <v>36</v>
      </c>
      <c r="E613" t="s">
        <v>128</v>
      </c>
      <c r="F613" t="s">
        <v>1107</v>
      </c>
      <c r="G613" t="s">
        <v>2885</v>
      </c>
      <c r="H613">
        <v>56397</v>
      </c>
      <c r="I613" t="s">
        <v>30</v>
      </c>
      <c r="J613" t="s">
        <v>61</v>
      </c>
      <c r="K613" t="s">
        <v>83</v>
      </c>
      <c r="L613" t="s">
        <v>62</v>
      </c>
      <c r="M613">
        <v>32</v>
      </c>
      <c r="N613" t="s">
        <v>45</v>
      </c>
      <c r="O613">
        <v>1</v>
      </c>
      <c r="P613">
        <v>2</v>
      </c>
      <c r="Q613">
        <v>1</v>
      </c>
      <c r="R613">
        <v>4</v>
      </c>
      <c r="S613">
        <v>6</v>
      </c>
      <c r="T613">
        <v>7</v>
      </c>
      <c r="U613">
        <v>11</v>
      </c>
      <c r="V613" t="s">
        <v>2886</v>
      </c>
      <c r="W613" t="s">
        <v>45</v>
      </c>
      <c r="X613" t="s">
        <v>2887</v>
      </c>
    </row>
    <row r="614" spans="1:24" x14ac:dyDescent="0.25">
      <c r="A614" t="s">
        <v>2888</v>
      </c>
      <c r="B614" t="s">
        <v>2889</v>
      </c>
      <c r="C614" t="s">
        <v>87</v>
      </c>
      <c r="D614">
        <v>20</v>
      </c>
      <c r="E614" t="s">
        <v>94</v>
      </c>
      <c r="F614" t="s">
        <v>266</v>
      </c>
      <c r="G614" t="s">
        <v>2890</v>
      </c>
      <c r="H614">
        <v>95050</v>
      </c>
      <c r="I614" t="s">
        <v>30</v>
      </c>
      <c r="J614" t="s">
        <v>31</v>
      </c>
      <c r="K614" t="s">
        <v>167</v>
      </c>
      <c r="L614" t="s">
        <v>43</v>
      </c>
      <c r="M614">
        <v>36</v>
      </c>
      <c r="N614" t="s">
        <v>45</v>
      </c>
      <c r="O614">
        <v>4</v>
      </c>
      <c r="P614">
        <v>2</v>
      </c>
      <c r="Q614">
        <v>2</v>
      </c>
      <c r="R614">
        <v>4</v>
      </c>
      <c r="S614">
        <v>5</v>
      </c>
      <c r="T614">
        <v>3</v>
      </c>
      <c r="U614">
        <v>24</v>
      </c>
      <c r="V614" t="s">
        <v>2891</v>
      </c>
      <c r="W614" t="s">
        <v>34</v>
      </c>
    </row>
    <row r="615" spans="1:24" x14ac:dyDescent="0.25">
      <c r="A615" t="s">
        <v>2892</v>
      </c>
      <c r="B615" t="s">
        <v>2893</v>
      </c>
      <c r="C615" t="s">
        <v>102</v>
      </c>
      <c r="D615">
        <v>29</v>
      </c>
      <c r="E615" t="s">
        <v>457</v>
      </c>
      <c r="F615" t="s">
        <v>59</v>
      </c>
      <c r="G615" t="s">
        <v>2894</v>
      </c>
      <c r="H615">
        <v>94658</v>
      </c>
      <c r="I615" t="s">
        <v>42</v>
      </c>
      <c r="J615" t="s">
        <v>31</v>
      </c>
      <c r="K615" t="s">
        <v>167</v>
      </c>
      <c r="L615" t="s">
        <v>43</v>
      </c>
      <c r="M615">
        <v>44</v>
      </c>
      <c r="N615" t="s">
        <v>34</v>
      </c>
      <c r="O615">
        <v>2</v>
      </c>
      <c r="P615">
        <v>4</v>
      </c>
      <c r="Q615">
        <v>2</v>
      </c>
      <c r="R615">
        <v>4</v>
      </c>
      <c r="S615">
        <v>2</v>
      </c>
      <c r="T615">
        <v>0</v>
      </c>
      <c r="U615">
        <v>13</v>
      </c>
      <c r="V615" t="s">
        <v>2895</v>
      </c>
      <c r="W615" t="s">
        <v>45</v>
      </c>
      <c r="X615" t="s">
        <v>2896</v>
      </c>
    </row>
    <row r="616" spans="1:24" x14ac:dyDescent="0.25">
      <c r="A616" t="s">
        <v>2897</v>
      </c>
      <c r="B616" t="s">
        <v>2898</v>
      </c>
      <c r="C616" t="s">
        <v>73</v>
      </c>
      <c r="D616">
        <v>35</v>
      </c>
      <c r="E616" t="s">
        <v>27</v>
      </c>
      <c r="F616" t="s">
        <v>188</v>
      </c>
      <c r="G616" t="s">
        <v>2899</v>
      </c>
      <c r="H616">
        <v>106614</v>
      </c>
      <c r="I616" t="s">
        <v>30</v>
      </c>
      <c r="J616" t="s">
        <v>31</v>
      </c>
      <c r="K616" t="s">
        <v>106</v>
      </c>
      <c r="L616" t="s">
        <v>33</v>
      </c>
      <c r="M616">
        <v>18</v>
      </c>
      <c r="N616" t="s">
        <v>45</v>
      </c>
      <c r="O616">
        <v>1</v>
      </c>
      <c r="P616">
        <v>3</v>
      </c>
      <c r="R616">
        <v>3</v>
      </c>
      <c r="S616">
        <v>3</v>
      </c>
      <c r="T616">
        <v>1</v>
      </c>
      <c r="U616">
        <v>11</v>
      </c>
      <c r="V616" t="s">
        <v>2900</v>
      </c>
      <c r="W616" t="s">
        <v>34</v>
      </c>
    </row>
    <row r="617" spans="1:24" x14ac:dyDescent="0.25">
      <c r="A617" t="s">
        <v>2901</v>
      </c>
      <c r="B617" t="s">
        <v>2902</v>
      </c>
      <c r="C617" t="s">
        <v>58</v>
      </c>
      <c r="D617">
        <v>48</v>
      </c>
      <c r="E617" t="s">
        <v>27</v>
      </c>
      <c r="F617" t="s">
        <v>59</v>
      </c>
      <c r="G617" t="s">
        <v>2903</v>
      </c>
      <c r="H617">
        <v>60109</v>
      </c>
      <c r="I617" t="s">
        <v>42</v>
      </c>
      <c r="J617" t="s">
        <v>53</v>
      </c>
      <c r="K617" t="s">
        <v>32</v>
      </c>
      <c r="L617" t="s">
        <v>62</v>
      </c>
      <c r="M617">
        <v>5</v>
      </c>
      <c r="N617" t="s">
        <v>34</v>
      </c>
      <c r="O617">
        <v>4</v>
      </c>
      <c r="P617">
        <v>2</v>
      </c>
      <c r="Q617">
        <v>3</v>
      </c>
      <c r="R617">
        <v>3</v>
      </c>
      <c r="S617">
        <v>3</v>
      </c>
      <c r="T617">
        <v>1</v>
      </c>
      <c r="U617">
        <v>22</v>
      </c>
      <c r="V617" t="s">
        <v>2904</v>
      </c>
      <c r="W617" t="s">
        <v>34</v>
      </c>
    </row>
    <row r="618" spans="1:24" x14ac:dyDescent="0.25">
      <c r="A618" t="s">
        <v>2905</v>
      </c>
      <c r="B618" t="s">
        <v>2906</v>
      </c>
      <c r="C618" t="s">
        <v>67</v>
      </c>
      <c r="D618">
        <v>47</v>
      </c>
      <c r="E618" t="s">
        <v>128</v>
      </c>
      <c r="F618" t="s">
        <v>123</v>
      </c>
      <c r="G618" t="s">
        <v>2907</v>
      </c>
      <c r="H618">
        <v>49671</v>
      </c>
      <c r="I618" t="s">
        <v>42</v>
      </c>
      <c r="J618" t="s">
        <v>61</v>
      </c>
      <c r="K618" t="s">
        <v>32</v>
      </c>
      <c r="L618" t="s">
        <v>43</v>
      </c>
      <c r="M618">
        <v>40</v>
      </c>
      <c r="N618" t="s">
        <v>34</v>
      </c>
      <c r="O618">
        <v>4</v>
      </c>
      <c r="P618">
        <v>1</v>
      </c>
      <c r="Q618">
        <v>1</v>
      </c>
      <c r="R618">
        <v>3</v>
      </c>
      <c r="S618">
        <v>3</v>
      </c>
      <c r="T618">
        <v>3</v>
      </c>
      <c r="U618">
        <v>20</v>
      </c>
      <c r="V618" t="s">
        <v>2908</v>
      </c>
      <c r="W618" t="s">
        <v>34</v>
      </c>
    </row>
    <row r="619" spans="1:24" x14ac:dyDescent="0.25">
      <c r="A619" t="s">
        <v>2909</v>
      </c>
      <c r="B619" t="s">
        <v>2910</v>
      </c>
      <c r="C619" t="s">
        <v>87</v>
      </c>
      <c r="D619">
        <v>39</v>
      </c>
      <c r="E619" t="s">
        <v>197</v>
      </c>
      <c r="F619" t="s">
        <v>884</v>
      </c>
      <c r="G619" t="s">
        <v>2911</v>
      </c>
      <c r="H619">
        <v>104067</v>
      </c>
      <c r="I619" t="s">
        <v>42</v>
      </c>
      <c r="J619" t="s">
        <v>31</v>
      </c>
      <c r="K619" t="s">
        <v>32</v>
      </c>
      <c r="L619" t="s">
        <v>33</v>
      </c>
      <c r="M619">
        <v>20</v>
      </c>
      <c r="N619" t="s">
        <v>34</v>
      </c>
      <c r="O619">
        <v>1</v>
      </c>
      <c r="P619">
        <v>2</v>
      </c>
      <c r="R619">
        <v>3</v>
      </c>
      <c r="S619">
        <v>2</v>
      </c>
      <c r="T619">
        <v>0</v>
      </c>
      <c r="U619">
        <v>21</v>
      </c>
      <c r="V619" t="s">
        <v>2912</v>
      </c>
      <c r="W619" t="s">
        <v>34</v>
      </c>
    </row>
    <row r="620" spans="1:24" x14ac:dyDescent="0.25">
      <c r="A620" t="s">
        <v>2913</v>
      </c>
      <c r="B620" t="s">
        <v>2914</v>
      </c>
      <c r="C620" t="s">
        <v>49</v>
      </c>
      <c r="D620">
        <v>27</v>
      </c>
      <c r="E620" t="s">
        <v>128</v>
      </c>
      <c r="F620" t="s">
        <v>255</v>
      </c>
      <c r="G620" t="s">
        <v>2915</v>
      </c>
      <c r="H620" t="s">
        <v>2916</v>
      </c>
      <c r="I620" t="s">
        <v>30</v>
      </c>
      <c r="K620" t="s">
        <v>32</v>
      </c>
      <c r="L620" t="s">
        <v>62</v>
      </c>
      <c r="M620">
        <v>40</v>
      </c>
      <c r="N620" t="s">
        <v>34</v>
      </c>
      <c r="O620">
        <v>4</v>
      </c>
      <c r="Q620">
        <v>3</v>
      </c>
      <c r="R620">
        <v>5</v>
      </c>
      <c r="S620">
        <v>4</v>
      </c>
      <c r="T620">
        <v>7</v>
      </c>
      <c r="V620" t="s">
        <v>2917</v>
      </c>
      <c r="W620" t="s">
        <v>34</v>
      </c>
    </row>
    <row r="621" spans="1:24" x14ac:dyDescent="0.25">
      <c r="A621" t="s">
        <v>2918</v>
      </c>
      <c r="B621" t="s">
        <v>2919</v>
      </c>
      <c r="C621" t="s">
        <v>81</v>
      </c>
      <c r="D621">
        <v>52</v>
      </c>
      <c r="E621" t="s">
        <v>88</v>
      </c>
      <c r="F621" t="s">
        <v>469</v>
      </c>
      <c r="G621" t="s">
        <v>2920</v>
      </c>
      <c r="H621" t="s">
        <v>2921</v>
      </c>
      <c r="I621" t="s">
        <v>52</v>
      </c>
      <c r="J621" t="s">
        <v>61</v>
      </c>
      <c r="K621" t="s">
        <v>77</v>
      </c>
      <c r="L621" t="s">
        <v>62</v>
      </c>
      <c r="M621">
        <v>39</v>
      </c>
      <c r="N621" t="s">
        <v>34</v>
      </c>
      <c r="O621">
        <v>4</v>
      </c>
      <c r="P621">
        <v>3</v>
      </c>
      <c r="Q621">
        <v>2</v>
      </c>
      <c r="R621">
        <v>4</v>
      </c>
      <c r="S621">
        <v>3</v>
      </c>
      <c r="T621">
        <v>6</v>
      </c>
      <c r="U621">
        <v>20</v>
      </c>
      <c r="V621" t="s">
        <v>2922</v>
      </c>
      <c r="W621" t="s">
        <v>34</v>
      </c>
    </row>
    <row r="622" spans="1:24" x14ac:dyDescent="0.25">
      <c r="A622" t="s">
        <v>2923</v>
      </c>
      <c r="B622" t="s">
        <v>2924</v>
      </c>
      <c r="C622" t="s">
        <v>81</v>
      </c>
      <c r="D622">
        <v>35</v>
      </c>
      <c r="E622" t="s">
        <v>197</v>
      </c>
      <c r="F622" t="s">
        <v>323</v>
      </c>
      <c r="G622" t="s">
        <v>2925</v>
      </c>
      <c r="H622">
        <v>76253</v>
      </c>
      <c r="I622" t="s">
        <v>30</v>
      </c>
      <c r="J622" t="s">
        <v>31</v>
      </c>
      <c r="K622" t="s">
        <v>131</v>
      </c>
      <c r="L622" t="s">
        <v>33</v>
      </c>
      <c r="M622">
        <v>19</v>
      </c>
      <c r="N622" t="s">
        <v>34</v>
      </c>
      <c r="O622">
        <v>3</v>
      </c>
      <c r="P622">
        <v>1</v>
      </c>
      <c r="Q622">
        <v>1</v>
      </c>
      <c r="R622">
        <v>3</v>
      </c>
      <c r="S622">
        <v>2</v>
      </c>
      <c r="T622">
        <v>6</v>
      </c>
      <c r="U622">
        <v>17</v>
      </c>
      <c r="V622" t="s">
        <v>2926</v>
      </c>
      <c r="W622" t="s">
        <v>34</v>
      </c>
    </row>
    <row r="623" spans="1:24" x14ac:dyDescent="0.25">
      <c r="A623" t="s">
        <v>2927</v>
      </c>
      <c r="B623" t="s">
        <v>2928</v>
      </c>
      <c r="C623" t="s">
        <v>49</v>
      </c>
      <c r="D623">
        <v>23</v>
      </c>
      <c r="E623" t="s">
        <v>128</v>
      </c>
      <c r="F623" t="s">
        <v>226</v>
      </c>
      <c r="G623" t="s">
        <v>2929</v>
      </c>
      <c r="H623" t="s">
        <v>2930</v>
      </c>
      <c r="I623" t="s">
        <v>30</v>
      </c>
      <c r="J623" t="s">
        <v>31</v>
      </c>
      <c r="K623" t="s">
        <v>106</v>
      </c>
      <c r="L623" t="s">
        <v>62</v>
      </c>
      <c r="M623">
        <v>39</v>
      </c>
      <c r="N623" t="s">
        <v>34</v>
      </c>
      <c r="O623">
        <v>2</v>
      </c>
      <c r="P623">
        <v>2</v>
      </c>
      <c r="Q623">
        <v>2</v>
      </c>
      <c r="R623">
        <v>4</v>
      </c>
      <c r="S623">
        <v>5</v>
      </c>
      <c r="T623">
        <v>1</v>
      </c>
      <c r="U623">
        <v>18</v>
      </c>
      <c r="V623" t="s">
        <v>2931</v>
      </c>
      <c r="W623" t="s">
        <v>45</v>
      </c>
      <c r="X623" t="s">
        <v>2932</v>
      </c>
    </row>
    <row r="624" spans="1:24" x14ac:dyDescent="0.25">
      <c r="A624" t="s">
        <v>2933</v>
      </c>
      <c r="B624" t="s">
        <v>2934</v>
      </c>
      <c r="C624" t="s">
        <v>49</v>
      </c>
      <c r="D624">
        <v>53</v>
      </c>
      <c r="E624" t="s">
        <v>128</v>
      </c>
      <c r="F624" t="s">
        <v>255</v>
      </c>
      <c r="G624" t="s">
        <v>2935</v>
      </c>
      <c r="H624">
        <v>64626</v>
      </c>
      <c r="I624" t="s">
        <v>42</v>
      </c>
      <c r="K624" t="s">
        <v>83</v>
      </c>
      <c r="L624" t="s">
        <v>43</v>
      </c>
      <c r="M624">
        <v>45</v>
      </c>
      <c r="N624" t="s">
        <v>34</v>
      </c>
      <c r="O624">
        <v>4</v>
      </c>
      <c r="P624">
        <v>4</v>
      </c>
      <c r="Q624">
        <v>3</v>
      </c>
      <c r="R624">
        <v>2</v>
      </c>
      <c r="S624">
        <v>0</v>
      </c>
      <c r="T624">
        <v>0</v>
      </c>
      <c r="U624">
        <v>13</v>
      </c>
      <c r="V624" t="s">
        <v>2936</v>
      </c>
      <c r="W624" t="s">
        <v>34</v>
      </c>
    </row>
    <row r="625" spans="1:24" x14ac:dyDescent="0.25">
      <c r="A625" t="s">
        <v>2937</v>
      </c>
      <c r="B625" t="s">
        <v>2938</v>
      </c>
      <c r="C625" t="s">
        <v>102</v>
      </c>
      <c r="D625">
        <v>49</v>
      </c>
      <c r="E625" t="s">
        <v>457</v>
      </c>
      <c r="F625" t="s">
        <v>75</v>
      </c>
      <c r="G625" t="s">
        <v>2939</v>
      </c>
      <c r="H625">
        <v>52122</v>
      </c>
      <c r="I625" t="s">
        <v>30</v>
      </c>
      <c r="J625" t="s">
        <v>61</v>
      </c>
      <c r="K625" t="s">
        <v>83</v>
      </c>
      <c r="L625" t="s">
        <v>33</v>
      </c>
      <c r="M625">
        <v>38</v>
      </c>
      <c r="N625" t="s">
        <v>45</v>
      </c>
      <c r="O625">
        <v>2</v>
      </c>
      <c r="P625">
        <v>3</v>
      </c>
      <c r="Q625">
        <v>4</v>
      </c>
      <c r="R625">
        <v>3</v>
      </c>
      <c r="S625">
        <v>3</v>
      </c>
      <c r="U625">
        <v>23</v>
      </c>
      <c r="V625" t="s">
        <v>2940</v>
      </c>
      <c r="W625" t="s">
        <v>45</v>
      </c>
      <c r="X625" t="s">
        <v>2941</v>
      </c>
    </row>
    <row r="626" spans="1:24" x14ac:dyDescent="0.25">
      <c r="A626" t="s">
        <v>2942</v>
      </c>
      <c r="B626" t="s">
        <v>2943</v>
      </c>
      <c r="C626" t="s">
        <v>87</v>
      </c>
      <c r="D626">
        <v>31</v>
      </c>
      <c r="E626" t="s">
        <v>74</v>
      </c>
      <c r="F626" t="s">
        <v>59</v>
      </c>
      <c r="G626" t="s">
        <v>2944</v>
      </c>
      <c r="H626">
        <v>116931</v>
      </c>
      <c r="J626" t="s">
        <v>61</v>
      </c>
      <c r="K626" t="s">
        <v>131</v>
      </c>
      <c r="L626" t="s">
        <v>62</v>
      </c>
      <c r="M626">
        <v>19</v>
      </c>
      <c r="N626" t="s">
        <v>34</v>
      </c>
      <c r="O626">
        <v>1</v>
      </c>
      <c r="Q626">
        <v>1</v>
      </c>
      <c r="R626">
        <v>3</v>
      </c>
      <c r="S626">
        <v>5</v>
      </c>
      <c r="T626">
        <v>6</v>
      </c>
      <c r="U626">
        <v>14</v>
      </c>
      <c r="V626" t="s">
        <v>2945</v>
      </c>
      <c r="W626" t="s">
        <v>45</v>
      </c>
      <c r="X626" t="s">
        <v>2946</v>
      </c>
    </row>
    <row r="627" spans="1:24" x14ac:dyDescent="0.25">
      <c r="A627" t="s">
        <v>2947</v>
      </c>
      <c r="B627" t="s">
        <v>2948</v>
      </c>
      <c r="C627" t="s">
        <v>87</v>
      </c>
      <c r="D627">
        <v>38</v>
      </c>
      <c r="E627" t="s">
        <v>27</v>
      </c>
      <c r="F627" t="s">
        <v>59</v>
      </c>
      <c r="G627" t="s">
        <v>2949</v>
      </c>
      <c r="H627">
        <v>118713</v>
      </c>
      <c r="I627" t="s">
        <v>42</v>
      </c>
      <c r="J627" t="s">
        <v>61</v>
      </c>
      <c r="K627" t="s">
        <v>54</v>
      </c>
      <c r="L627" t="s">
        <v>43</v>
      </c>
      <c r="M627">
        <v>24</v>
      </c>
      <c r="N627" t="s">
        <v>45</v>
      </c>
      <c r="O627">
        <v>3</v>
      </c>
      <c r="P627">
        <v>4</v>
      </c>
      <c r="Q627">
        <v>3</v>
      </c>
      <c r="R627">
        <v>4</v>
      </c>
      <c r="S627">
        <v>6</v>
      </c>
      <c r="T627">
        <v>0</v>
      </c>
      <c r="U627">
        <v>24</v>
      </c>
      <c r="V627" t="s">
        <v>2950</v>
      </c>
      <c r="W627" t="s">
        <v>34</v>
      </c>
    </row>
    <row r="628" spans="1:24" x14ac:dyDescent="0.25">
      <c r="A628" t="s">
        <v>2951</v>
      </c>
      <c r="B628" t="s">
        <v>2952</v>
      </c>
      <c r="C628" t="s">
        <v>67</v>
      </c>
      <c r="D628">
        <v>19</v>
      </c>
      <c r="E628" t="s">
        <v>27</v>
      </c>
      <c r="F628" t="s">
        <v>50</v>
      </c>
      <c r="G628" t="s">
        <v>2953</v>
      </c>
      <c r="H628">
        <v>116658</v>
      </c>
      <c r="I628" t="s">
        <v>30</v>
      </c>
      <c r="K628" t="s">
        <v>77</v>
      </c>
      <c r="L628" t="s">
        <v>62</v>
      </c>
      <c r="M628">
        <v>36</v>
      </c>
      <c r="N628" t="s">
        <v>34</v>
      </c>
      <c r="O628">
        <v>3</v>
      </c>
      <c r="P628">
        <v>1</v>
      </c>
      <c r="Q628">
        <v>2</v>
      </c>
      <c r="R628">
        <v>4</v>
      </c>
      <c r="S628">
        <v>3</v>
      </c>
      <c r="T628">
        <v>7</v>
      </c>
      <c r="U628">
        <v>16</v>
      </c>
      <c r="V628" t="s">
        <v>2954</v>
      </c>
      <c r="W628" t="s">
        <v>34</v>
      </c>
    </row>
    <row r="629" spans="1:24" x14ac:dyDescent="0.25">
      <c r="A629" t="s">
        <v>2955</v>
      </c>
      <c r="B629" t="s">
        <v>2956</v>
      </c>
      <c r="C629" t="s">
        <v>49</v>
      </c>
      <c r="D629">
        <v>27</v>
      </c>
      <c r="E629" t="s">
        <v>579</v>
      </c>
      <c r="F629" t="s">
        <v>141</v>
      </c>
      <c r="G629" t="s">
        <v>2957</v>
      </c>
      <c r="H629" t="s">
        <v>2958</v>
      </c>
      <c r="I629" t="s">
        <v>42</v>
      </c>
      <c r="K629" t="s">
        <v>167</v>
      </c>
      <c r="L629" t="s">
        <v>33</v>
      </c>
      <c r="M629">
        <v>6</v>
      </c>
      <c r="N629" t="s">
        <v>34</v>
      </c>
      <c r="O629">
        <v>1</v>
      </c>
      <c r="P629">
        <v>3</v>
      </c>
      <c r="Q629">
        <v>2</v>
      </c>
      <c r="R629">
        <v>3</v>
      </c>
      <c r="S629">
        <v>0</v>
      </c>
      <c r="T629">
        <v>4</v>
      </c>
      <c r="V629" t="s">
        <v>2959</v>
      </c>
      <c r="W629" t="s">
        <v>45</v>
      </c>
      <c r="X629" t="s">
        <v>2960</v>
      </c>
    </row>
    <row r="630" spans="1:24" x14ac:dyDescent="0.25">
      <c r="A630" t="s">
        <v>2961</v>
      </c>
      <c r="B630" t="s">
        <v>2962</v>
      </c>
      <c r="C630" t="s">
        <v>26</v>
      </c>
      <c r="D630">
        <v>37</v>
      </c>
      <c r="E630" t="s">
        <v>554</v>
      </c>
      <c r="F630" t="s">
        <v>89</v>
      </c>
      <c r="G630" t="s">
        <v>2963</v>
      </c>
      <c r="H630">
        <v>66551</v>
      </c>
      <c r="I630" t="s">
        <v>52</v>
      </c>
      <c r="J630" t="s">
        <v>31</v>
      </c>
      <c r="K630" t="s">
        <v>32</v>
      </c>
      <c r="L630" t="s">
        <v>62</v>
      </c>
      <c r="M630">
        <v>34</v>
      </c>
      <c r="N630" t="s">
        <v>45</v>
      </c>
      <c r="O630">
        <v>3</v>
      </c>
      <c r="P630">
        <v>4</v>
      </c>
      <c r="Q630">
        <v>2</v>
      </c>
      <c r="R630">
        <v>5</v>
      </c>
      <c r="S630">
        <v>0</v>
      </c>
      <c r="T630">
        <v>6</v>
      </c>
      <c r="U630">
        <v>11</v>
      </c>
      <c r="V630" t="s">
        <v>2964</v>
      </c>
      <c r="W630" t="s">
        <v>45</v>
      </c>
      <c r="X630" t="s">
        <v>2965</v>
      </c>
    </row>
    <row r="631" spans="1:24" x14ac:dyDescent="0.25">
      <c r="A631" t="s">
        <v>2966</v>
      </c>
      <c r="B631" t="s">
        <v>2967</v>
      </c>
      <c r="C631" t="s">
        <v>58</v>
      </c>
      <c r="D631">
        <v>34</v>
      </c>
      <c r="E631" t="s">
        <v>128</v>
      </c>
      <c r="F631" t="s">
        <v>848</v>
      </c>
      <c r="G631" t="s">
        <v>2968</v>
      </c>
      <c r="H631">
        <v>59870</v>
      </c>
      <c r="I631" t="s">
        <v>52</v>
      </c>
      <c r="J631" t="s">
        <v>31</v>
      </c>
      <c r="K631" t="s">
        <v>77</v>
      </c>
      <c r="L631" t="s">
        <v>33</v>
      </c>
      <c r="M631">
        <v>34</v>
      </c>
      <c r="N631" t="s">
        <v>45</v>
      </c>
      <c r="O631">
        <v>4</v>
      </c>
      <c r="P631">
        <v>3</v>
      </c>
      <c r="Q631">
        <v>4</v>
      </c>
      <c r="R631">
        <v>2</v>
      </c>
      <c r="S631">
        <v>5</v>
      </c>
      <c r="T631">
        <v>6</v>
      </c>
      <c r="U631">
        <v>25</v>
      </c>
      <c r="V631" t="s">
        <v>2969</v>
      </c>
      <c r="W631" t="s">
        <v>45</v>
      </c>
      <c r="X631" t="s">
        <v>2970</v>
      </c>
    </row>
    <row r="632" spans="1:24" x14ac:dyDescent="0.25">
      <c r="A632" t="s">
        <v>2971</v>
      </c>
      <c r="B632" t="s">
        <v>2972</v>
      </c>
      <c r="C632" t="s">
        <v>87</v>
      </c>
      <c r="D632">
        <v>34</v>
      </c>
      <c r="E632" t="s">
        <v>128</v>
      </c>
      <c r="F632" t="s">
        <v>271</v>
      </c>
      <c r="G632" t="s">
        <v>2973</v>
      </c>
      <c r="H632">
        <v>52127</v>
      </c>
      <c r="I632" t="s">
        <v>30</v>
      </c>
      <c r="J632" t="s">
        <v>61</v>
      </c>
      <c r="K632" t="s">
        <v>83</v>
      </c>
      <c r="L632" t="s">
        <v>62</v>
      </c>
      <c r="M632">
        <v>25</v>
      </c>
      <c r="N632" t="s">
        <v>45</v>
      </c>
      <c r="O632">
        <v>4</v>
      </c>
      <c r="P632">
        <v>2</v>
      </c>
      <c r="Q632">
        <v>2</v>
      </c>
      <c r="R632">
        <v>2</v>
      </c>
      <c r="S632">
        <v>2</v>
      </c>
      <c r="T632">
        <v>7</v>
      </c>
      <c r="U632">
        <v>23</v>
      </c>
      <c r="V632" t="s">
        <v>2974</v>
      </c>
      <c r="W632" t="s">
        <v>34</v>
      </c>
    </row>
    <row r="633" spans="1:24" x14ac:dyDescent="0.25">
      <c r="A633" t="s">
        <v>2975</v>
      </c>
      <c r="B633" t="s">
        <v>2976</v>
      </c>
      <c r="C633" t="s">
        <v>81</v>
      </c>
      <c r="D633">
        <v>33</v>
      </c>
      <c r="E633" t="s">
        <v>609</v>
      </c>
      <c r="F633" t="s">
        <v>639</v>
      </c>
      <c r="G633" t="s">
        <v>2977</v>
      </c>
      <c r="H633">
        <v>67163</v>
      </c>
      <c r="I633" t="s">
        <v>30</v>
      </c>
      <c r="J633" t="s">
        <v>61</v>
      </c>
      <c r="K633" t="s">
        <v>131</v>
      </c>
      <c r="L633" t="s">
        <v>62</v>
      </c>
      <c r="M633">
        <v>27</v>
      </c>
      <c r="N633" t="s">
        <v>34</v>
      </c>
      <c r="O633">
        <v>4</v>
      </c>
      <c r="P633">
        <v>3</v>
      </c>
      <c r="Q633">
        <v>1</v>
      </c>
      <c r="R633">
        <v>3</v>
      </c>
      <c r="S633">
        <v>1</v>
      </c>
      <c r="T633">
        <v>1</v>
      </c>
      <c r="U633">
        <v>22</v>
      </c>
      <c r="V633" t="s">
        <v>2978</v>
      </c>
      <c r="W633" t="s">
        <v>45</v>
      </c>
      <c r="X633" t="s">
        <v>2979</v>
      </c>
    </row>
    <row r="634" spans="1:24" x14ac:dyDescent="0.25">
      <c r="A634" t="s">
        <v>2980</v>
      </c>
      <c r="B634" t="s">
        <v>2981</v>
      </c>
      <c r="C634" t="s">
        <v>87</v>
      </c>
      <c r="E634" t="s">
        <v>128</v>
      </c>
      <c r="F634" t="s">
        <v>271</v>
      </c>
      <c r="G634" t="s">
        <v>2040</v>
      </c>
      <c r="H634" t="s">
        <v>2982</v>
      </c>
      <c r="I634" t="s">
        <v>30</v>
      </c>
      <c r="J634" t="s">
        <v>31</v>
      </c>
      <c r="K634" t="s">
        <v>200</v>
      </c>
      <c r="M634">
        <v>14</v>
      </c>
      <c r="N634" t="s">
        <v>45</v>
      </c>
      <c r="O634">
        <v>3</v>
      </c>
      <c r="P634">
        <v>4</v>
      </c>
      <c r="Q634">
        <v>1</v>
      </c>
      <c r="R634">
        <v>3</v>
      </c>
      <c r="S634">
        <v>6</v>
      </c>
      <c r="T634">
        <v>0</v>
      </c>
      <c r="U634">
        <v>17</v>
      </c>
      <c r="V634" t="s">
        <v>2983</v>
      </c>
      <c r="W634" t="s">
        <v>34</v>
      </c>
    </row>
    <row r="635" spans="1:24" x14ac:dyDescent="0.25">
      <c r="A635" t="s">
        <v>2984</v>
      </c>
      <c r="B635" t="s">
        <v>2985</v>
      </c>
      <c r="C635" t="s">
        <v>102</v>
      </c>
      <c r="D635">
        <v>42</v>
      </c>
      <c r="E635" t="s">
        <v>27</v>
      </c>
      <c r="F635" t="s">
        <v>188</v>
      </c>
      <c r="G635" t="s">
        <v>2986</v>
      </c>
      <c r="H635" t="s">
        <v>2987</v>
      </c>
      <c r="I635" t="s">
        <v>30</v>
      </c>
      <c r="J635" t="s">
        <v>61</v>
      </c>
      <c r="K635" t="s">
        <v>106</v>
      </c>
      <c r="L635" t="s">
        <v>33</v>
      </c>
      <c r="M635">
        <v>16</v>
      </c>
      <c r="N635" t="s">
        <v>45</v>
      </c>
      <c r="O635">
        <v>4</v>
      </c>
      <c r="P635">
        <v>3</v>
      </c>
      <c r="Q635">
        <v>3</v>
      </c>
      <c r="R635">
        <v>3</v>
      </c>
      <c r="S635">
        <v>4</v>
      </c>
      <c r="T635">
        <v>1</v>
      </c>
      <c r="U635">
        <v>12</v>
      </c>
      <c r="V635" t="s">
        <v>2988</v>
      </c>
      <c r="W635" t="s">
        <v>34</v>
      </c>
    </row>
    <row r="636" spans="1:24" x14ac:dyDescent="0.25">
      <c r="A636" t="s">
        <v>2989</v>
      </c>
      <c r="B636" t="s">
        <v>2990</v>
      </c>
      <c r="C636" t="s">
        <v>73</v>
      </c>
      <c r="D636">
        <v>32</v>
      </c>
      <c r="E636" t="s">
        <v>128</v>
      </c>
      <c r="F636" t="s">
        <v>351</v>
      </c>
      <c r="G636" t="s">
        <v>2991</v>
      </c>
      <c r="H636">
        <v>89171</v>
      </c>
      <c r="I636" t="s">
        <v>42</v>
      </c>
      <c r="J636" t="s">
        <v>31</v>
      </c>
      <c r="K636" t="s">
        <v>106</v>
      </c>
      <c r="L636" t="s">
        <v>33</v>
      </c>
      <c r="M636">
        <v>31</v>
      </c>
      <c r="N636" t="s">
        <v>34</v>
      </c>
      <c r="O636">
        <v>3</v>
      </c>
      <c r="P636">
        <v>2</v>
      </c>
      <c r="Q636">
        <v>2</v>
      </c>
      <c r="R636">
        <v>4</v>
      </c>
      <c r="S636">
        <v>2</v>
      </c>
      <c r="U636">
        <v>21</v>
      </c>
      <c r="V636" t="s">
        <v>2992</v>
      </c>
      <c r="W636" t="s">
        <v>34</v>
      </c>
    </row>
    <row r="637" spans="1:24" x14ac:dyDescent="0.25">
      <c r="A637" t="s">
        <v>2993</v>
      </c>
      <c r="B637" t="s">
        <v>2994</v>
      </c>
      <c r="C637" t="s">
        <v>49</v>
      </c>
      <c r="D637">
        <v>19</v>
      </c>
      <c r="E637" t="s">
        <v>94</v>
      </c>
      <c r="G637" t="s">
        <v>2995</v>
      </c>
      <c r="H637">
        <v>77419</v>
      </c>
      <c r="I637" t="s">
        <v>30</v>
      </c>
      <c r="J637" t="s">
        <v>61</v>
      </c>
      <c r="K637" t="s">
        <v>106</v>
      </c>
      <c r="L637" t="s">
        <v>43</v>
      </c>
      <c r="M637">
        <v>45</v>
      </c>
      <c r="N637" t="s">
        <v>45</v>
      </c>
      <c r="O637">
        <v>4</v>
      </c>
      <c r="P637">
        <v>2</v>
      </c>
      <c r="Q637">
        <v>3</v>
      </c>
      <c r="R637">
        <v>5</v>
      </c>
      <c r="S637">
        <v>2</v>
      </c>
      <c r="T637">
        <v>0</v>
      </c>
      <c r="U637">
        <v>25</v>
      </c>
      <c r="V637" t="s">
        <v>2996</v>
      </c>
      <c r="W637" t="s">
        <v>45</v>
      </c>
      <c r="X637" t="s">
        <v>2997</v>
      </c>
    </row>
    <row r="638" spans="1:24" x14ac:dyDescent="0.25">
      <c r="A638" t="s">
        <v>2998</v>
      </c>
      <c r="B638" t="s">
        <v>2999</v>
      </c>
      <c r="C638" t="s">
        <v>67</v>
      </c>
      <c r="D638">
        <v>38</v>
      </c>
      <c r="E638" t="s">
        <v>27</v>
      </c>
      <c r="F638" t="s">
        <v>75</v>
      </c>
      <c r="G638" t="s">
        <v>3000</v>
      </c>
      <c r="H638">
        <v>52897</v>
      </c>
      <c r="I638" t="s">
        <v>30</v>
      </c>
      <c r="J638" t="s">
        <v>31</v>
      </c>
      <c r="K638" t="s">
        <v>106</v>
      </c>
      <c r="L638" t="s">
        <v>62</v>
      </c>
      <c r="M638">
        <v>14</v>
      </c>
      <c r="N638" t="s">
        <v>34</v>
      </c>
      <c r="O638">
        <v>2</v>
      </c>
      <c r="P638">
        <v>2</v>
      </c>
      <c r="Q638">
        <v>4</v>
      </c>
      <c r="R638">
        <v>3</v>
      </c>
      <c r="S638">
        <v>1</v>
      </c>
      <c r="T638">
        <v>8</v>
      </c>
      <c r="U638">
        <v>22</v>
      </c>
      <c r="V638" t="s">
        <v>3001</v>
      </c>
      <c r="W638" t="s">
        <v>34</v>
      </c>
    </row>
    <row r="639" spans="1:24" x14ac:dyDescent="0.25">
      <c r="A639" t="s">
        <v>3002</v>
      </c>
      <c r="B639" t="s">
        <v>3003</v>
      </c>
      <c r="C639" t="s">
        <v>102</v>
      </c>
      <c r="D639">
        <v>26</v>
      </c>
      <c r="E639" t="s">
        <v>94</v>
      </c>
      <c r="F639" t="s">
        <v>2568</v>
      </c>
      <c r="G639" t="s">
        <v>3004</v>
      </c>
      <c r="H639" t="s">
        <v>3005</v>
      </c>
      <c r="I639" t="s">
        <v>42</v>
      </c>
      <c r="J639" t="s">
        <v>143</v>
      </c>
      <c r="K639" t="s">
        <v>113</v>
      </c>
      <c r="L639" t="s">
        <v>62</v>
      </c>
      <c r="M639">
        <v>9</v>
      </c>
      <c r="N639" t="s">
        <v>34</v>
      </c>
      <c r="O639">
        <v>4</v>
      </c>
      <c r="P639">
        <v>4</v>
      </c>
      <c r="Q639">
        <v>4</v>
      </c>
      <c r="R639">
        <v>3</v>
      </c>
      <c r="S639">
        <v>6</v>
      </c>
      <c r="T639">
        <v>4</v>
      </c>
      <c r="U639">
        <v>24</v>
      </c>
      <c r="V639" t="s">
        <v>3006</v>
      </c>
      <c r="W639" t="s">
        <v>34</v>
      </c>
    </row>
    <row r="640" spans="1:24" x14ac:dyDescent="0.25">
      <c r="A640" t="s">
        <v>3007</v>
      </c>
      <c r="B640" t="s">
        <v>3008</v>
      </c>
      <c r="C640" t="s">
        <v>102</v>
      </c>
      <c r="D640">
        <v>33</v>
      </c>
      <c r="E640" t="s">
        <v>94</v>
      </c>
      <c r="F640" t="s">
        <v>639</v>
      </c>
      <c r="G640" t="s">
        <v>3009</v>
      </c>
      <c r="H640">
        <v>53178</v>
      </c>
      <c r="I640" t="s">
        <v>30</v>
      </c>
      <c r="J640" t="s">
        <v>61</v>
      </c>
      <c r="K640" t="s">
        <v>32</v>
      </c>
      <c r="L640" t="s">
        <v>62</v>
      </c>
      <c r="M640">
        <v>12</v>
      </c>
      <c r="N640" t="s">
        <v>34</v>
      </c>
      <c r="O640">
        <v>3</v>
      </c>
      <c r="P640">
        <v>3</v>
      </c>
      <c r="Q640">
        <v>1</v>
      </c>
      <c r="R640">
        <v>4</v>
      </c>
      <c r="S640">
        <v>0</v>
      </c>
      <c r="T640">
        <v>0</v>
      </c>
      <c r="U640">
        <v>17</v>
      </c>
      <c r="V640" t="s">
        <v>3010</v>
      </c>
      <c r="W640" t="s">
        <v>34</v>
      </c>
    </row>
    <row r="641" spans="1:24" x14ac:dyDescent="0.25">
      <c r="A641" t="s">
        <v>3011</v>
      </c>
      <c r="B641" t="s">
        <v>3012</v>
      </c>
      <c r="C641" t="s">
        <v>49</v>
      </c>
      <c r="D641">
        <v>44</v>
      </c>
      <c r="E641" t="s">
        <v>27</v>
      </c>
      <c r="F641" t="s">
        <v>28</v>
      </c>
      <c r="G641" t="s">
        <v>3013</v>
      </c>
      <c r="H641">
        <v>60707</v>
      </c>
      <c r="I641" t="s">
        <v>42</v>
      </c>
      <c r="J641" t="s">
        <v>31</v>
      </c>
      <c r="K641" t="s">
        <v>32</v>
      </c>
      <c r="L641" t="s">
        <v>43</v>
      </c>
      <c r="M641">
        <v>37</v>
      </c>
      <c r="N641" t="s">
        <v>34</v>
      </c>
      <c r="P641">
        <v>4</v>
      </c>
      <c r="Q641">
        <v>3</v>
      </c>
      <c r="R641">
        <v>4</v>
      </c>
      <c r="S641">
        <v>4</v>
      </c>
      <c r="T641">
        <v>4</v>
      </c>
      <c r="U641">
        <v>11</v>
      </c>
      <c r="V641" t="s">
        <v>3014</v>
      </c>
      <c r="W641" t="s">
        <v>34</v>
      </c>
    </row>
    <row r="642" spans="1:24" x14ac:dyDescent="0.25">
      <c r="A642" t="s">
        <v>3015</v>
      </c>
      <c r="B642" t="s">
        <v>3016</v>
      </c>
      <c r="C642" t="s">
        <v>26</v>
      </c>
      <c r="D642">
        <v>35</v>
      </c>
      <c r="E642" t="s">
        <v>572</v>
      </c>
      <c r="F642" t="s">
        <v>573</v>
      </c>
      <c r="G642" t="s">
        <v>3017</v>
      </c>
      <c r="H642">
        <v>69643</v>
      </c>
      <c r="I642" t="s">
        <v>42</v>
      </c>
      <c r="J642" t="s">
        <v>61</v>
      </c>
      <c r="K642" t="s">
        <v>32</v>
      </c>
      <c r="L642" t="s">
        <v>43</v>
      </c>
      <c r="M642">
        <v>10</v>
      </c>
      <c r="N642" t="s">
        <v>45</v>
      </c>
      <c r="O642">
        <v>2</v>
      </c>
      <c r="P642">
        <v>2</v>
      </c>
      <c r="Q642">
        <v>1</v>
      </c>
      <c r="R642">
        <v>4</v>
      </c>
      <c r="S642">
        <v>5</v>
      </c>
      <c r="T642">
        <v>8</v>
      </c>
      <c r="U642">
        <v>23</v>
      </c>
      <c r="V642" t="s">
        <v>3018</v>
      </c>
      <c r="W642" t="s">
        <v>45</v>
      </c>
      <c r="X642" t="s">
        <v>3019</v>
      </c>
    </row>
    <row r="643" spans="1:24" x14ac:dyDescent="0.25">
      <c r="A643" t="s">
        <v>3020</v>
      </c>
      <c r="B643" t="s">
        <v>3021</v>
      </c>
      <c r="C643" t="s">
        <v>81</v>
      </c>
      <c r="D643">
        <v>44</v>
      </c>
      <c r="E643" t="s">
        <v>94</v>
      </c>
      <c r="F643" t="s">
        <v>356</v>
      </c>
      <c r="G643" t="s">
        <v>3022</v>
      </c>
      <c r="H643">
        <v>105054</v>
      </c>
      <c r="I643" t="s">
        <v>30</v>
      </c>
      <c r="J643" t="s">
        <v>53</v>
      </c>
      <c r="K643" t="s">
        <v>167</v>
      </c>
      <c r="L643" t="s">
        <v>43</v>
      </c>
      <c r="M643">
        <v>38</v>
      </c>
      <c r="N643" t="s">
        <v>34</v>
      </c>
      <c r="O643">
        <v>1</v>
      </c>
      <c r="P643">
        <v>3</v>
      </c>
      <c r="Q643">
        <v>4</v>
      </c>
      <c r="R643">
        <v>5</v>
      </c>
      <c r="S643">
        <v>0</v>
      </c>
      <c r="T643">
        <v>0</v>
      </c>
      <c r="U643">
        <v>12</v>
      </c>
      <c r="V643" t="s">
        <v>3023</v>
      </c>
      <c r="W643" t="s">
        <v>45</v>
      </c>
      <c r="X643" t="s">
        <v>3024</v>
      </c>
    </row>
    <row r="644" spans="1:24" x14ac:dyDescent="0.25">
      <c r="A644" t="s">
        <v>3025</v>
      </c>
      <c r="B644" t="s">
        <v>3026</v>
      </c>
      <c r="C644" t="s">
        <v>73</v>
      </c>
      <c r="D644">
        <v>36</v>
      </c>
      <c r="E644" t="s">
        <v>128</v>
      </c>
      <c r="F644" t="s">
        <v>226</v>
      </c>
      <c r="G644" t="s">
        <v>3027</v>
      </c>
      <c r="H644">
        <v>83746</v>
      </c>
      <c r="I644" t="s">
        <v>52</v>
      </c>
      <c r="J644" t="s">
        <v>31</v>
      </c>
      <c r="K644" t="s">
        <v>167</v>
      </c>
      <c r="L644" t="s">
        <v>62</v>
      </c>
      <c r="M644">
        <v>16</v>
      </c>
      <c r="N644" t="s">
        <v>45</v>
      </c>
      <c r="O644">
        <v>4</v>
      </c>
      <c r="P644">
        <v>4</v>
      </c>
      <c r="Q644">
        <v>2</v>
      </c>
      <c r="R644">
        <v>3</v>
      </c>
      <c r="S644">
        <v>5</v>
      </c>
      <c r="T644">
        <v>5</v>
      </c>
      <c r="U644">
        <v>20</v>
      </c>
      <c r="V644" t="s">
        <v>3028</v>
      </c>
      <c r="W644" t="s">
        <v>34</v>
      </c>
    </row>
    <row r="645" spans="1:24" x14ac:dyDescent="0.25">
      <c r="A645" t="s">
        <v>3029</v>
      </c>
      <c r="B645" t="s">
        <v>3030</v>
      </c>
      <c r="C645" t="s">
        <v>81</v>
      </c>
      <c r="D645">
        <v>32</v>
      </c>
      <c r="E645" t="s">
        <v>27</v>
      </c>
      <c r="F645" t="s">
        <v>799</v>
      </c>
      <c r="G645" t="s">
        <v>3031</v>
      </c>
      <c r="H645" t="s">
        <v>3032</v>
      </c>
      <c r="I645" t="s">
        <v>42</v>
      </c>
      <c r="J645" t="s">
        <v>61</v>
      </c>
      <c r="K645" t="s">
        <v>167</v>
      </c>
      <c r="L645" t="s">
        <v>33</v>
      </c>
      <c r="M645">
        <v>29</v>
      </c>
      <c r="O645">
        <v>2</v>
      </c>
      <c r="P645">
        <v>1</v>
      </c>
      <c r="Q645">
        <v>2</v>
      </c>
      <c r="R645">
        <v>4</v>
      </c>
      <c r="S645">
        <v>2</v>
      </c>
      <c r="T645">
        <v>3</v>
      </c>
      <c r="U645">
        <v>17</v>
      </c>
      <c r="V645" t="s">
        <v>3033</v>
      </c>
      <c r="W645" t="s">
        <v>45</v>
      </c>
      <c r="X645" t="s">
        <v>3034</v>
      </c>
    </row>
    <row r="646" spans="1:24" x14ac:dyDescent="0.25">
      <c r="A646" t="s">
        <v>3035</v>
      </c>
      <c r="B646" t="s">
        <v>3036</v>
      </c>
      <c r="C646" t="s">
        <v>67</v>
      </c>
      <c r="D646">
        <v>46</v>
      </c>
      <c r="E646" t="s">
        <v>197</v>
      </c>
      <c r="F646" t="s">
        <v>433</v>
      </c>
      <c r="G646" t="s">
        <v>3037</v>
      </c>
      <c r="H646">
        <v>78625</v>
      </c>
      <c r="I646" t="s">
        <v>42</v>
      </c>
      <c r="J646" t="s">
        <v>143</v>
      </c>
      <c r="K646" t="s">
        <v>54</v>
      </c>
      <c r="L646" t="s">
        <v>33</v>
      </c>
      <c r="M646">
        <v>14</v>
      </c>
      <c r="N646" t="s">
        <v>45</v>
      </c>
      <c r="O646">
        <v>3</v>
      </c>
      <c r="P646">
        <v>4</v>
      </c>
      <c r="Q646">
        <v>4</v>
      </c>
      <c r="R646">
        <v>3</v>
      </c>
      <c r="S646">
        <v>6</v>
      </c>
      <c r="T646">
        <v>3</v>
      </c>
      <c r="U646">
        <v>14</v>
      </c>
      <c r="V646" t="s">
        <v>3038</v>
      </c>
      <c r="W646" t="s">
        <v>45</v>
      </c>
      <c r="X646" t="s">
        <v>3039</v>
      </c>
    </row>
    <row r="647" spans="1:24" x14ac:dyDescent="0.25">
      <c r="A647" t="s">
        <v>3040</v>
      </c>
      <c r="B647" t="s">
        <v>3041</v>
      </c>
      <c r="C647" t="s">
        <v>81</v>
      </c>
      <c r="D647">
        <v>39</v>
      </c>
      <c r="E647" t="s">
        <v>798</v>
      </c>
      <c r="F647" t="s">
        <v>75</v>
      </c>
      <c r="G647" t="s">
        <v>3042</v>
      </c>
      <c r="H647">
        <v>91950</v>
      </c>
      <c r="I647" t="s">
        <v>52</v>
      </c>
      <c r="J647" t="s">
        <v>143</v>
      </c>
      <c r="K647" t="s">
        <v>83</v>
      </c>
      <c r="L647" t="s">
        <v>43</v>
      </c>
      <c r="M647">
        <v>33</v>
      </c>
      <c r="N647" t="s">
        <v>45</v>
      </c>
      <c r="O647">
        <v>1</v>
      </c>
      <c r="P647">
        <v>3</v>
      </c>
      <c r="Q647">
        <v>1</v>
      </c>
      <c r="R647">
        <v>4</v>
      </c>
      <c r="S647">
        <v>2</v>
      </c>
      <c r="T647">
        <v>6</v>
      </c>
      <c r="U647">
        <v>23</v>
      </c>
      <c r="V647" t="s">
        <v>3043</v>
      </c>
      <c r="W647" t="s">
        <v>45</v>
      </c>
      <c r="X647" t="s">
        <v>3044</v>
      </c>
    </row>
    <row r="648" spans="1:24" x14ac:dyDescent="0.25">
      <c r="A648" t="s">
        <v>3045</v>
      </c>
      <c r="B648" t="s">
        <v>3046</v>
      </c>
      <c r="C648" t="s">
        <v>58</v>
      </c>
      <c r="D648">
        <v>42</v>
      </c>
      <c r="E648" t="s">
        <v>554</v>
      </c>
      <c r="F648" t="s">
        <v>261</v>
      </c>
      <c r="G648" t="s">
        <v>3047</v>
      </c>
      <c r="H648">
        <v>114274</v>
      </c>
      <c r="I648" t="s">
        <v>52</v>
      </c>
      <c r="J648" t="s">
        <v>31</v>
      </c>
      <c r="K648" t="s">
        <v>113</v>
      </c>
      <c r="L648" t="s">
        <v>62</v>
      </c>
      <c r="M648">
        <v>29</v>
      </c>
      <c r="N648" t="s">
        <v>34</v>
      </c>
      <c r="O648">
        <v>2</v>
      </c>
      <c r="P648">
        <v>4</v>
      </c>
      <c r="Q648">
        <v>2</v>
      </c>
      <c r="R648">
        <v>3</v>
      </c>
      <c r="S648">
        <v>3</v>
      </c>
      <c r="T648">
        <v>1</v>
      </c>
      <c r="V648" t="s">
        <v>3048</v>
      </c>
      <c r="W648" t="s">
        <v>45</v>
      </c>
      <c r="X648" t="s">
        <v>3049</v>
      </c>
    </row>
    <row r="649" spans="1:24" x14ac:dyDescent="0.25">
      <c r="A649" t="s">
        <v>3050</v>
      </c>
      <c r="B649" t="s">
        <v>3051</v>
      </c>
      <c r="C649" t="s">
        <v>26</v>
      </c>
      <c r="D649">
        <v>38</v>
      </c>
      <c r="E649" t="s">
        <v>27</v>
      </c>
      <c r="F649" t="s">
        <v>50</v>
      </c>
      <c r="G649" t="s">
        <v>3052</v>
      </c>
      <c r="H649">
        <v>76804</v>
      </c>
      <c r="I649" t="s">
        <v>42</v>
      </c>
      <c r="J649" t="s">
        <v>61</v>
      </c>
      <c r="K649" t="s">
        <v>106</v>
      </c>
      <c r="L649" t="s">
        <v>33</v>
      </c>
      <c r="M649">
        <v>12</v>
      </c>
      <c r="N649" t="s">
        <v>45</v>
      </c>
      <c r="O649">
        <v>1</v>
      </c>
      <c r="P649">
        <v>4</v>
      </c>
      <c r="Q649">
        <v>2</v>
      </c>
      <c r="R649">
        <v>5</v>
      </c>
      <c r="S649">
        <v>6</v>
      </c>
      <c r="T649">
        <v>8</v>
      </c>
      <c r="U649">
        <v>17</v>
      </c>
      <c r="V649" t="s">
        <v>3053</v>
      </c>
      <c r="W649" t="s">
        <v>45</v>
      </c>
      <c r="X649" t="s">
        <v>3054</v>
      </c>
    </row>
    <row r="650" spans="1:24" x14ac:dyDescent="0.25">
      <c r="A650" t="s">
        <v>3055</v>
      </c>
      <c r="B650" t="s">
        <v>3056</v>
      </c>
      <c r="C650" t="s">
        <v>26</v>
      </c>
      <c r="D650">
        <v>33</v>
      </c>
      <c r="E650" t="s">
        <v>128</v>
      </c>
      <c r="F650" t="s">
        <v>226</v>
      </c>
      <c r="G650" t="s">
        <v>3057</v>
      </c>
      <c r="H650">
        <v>44844</v>
      </c>
      <c r="I650" t="s">
        <v>42</v>
      </c>
      <c r="J650" t="s">
        <v>61</v>
      </c>
      <c r="K650" t="s">
        <v>77</v>
      </c>
      <c r="L650" t="s">
        <v>62</v>
      </c>
      <c r="M650">
        <v>16</v>
      </c>
      <c r="N650" t="s">
        <v>34</v>
      </c>
      <c r="O650">
        <v>4</v>
      </c>
      <c r="P650">
        <v>4</v>
      </c>
      <c r="Q650">
        <v>4</v>
      </c>
      <c r="R650">
        <v>2</v>
      </c>
      <c r="S650">
        <v>6</v>
      </c>
      <c r="T650">
        <v>8</v>
      </c>
      <c r="U650">
        <v>20</v>
      </c>
      <c r="V650" t="s">
        <v>3058</v>
      </c>
      <c r="W650" t="s">
        <v>34</v>
      </c>
    </row>
    <row r="651" spans="1:24" x14ac:dyDescent="0.25">
      <c r="A651" t="s">
        <v>3059</v>
      </c>
      <c r="B651" t="s">
        <v>3060</v>
      </c>
      <c r="C651" t="s">
        <v>49</v>
      </c>
      <c r="D651">
        <v>43</v>
      </c>
      <c r="E651" t="s">
        <v>88</v>
      </c>
      <c r="F651" t="s">
        <v>261</v>
      </c>
      <c r="G651" t="s">
        <v>3061</v>
      </c>
      <c r="H651" t="s">
        <v>3062</v>
      </c>
      <c r="I651" t="s">
        <v>52</v>
      </c>
      <c r="J651" t="s">
        <v>31</v>
      </c>
      <c r="K651" t="s">
        <v>167</v>
      </c>
      <c r="L651" t="s">
        <v>43</v>
      </c>
      <c r="M651">
        <v>1</v>
      </c>
      <c r="N651" t="s">
        <v>34</v>
      </c>
      <c r="P651">
        <v>2</v>
      </c>
      <c r="Q651">
        <v>1</v>
      </c>
      <c r="R651">
        <v>3</v>
      </c>
      <c r="S651">
        <v>1</v>
      </c>
      <c r="T651">
        <v>7</v>
      </c>
      <c r="U651">
        <v>11</v>
      </c>
      <c r="V651" t="s">
        <v>3063</v>
      </c>
      <c r="W651" t="s">
        <v>34</v>
      </c>
    </row>
    <row r="652" spans="1:24" x14ac:dyDescent="0.25">
      <c r="A652" t="s">
        <v>3064</v>
      </c>
      <c r="B652" t="s">
        <v>3065</v>
      </c>
      <c r="C652" t="s">
        <v>58</v>
      </c>
      <c r="D652">
        <v>46</v>
      </c>
      <c r="E652" t="s">
        <v>27</v>
      </c>
      <c r="F652" t="s">
        <v>59</v>
      </c>
      <c r="G652" t="s">
        <v>3066</v>
      </c>
      <c r="H652" t="s">
        <v>3067</v>
      </c>
      <c r="I652" t="s">
        <v>30</v>
      </c>
      <c r="J652" t="s">
        <v>61</v>
      </c>
      <c r="K652" t="s">
        <v>54</v>
      </c>
      <c r="L652" t="s">
        <v>43</v>
      </c>
      <c r="M652">
        <v>25</v>
      </c>
      <c r="N652" t="s">
        <v>34</v>
      </c>
      <c r="O652">
        <v>1</v>
      </c>
      <c r="P652">
        <v>4</v>
      </c>
      <c r="Q652">
        <v>2</v>
      </c>
      <c r="R652">
        <v>3</v>
      </c>
      <c r="S652">
        <v>6</v>
      </c>
      <c r="T652">
        <v>5</v>
      </c>
      <c r="U652">
        <v>12</v>
      </c>
      <c r="V652" t="s">
        <v>3068</v>
      </c>
      <c r="W652" t="s">
        <v>45</v>
      </c>
      <c r="X652" t="s">
        <v>3069</v>
      </c>
    </row>
    <row r="653" spans="1:24" x14ac:dyDescent="0.25">
      <c r="A653" t="s">
        <v>3070</v>
      </c>
      <c r="B653" t="s">
        <v>3071</v>
      </c>
      <c r="C653" t="s">
        <v>58</v>
      </c>
      <c r="D653">
        <v>34</v>
      </c>
      <c r="E653" t="s">
        <v>629</v>
      </c>
      <c r="F653" t="s">
        <v>271</v>
      </c>
      <c r="G653" t="s">
        <v>3072</v>
      </c>
      <c r="H653">
        <v>53973</v>
      </c>
      <c r="I653" t="s">
        <v>52</v>
      </c>
      <c r="J653" t="s">
        <v>61</v>
      </c>
      <c r="K653" t="s">
        <v>167</v>
      </c>
      <c r="L653" t="s">
        <v>43</v>
      </c>
      <c r="M653">
        <v>41</v>
      </c>
      <c r="N653" t="s">
        <v>45</v>
      </c>
      <c r="O653">
        <v>3</v>
      </c>
      <c r="P653">
        <v>4</v>
      </c>
      <c r="Q653">
        <v>4</v>
      </c>
      <c r="R653">
        <v>4</v>
      </c>
      <c r="S653">
        <v>4</v>
      </c>
      <c r="T653">
        <v>0</v>
      </c>
      <c r="U653">
        <v>16</v>
      </c>
      <c r="V653" t="s">
        <v>3073</v>
      </c>
      <c r="W653" t="s">
        <v>34</v>
      </c>
    </row>
    <row r="654" spans="1:24" x14ac:dyDescent="0.25">
      <c r="A654" t="s">
        <v>3074</v>
      </c>
      <c r="B654" t="s">
        <v>3075</v>
      </c>
      <c r="C654" t="s">
        <v>58</v>
      </c>
      <c r="D654">
        <v>37</v>
      </c>
      <c r="E654" t="s">
        <v>122</v>
      </c>
      <c r="F654" t="s">
        <v>1107</v>
      </c>
      <c r="G654" t="s">
        <v>3076</v>
      </c>
      <c r="H654">
        <v>83831</v>
      </c>
      <c r="I654" t="s">
        <v>30</v>
      </c>
      <c r="J654" t="s">
        <v>97</v>
      </c>
      <c r="K654" t="s">
        <v>77</v>
      </c>
      <c r="L654" t="s">
        <v>33</v>
      </c>
      <c r="M654">
        <v>31</v>
      </c>
      <c r="N654" t="s">
        <v>34</v>
      </c>
      <c r="O654">
        <v>4</v>
      </c>
      <c r="P654">
        <v>4</v>
      </c>
      <c r="Q654">
        <v>3</v>
      </c>
      <c r="R654">
        <v>2</v>
      </c>
      <c r="S654">
        <v>1</v>
      </c>
      <c r="T654">
        <v>6</v>
      </c>
      <c r="U654">
        <v>11</v>
      </c>
      <c r="V654" t="s">
        <v>3077</v>
      </c>
      <c r="W654" t="s">
        <v>34</v>
      </c>
    </row>
    <row r="655" spans="1:24" x14ac:dyDescent="0.25">
      <c r="A655" t="s">
        <v>3078</v>
      </c>
      <c r="B655" t="s">
        <v>3079</v>
      </c>
      <c r="C655" t="s">
        <v>102</v>
      </c>
      <c r="D655">
        <v>37</v>
      </c>
      <c r="E655" t="s">
        <v>128</v>
      </c>
      <c r="F655" t="s">
        <v>123</v>
      </c>
      <c r="G655" t="s">
        <v>3080</v>
      </c>
      <c r="H655">
        <v>86476</v>
      </c>
      <c r="I655" t="s">
        <v>52</v>
      </c>
      <c r="J655" t="s">
        <v>31</v>
      </c>
      <c r="K655" t="s">
        <v>106</v>
      </c>
      <c r="L655" t="s">
        <v>43</v>
      </c>
      <c r="M655">
        <v>43</v>
      </c>
      <c r="N655" t="s">
        <v>34</v>
      </c>
      <c r="O655">
        <v>1</v>
      </c>
      <c r="P655">
        <v>4</v>
      </c>
      <c r="Q655">
        <v>1</v>
      </c>
      <c r="R655">
        <v>5</v>
      </c>
      <c r="S655">
        <v>3</v>
      </c>
      <c r="T655">
        <v>6</v>
      </c>
      <c r="U655">
        <v>25</v>
      </c>
      <c r="V655" t="s">
        <v>1523</v>
      </c>
      <c r="W655" t="s">
        <v>34</v>
      </c>
    </row>
    <row r="656" spans="1:24" x14ac:dyDescent="0.25">
      <c r="A656" t="s">
        <v>3081</v>
      </c>
      <c r="B656" t="s">
        <v>3082</v>
      </c>
      <c r="C656" t="s">
        <v>58</v>
      </c>
      <c r="D656">
        <v>37</v>
      </c>
      <c r="E656" t="s">
        <v>128</v>
      </c>
      <c r="F656" t="s">
        <v>255</v>
      </c>
      <c r="G656" t="s">
        <v>3083</v>
      </c>
      <c r="H656" t="s">
        <v>3084</v>
      </c>
      <c r="I656" t="s">
        <v>42</v>
      </c>
      <c r="J656" t="s">
        <v>31</v>
      </c>
      <c r="K656" t="s">
        <v>106</v>
      </c>
      <c r="L656" t="s">
        <v>33</v>
      </c>
      <c r="M656">
        <v>18</v>
      </c>
      <c r="N656" t="s">
        <v>45</v>
      </c>
      <c r="O656">
        <v>1</v>
      </c>
      <c r="P656">
        <v>3</v>
      </c>
      <c r="Q656">
        <v>4</v>
      </c>
      <c r="R656">
        <v>2</v>
      </c>
      <c r="S656">
        <v>0</v>
      </c>
      <c r="T656">
        <v>2</v>
      </c>
      <c r="U656">
        <v>25</v>
      </c>
      <c r="V656" t="s">
        <v>3085</v>
      </c>
      <c r="W656" t="s">
        <v>34</v>
      </c>
    </row>
    <row r="657" spans="1:24" x14ac:dyDescent="0.25">
      <c r="A657" t="s">
        <v>3086</v>
      </c>
      <c r="B657" t="s">
        <v>3087</v>
      </c>
      <c r="C657" t="s">
        <v>102</v>
      </c>
      <c r="D657">
        <v>44</v>
      </c>
      <c r="E657" t="s">
        <v>197</v>
      </c>
      <c r="F657" t="s">
        <v>573</v>
      </c>
      <c r="G657" t="s">
        <v>3088</v>
      </c>
      <c r="H657">
        <v>74073</v>
      </c>
      <c r="I657" t="s">
        <v>42</v>
      </c>
      <c r="J657" t="s">
        <v>61</v>
      </c>
      <c r="K657" t="s">
        <v>167</v>
      </c>
      <c r="L657" t="s">
        <v>43</v>
      </c>
      <c r="M657">
        <v>32</v>
      </c>
      <c r="N657" t="s">
        <v>34</v>
      </c>
      <c r="O657">
        <v>1</v>
      </c>
      <c r="P657">
        <v>2</v>
      </c>
      <c r="Q657">
        <v>1</v>
      </c>
      <c r="R657">
        <v>3</v>
      </c>
      <c r="S657">
        <v>3</v>
      </c>
      <c r="T657">
        <v>5</v>
      </c>
      <c r="U657">
        <v>19</v>
      </c>
      <c r="V657" t="s">
        <v>3089</v>
      </c>
      <c r="W657" t="s">
        <v>45</v>
      </c>
      <c r="X657" t="s">
        <v>3090</v>
      </c>
    </row>
    <row r="658" spans="1:24" x14ac:dyDescent="0.25">
      <c r="A658" t="s">
        <v>3091</v>
      </c>
      <c r="B658" t="s">
        <v>3092</v>
      </c>
      <c r="C658" t="s">
        <v>58</v>
      </c>
      <c r="D658">
        <v>34</v>
      </c>
      <c r="E658" t="s">
        <v>1092</v>
      </c>
      <c r="F658" t="s">
        <v>945</v>
      </c>
      <c r="G658" t="s">
        <v>3093</v>
      </c>
      <c r="H658">
        <v>40891</v>
      </c>
      <c r="I658" t="s">
        <v>42</v>
      </c>
      <c r="J658" t="s">
        <v>143</v>
      </c>
      <c r="K658" t="s">
        <v>131</v>
      </c>
      <c r="L658" t="s">
        <v>33</v>
      </c>
      <c r="M658">
        <v>36</v>
      </c>
      <c r="N658" t="s">
        <v>34</v>
      </c>
      <c r="O658">
        <v>3</v>
      </c>
      <c r="P658">
        <v>2</v>
      </c>
      <c r="Q658">
        <v>4</v>
      </c>
      <c r="R658">
        <v>3</v>
      </c>
      <c r="S658">
        <v>5</v>
      </c>
      <c r="T658">
        <v>6</v>
      </c>
      <c r="U658">
        <v>14</v>
      </c>
      <c r="W658" t="s">
        <v>34</v>
      </c>
    </row>
    <row r="659" spans="1:24" x14ac:dyDescent="0.25">
      <c r="A659" t="s">
        <v>3094</v>
      </c>
      <c r="B659" t="s">
        <v>3095</v>
      </c>
      <c r="C659" t="s">
        <v>102</v>
      </c>
      <c r="D659">
        <v>43</v>
      </c>
      <c r="E659" t="s">
        <v>88</v>
      </c>
      <c r="F659" t="s">
        <v>261</v>
      </c>
      <c r="G659" t="s">
        <v>3096</v>
      </c>
      <c r="H659" t="s">
        <v>3097</v>
      </c>
      <c r="I659" t="s">
        <v>52</v>
      </c>
      <c r="J659" t="s">
        <v>97</v>
      </c>
      <c r="K659" t="s">
        <v>32</v>
      </c>
      <c r="L659" t="s">
        <v>62</v>
      </c>
      <c r="M659">
        <v>10</v>
      </c>
      <c r="N659" t="s">
        <v>34</v>
      </c>
      <c r="O659">
        <v>1</v>
      </c>
      <c r="P659">
        <v>1</v>
      </c>
      <c r="Q659">
        <v>2</v>
      </c>
      <c r="R659">
        <v>4</v>
      </c>
      <c r="S659">
        <v>2</v>
      </c>
      <c r="T659">
        <v>7</v>
      </c>
      <c r="U659">
        <v>21</v>
      </c>
      <c r="W659" t="s">
        <v>34</v>
      </c>
    </row>
    <row r="660" spans="1:24" x14ac:dyDescent="0.25">
      <c r="A660" t="s">
        <v>3098</v>
      </c>
      <c r="B660" t="s">
        <v>3099</v>
      </c>
      <c r="C660" t="s">
        <v>73</v>
      </c>
      <c r="D660">
        <v>32</v>
      </c>
      <c r="E660" t="s">
        <v>554</v>
      </c>
      <c r="F660" t="s">
        <v>483</v>
      </c>
      <c r="G660" t="s">
        <v>3100</v>
      </c>
      <c r="H660" t="s">
        <v>3101</v>
      </c>
      <c r="I660" t="s">
        <v>52</v>
      </c>
      <c r="J660" t="s">
        <v>97</v>
      </c>
      <c r="K660" t="s">
        <v>98</v>
      </c>
      <c r="L660" t="s">
        <v>33</v>
      </c>
      <c r="M660">
        <v>16</v>
      </c>
      <c r="N660" t="s">
        <v>45</v>
      </c>
      <c r="O660">
        <v>1</v>
      </c>
      <c r="P660">
        <v>3</v>
      </c>
      <c r="Q660">
        <v>3</v>
      </c>
      <c r="R660">
        <v>3</v>
      </c>
      <c r="S660">
        <v>1</v>
      </c>
      <c r="T660">
        <v>7</v>
      </c>
      <c r="U660">
        <v>19</v>
      </c>
      <c r="V660" t="s">
        <v>3102</v>
      </c>
      <c r="W660" t="s">
        <v>45</v>
      </c>
      <c r="X660" t="s">
        <v>3103</v>
      </c>
    </row>
    <row r="661" spans="1:24" x14ac:dyDescent="0.25">
      <c r="A661" t="s">
        <v>3104</v>
      </c>
      <c r="B661" t="s">
        <v>3105</v>
      </c>
      <c r="C661" t="s">
        <v>26</v>
      </c>
      <c r="D661">
        <v>35</v>
      </c>
      <c r="F661" t="s">
        <v>123</v>
      </c>
      <c r="G661" t="s">
        <v>1033</v>
      </c>
      <c r="H661" t="s">
        <v>3106</v>
      </c>
      <c r="I661" t="s">
        <v>52</v>
      </c>
      <c r="J661" t="s">
        <v>61</v>
      </c>
      <c r="K661" t="s">
        <v>77</v>
      </c>
      <c r="L661" t="s">
        <v>43</v>
      </c>
      <c r="M661">
        <v>41</v>
      </c>
      <c r="N661" t="s">
        <v>34</v>
      </c>
      <c r="O661">
        <v>2</v>
      </c>
      <c r="P661">
        <v>3</v>
      </c>
      <c r="Q661">
        <v>4</v>
      </c>
      <c r="R661">
        <v>3</v>
      </c>
      <c r="S661">
        <v>3</v>
      </c>
      <c r="T661">
        <v>0</v>
      </c>
      <c r="U661">
        <v>21</v>
      </c>
      <c r="V661" t="s">
        <v>3107</v>
      </c>
      <c r="W661" t="s">
        <v>34</v>
      </c>
    </row>
    <row r="662" spans="1:24" x14ac:dyDescent="0.25">
      <c r="A662" t="s">
        <v>3108</v>
      </c>
      <c r="B662" t="s">
        <v>3109</v>
      </c>
      <c r="C662" t="s">
        <v>73</v>
      </c>
      <c r="D662">
        <v>25</v>
      </c>
      <c r="F662" t="s">
        <v>50</v>
      </c>
      <c r="G662" t="s">
        <v>3110</v>
      </c>
      <c r="H662" t="s">
        <v>3111</v>
      </c>
      <c r="I662" t="s">
        <v>30</v>
      </c>
      <c r="J662" t="s">
        <v>53</v>
      </c>
      <c r="K662" t="s">
        <v>32</v>
      </c>
      <c r="L662" t="s">
        <v>62</v>
      </c>
      <c r="M662">
        <v>33</v>
      </c>
      <c r="N662" t="s">
        <v>45</v>
      </c>
      <c r="O662">
        <v>2</v>
      </c>
      <c r="P662">
        <v>2</v>
      </c>
      <c r="Q662">
        <v>4</v>
      </c>
      <c r="R662">
        <v>4</v>
      </c>
      <c r="S662">
        <v>2</v>
      </c>
      <c r="T662">
        <v>7</v>
      </c>
      <c r="U662">
        <v>19</v>
      </c>
      <c r="V662" t="s">
        <v>3112</v>
      </c>
      <c r="W662" t="s">
        <v>45</v>
      </c>
      <c r="X662" t="s">
        <v>3113</v>
      </c>
    </row>
    <row r="663" spans="1:24" x14ac:dyDescent="0.25">
      <c r="A663" t="s">
        <v>3114</v>
      </c>
      <c r="B663" t="s">
        <v>3115</v>
      </c>
      <c r="C663" t="s">
        <v>26</v>
      </c>
      <c r="D663">
        <v>26</v>
      </c>
      <c r="E663" t="s">
        <v>94</v>
      </c>
      <c r="F663" t="s">
        <v>306</v>
      </c>
      <c r="G663" t="s">
        <v>3116</v>
      </c>
      <c r="H663">
        <v>72986</v>
      </c>
      <c r="J663" t="s">
        <v>61</v>
      </c>
      <c r="K663" t="s">
        <v>113</v>
      </c>
      <c r="L663" t="s">
        <v>33</v>
      </c>
      <c r="M663">
        <v>14</v>
      </c>
      <c r="O663">
        <v>3</v>
      </c>
      <c r="P663">
        <v>1</v>
      </c>
      <c r="Q663">
        <v>2</v>
      </c>
      <c r="R663">
        <v>4</v>
      </c>
      <c r="S663">
        <v>4</v>
      </c>
      <c r="T663">
        <v>5</v>
      </c>
      <c r="U663">
        <v>16</v>
      </c>
      <c r="V663" t="s">
        <v>3117</v>
      </c>
      <c r="W663" t="s">
        <v>34</v>
      </c>
    </row>
    <row r="664" spans="1:24" x14ac:dyDescent="0.25">
      <c r="A664" t="s">
        <v>3118</v>
      </c>
      <c r="B664" t="s">
        <v>3119</v>
      </c>
      <c r="C664" t="s">
        <v>102</v>
      </c>
      <c r="D664">
        <v>22</v>
      </c>
      <c r="E664" t="s">
        <v>27</v>
      </c>
      <c r="F664" t="s">
        <v>50</v>
      </c>
      <c r="G664" t="s">
        <v>3120</v>
      </c>
      <c r="H664">
        <v>116620</v>
      </c>
      <c r="I664" t="s">
        <v>30</v>
      </c>
      <c r="J664" t="s">
        <v>143</v>
      </c>
      <c r="K664" t="s">
        <v>113</v>
      </c>
      <c r="L664" t="s">
        <v>43</v>
      </c>
      <c r="M664">
        <v>43</v>
      </c>
      <c r="N664" t="s">
        <v>34</v>
      </c>
      <c r="O664">
        <v>3</v>
      </c>
      <c r="Q664">
        <v>3</v>
      </c>
      <c r="R664">
        <v>2</v>
      </c>
      <c r="S664">
        <v>4</v>
      </c>
      <c r="T664">
        <v>2</v>
      </c>
      <c r="U664">
        <v>19</v>
      </c>
      <c r="V664" t="s">
        <v>3121</v>
      </c>
      <c r="W664" t="s">
        <v>34</v>
      </c>
    </row>
    <row r="665" spans="1:24" x14ac:dyDescent="0.25">
      <c r="A665" t="s">
        <v>1576</v>
      </c>
      <c r="B665" t="s">
        <v>1577</v>
      </c>
      <c r="C665" t="s">
        <v>73</v>
      </c>
      <c r="D665">
        <v>27</v>
      </c>
      <c r="E665" t="s">
        <v>1669</v>
      </c>
      <c r="F665" t="s">
        <v>178</v>
      </c>
      <c r="G665" t="s">
        <v>1578</v>
      </c>
      <c r="H665">
        <v>83324</v>
      </c>
      <c r="I665" t="s">
        <v>52</v>
      </c>
      <c r="J665" t="s">
        <v>61</v>
      </c>
      <c r="K665" t="s">
        <v>106</v>
      </c>
      <c r="M665">
        <v>21</v>
      </c>
      <c r="N665" t="s">
        <v>34</v>
      </c>
      <c r="O665">
        <v>4</v>
      </c>
      <c r="P665">
        <v>4</v>
      </c>
      <c r="Q665">
        <v>1</v>
      </c>
      <c r="R665">
        <v>4</v>
      </c>
      <c r="S665">
        <v>2</v>
      </c>
      <c r="T665">
        <v>5</v>
      </c>
      <c r="U665">
        <v>15</v>
      </c>
      <c r="V665" t="s">
        <v>1579</v>
      </c>
      <c r="W665" t="s">
        <v>34</v>
      </c>
    </row>
    <row r="666" spans="1:24" x14ac:dyDescent="0.25">
      <c r="A666" t="s">
        <v>3122</v>
      </c>
      <c r="B666" t="s">
        <v>3123</v>
      </c>
      <c r="D666">
        <v>50</v>
      </c>
      <c r="E666" t="s">
        <v>457</v>
      </c>
      <c r="F666" t="s">
        <v>50</v>
      </c>
      <c r="G666" t="s">
        <v>3124</v>
      </c>
      <c r="H666">
        <v>67734</v>
      </c>
      <c r="I666" t="s">
        <v>52</v>
      </c>
      <c r="J666" t="s">
        <v>143</v>
      </c>
      <c r="K666" t="s">
        <v>32</v>
      </c>
      <c r="L666" t="s">
        <v>62</v>
      </c>
      <c r="M666">
        <v>9</v>
      </c>
      <c r="N666" t="s">
        <v>45</v>
      </c>
      <c r="O666">
        <v>3</v>
      </c>
      <c r="P666">
        <v>4</v>
      </c>
      <c r="Q666">
        <v>2</v>
      </c>
      <c r="R666">
        <v>3</v>
      </c>
      <c r="S666">
        <v>4</v>
      </c>
      <c r="T666">
        <v>8</v>
      </c>
      <c r="U666">
        <v>17</v>
      </c>
      <c r="V666" t="s">
        <v>3125</v>
      </c>
      <c r="W666" t="s">
        <v>34</v>
      </c>
    </row>
    <row r="667" spans="1:24" x14ac:dyDescent="0.25">
      <c r="A667" t="s">
        <v>3126</v>
      </c>
      <c r="B667" t="s">
        <v>3127</v>
      </c>
      <c r="C667" t="s">
        <v>67</v>
      </c>
      <c r="D667">
        <v>34</v>
      </c>
      <c r="E667" t="s">
        <v>27</v>
      </c>
      <c r="F667" t="s">
        <v>75</v>
      </c>
      <c r="G667" t="s">
        <v>3128</v>
      </c>
      <c r="H667">
        <v>72910</v>
      </c>
      <c r="I667" t="s">
        <v>52</v>
      </c>
      <c r="J667" t="s">
        <v>61</v>
      </c>
      <c r="K667" t="s">
        <v>32</v>
      </c>
      <c r="L667" t="s">
        <v>33</v>
      </c>
      <c r="M667">
        <v>21</v>
      </c>
      <c r="N667" t="s">
        <v>34</v>
      </c>
      <c r="O667">
        <v>1</v>
      </c>
      <c r="P667">
        <v>3</v>
      </c>
      <c r="Q667">
        <v>2</v>
      </c>
      <c r="R667">
        <v>2</v>
      </c>
      <c r="S667">
        <v>5</v>
      </c>
      <c r="T667">
        <v>6</v>
      </c>
      <c r="U667">
        <v>15</v>
      </c>
      <c r="V667" t="s">
        <v>3129</v>
      </c>
      <c r="W667" t="s">
        <v>45</v>
      </c>
      <c r="X667" t="s">
        <v>3130</v>
      </c>
    </row>
    <row r="668" spans="1:24" x14ac:dyDescent="0.25">
      <c r="A668" t="s">
        <v>3131</v>
      </c>
      <c r="B668" t="s">
        <v>3132</v>
      </c>
      <c r="C668" t="s">
        <v>58</v>
      </c>
      <c r="D668">
        <v>26</v>
      </c>
      <c r="F668" t="s">
        <v>188</v>
      </c>
      <c r="G668" t="s">
        <v>3133</v>
      </c>
      <c r="H668">
        <v>55570</v>
      </c>
      <c r="J668" t="s">
        <v>61</v>
      </c>
      <c r="K668" t="s">
        <v>200</v>
      </c>
      <c r="L668" t="s">
        <v>33</v>
      </c>
      <c r="M668">
        <v>32</v>
      </c>
      <c r="N668" t="s">
        <v>34</v>
      </c>
      <c r="O668">
        <v>1</v>
      </c>
      <c r="P668">
        <v>4</v>
      </c>
      <c r="Q668">
        <v>1</v>
      </c>
      <c r="R668">
        <v>4</v>
      </c>
      <c r="S668">
        <v>6</v>
      </c>
      <c r="T668">
        <v>0</v>
      </c>
      <c r="U668">
        <v>16</v>
      </c>
      <c r="V668" t="s">
        <v>3134</v>
      </c>
      <c r="W668" t="s">
        <v>34</v>
      </c>
    </row>
    <row r="669" spans="1:24" x14ac:dyDescent="0.25">
      <c r="A669" t="s">
        <v>3135</v>
      </c>
      <c r="B669" t="s">
        <v>248</v>
      </c>
      <c r="C669" t="s">
        <v>67</v>
      </c>
      <c r="D669">
        <v>32</v>
      </c>
      <c r="E669" t="s">
        <v>128</v>
      </c>
      <c r="F669" t="s">
        <v>255</v>
      </c>
      <c r="G669" t="s">
        <v>3136</v>
      </c>
      <c r="H669">
        <v>58163</v>
      </c>
      <c r="I669" t="s">
        <v>30</v>
      </c>
      <c r="J669" t="s">
        <v>61</v>
      </c>
      <c r="K669" t="s">
        <v>54</v>
      </c>
      <c r="L669" t="s">
        <v>43</v>
      </c>
      <c r="M669">
        <v>23</v>
      </c>
      <c r="N669" t="s">
        <v>34</v>
      </c>
      <c r="O669">
        <v>4</v>
      </c>
      <c r="P669">
        <v>2</v>
      </c>
      <c r="Q669">
        <v>3</v>
      </c>
      <c r="R669">
        <v>3</v>
      </c>
      <c r="S669">
        <v>5</v>
      </c>
      <c r="T669">
        <v>6</v>
      </c>
      <c r="U669">
        <v>11</v>
      </c>
      <c r="V669" t="s">
        <v>3137</v>
      </c>
      <c r="W669" t="s">
        <v>34</v>
      </c>
    </row>
    <row r="670" spans="1:24" x14ac:dyDescent="0.25">
      <c r="A670" t="s">
        <v>3138</v>
      </c>
      <c r="B670" t="s">
        <v>3139</v>
      </c>
      <c r="C670" t="s">
        <v>26</v>
      </c>
      <c r="D670">
        <v>43</v>
      </c>
      <c r="E670" t="s">
        <v>322</v>
      </c>
      <c r="F670" t="s">
        <v>235</v>
      </c>
      <c r="G670" t="s">
        <v>559</v>
      </c>
      <c r="H670">
        <v>84725</v>
      </c>
      <c r="I670" t="s">
        <v>30</v>
      </c>
      <c r="J670" t="s">
        <v>61</v>
      </c>
      <c r="K670" t="s">
        <v>83</v>
      </c>
      <c r="L670" t="s">
        <v>43</v>
      </c>
      <c r="M670">
        <v>19</v>
      </c>
      <c r="N670" t="s">
        <v>34</v>
      </c>
      <c r="O670">
        <v>4</v>
      </c>
      <c r="P670">
        <v>2</v>
      </c>
      <c r="R670">
        <v>3</v>
      </c>
      <c r="T670">
        <v>5</v>
      </c>
      <c r="U670">
        <v>23</v>
      </c>
      <c r="V670" t="s">
        <v>3140</v>
      </c>
      <c r="W670" t="s">
        <v>34</v>
      </c>
    </row>
    <row r="671" spans="1:24" x14ac:dyDescent="0.25">
      <c r="A671" t="s">
        <v>3141</v>
      </c>
      <c r="B671" t="s">
        <v>3142</v>
      </c>
      <c r="C671" t="s">
        <v>26</v>
      </c>
      <c r="D671">
        <v>41</v>
      </c>
      <c r="E671" t="s">
        <v>27</v>
      </c>
      <c r="F671" t="s">
        <v>240</v>
      </c>
      <c r="G671" t="s">
        <v>3143</v>
      </c>
      <c r="H671">
        <v>122599</v>
      </c>
      <c r="I671" t="s">
        <v>42</v>
      </c>
      <c r="J671" t="s">
        <v>31</v>
      </c>
      <c r="K671" t="s">
        <v>113</v>
      </c>
      <c r="L671" t="s">
        <v>62</v>
      </c>
      <c r="M671">
        <v>45</v>
      </c>
      <c r="N671" t="s">
        <v>34</v>
      </c>
      <c r="O671">
        <v>3</v>
      </c>
      <c r="P671">
        <v>2</v>
      </c>
      <c r="Q671">
        <v>4</v>
      </c>
      <c r="R671">
        <v>3</v>
      </c>
      <c r="S671">
        <v>6</v>
      </c>
      <c r="T671">
        <v>0</v>
      </c>
      <c r="U671">
        <v>15</v>
      </c>
      <c r="W671" t="s">
        <v>34</v>
      </c>
    </row>
    <row r="672" spans="1:24" x14ac:dyDescent="0.25">
      <c r="A672" t="s">
        <v>3144</v>
      </c>
      <c r="B672" t="s">
        <v>3145</v>
      </c>
      <c r="C672" t="s">
        <v>73</v>
      </c>
      <c r="D672">
        <v>29</v>
      </c>
      <c r="E672" t="s">
        <v>457</v>
      </c>
      <c r="F672" t="s">
        <v>50</v>
      </c>
      <c r="G672" t="s">
        <v>3146</v>
      </c>
      <c r="H672">
        <v>98250</v>
      </c>
      <c r="I672" t="s">
        <v>42</v>
      </c>
      <c r="J672" t="s">
        <v>61</v>
      </c>
      <c r="K672" t="s">
        <v>98</v>
      </c>
      <c r="L672" t="s">
        <v>33</v>
      </c>
      <c r="M672">
        <v>30</v>
      </c>
      <c r="N672" t="s">
        <v>45</v>
      </c>
      <c r="O672">
        <v>4</v>
      </c>
      <c r="P672">
        <v>1</v>
      </c>
      <c r="Q672">
        <v>3</v>
      </c>
      <c r="R672">
        <v>4</v>
      </c>
      <c r="S672">
        <v>6</v>
      </c>
      <c r="U672">
        <v>23</v>
      </c>
      <c r="V672" t="s">
        <v>3147</v>
      </c>
      <c r="W672" t="s">
        <v>34</v>
      </c>
    </row>
    <row r="673" spans="1:24" x14ac:dyDescent="0.25">
      <c r="A673" t="s">
        <v>3148</v>
      </c>
      <c r="C673" t="s">
        <v>67</v>
      </c>
      <c r="D673">
        <v>42</v>
      </c>
      <c r="E673" t="s">
        <v>94</v>
      </c>
      <c r="F673" t="s">
        <v>362</v>
      </c>
      <c r="G673" t="s">
        <v>3149</v>
      </c>
      <c r="H673">
        <v>110607</v>
      </c>
      <c r="I673" t="s">
        <v>30</v>
      </c>
      <c r="J673" t="s">
        <v>143</v>
      </c>
      <c r="K673" t="s">
        <v>83</v>
      </c>
      <c r="L673" t="s">
        <v>62</v>
      </c>
      <c r="M673">
        <v>19</v>
      </c>
      <c r="N673" t="s">
        <v>34</v>
      </c>
      <c r="O673">
        <v>4</v>
      </c>
      <c r="P673">
        <v>4</v>
      </c>
      <c r="Q673">
        <v>1</v>
      </c>
      <c r="R673">
        <v>3</v>
      </c>
      <c r="T673">
        <v>2</v>
      </c>
      <c r="U673">
        <v>23</v>
      </c>
      <c r="V673" t="s">
        <v>3150</v>
      </c>
      <c r="W673" t="s">
        <v>34</v>
      </c>
    </row>
    <row r="674" spans="1:24" x14ac:dyDescent="0.25">
      <c r="A674" t="s">
        <v>3151</v>
      </c>
      <c r="B674" t="s">
        <v>3152</v>
      </c>
      <c r="C674" t="s">
        <v>58</v>
      </c>
      <c r="D674">
        <v>46</v>
      </c>
      <c r="E674" t="s">
        <v>74</v>
      </c>
      <c r="F674" t="s">
        <v>75</v>
      </c>
      <c r="G674" t="s">
        <v>3153</v>
      </c>
      <c r="H674">
        <v>73921</v>
      </c>
      <c r="I674" t="s">
        <v>52</v>
      </c>
      <c r="J674" t="s">
        <v>53</v>
      </c>
      <c r="K674" t="s">
        <v>113</v>
      </c>
      <c r="L674" t="s">
        <v>62</v>
      </c>
      <c r="M674">
        <v>31</v>
      </c>
      <c r="P674">
        <v>1</v>
      </c>
      <c r="Q674">
        <v>2</v>
      </c>
      <c r="R674">
        <v>2</v>
      </c>
      <c r="S674">
        <v>5</v>
      </c>
      <c r="T674">
        <v>0</v>
      </c>
      <c r="U674">
        <v>22</v>
      </c>
      <c r="V674" t="s">
        <v>3154</v>
      </c>
      <c r="W674" t="s">
        <v>45</v>
      </c>
      <c r="X674" t="s">
        <v>3155</v>
      </c>
    </row>
    <row r="675" spans="1:24" x14ac:dyDescent="0.25">
      <c r="A675" t="s">
        <v>3156</v>
      </c>
      <c r="B675" t="s">
        <v>3157</v>
      </c>
      <c r="C675" t="s">
        <v>67</v>
      </c>
      <c r="D675">
        <v>32</v>
      </c>
      <c r="E675" t="s">
        <v>579</v>
      </c>
      <c r="F675" t="s">
        <v>214</v>
      </c>
      <c r="G675" t="s">
        <v>3158</v>
      </c>
      <c r="H675">
        <v>57613</v>
      </c>
      <c r="I675" t="s">
        <v>42</v>
      </c>
      <c r="J675" t="s">
        <v>31</v>
      </c>
      <c r="K675" t="s">
        <v>167</v>
      </c>
      <c r="L675" t="s">
        <v>62</v>
      </c>
      <c r="M675">
        <v>24</v>
      </c>
      <c r="N675" t="s">
        <v>34</v>
      </c>
      <c r="O675">
        <v>3</v>
      </c>
      <c r="P675">
        <v>4</v>
      </c>
      <c r="Q675">
        <v>4</v>
      </c>
      <c r="R675">
        <v>3</v>
      </c>
      <c r="T675">
        <v>0</v>
      </c>
      <c r="U675">
        <v>18</v>
      </c>
      <c r="V675" t="s">
        <v>3159</v>
      </c>
      <c r="W675" t="s">
        <v>34</v>
      </c>
    </row>
    <row r="676" spans="1:24" x14ac:dyDescent="0.25">
      <c r="A676" t="s">
        <v>3160</v>
      </c>
      <c r="B676" t="s">
        <v>3161</v>
      </c>
      <c r="C676" t="s">
        <v>81</v>
      </c>
      <c r="D676">
        <v>41</v>
      </c>
      <c r="E676" t="s">
        <v>38</v>
      </c>
      <c r="F676" t="s">
        <v>3162</v>
      </c>
      <c r="G676" t="s">
        <v>3163</v>
      </c>
      <c r="H676" t="s">
        <v>3164</v>
      </c>
      <c r="I676" t="s">
        <v>52</v>
      </c>
      <c r="J676" t="s">
        <v>31</v>
      </c>
      <c r="K676" t="s">
        <v>77</v>
      </c>
      <c r="L676" t="s">
        <v>62</v>
      </c>
      <c r="M676">
        <v>29</v>
      </c>
      <c r="O676">
        <v>3</v>
      </c>
      <c r="Q676">
        <v>3</v>
      </c>
      <c r="R676">
        <v>3</v>
      </c>
      <c r="S676">
        <v>6</v>
      </c>
      <c r="T676">
        <v>7</v>
      </c>
      <c r="U676">
        <v>15</v>
      </c>
      <c r="V676" t="s">
        <v>3165</v>
      </c>
      <c r="W676" t="s">
        <v>34</v>
      </c>
    </row>
    <row r="677" spans="1:24" x14ac:dyDescent="0.25">
      <c r="A677" t="s">
        <v>3166</v>
      </c>
      <c r="B677" t="s">
        <v>3167</v>
      </c>
      <c r="C677" t="s">
        <v>67</v>
      </c>
      <c r="D677">
        <v>34</v>
      </c>
      <c r="E677" t="s">
        <v>27</v>
      </c>
      <c r="F677" t="s">
        <v>188</v>
      </c>
      <c r="G677" t="s">
        <v>3168</v>
      </c>
      <c r="H677" t="s">
        <v>3169</v>
      </c>
      <c r="I677" t="s">
        <v>30</v>
      </c>
      <c r="J677" t="s">
        <v>61</v>
      </c>
      <c r="K677" t="s">
        <v>32</v>
      </c>
      <c r="L677" t="s">
        <v>62</v>
      </c>
      <c r="M677">
        <v>19</v>
      </c>
      <c r="N677" t="s">
        <v>45</v>
      </c>
      <c r="O677">
        <v>1</v>
      </c>
      <c r="P677">
        <v>1</v>
      </c>
      <c r="Q677">
        <v>4</v>
      </c>
      <c r="R677">
        <v>4</v>
      </c>
      <c r="S677">
        <v>4</v>
      </c>
      <c r="T677">
        <v>0</v>
      </c>
      <c r="U677">
        <v>21</v>
      </c>
      <c r="V677" t="s">
        <v>3170</v>
      </c>
      <c r="W677" t="s">
        <v>34</v>
      </c>
    </row>
    <row r="678" spans="1:24" x14ac:dyDescent="0.25">
      <c r="A678" t="s">
        <v>3171</v>
      </c>
      <c r="B678" t="s">
        <v>3172</v>
      </c>
      <c r="C678" t="s">
        <v>58</v>
      </c>
      <c r="D678">
        <v>24</v>
      </c>
      <c r="E678" t="s">
        <v>27</v>
      </c>
      <c r="F678" t="s">
        <v>188</v>
      </c>
      <c r="G678" t="s">
        <v>3173</v>
      </c>
      <c r="H678" t="s">
        <v>3174</v>
      </c>
      <c r="I678" t="s">
        <v>52</v>
      </c>
      <c r="J678" t="s">
        <v>143</v>
      </c>
      <c r="K678" t="s">
        <v>106</v>
      </c>
      <c r="L678" t="s">
        <v>33</v>
      </c>
      <c r="M678">
        <v>44</v>
      </c>
      <c r="N678" t="s">
        <v>34</v>
      </c>
      <c r="O678">
        <v>4</v>
      </c>
      <c r="P678">
        <v>2</v>
      </c>
      <c r="Q678">
        <v>2</v>
      </c>
      <c r="R678">
        <v>3</v>
      </c>
      <c r="T678">
        <v>7</v>
      </c>
      <c r="U678">
        <v>23</v>
      </c>
      <c r="V678" t="s">
        <v>3175</v>
      </c>
      <c r="W678" t="s">
        <v>34</v>
      </c>
    </row>
    <row r="679" spans="1:24" x14ac:dyDescent="0.25">
      <c r="A679" t="s">
        <v>3176</v>
      </c>
      <c r="B679" t="s">
        <v>3177</v>
      </c>
      <c r="C679" t="s">
        <v>49</v>
      </c>
      <c r="D679">
        <v>33</v>
      </c>
      <c r="E679" t="s">
        <v>38</v>
      </c>
      <c r="F679" t="s">
        <v>333</v>
      </c>
      <c r="G679" t="s">
        <v>3178</v>
      </c>
      <c r="H679">
        <v>43653</v>
      </c>
      <c r="I679" t="s">
        <v>52</v>
      </c>
      <c r="J679" t="s">
        <v>61</v>
      </c>
      <c r="K679" t="s">
        <v>32</v>
      </c>
      <c r="L679" t="s">
        <v>33</v>
      </c>
      <c r="M679">
        <v>14</v>
      </c>
      <c r="N679" t="s">
        <v>45</v>
      </c>
      <c r="O679">
        <v>3</v>
      </c>
      <c r="P679">
        <v>2</v>
      </c>
      <c r="Q679">
        <v>3</v>
      </c>
      <c r="R679">
        <v>3</v>
      </c>
      <c r="S679">
        <v>4</v>
      </c>
      <c r="T679">
        <v>2</v>
      </c>
      <c r="U679">
        <v>19</v>
      </c>
      <c r="V679" t="s">
        <v>3179</v>
      </c>
      <c r="W679" t="s">
        <v>34</v>
      </c>
    </row>
    <row r="680" spans="1:24" x14ac:dyDescent="0.25">
      <c r="A680" t="s">
        <v>3180</v>
      </c>
      <c r="B680" t="s">
        <v>3181</v>
      </c>
      <c r="C680" t="s">
        <v>102</v>
      </c>
      <c r="D680">
        <v>44</v>
      </c>
      <c r="E680" t="s">
        <v>88</v>
      </c>
      <c r="F680" t="s">
        <v>469</v>
      </c>
      <c r="G680" t="s">
        <v>3182</v>
      </c>
      <c r="H680" t="s">
        <v>3183</v>
      </c>
      <c r="I680" t="s">
        <v>30</v>
      </c>
      <c r="J680" t="s">
        <v>31</v>
      </c>
      <c r="K680" t="s">
        <v>98</v>
      </c>
      <c r="L680" t="s">
        <v>43</v>
      </c>
      <c r="N680" t="s">
        <v>34</v>
      </c>
      <c r="O680">
        <v>3</v>
      </c>
      <c r="Q680">
        <v>2</v>
      </c>
      <c r="R680">
        <v>4</v>
      </c>
      <c r="S680">
        <v>3</v>
      </c>
      <c r="T680">
        <v>0</v>
      </c>
      <c r="U680">
        <v>22</v>
      </c>
      <c r="V680" t="s">
        <v>3184</v>
      </c>
      <c r="W680" t="s">
        <v>34</v>
      </c>
    </row>
    <row r="681" spans="1:24" x14ac:dyDescent="0.25">
      <c r="A681" t="s">
        <v>3185</v>
      </c>
      <c r="B681" t="s">
        <v>3186</v>
      </c>
      <c r="C681" t="s">
        <v>87</v>
      </c>
      <c r="D681">
        <v>39</v>
      </c>
      <c r="E681" t="s">
        <v>128</v>
      </c>
      <c r="F681" t="s">
        <v>271</v>
      </c>
      <c r="G681" t="s">
        <v>3187</v>
      </c>
      <c r="H681" t="s">
        <v>3188</v>
      </c>
      <c r="I681" t="s">
        <v>42</v>
      </c>
      <c r="J681" t="s">
        <v>31</v>
      </c>
      <c r="K681" t="s">
        <v>98</v>
      </c>
      <c r="L681" t="s">
        <v>62</v>
      </c>
      <c r="M681">
        <v>25</v>
      </c>
      <c r="N681" t="s">
        <v>34</v>
      </c>
      <c r="O681">
        <v>2</v>
      </c>
      <c r="P681">
        <v>3</v>
      </c>
      <c r="R681">
        <v>2</v>
      </c>
      <c r="S681">
        <v>2</v>
      </c>
      <c r="T681">
        <v>5</v>
      </c>
      <c r="U681">
        <v>23</v>
      </c>
      <c r="V681" t="s">
        <v>3189</v>
      </c>
      <c r="W681" t="s">
        <v>34</v>
      </c>
    </row>
    <row r="682" spans="1:24" x14ac:dyDescent="0.25">
      <c r="A682" t="s">
        <v>3190</v>
      </c>
      <c r="B682" t="s">
        <v>3191</v>
      </c>
      <c r="C682" t="s">
        <v>87</v>
      </c>
      <c r="D682">
        <v>33</v>
      </c>
      <c r="E682" t="s">
        <v>27</v>
      </c>
      <c r="F682" t="s">
        <v>50</v>
      </c>
      <c r="G682" t="s">
        <v>3192</v>
      </c>
      <c r="H682" t="s">
        <v>3193</v>
      </c>
      <c r="I682" t="s">
        <v>52</v>
      </c>
      <c r="J682" t="s">
        <v>97</v>
      </c>
      <c r="K682" t="s">
        <v>200</v>
      </c>
      <c r="L682" t="s">
        <v>33</v>
      </c>
      <c r="M682">
        <v>37</v>
      </c>
      <c r="N682" t="s">
        <v>34</v>
      </c>
      <c r="O682">
        <v>3</v>
      </c>
      <c r="P682">
        <v>4</v>
      </c>
      <c r="Q682">
        <v>2</v>
      </c>
      <c r="S682">
        <v>6</v>
      </c>
      <c r="T682">
        <v>5</v>
      </c>
      <c r="U682">
        <v>17</v>
      </c>
      <c r="V682" t="s">
        <v>3194</v>
      </c>
      <c r="W682" t="s">
        <v>34</v>
      </c>
    </row>
    <row r="683" spans="1:24" x14ac:dyDescent="0.25">
      <c r="A683" t="s">
        <v>3195</v>
      </c>
      <c r="B683" t="s">
        <v>3196</v>
      </c>
      <c r="C683" t="s">
        <v>87</v>
      </c>
      <c r="D683">
        <v>31</v>
      </c>
      <c r="E683" t="s">
        <v>579</v>
      </c>
      <c r="F683" t="s">
        <v>483</v>
      </c>
      <c r="G683" t="s">
        <v>3197</v>
      </c>
      <c r="H683">
        <v>91331</v>
      </c>
      <c r="I683" t="s">
        <v>42</v>
      </c>
      <c r="J683" t="s">
        <v>61</v>
      </c>
      <c r="K683" t="s">
        <v>54</v>
      </c>
      <c r="L683" t="s">
        <v>43</v>
      </c>
      <c r="M683">
        <v>1</v>
      </c>
      <c r="N683" t="s">
        <v>34</v>
      </c>
      <c r="O683">
        <v>4</v>
      </c>
      <c r="P683">
        <v>4</v>
      </c>
      <c r="Q683">
        <v>3</v>
      </c>
      <c r="R683">
        <v>3</v>
      </c>
      <c r="S683">
        <v>5</v>
      </c>
      <c r="T683">
        <v>8</v>
      </c>
      <c r="U683">
        <v>14</v>
      </c>
      <c r="V683" t="s">
        <v>3198</v>
      </c>
      <c r="W683" t="s">
        <v>34</v>
      </c>
    </row>
    <row r="684" spans="1:24" x14ac:dyDescent="0.25">
      <c r="A684" t="s">
        <v>3199</v>
      </c>
      <c r="B684" t="s">
        <v>3200</v>
      </c>
      <c r="C684" t="s">
        <v>58</v>
      </c>
      <c r="D684">
        <v>23</v>
      </c>
      <c r="E684" t="s">
        <v>128</v>
      </c>
      <c r="F684" t="s">
        <v>3201</v>
      </c>
      <c r="G684" t="s">
        <v>3202</v>
      </c>
      <c r="H684" t="s">
        <v>3203</v>
      </c>
      <c r="I684" t="s">
        <v>52</v>
      </c>
      <c r="J684" t="s">
        <v>143</v>
      </c>
      <c r="K684" t="s">
        <v>167</v>
      </c>
      <c r="L684" t="s">
        <v>33</v>
      </c>
      <c r="M684">
        <v>11</v>
      </c>
      <c r="N684" t="s">
        <v>34</v>
      </c>
      <c r="O684">
        <v>1</v>
      </c>
      <c r="P684">
        <v>4</v>
      </c>
      <c r="Q684">
        <v>1</v>
      </c>
      <c r="R684">
        <v>2</v>
      </c>
      <c r="S684">
        <v>1</v>
      </c>
      <c r="T684">
        <v>4</v>
      </c>
      <c r="U684">
        <v>22</v>
      </c>
      <c r="V684" t="s">
        <v>3204</v>
      </c>
      <c r="W684" t="s">
        <v>45</v>
      </c>
      <c r="X684" t="s">
        <v>3205</v>
      </c>
    </row>
    <row r="685" spans="1:24" x14ac:dyDescent="0.25">
      <c r="A685" t="s">
        <v>3206</v>
      </c>
      <c r="B685" t="s">
        <v>3207</v>
      </c>
      <c r="C685" t="s">
        <v>102</v>
      </c>
      <c r="D685">
        <v>31</v>
      </c>
      <c r="E685" t="s">
        <v>609</v>
      </c>
      <c r="F685" t="s">
        <v>1436</v>
      </c>
      <c r="G685" t="s">
        <v>3208</v>
      </c>
      <c r="H685">
        <v>85141</v>
      </c>
      <c r="I685" t="s">
        <v>52</v>
      </c>
      <c r="J685" t="s">
        <v>53</v>
      </c>
      <c r="K685" t="s">
        <v>131</v>
      </c>
      <c r="L685" t="s">
        <v>33</v>
      </c>
      <c r="M685">
        <v>14</v>
      </c>
      <c r="N685" t="s">
        <v>34</v>
      </c>
      <c r="O685">
        <v>4</v>
      </c>
      <c r="P685">
        <v>3</v>
      </c>
      <c r="Q685">
        <v>2</v>
      </c>
      <c r="R685">
        <v>2</v>
      </c>
      <c r="S685">
        <v>5</v>
      </c>
      <c r="T685">
        <v>0</v>
      </c>
      <c r="U685">
        <v>25</v>
      </c>
      <c r="V685" t="s">
        <v>3209</v>
      </c>
      <c r="W685" t="s">
        <v>34</v>
      </c>
    </row>
    <row r="686" spans="1:24" x14ac:dyDescent="0.25">
      <c r="A686" t="s">
        <v>3210</v>
      </c>
      <c r="B686" t="s">
        <v>3211</v>
      </c>
      <c r="C686" t="s">
        <v>81</v>
      </c>
      <c r="D686">
        <v>43</v>
      </c>
      <c r="E686" t="s">
        <v>1669</v>
      </c>
      <c r="F686" t="s">
        <v>178</v>
      </c>
      <c r="G686" t="s">
        <v>3212</v>
      </c>
      <c r="H686">
        <v>116799</v>
      </c>
      <c r="I686" t="s">
        <v>52</v>
      </c>
      <c r="J686" t="s">
        <v>31</v>
      </c>
      <c r="K686" t="s">
        <v>167</v>
      </c>
      <c r="L686" t="s">
        <v>43</v>
      </c>
      <c r="M686">
        <v>17</v>
      </c>
      <c r="N686" t="s">
        <v>34</v>
      </c>
      <c r="P686">
        <v>3</v>
      </c>
      <c r="Q686">
        <v>4</v>
      </c>
      <c r="R686">
        <v>3</v>
      </c>
      <c r="S686">
        <v>5</v>
      </c>
      <c r="T686">
        <v>3</v>
      </c>
      <c r="U686">
        <v>13</v>
      </c>
      <c r="V686" t="s">
        <v>3213</v>
      </c>
      <c r="W686" t="s">
        <v>34</v>
      </c>
    </row>
    <row r="687" spans="1:24" x14ac:dyDescent="0.25">
      <c r="A687" t="s">
        <v>3214</v>
      </c>
      <c r="C687" t="s">
        <v>102</v>
      </c>
      <c r="D687">
        <v>32</v>
      </c>
      <c r="E687" t="s">
        <v>88</v>
      </c>
      <c r="F687" t="s">
        <v>141</v>
      </c>
      <c r="G687" t="s">
        <v>3215</v>
      </c>
      <c r="H687">
        <v>88202</v>
      </c>
      <c r="I687" t="s">
        <v>52</v>
      </c>
      <c r="J687" t="s">
        <v>143</v>
      </c>
      <c r="K687" t="s">
        <v>83</v>
      </c>
      <c r="M687">
        <v>21</v>
      </c>
      <c r="N687" t="s">
        <v>34</v>
      </c>
      <c r="O687">
        <v>2</v>
      </c>
      <c r="P687">
        <v>4</v>
      </c>
      <c r="R687">
        <v>3</v>
      </c>
      <c r="S687">
        <v>0</v>
      </c>
      <c r="T687">
        <v>5</v>
      </c>
      <c r="U687">
        <v>14</v>
      </c>
      <c r="V687" t="s">
        <v>3216</v>
      </c>
      <c r="W687" t="s">
        <v>34</v>
      </c>
    </row>
    <row r="688" spans="1:24" x14ac:dyDescent="0.25">
      <c r="A688" t="s">
        <v>3217</v>
      </c>
      <c r="B688" t="s">
        <v>298</v>
      </c>
      <c r="C688" t="s">
        <v>58</v>
      </c>
      <c r="D688">
        <v>32</v>
      </c>
      <c r="E688" t="s">
        <v>74</v>
      </c>
      <c r="G688" t="s">
        <v>3218</v>
      </c>
      <c r="H688" t="s">
        <v>3219</v>
      </c>
      <c r="I688" t="s">
        <v>30</v>
      </c>
      <c r="J688" t="s">
        <v>53</v>
      </c>
      <c r="K688" t="s">
        <v>200</v>
      </c>
      <c r="L688" t="s">
        <v>33</v>
      </c>
      <c r="M688">
        <v>5</v>
      </c>
      <c r="N688" t="s">
        <v>34</v>
      </c>
      <c r="O688">
        <v>2</v>
      </c>
      <c r="P688">
        <v>3</v>
      </c>
      <c r="Q688">
        <v>2</v>
      </c>
      <c r="R688">
        <v>3</v>
      </c>
      <c r="S688">
        <v>4</v>
      </c>
      <c r="U688">
        <v>11</v>
      </c>
      <c r="V688" t="s">
        <v>3220</v>
      </c>
      <c r="W688" t="s">
        <v>45</v>
      </c>
      <c r="X688" t="s">
        <v>3221</v>
      </c>
    </row>
    <row r="689" spans="1:24" x14ac:dyDescent="0.25">
      <c r="A689" t="s">
        <v>3222</v>
      </c>
      <c r="B689" t="s">
        <v>3223</v>
      </c>
      <c r="C689" t="s">
        <v>49</v>
      </c>
      <c r="E689" t="s">
        <v>128</v>
      </c>
      <c r="F689" t="s">
        <v>226</v>
      </c>
      <c r="G689" t="s">
        <v>3224</v>
      </c>
      <c r="H689">
        <v>102388</v>
      </c>
      <c r="I689" t="s">
        <v>42</v>
      </c>
      <c r="J689" t="s">
        <v>61</v>
      </c>
      <c r="K689" t="s">
        <v>77</v>
      </c>
      <c r="L689" t="s">
        <v>43</v>
      </c>
      <c r="M689">
        <v>33</v>
      </c>
      <c r="N689" t="s">
        <v>45</v>
      </c>
      <c r="O689">
        <v>2</v>
      </c>
      <c r="P689">
        <v>4</v>
      </c>
      <c r="Q689">
        <v>1</v>
      </c>
      <c r="R689">
        <v>4</v>
      </c>
      <c r="S689">
        <v>3</v>
      </c>
      <c r="T689">
        <v>0</v>
      </c>
      <c r="U689">
        <v>19</v>
      </c>
      <c r="V689" t="s">
        <v>3225</v>
      </c>
      <c r="W689" t="s">
        <v>45</v>
      </c>
      <c r="X689" t="s">
        <v>3226</v>
      </c>
    </row>
    <row r="690" spans="1:24" x14ac:dyDescent="0.25">
      <c r="A690" t="s">
        <v>3227</v>
      </c>
      <c r="B690" t="s">
        <v>3228</v>
      </c>
      <c r="C690" t="s">
        <v>102</v>
      </c>
      <c r="D690">
        <v>28</v>
      </c>
      <c r="E690" t="s">
        <v>27</v>
      </c>
      <c r="F690" t="s">
        <v>59</v>
      </c>
      <c r="G690" t="s">
        <v>3229</v>
      </c>
      <c r="H690">
        <v>84295</v>
      </c>
      <c r="I690" t="s">
        <v>30</v>
      </c>
      <c r="J690" t="s">
        <v>31</v>
      </c>
      <c r="K690" t="s">
        <v>54</v>
      </c>
      <c r="L690" t="s">
        <v>33</v>
      </c>
      <c r="M690">
        <v>3</v>
      </c>
      <c r="N690" t="s">
        <v>45</v>
      </c>
      <c r="O690">
        <v>4</v>
      </c>
      <c r="P690">
        <v>1</v>
      </c>
      <c r="Q690">
        <v>4</v>
      </c>
      <c r="R690">
        <v>3</v>
      </c>
      <c r="S690">
        <v>0</v>
      </c>
      <c r="T690">
        <v>7</v>
      </c>
      <c r="U690">
        <v>23</v>
      </c>
      <c r="V690" t="s">
        <v>3230</v>
      </c>
      <c r="W690" t="s">
        <v>34</v>
      </c>
    </row>
    <row r="691" spans="1:24" x14ac:dyDescent="0.25">
      <c r="A691" t="s">
        <v>3231</v>
      </c>
      <c r="B691" t="s">
        <v>3232</v>
      </c>
      <c r="C691" t="s">
        <v>73</v>
      </c>
      <c r="D691">
        <v>25</v>
      </c>
      <c r="E691" t="s">
        <v>27</v>
      </c>
      <c r="F691" t="s">
        <v>75</v>
      </c>
      <c r="G691" t="s">
        <v>3233</v>
      </c>
      <c r="H691">
        <v>45064</v>
      </c>
      <c r="I691" t="s">
        <v>52</v>
      </c>
      <c r="J691" t="s">
        <v>31</v>
      </c>
      <c r="K691" t="s">
        <v>83</v>
      </c>
      <c r="L691" t="s">
        <v>62</v>
      </c>
      <c r="M691">
        <v>34</v>
      </c>
      <c r="N691" t="s">
        <v>45</v>
      </c>
      <c r="O691">
        <v>3</v>
      </c>
      <c r="P691">
        <v>3</v>
      </c>
      <c r="Q691">
        <v>1</v>
      </c>
      <c r="R691">
        <v>4</v>
      </c>
      <c r="S691">
        <v>1</v>
      </c>
      <c r="T691">
        <v>0</v>
      </c>
      <c r="U691">
        <v>20</v>
      </c>
      <c r="V691" t="s">
        <v>3234</v>
      </c>
      <c r="W691" t="s">
        <v>45</v>
      </c>
      <c r="X691" t="s">
        <v>3235</v>
      </c>
    </row>
    <row r="692" spans="1:24" x14ac:dyDescent="0.25">
      <c r="A692" t="s">
        <v>3236</v>
      </c>
      <c r="B692" t="s">
        <v>3237</v>
      </c>
      <c r="C692" t="s">
        <v>87</v>
      </c>
      <c r="D692">
        <v>37</v>
      </c>
      <c r="E692" t="s">
        <v>94</v>
      </c>
      <c r="F692" t="s">
        <v>266</v>
      </c>
      <c r="G692" t="s">
        <v>3238</v>
      </c>
      <c r="H692">
        <v>73116</v>
      </c>
      <c r="I692" t="s">
        <v>52</v>
      </c>
      <c r="J692" t="s">
        <v>61</v>
      </c>
      <c r="K692" t="s">
        <v>83</v>
      </c>
      <c r="L692" t="s">
        <v>33</v>
      </c>
      <c r="M692">
        <v>21</v>
      </c>
      <c r="N692" t="s">
        <v>34</v>
      </c>
      <c r="O692">
        <v>4</v>
      </c>
      <c r="P692">
        <v>3</v>
      </c>
      <c r="Q692">
        <v>3</v>
      </c>
      <c r="R692">
        <v>4</v>
      </c>
      <c r="S692">
        <v>4</v>
      </c>
      <c r="T692">
        <v>1</v>
      </c>
      <c r="V692" t="s">
        <v>3239</v>
      </c>
      <c r="W692" t="s">
        <v>34</v>
      </c>
    </row>
    <row r="693" spans="1:24" x14ac:dyDescent="0.25">
      <c r="A693" t="s">
        <v>3240</v>
      </c>
      <c r="B693" t="s">
        <v>3241</v>
      </c>
      <c r="C693" t="s">
        <v>73</v>
      </c>
      <c r="D693">
        <v>31</v>
      </c>
      <c r="E693" t="s">
        <v>88</v>
      </c>
      <c r="F693" t="s">
        <v>483</v>
      </c>
      <c r="G693" t="s">
        <v>3242</v>
      </c>
      <c r="H693">
        <v>85135</v>
      </c>
      <c r="I693" t="s">
        <v>52</v>
      </c>
      <c r="J693" t="s">
        <v>31</v>
      </c>
      <c r="K693" t="s">
        <v>200</v>
      </c>
      <c r="L693" t="s">
        <v>62</v>
      </c>
      <c r="M693">
        <v>11</v>
      </c>
      <c r="N693" t="s">
        <v>34</v>
      </c>
      <c r="O693">
        <v>1</v>
      </c>
      <c r="P693">
        <v>1</v>
      </c>
      <c r="Q693">
        <v>4</v>
      </c>
      <c r="R693">
        <v>3</v>
      </c>
      <c r="S693">
        <v>1</v>
      </c>
      <c r="T693">
        <v>0</v>
      </c>
      <c r="U693">
        <v>16</v>
      </c>
      <c r="W693" t="s">
        <v>34</v>
      </c>
    </row>
    <row r="694" spans="1:24" x14ac:dyDescent="0.25">
      <c r="A694" t="s">
        <v>3243</v>
      </c>
      <c r="B694" t="s">
        <v>3244</v>
      </c>
      <c r="C694" t="s">
        <v>26</v>
      </c>
      <c r="D694">
        <v>30</v>
      </c>
      <c r="E694" t="s">
        <v>27</v>
      </c>
      <c r="F694" t="s">
        <v>75</v>
      </c>
      <c r="G694" t="s">
        <v>3245</v>
      </c>
      <c r="H694" t="s">
        <v>3246</v>
      </c>
      <c r="I694" t="s">
        <v>52</v>
      </c>
      <c r="J694" t="s">
        <v>31</v>
      </c>
      <c r="K694" t="s">
        <v>131</v>
      </c>
      <c r="L694" t="s">
        <v>62</v>
      </c>
      <c r="M694">
        <v>36</v>
      </c>
      <c r="N694" t="s">
        <v>34</v>
      </c>
      <c r="O694">
        <v>1</v>
      </c>
      <c r="Q694">
        <v>1</v>
      </c>
      <c r="R694">
        <v>3</v>
      </c>
      <c r="S694">
        <v>2</v>
      </c>
      <c r="T694">
        <v>4</v>
      </c>
      <c r="U694">
        <v>14</v>
      </c>
      <c r="V694" t="s">
        <v>3247</v>
      </c>
      <c r="W694" t="s">
        <v>45</v>
      </c>
      <c r="X694" t="s">
        <v>3248</v>
      </c>
    </row>
    <row r="695" spans="1:24" x14ac:dyDescent="0.25">
      <c r="A695" t="s">
        <v>3249</v>
      </c>
      <c r="C695" t="s">
        <v>58</v>
      </c>
      <c r="D695">
        <v>52</v>
      </c>
      <c r="E695" t="s">
        <v>197</v>
      </c>
      <c r="F695" t="s">
        <v>235</v>
      </c>
      <c r="G695" t="s">
        <v>3250</v>
      </c>
      <c r="H695">
        <v>103384</v>
      </c>
      <c r="I695" t="s">
        <v>42</v>
      </c>
      <c r="J695" t="s">
        <v>53</v>
      </c>
      <c r="K695" t="s">
        <v>83</v>
      </c>
      <c r="L695" t="s">
        <v>33</v>
      </c>
      <c r="M695">
        <v>28</v>
      </c>
      <c r="N695" t="s">
        <v>34</v>
      </c>
      <c r="O695">
        <v>1</v>
      </c>
      <c r="P695">
        <v>2</v>
      </c>
      <c r="Q695">
        <v>4</v>
      </c>
      <c r="R695">
        <v>3</v>
      </c>
      <c r="S695">
        <v>2</v>
      </c>
      <c r="T695">
        <v>5</v>
      </c>
      <c r="U695">
        <v>24</v>
      </c>
      <c r="V695" t="s">
        <v>3251</v>
      </c>
      <c r="W695" t="s">
        <v>34</v>
      </c>
    </row>
    <row r="696" spans="1:24" x14ac:dyDescent="0.25">
      <c r="A696" t="s">
        <v>3252</v>
      </c>
      <c r="B696" t="s">
        <v>3253</v>
      </c>
      <c r="C696" t="s">
        <v>67</v>
      </c>
      <c r="D696">
        <v>34</v>
      </c>
      <c r="E696" t="s">
        <v>128</v>
      </c>
      <c r="F696" t="s">
        <v>271</v>
      </c>
      <c r="G696" t="s">
        <v>3254</v>
      </c>
      <c r="H696">
        <v>72882</v>
      </c>
      <c r="I696" t="s">
        <v>30</v>
      </c>
      <c r="J696" t="s">
        <v>97</v>
      </c>
      <c r="K696" t="s">
        <v>32</v>
      </c>
      <c r="L696" t="s">
        <v>43</v>
      </c>
      <c r="M696">
        <v>2</v>
      </c>
      <c r="N696" t="s">
        <v>34</v>
      </c>
      <c r="Q696">
        <v>4</v>
      </c>
      <c r="R696">
        <v>3</v>
      </c>
      <c r="S696">
        <v>6</v>
      </c>
      <c r="T696">
        <v>6</v>
      </c>
      <c r="U696">
        <v>24</v>
      </c>
      <c r="V696" t="s">
        <v>3255</v>
      </c>
      <c r="W696" t="s">
        <v>34</v>
      </c>
    </row>
    <row r="697" spans="1:24" x14ac:dyDescent="0.25">
      <c r="A697" t="s">
        <v>3256</v>
      </c>
      <c r="B697" t="s">
        <v>3257</v>
      </c>
      <c r="C697" t="s">
        <v>26</v>
      </c>
      <c r="D697">
        <v>24</v>
      </c>
      <c r="E697" t="s">
        <v>798</v>
      </c>
      <c r="F697" t="s">
        <v>59</v>
      </c>
      <c r="G697" t="s">
        <v>3258</v>
      </c>
      <c r="H697">
        <v>50192</v>
      </c>
      <c r="I697" t="s">
        <v>30</v>
      </c>
      <c r="J697" t="s">
        <v>61</v>
      </c>
      <c r="K697" t="s">
        <v>113</v>
      </c>
      <c r="L697" t="s">
        <v>62</v>
      </c>
      <c r="M697">
        <v>2</v>
      </c>
      <c r="N697" t="s">
        <v>45</v>
      </c>
      <c r="O697">
        <v>3</v>
      </c>
      <c r="P697">
        <v>1</v>
      </c>
      <c r="Q697">
        <v>3</v>
      </c>
      <c r="R697">
        <v>4</v>
      </c>
      <c r="S697">
        <v>4</v>
      </c>
      <c r="T697">
        <v>4</v>
      </c>
      <c r="U697">
        <v>19</v>
      </c>
      <c r="W697" t="s">
        <v>34</v>
      </c>
    </row>
    <row r="698" spans="1:24" x14ac:dyDescent="0.25">
      <c r="A698" t="s">
        <v>3259</v>
      </c>
      <c r="B698" t="s">
        <v>3260</v>
      </c>
      <c r="C698" t="s">
        <v>58</v>
      </c>
      <c r="D698">
        <v>25</v>
      </c>
      <c r="E698" t="s">
        <v>457</v>
      </c>
      <c r="F698" t="s">
        <v>59</v>
      </c>
      <c r="G698" t="s">
        <v>3261</v>
      </c>
      <c r="H698">
        <v>88941</v>
      </c>
      <c r="I698" t="s">
        <v>52</v>
      </c>
      <c r="J698" t="s">
        <v>31</v>
      </c>
      <c r="K698" t="s">
        <v>54</v>
      </c>
      <c r="L698" t="s">
        <v>33</v>
      </c>
      <c r="M698">
        <v>20</v>
      </c>
      <c r="N698" t="s">
        <v>34</v>
      </c>
      <c r="O698">
        <v>1</v>
      </c>
      <c r="P698">
        <v>3</v>
      </c>
      <c r="Q698">
        <v>1</v>
      </c>
      <c r="R698">
        <v>3</v>
      </c>
      <c r="S698">
        <v>3</v>
      </c>
      <c r="T698">
        <v>7</v>
      </c>
      <c r="U698">
        <v>17</v>
      </c>
      <c r="V698" t="s">
        <v>3262</v>
      </c>
      <c r="W698" t="s">
        <v>45</v>
      </c>
      <c r="X698" t="s">
        <v>3263</v>
      </c>
    </row>
    <row r="699" spans="1:24" x14ac:dyDescent="0.25">
      <c r="A699" t="s">
        <v>3264</v>
      </c>
      <c r="B699" t="s">
        <v>3265</v>
      </c>
      <c r="C699" t="s">
        <v>73</v>
      </c>
      <c r="D699">
        <v>45</v>
      </c>
      <c r="E699" t="s">
        <v>128</v>
      </c>
      <c r="F699" t="s">
        <v>129</v>
      </c>
      <c r="G699" t="s">
        <v>3266</v>
      </c>
      <c r="H699">
        <v>60981</v>
      </c>
      <c r="I699" t="s">
        <v>30</v>
      </c>
      <c r="J699" t="s">
        <v>53</v>
      </c>
      <c r="K699" t="s">
        <v>77</v>
      </c>
      <c r="L699" t="s">
        <v>43</v>
      </c>
      <c r="M699">
        <v>26</v>
      </c>
      <c r="N699" t="s">
        <v>34</v>
      </c>
      <c r="O699">
        <v>1</v>
      </c>
      <c r="P699">
        <v>3</v>
      </c>
      <c r="Q699">
        <v>2</v>
      </c>
      <c r="R699">
        <v>4</v>
      </c>
      <c r="S699">
        <v>4</v>
      </c>
      <c r="T699">
        <v>8</v>
      </c>
      <c r="U699">
        <v>20</v>
      </c>
      <c r="V699" t="s">
        <v>3267</v>
      </c>
      <c r="W699" t="s">
        <v>45</v>
      </c>
      <c r="X699" t="s">
        <v>3268</v>
      </c>
    </row>
    <row r="700" spans="1:24" x14ac:dyDescent="0.25">
      <c r="A700" t="s">
        <v>3269</v>
      </c>
      <c r="B700" t="s">
        <v>3270</v>
      </c>
      <c r="C700" t="s">
        <v>49</v>
      </c>
      <c r="D700">
        <v>42</v>
      </c>
      <c r="E700" t="s">
        <v>128</v>
      </c>
      <c r="F700" t="s">
        <v>271</v>
      </c>
      <c r="G700" t="s">
        <v>3271</v>
      </c>
      <c r="H700">
        <v>74120</v>
      </c>
      <c r="I700" t="s">
        <v>42</v>
      </c>
      <c r="J700" t="s">
        <v>53</v>
      </c>
      <c r="K700" t="s">
        <v>113</v>
      </c>
      <c r="L700" t="s">
        <v>62</v>
      </c>
      <c r="M700">
        <v>15</v>
      </c>
      <c r="N700" t="s">
        <v>34</v>
      </c>
      <c r="O700">
        <v>1</v>
      </c>
      <c r="P700">
        <v>2</v>
      </c>
      <c r="Q700">
        <v>3</v>
      </c>
      <c r="R700">
        <v>3</v>
      </c>
      <c r="S700">
        <v>0</v>
      </c>
      <c r="T700">
        <v>6</v>
      </c>
      <c r="U700">
        <v>22</v>
      </c>
      <c r="V700" t="s">
        <v>3272</v>
      </c>
      <c r="W700" t="s">
        <v>34</v>
      </c>
    </row>
    <row r="701" spans="1:24" x14ac:dyDescent="0.25">
      <c r="A701" t="s">
        <v>3273</v>
      </c>
      <c r="B701" t="s">
        <v>3274</v>
      </c>
      <c r="C701" t="s">
        <v>73</v>
      </c>
      <c r="D701">
        <v>30</v>
      </c>
      <c r="E701" t="s">
        <v>27</v>
      </c>
      <c r="F701" t="s">
        <v>59</v>
      </c>
      <c r="G701" t="s">
        <v>3275</v>
      </c>
      <c r="H701" t="s">
        <v>3276</v>
      </c>
      <c r="I701" t="s">
        <v>30</v>
      </c>
      <c r="J701" t="s">
        <v>61</v>
      </c>
      <c r="K701" t="s">
        <v>98</v>
      </c>
      <c r="L701" t="s">
        <v>62</v>
      </c>
      <c r="M701">
        <v>26</v>
      </c>
      <c r="N701" t="s">
        <v>45</v>
      </c>
      <c r="O701">
        <v>2</v>
      </c>
      <c r="P701">
        <v>1</v>
      </c>
      <c r="Q701">
        <v>1</v>
      </c>
      <c r="R701">
        <v>3</v>
      </c>
      <c r="S701">
        <v>5</v>
      </c>
      <c r="T701">
        <v>7</v>
      </c>
      <c r="U701">
        <v>14</v>
      </c>
      <c r="V701" t="s">
        <v>3277</v>
      </c>
      <c r="W701" t="s">
        <v>45</v>
      </c>
      <c r="X701" t="s">
        <v>3278</v>
      </c>
    </row>
    <row r="702" spans="1:24" x14ac:dyDescent="0.25">
      <c r="A702" t="s">
        <v>3279</v>
      </c>
      <c r="B702" t="s">
        <v>3280</v>
      </c>
      <c r="C702" t="s">
        <v>26</v>
      </c>
      <c r="D702">
        <v>31</v>
      </c>
      <c r="E702" t="s">
        <v>554</v>
      </c>
      <c r="F702" t="s">
        <v>286</v>
      </c>
      <c r="G702" t="s">
        <v>1825</v>
      </c>
      <c r="H702">
        <v>63282</v>
      </c>
      <c r="I702" t="s">
        <v>52</v>
      </c>
      <c r="J702" t="s">
        <v>61</v>
      </c>
      <c r="K702" t="s">
        <v>113</v>
      </c>
      <c r="L702" t="s">
        <v>62</v>
      </c>
      <c r="M702">
        <v>4</v>
      </c>
      <c r="N702" t="s">
        <v>34</v>
      </c>
      <c r="O702">
        <v>4</v>
      </c>
      <c r="P702">
        <v>2</v>
      </c>
      <c r="Q702">
        <v>2</v>
      </c>
      <c r="R702">
        <v>3</v>
      </c>
      <c r="S702">
        <v>2</v>
      </c>
      <c r="T702">
        <v>0</v>
      </c>
      <c r="U702">
        <v>16</v>
      </c>
      <c r="V702" t="s">
        <v>3281</v>
      </c>
      <c r="W702" t="s">
        <v>34</v>
      </c>
    </row>
    <row r="703" spans="1:24" x14ac:dyDescent="0.25">
      <c r="A703" t="s">
        <v>3282</v>
      </c>
      <c r="B703" t="s">
        <v>3283</v>
      </c>
      <c r="C703" t="s">
        <v>87</v>
      </c>
      <c r="D703">
        <v>21</v>
      </c>
      <c r="E703" t="s">
        <v>128</v>
      </c>
      <c r="F703" t="s">
        <v>255</v>
      </c>
      <c r="G703" t="s">
        <v>3284</v>
      </c>
      <c r="H703" t="s">
        <v>3285</v>
      </c>
      <c r="I703" t="s">
        <v>42</v>
      </c>
      <c r="J703" t="s">
        <v>61</v>
      </c>
      <c r="K703" t="s">
        <v>113</v>
      </c>
      <c r="L703" t="s">
        <v>62</v>
      </c>
      <c r="M703">
        <v>6</v>
      </c>
      <c r="N703" t="s">
        <v>34</v>
      </c>
      <c r="O703">
        <v>2</v>
      </c>
      <c r="P703">
        <v>2</v>
      </c>
      <c r="Q703">
        <v>3</v>
      </c>
      <c r="R703">
        <v>3</v>
      </c>
      <c r="S703">
        <v>6</v>
      </c>
      <c r="T703">
        <v>3</v>
      </c>
      <c r="U703">
        <v>20</v>
      </c>
      <c r="V703" t="s">
        <v>3286</v>
      </c>
      <c r="W703" t="s">
        <v>34</v>
      </c>
    </row>
    <row r="704" spans="1:24" x14ac:dyDescent="0.25">
      <c r="A704" t="s">
        <v>3287</v>
      </c>
      <c r="B704" t="s">
        <v>3288</v>
      </c>
      <c r="C704" t="s">
        <v>49</v>
      </c>
      <c r="D704">
        <v>36</v>
      </c>
      <c r="E704" t="s">
        <v>128</v>
      </c>
      <c r="F704" t="s">
        <v>226</v>
      </c>
      <c r="G704" t="s">
        <v>3289</v>
      </c>
      <c r="H704">
        <v>59752</v>
      </c>
      <c r="I704" t="s">
        <v>42</v>
      </c>
      <c r="J704" t="s">
        <v>143</v>
      </c>
      <c r="K704" t="s">
        <v>113</v>
      </c>
      <c r="L704" t="s">
        <v>43</v>
      </c>
      <c r="M704">
        <v>9</v>
      </c>
      <c r="N704" t="s">
        <v>34</v>
      </c>
      <c r="O704">
        <v>2</v>
      </c>
      <c r="P704">
        <v>4</v>
      </c>
      <c r="Q704">
        <v>2</v>
      </c>
      <c r="R704">
        <v>4</v>
      </c>
      <c r="T704">
        <v>7</v>
      </c>
      <c r="U704">
        <v>18</v>
      </c>
      <c r="V704" t="s">
        <v>3290</v>
      </c>
      <c r="W704" t="s">
        <v>45</v>
      </c>
      <c r="X704" t="s">
        <v>3291</v>
      </c>
    </row>
    <row r="705" spans="1:24" x14ac:dyDescent="0.25">
      <c r="A705" t="s">
        <v>3292</v>
      </c>
      <c r="B705" t="s">
        <v>3293</v>
      </c>
      <c r="C705" t="s">
        <v>87</v>
      </c>
      <c r="D705">
        <v>34</v>
      </c>
      <c r="E705" t="s">
        <v>457</v>
      </c>
      <c r="F705" t="s">
        <v>188</v>
      </c>
      <c r="G705" t="s">
        <v>3294</v>
      </c>
      <c r="H705">
        <v>73891</v>
      </c>
      <c r="I705" t="s">
        <v>52</v>
      </c>
      <c r="J705" t="s">
        <v>53</v>
      </c>
      <c r="K705" t="s">
        <v>77</v>
      </c>
      <c r="L705" t="s">
        <v>62</v>
      </c>
      <c r="M705">
        <v>27</v>
      </c>
      <c r="N705" t="s">
        <v>34</v>
      </c>
      <c r="O705">
        <v>2</v>
      </c>
      <c r="P705">
        <v>4</v>
      </c>
      <c r="Q705">
        <v>3</v>
      </c>
      <c r="S705">
        <v>3</v>
      </c>
      <c r="T705">
        <v>7</v>
      </c>
      <c r="U705">
        <v>19</v>
      </c>
      <c r="V705" t="s">
        <v>3295</v>
      </c>
      <c r="W705" t="s">
        <v>34</v>
      </c>
    </row>
    <row r="706" spans="1:24" x14ac:dyDescent="0.25">
      <c r="A706" t="s">
        <v>3296</v>
      </c>
      <c r="B706" t="s">
        <v>3297</v>
      </c>
      <c r="C706" t="s">
        <v>81</v>
      </c>
      <c r="D706">
        <v>42</v>
      </c>
      <c r="E706" t="s">
        <v>94</v>
      </c>
      <c r="F706" t="s">
        <v>639</v>
      </c>
      <c r="G706" t="s">
        <v>3298</v>
      </c>
      <c r="H706" t="s">
        <v>3299</v>
      </c>
      <c r="I706" t="s">
        <v>30</v>
      </c>
      <c r="J706" t="s">
        <v>61</v>
      </c>
      <c r="K706" t="s">
        <v>83</v>
      </c>
      <c r="L706" t="s">
        <v>62</v>
      </c>
      <c r="M706">
        <v>14</v>
      </c>
      <c r="N706" t="s">
        <v>34</v>
      </c>
      <c r="P706">
        <v>4</v>
      </c>
      <c r="Q706">
        <v>4</v>
      </c>
      <c r="R706">
        <v>1</v>
      </c>
      <c r="S706">
        <v>5</v>
      </c>
      <c r="T706">
        <v>7</v>
      </c>
      <c r="U706">
        <v>12</v>
      </c>
      <c r="V706" t="s">
        <v>3300</v>
      </c>
      <c r="W706" t="s">
        <v>34</v>
      </c>
    </row>
    <row r="707" spans="1:24" x14ac:dyDescent="0.25">
      <c r="A707" t="s">
        <v>3301</v>
      </c>
      <c r="B707" t="s">
        <v>3302</v>
      </c>
      <c r="C707" t="s">
        <v>49</v>
      </c>
      <c r="D707">
        <v>19</v>
      </c>
      <c r="E707" t="s">
        <v>27</v>
      </c>
      <c r="F707" t="s">
        <v>59</v>
      </c>
      <c r="G707" t="s">
        <v>3303</v>
      </c>
      <c r="H707">
        <v>113152</v>
      </c>
      <c r="I707" t="s">
        <v>52</v>
      </c>
      <c r="J707" t="s">
        <v>53</v>
      </c>
      <c r="K707" t="s">
        <v>32</v>
      </c>
      <c r="L707" t="s">
        <v>62</v>
      </c>
      <c r="M707">
        <v>5</v>
      </c>
      <c r="N707" t="s">
        <v>34</v>
      </c>
      <c r="O707">
        <v>4</v>
      </c>
      <c r="P707">
        <v>1</v>
      </c>
      <c r="Q707">
        <v>2</v>
      </c>
      <c r="R707">
        <v>1</v>
      </c>
      <c r="S707">
        <v>0</v>
      </c>
      <c r="T707">
        <v>8</v>
      </c>
      <c r="U707">
        <v>12</v>
      </c>
      <c r="V707" t="s">
        <v>3304</v>
      </c>
      <c r="W707" t="s">
        <v>34</v>
      </c>
    </row>
    <row r="708" spans="1:24" x14ac:dyDescent="0.25">
      <c r="A708" t="s">
        <v>3305</v>
      </c>
      <c r="B708" t="s">
        <v>3306</v>
      </c>
      <c r="D708">
        <v>30</v>
      </c>
      <c r="E708" t="s">
        <v>38</v>
      </c>
      <c r="F708" t="s">
        <v>333</v>
      </c>
      <c r="G708" t="s">
        <v>3307</v>
      </c>
      <c r="H708" t="s">
        <v>3308</v>
      </c>
      <c r="I708" t="s">
        <v>52</v>
      </c>
      <c r="J708" t="s">
        <v>31</v>
      </c>
      <c r="K708" t="s">
        <v>32</v>
      </c>
      <c r="L708" t="s">
        <v>62</v>
      </c>
      <c r="M708">
        <v>17</v>
      </c>
      <c r="N708" t="s">
        <v>45</v>
      </c>
      <c r="O708">
        <v>2</v>
      </c>
      <c r="P708">
        <v>4</v>
      </c>
      <c r="Q708">
        <v>3</v>
      </c>
      <c r="R708">
        <v>3</v>
      </c>
      <c r="S708">
        <v>6</v>
      </c>
      <c r="T708">
        <v>8</v>
      </c>
      <c r="U708">
        <v>23</v>
      </c>
      <c r="W708" t="s">
        <v>45</v>
      </c>
      <c r="X708" t="s">
        <v>1815</v>
      </c>
    </row>
    <row r="709" spans="1:24" x14ac:dyDescent="0.25">
      <c r="A709" t="s">
        <v>3309</v>
      </c>
      <c r="B709" t="s">
        <v>146</v>
      </c>
      <c r="C709" t="s">
        <v>81</v>
      </c>
      <c r="D709">
        <v>28</v>
      </c>
      <c r="F709" t="s">
        <v>209</v>
      </c>
      <c r="G709" t="s">
        <v>3310</v>
      </c>
      <c r="H709">
        <v>54798</v>
      </c>
      <c r="I709" t="s">
        <v>30</v>
      </c>
      <c r="J709" t="s">
        <v>31</v>
      </c>
      <c r="K709" t="s">
        <v>131</v>
      </c>
      <c r="L709" t="s">
        <v>33</v>
      </c>
      <c r="M709">
        <v>43</v>
      </c>
      <c r="N709" t="s">
        <v>34</v>
      </c>
      <c r="O709">
        <v>2</v>
      </c>
      <c r="Q709">
        <v>4</v>
      </c>
      <c r="R709">
        <v>1</v>
      </c>
      <c r="S709">
        <v>4</v>
      </c>
      <c r="T709">
        <v>3</v>
      </c>
      <c r="U709">
        <v>17</v>
      </c>
      <c r="V709" t="s">
        <v>3311</v>
      </c>
      <c r="W709" t="s">
        <v>34</v>
      </c>
    </row>
    <row r="710" spans="1:24" x14ac:dyDescent="0.25">
      <c r="A710" t="s">
        <v>3312</v>
      </c>
      <c r="B710" t="s">
        <v>3313</v>
      </c>
      <c r="C710" t="s">
        <v>26</v>
      </c>
      <c r="D710">
        <v>19</v>
      </c>
      <c r="E710" t="s">
        <v>27</v>
      </c>
      <c r="F710" t="s">
        <v>188</v>
      </c>
      <c r="G710" t="s">
        <v>3314</v>
      </c>
      <c r="H710">
        <v>59226</v>
      </c>
      <c r="I710" t="s">
        <v>30</v>
      </c>
      <c r="J710" t="s">
        <v>61</v>
      </c>
      <c r="K710" t="s">
        <v>167</v>
      </c>
      <c r="L710" t="s">
        <v>62</v>
      </c>
      <c r="M710">
        <v>8</v>
      </c>
      <c r="N710" t="s">
        <v>34</v>
      </c>
      <c r="O710">
        <v>3</v>
      </c>
      <c r="P710">
        <v>1</v>
      </c>
      <c r="Q710">
        <v>3</v>
      </c>
      <c r="R710">
        <v>4</v>
      </c>
      <c r="S710">
        <v>3</v>
      </c>
      <c r="T710">
        <v>6</v>
      </c>
      <c r="U710">
        <v>13</v>
      </c>
      <c r="W710" t="s">
        <v>34</v>
      </c>
    </row>
    <row r="711" spans="1:24" x14ac:dyDescent="0.25">
      <c r="A711" t="s">
        <v>3315</v>
      </c>
      <c r="B711" t="s">
        <v>3316</v>
      </c>
      <c r="C711" t="s">
        <v>58</v>
      </c>
      <c r="D711">
        <v>51</v>
      </c>
      <c r="E711" t="s">
        <v>706</v>
      </c>
      <c r="F711" t="s">
        <v>306</v>
      </c>
      <c r="G711" t="s">
        <v>3317</v>
      </c>
      <c r="H711" t="s">
        <v>3318</v>
      </c>
      <c r="I711" t="s">
        <v>30</v>
      </c>
      <c r="J711" t="s">
        <v>143</v>
      </c>
      <c r="K711" t="s">
        <v>200</v>
      </c>
      <c r="L711" t="s">
        <v>62</v>
      </c>
      <c r="M711">
        <v>29</v>
      </c>
      <c r="N711" t="s">
        <v>34</v>
      </c>
      <c r="O711">
        <v>1</v>
      </c>
      <c r="P711">
        <v>1</v>
      </c>
      <c r="Q711">
        <v>2</v>
      </c>
      <c r="R711">
        <v>3</v>
      </c>
      <c r="S711">
        <v>6</v>
      </c>
      <c r="U711">
        <v>19</v>
      </c>
      <c r="V711" t="s">
        <v>3319</v>
      </c>
      <c r="W711" t="s">
        <v>45</v>
      </c>
      <c r="X711" t="s">
        <v>2234</v>
      </c>
    </row>
    <row r="712" spans="1:24" x14ac:dyDescent="0.25">
      <c r="A712" t="s">
        <v>3320</v>
      </c>
      <c r="B712" t="s">
        <v>3321</v>
      </c>
      <c r="C712" t="s">
        <v>49</v>
      </c>
      <c r="D712">
        <v>31</v>
      </c>
      <c r="E712" t="s">
        <v>505</v>
      </c>
      <c r="F712" t="s">
        <v>828</v>
      </c>
      <c r="G712" t="s">
        <v>3322</v>
      </c>
      <c r="H712">
        <v>74912</v>
      </c>
      <c r="I712" t="s">
        <v>52</v>
      </c>
      <c r="J712" t="s">
        <v>143</v>
      </c>
      <c r="K712" t="s">
        <v>83</v>
      </c>
      <c r="L712" t="s">
        <v>43</v>
      </c>
      <c r="M712">
        <v>41</v>
      </c>
      <c r="N712" t="s">
        <v>45</v>
      </c>
      <c r="O712">
        <v>1</v>
      </c>
      <c r="P712">
        <v>3</v>
      </c>
      <c r="Q712">
        <v>2</v>
      </c>
      <c r="R712">
        <v>3</v>
      </c>
      <c r="S712">
        <v>4</v>
      </c>
      <c r="T712">
        <v>8</v>
      </c>
      <c r="U712">
        <v>20</v>
      </c>
      <c r="V712" t="s">
        <v>3323</v>
      </c>
      <c r="W712" t="s">
        <v>45</v>
      </c>
      <c r="X712" t="s">
        <v>3324</v>
      </c>
    </row>
    <row r="713" spans="1:24" x14ac:dyDescent="0.25">
      <c r="A713" t="s">
        <v>3325</v>
      </c>
      <c r="B713" t="s">
        <v>3326</v>
      </c>
      <c r="C713" t="s">
        <v>67</v>
      </c>
      <c r="D713">
        <v>48</v>
      </c>
      <c r="E713" t="s">
        <v>94</v>
      </c>
      <c r="F713" t="s">
        <v>356</v>
      </c>
      <c r="G713" t="s">
        <v>3327</v>
      </c>
      <c r="H713">
        <v>132811</v>
      </c>
      <c r="I713" t="s">
        <v>52</v>
      </c>
      <c r="J713" t="s">
        <v>61</v>
      </c>
      <c r="K713" t="s">
        <v>98</v>
      </c>
      <c r="L713" t="s">
        <v>33</v>
      </c>
      <c r="M713">
        <v>12</v>
      </c>
      <c r="N713" t="s">
        <v>34</v>
      </c>
      <c r="O713">
        <v>2</v>
      </c>
      <c r="P713">
        <v>3</v>
      </c>
      <c r="Q713">
        <v>1</v>
      </c>
      <c r="R713">
        <v>4</v>
      </c>
      <c r="S713">
        <v>6</v>
      </c>
      <c r="T713">
        <v>0</v>
      </c>
      <c r="U713">
        <v>22</v>
      </c>
      <c r="V713" t="s">
        <v>3328</v>
      </c>
      <c r="W713" t="s">
        <v>45</v>
      </c>
      <c r="X713" t="s">
        <v>3329</v>
      </c>
    </row>
    <row r="714" spans="1:24" x14ac:dyDescent="0.25">
      <c r="A714" t="s">
        <v>3330</v>
      </c>
      <c r="B714" t="s">
        <v>3331</v>
      </c>
      <c r="C714" t="s">
        <v>49</v>
      </c>
      <c r="D714">
        <v>29</v>
      </c>
      <c r="E714" t="s">
        <v>122</v>
      </c>
      <c r="F714" t="s">
        <v>255</v>
      </c>
      <c r="G714" t="s">
        <v>3332</v>
      </c>
      <c r="I714" t="s">
        <v>52</v>
      </c>
      <c r="J714" t="s">
        <v>61</v>
      </c>
      <c r="K714" t="s">
        <v>106</v>
      </c>
      <c r="L714" t="s">
        <v>33</v>
      </c>
      <c r="M714">
        <v>22</v>
      </c>
      <c r="N714" t="s">
        <v>34</v>
      </c>
      <c r="O714">
        <v>2</v>
      </c>
      <c r="P714">
        <v>2</v>
      </c>
      <c r="Q714">
        <v>1</v>
      </c>
      <c r="R714">
        <v>5</v>
      </c>
      <c r="S714">
        <v>5</v>
      </c>
      <c r="T714">
        <v>5</v>
      </c>
      <c r="U714">
        <v>24</v>
      </c>
      <c r="W714" t="s">
        <v>45</v>
      </c>
      <c r="X714" t="s">
        <v>3333</v>
      </c>
    </row>
    <row r="715" spans="1:24" x14ac:dyDescent="0.25">
      <c r="A715" t="s">
        <v>3334</v>
      </c>
      <c r="B715" t="s">
        <v>3335</v>
      </c>
      <c r="C715" t="s">
        <v>26</v>
      </c>
      <c r="D715">
        <v>36</v>
      </c>
      <c r="E715" t="s">
        <v>94</v>
      </c>
      <c r="F715" t="s">
        <v>306</v>
      </c>
      <c r="G715" t="s">
        <v>3336</v>
      </c>
      <c r="H715" t="s">
        <v>3337</v>
      </c>
      <c r="I715" t="s">
        <v>42</v>
      </c>
      <c r="J715" t="s">
        <v>31</v>
      </c>
      <c r="K715" t="s">
        <v>106</v>
      </c>
      <c r="L715" t="s">
        <v>62</v>
      </c>
      <c r="M715">
        <v>33</v>
      </c>
      <c r="N715" t="s">
        <v>34</v>
      </c>
      <c r="O715">
        <v>1</v>
      </c>
      <c r="P715">
        <v>4</v>
      </c>
      <c r="Q715">
        <v>1</v>
      </c>
      <c r="R715">
        <v>2</v>
      </c>
      <c r="S715">
        <v>3</v>
      </c>
      <c r="T715">
        <v>6</v>
      </c>
      <c r="U715">
        <v>22</v>
      </c>
      <c r="V715" t="s">
        <v>3338</v>
      </c>
      <c r="W715" t="s">
        <v>45</v>
      </c>
      <c r="X715" t="s">
        <v>3339</v>
      </c>
    </row>
    <row r="716" spans="1:24" x14ac:dyDescent="0.25">
      <c r="A716" t="s">
        <v>3340</v>
      </c>
      <c r="B716" t="s">
        <v>3341</v>
      </c>
      <c r="C716" t="s">
        <v>67</v>
      </c>
      <c r="D716">
        <v>43</v>
      </c>
      <c r="E716" t="s">
        <v>27</v>
      </c>
      <c r="F716" t="s">
        <v>75</v>
      </c>
      <c r="G716" t="s">
        <v>3342</v>
      </c>
      <c r="H716">
        <v>98891</v>
      </c>
      <c r="I716" t="s">
        <v>52</v>
      </c>
      <c r="J716" t="s">
        <v>31</v>
      </c>
      <c r="K716" t="s">
        <v>83</v>
      </c>
      <c r="L716" t="s">
        <v>43</v>
      </c>
      <c r="M716">
        <v>45</v>
      </c>
      <c r="N716" t="s">
        <v>34</v>
      </c>
      <c r="O716">
        <v>2</v>
      </c>
      <c r="P716">
        <v>4</v>
      </c>
      <c r="Q716">
        <v>4</v>
      </c>
      <c r="R716">
        <v>2</v>
      </c>
      <c r="S716">
        <v>0</v>
      </c>
      <c r="T716">
        <v>5</v>
      </c>
      <c r="U716">
        <v>19</v>
      </c>
      <c r="V716" t="s">
        <v>3343</v>
      </c>
      <c r="W716" t="s">
        <v>34</v>
      </c>
    </row>
    <row r="717" spans="1:24" x14ac:dyDescent="0.25">
      <c r="A717" t="s">
        <v>3344</v>
      </c>
      <c r="B717" t="s">
        <v>3345</v>
      </c>
      <c r="C717" t="s">
        <v>102</v>
      </c>
      <c r="D717">
        <v>35</v>
      </c>
      <c r="E717" t="s">
        <v>94</v>
      </c>
      <c r="F717" t="s">
        <v>356</v>
      </c>
      <c r="G717" t="s">
        <v>3346</v>
      </c>
      <c r="H717">
        <v>52819</v>
      </c>
      <c r="I717" t="s">
        <v>42</v>
      </c>
      <c r="J717" t="s">
        <v>61</v>
      </c>
      <c r="K717" t="s">
        <v>32</v>
      </c>
      <c r="L717" t="s">
        <v>43</v>
      </c>
      <c r="M717">
        <v>42</v>
      </c>
      <c r="N717" t="s">
        <v>45</v>
      </c>
      <c r="O717">
        <v>3</v>
      </c>
      <c r="P717">
        <v>1</v>
      </c>
      <c r="Q717">
        <v>4</v>
      </c>
      <c r="R717">
        <v>2</v>
      </c>
      <c r="S717">
        <v>0</v>
      </c>
      <c r="T717">
        <v>5</v>
      </c>
      <c r="U717">
        <v>23</v>
      </c>
      <c r="V717" t="s">
        <v>3347</v>
      </c>
      <c r="W717" t="s">
        <v>45</v>
      </c>
      <c r="X717" t="s">
        <v>3348</v>
      </c>
    </row>
    <row r="718" spans="1:24" x14ac:dyDescent="0.25">
      <c r="A718" t="s">
        <v>238</v>
      </c>
      <c r="B718" t="s">
        <v>239</v>
      </c>
      <c r="C718" t="s">
        <v>26</v>
      </c>
      <c r="D718">
        <v>37</v>
      </c>
      <c r="E718" t="s">
        <v>27</v>
      </c>
      <c r="F718" t="s">
        <v>799</v>
      </c>
      <c r="G718" t="s">
        <v>241</v>
      </c>
      <c r="H718">
        <v>54333</v>
      </c>
      <c r="I718" t="s">
        <v>52</v>
      </c>
      <c r="J718" t="s">
        <v>31</v>
      </c>
      <c r="K718" t="s">
        <v>54</v>
      </c>
      <c r="L718" t="s">
        <v>43</v>
      </c>
      <c r="M718">
        <v>25</v>
      </c>
      <c r="N718" t="s">
        <v>34</v>
      </c>
      <c r="O718">
        <v>2</v>
      </c>
      <c r="P718">
        <v>3</v>
      </c>
      <c r="Q718">
        <v>2</v>
      </c>
      <c r="R718">
        <v>3</v>
      </c>
      <c r="S718">
        <v>4</v>
      </c>
      <c r="T718">
        <v>3</v>
      </c>
      <c r="U718">
        <v>24</v>
      </c>
      <c r="V718" t="s">
        <v>242</v>
      </c>
      <c r="W718" t="s">
        <v>34</v>
      </c>
    </row>
    <row r="719" spans="1:24" x14ac:dyDescent="0.25">
      <c r="A719" t="s">
        <v>3349</v>
      </c>
      <c r="C719" t="s">
        <v>49</v>
      </c>
      <c r="D719">
        <v>51</v>
      </c>
      <c r="E719" t="s">
        <v>706</v>
      </c>
      <c r="F719" t="s">
        <v>356</v>
      </c>
      <c r="G719" t="s">
        <v>3350</v>
      </c>
      <c r="H719">
        <v>117087</v>
      </c>
      <c r="I719" t="s">
        <v>30</v>
      </c>
      <c r="J719" t="s">
        <v>97</v>
      </c>
      <c r="K719" t="s">
        <v>106</v>
      </c>
      <c r="L719" t="s">
        <v>62</v>
      </c>
      <c r="M719">
        <v>27</v>
      </c>
      <c r="N719" t="s">
        <v>45</v>
      </c>
      <c r="O719">
        <v>3</v>
      </c>
      <c r="P719">
        <v>3</v>
      </c>
      <c r="Q719">
        <v>3</v>
      </c>
      <c r="R719">
        <v>5</v>
      </c>
      <c r="S719">
        <v>2</v>
      </c>
      <c r="T719">
        <v>4</v>
      </c>
      <c r="U719">
        <v>12</v>
      </c>
      <c r="V719" t="s">
        <v>3351</v>
      </c>
      <c r="W719" t="s">
        <v>34</v>
      </c>
    </row>
    <row r="720" spans="1:24" x14ac:dyDescent="0.25">
      <c r="A720" t="s">
        <v>3352</v>
      </c>
      <c r="B720" t="s">
        <v>3353</v>
      </c>
      <c r="C720" t="s">
        <v>26</v>
      </c>
      <c r="D720">
        <v>34</v>
      </c>
      <c r="E720" t="s">
        <v>706</v>
      </c>
      <c r="F720" t="s">
        <v>639</v>
      </c>
      <c r="G720" t="s">
        <v>3354</v>
      </c>
      <c r="H720">
        <v>130885</v>
      </c>
      <c r="I720" t="s">
        <v>42</v>
      </c>
      <c r="J720" t="s">
        <v>143</v>
      </c>
      <c r="K720" t="s">
        <v>32</v>
      </c>
      <c r="L720" t="s">
        <v>43</v>
      </c>
      <c r="M720">
        <v>24</v>
      </c>
      <c r="N720" t="s">
        <v>45</v>
      </c>
      <c r="O720">
        <v>1</v>
      </c>
      <c r="P720">
        <v>2</v>
      </c>
      <c r="Q720">
        <v>4</v>
      </c>
      <c r="R720">
        <v>1</v>
      </c>
      <c r="S720">
        <v>2</v>
      </c>
      <c r="T720">
        <v>4</v>
      </c>
      <c r="U720">
        <v>13</v>
      </c>
      <c r="V720" t="s">
        <v>3355</v>
      </c>
      <c r="W720" t="s">
        <v>45</v>
      </c>
      <c r="X720" t="s">
        <v>3356</v>
      </c>
    </row>
    <row r="721" spans="1:24" x14ac:dyDescent="0.25">
      <c r="A721" t="s">
        <v>3357</v>
      </c>
      <c r="B721" t="s">
        <v>3358</v>
      </c>
      <c r="C721" t="s">
        <v>73</v>
      </c>
      <c r="D721">
        <v>42</v>
      </c>
      <c r="E721" t="s">
        <v>798</v>
      </c>
      <c r="F721" t="s">
        <v>1590</v>
      </c>
      <c r="G721" t="s">
        <v>3359</v>
      </c>
      <c r="H721">
        <v>106453</v>
      </c>
      <c r="I721" t="s">
        <v>30</v>
      </c>
      <c r="J721" t="s">
        <v>61</v>
      </c>
      <c r="K721" t="s">
        <v>131</v>
      </c>
      <c r="L721" t="s">
        <v>62</v>
      </c>
      <c r="M721">
        <v>2</v>
      </c>
      <c r="N721" t="s">
        <v>34</v>
      </c>
      <c r="O721">
        <v>2</v>
      </c>
      <c r="P721">
        <v>4</v>
      </c>
      <c r="Q721">
        <v>1</v>
      </c>
      <c r="R721">
        <v>3</v>
      </c>
      <c r="S721">
        <v>2</v>
      </c>
      <c r="T721">
        <v>3</v>
      </c>
      <c r="U721">
        <v>25</v>
      </c>
      <c r="V721" t="s">
        <v>3360</v>
      </c>
      <c r="W721" t="s">
        <v>34</v>
      </c>
    </row>
    <row r="722" spans="1:24" x14ac:dyDescent="0.25">
      <c r="A722" t="s">
        <v>3361</v>
      </c>
      <c r="B722" t="s">
        <v>3362</v>
      </c>
      <c r="C722" t="s">
        <v>58</v>
      </c>
      <c r="D722">
        <v>42</v>
      </c>
      <c r="E722" t="s">
        <v>27</v>
      </c>
      <c r="F722" t="s">
        <v>50</v>
      </c>
      <c r="G722" t="s">
        <v>3363</v>
      </c>
      <c r="H722">
        <v>114877</v>
      </c>
      <c r="I722" t="s">
        <v>42</v>
      </c>
      <c r="J722" t="s">
        <v>31</v>
      </c>
      <c r="L722" t="s">
        <v>43</v>
      </c>
      <c r="M722">
        <v>36</v>
      </c>
      <c r="N722" t="s">
        <v>34</v>
      </c>
      <c r="O722">
        <v>4</v>
      </c>
      <c r="P722">
        <v>2</v>
      </c>
      <c r="Q722">
        <v>1</v>
      </c>
      <c r="R722">
        <v>3</v>
      </c>
      <c r="S722">
        <v>4</v>
      </c>
      <c r="T722">
        <v>3</v>
      </c>
      <c r="U722">
        <v>19</v>
      </c>
      <c r="V722" t="s">
        <v>3364</v>
      </c>
      <c r="W722" t="s">
        <v>34</v>
      </c>
    </row>
    <row r="723" spans="1:24" x14ac:dyDescent="0.25">
      <c r="A723" t="s">
        <v>1968</v>
      </c>
      <c r="B723" t="s">
        <v>1969</v>
      </c>
      <c r="C723" t="s">
        <v>81</v>
      </c>
      <c r="D723">
        <v>26</v>
      </c>
      <c r="E723" t="s">
        <v>88</v>
      </c>
      <c r="F723" t="s">
        <v>2227</v>
      </c>
      <c r="G723" t="s">
        <v>1970</v>
      </c>
      <c r="H723" t="s">
        <v>1971</v>
      </c>
      <c r="I723" t="s">
        <v>30</v>
      </c>
      <c r="J723" t="s">
        <v>61</v>
      </c>
      <c r="K723" t="s">
        <v>113</v>
      </c>
      <c r="L723" t="s">
        <v>62</v>
      </c>
      <c r="M723">
        <v>28</v>
      </c>
      <c r="N723" t="s">
        <v>45</v>
      </c>
      <c r="O723">
        <v>1</v>
      </c>
      <c r="P723">
        <v>4</v>
      </c>
      <c r="Q723">
        <v>4</v>
      </c>
      <c r="R723">
        <v>5</v>
      </c>
      <c r="S723">
        <v>3</v>
      </c>
      <c r="T723">
        <v>7</v>
      </c>
      <c r="U723">
        <v>14</v>
      </c>
      <c r="V723" t="s">
        <v>1972</v>
      </c>
      <c r="W723" t="s">
        <v>45</v>
      </c>
      <c r="X723" t="s">
        <v>1973</v>
      </c>
    </row>
    <row r="724" spans="1:24" x14ac:dyDescent="0.25">
      <c r="A724" t="s">
        <v>3365</v>
      </c>
      <c r="B724" t="s">
        <v>1883</v>
      </c>
      <c r="D724">
        <v>40</v>
      </c>
      <c r="E724" t="s">
        <v>27</v>
      </c>
      <c r="F724" t="s">
        <v>59</v>
      </c>
      <c r="G724" t="s">
        <v>3366</v>
      </c>
      <c r="H724">
        <v>56921</v>
      </c>
      <c r="I724" t="s">
        <v>52</v>
      </c>
      <c r="J724" t="s">
        <v>61</v>
      </c>
      <c r="K724" t="s">
        <v>106</v>
      </c>
      <c r="L724" t="s">
        <v>43</v>
      </c>
      <c r="M724">
        <v>16</v>
      </c>
      <c r="N724" t="s">
        <v>34</v>
      </c>
      <c r="O724">
        <v>2</v>
      </c>
      <c r="P724">
        <v>3</v>
      </c>
      <c r="Q724">
        <v>4</v>
      </c>
      <c r="R724">
        <v>2</v>
      </c>
      <c r="S724">
        <v>4</v>
      </c>
      <c r="T724">
        <v>8</v>
      </c>
      <c r="U724">
        <v>22</v>
      </c>
      <c r="V724" t="s">
        <v>3367</v>
      </c>
      <c r="W724" t="s">
        <v>34</v>
      </c>
    </row>
    <row r="725" spans="1:24" x14ac:dyDescent="0.25">
      <c r="A725" t="s">
        <v>3368</v>
      </c>
      <c r="B725" t="s">
        <v>3369</v>
      </c>
      <c r="C725" t="s">
        <v>102</v>
      </c>
      <c r="D725">
        <v>45</v>
      </c>
      <c r="E725" t="s">
        <v>38</v>
      </c>
      <c r="F725" t="s">
        <v>148</v>
      </c>
      <c r="G725" t="s">
        <v>3370</v>
      </c>
      <c r="H725">
        <v>48565</v>
      </c>
      <c r="I725" t="s">
        <v>30</v>
      </c>
      <c r="J725" t="s">
        <v>31</v>
      </c>
      <c r="K725" t="s">
        <v>54</v>
      </c>
      <c r="L725" t="s">
        <v>33</v>
      </c>
      <c r="M725">
        <v>6</v>
      </c>
      <c r="N725" t="s">
        <v>34</v>
      </c>
      <c r="O725">
        <v>1</v>
      </c>
      <c r="P725">
        <v>4</v>
      </c>
      <c r="Q725">
        <v>1</v>
      </c>
      <c r="R725">
        <v>3</v>
      </c>
      <c r="S725">
        <v>0</v>
      </c>
      <c r="T725">
        <v>7</v>
      </c>
      <c r="U725">
        <v>12</v>
      </c>
      <c r="V725" t="s">
        <v>3371</v>
      </c>
      <c r="W725" t="s">
        <v>34</v>
      </c>
    </row>
    <row r="726" spans="1:24" x14ac:dyDescent="0.25">
      <c r="A726" t="s">
        <v>3372</v>
      </c>
      <c r="B726" t="s">
        <v>3373</v>
      </c>
      <c r="C726" t="s">
        <v>67</v>
      </c>
      <c r="D726">
        <v>45</v>
      </c>
      <c r="E726" t="s">
        <v>103</v>
      </c>
      <c r="F726" t="s">
        <v>1752</v>
      </c>
      <c r="G726" t="s">
        <v>3374</v>
      </c>
      <c r="H726" t="s">
        <v>3375</v>
      </c>
      <c r="I726" t="s">
        <v>30</v>
      </c>
      <c r="J726" t="s">
        <v>61</v>
      </c>
      <c r="K726" t="s">
        <v>32</v>
      </c>
      <c r="L726" t="s">
        <v>33</v>
      </c>
      <c r="M726">
        <v>11</v>
      </c>
      <c r="N726" t="s">
        <v>45</v>
      </c>
      <c r="O726">
        <v>1</v>
      </c>
      <c r="P726">
        <v>4</v>
      </c>
      <c r="Q726">
        <v>4</v>
      </c>
      <c r="S726">
        <v>1</v>
      </c>
      <c r="T726">
        <v>2</v>
      </c>
      <c r="U726">
        <v>20</v>
      </c>
      <c r="V726" t="s">
        <v>3376</v>
      </c>
      <c r="W726" t="s">
        <v>34</v>
      </c>
    </row>
    <row r="727" spans="1:24" x14ac:dyDescent="0.25">
      <c r="A727" t="s">
        <v>3377</v>
      </c>
      <c r="B727" t="s">
        <v>3378</v>
      </c>
      <c r="C727" t="s">
        <v>87</v>
      </c>
      <c r="D727">
        <v>30</v>
      </c>
      <c r="E727" t="s">
        <v>88</v>
      </c>
      <c r="F727" t="s">
        <v>1686</v>
      </c>
      <c r="G727" t="s">
        <v>3379</v>
      </c>
      <c r="H727">
        <v>129520</v>
      </c>
      <c r="I727" t="s">
        <v>42</v>
      </c>
      <c r="J727" t="s">
        <v>61</v>
      </c>
      <c r="K727" t="s">
        <v>131</v>
      </c>
      <c r="L727" t="s">
        <v>43</v>
      </c>
      <c r="M727">
        <v>26</v>
      </c>
      <c r="N727" t="s">
        <v>34</v>
      </c>
      <c r="O727">
        <v>3</v>
      </c>
      <c r="P727">
        <v>3</v>
      </c>
      <c r="Q727">
        <v>3</v>
      </c>
      <c r="R727">
        <v>4</v>
      </c>
      <c r="S727">
        <v>6</v>
      </c>
      <c r="T727">
        <v>2</v>
      </c>
      <c r="V727" t="s">
        <v>3380</v>
      </c>
      <c r="W727" t="s">
        <v>34</v>
      </c>
    </row>
    <row r="728" spans="1:24" x14ac:dyDescent="0.25">
      <c r="A728" t="s">
        <v>3381</v>
      </c>
      <c r="B728" t="s">
        <v>3382</v>
      </c>
      <c r="C728" t="s">
        <v>73</v>
      </c>
      <c r="D728">
        <v>37</v>
      </c>
      <c r="E728" t="s">
        <v>88</v>
      </c>
      <c r="F728" t="s">
        <v>89</v>
      </c>
      <c r="G728" t="s">
        <v>3383</v>
      </c>
      <c r="H728">
        <v>99142</v>
      </c>
      <c r="I728" t="s">
        <v>30</v>
      </c>
      <c r="J728" t="s">
        <v>143</v>
      </c>
      <c r="K728" t="s">
        <v>98</v>
      </c>
      <c r="L728" t="s">
        <v>33</v>
      </c>
      <c r="M728">
        <v>44</v>
      </c>
      <c r="N728" t="s">
        <v>34</v>
      </c>
      <c r="O728">
        <v>2</v>
      </c>
      <c r="P728">
        <v>4</v>
      </c>
      <c r="Q728">
        <v>3</v>
      </c>
      <c r="R728">
        <v>3</v>
      </c>
      <c r="S728">
        <v>1</v>
      </c>
      <c r="T728">
        <v>8</v>
      </c>
      <c r="U728">
        <v>12</v>
      </c>
      <c r="V728" t="s">
        <v>3384</v>
      </c>
      <c r="W728" t="s">
        <v>34</v>
      </c>
    </row>
    <row r="729" spans="1:24" x14ac:dyDescent="0.25">
      <c r="A729" t="s">
        <v>3385</v>
      </c>
      <c r="B729" t="s">
        <v>3386</v>
      </c>
      <c r="C729" t="s">
        <v>102</v>
      </c>
      <c r="D729">
        <v>36</v>
      </c>
      <c r="E729" t="s">
        <v>88</v>
      </c>
      <c r="F729" t="s">
        <v>483</v>
      </c>
      <c r="G729" t="s">
        <v>3387</v>
      </c>
      <c r="H729">
        <v>59637</v>
      </c>
      <c r="I729" t="s">
        <v>52</v>
      </c>
      <c r="J729" t="s">
        <v>61</v>
      </c>
      <c r="K729" t="s">
        <v>167</v>
      </c>
      <c r="L729" t="s">
        <v>43</v>
      </c>
      <c r="M729">
        <v>11</v>
      </c>
      <c r="N729" t="s">
        <v>34</v>
      </c>
      <c r="O729">
        <v>3</v>
      </c>
      <c r="P729">
        <v>4</v>
      </c>
      <c r="Q729">
        <v>1</v>
      </c>
      <c r="R729">
        <v>2</v>
      </c>
      <c r="S729">
        <v>0</v>
      </c>
      <c r="T729">
        <v>6</v>
      </c>
      <c r="U729">
        <v>21</v>
      </c>
      <c r="V729" t="s">
        <v>3388</v>
      </c>
      <c r="W729" t="s">
        <v>34</v>
      </c>
    </row>
    <row r="730" spans="1:24" x14ac:dyDescent="0.25">
      <c r="A730" t="s">
        <v>3389</v>
      </c>
      <c r="B730" t="s">
        <v>3390</v>
      </c>
      <c r="C730" t="s">
        <v>58</v>
      </c>
      <c r="D730">
        <v>43</v>
      </c>
      <c r="E730" t="s">
        <v>122</v>
      </c>
      <c r="F730" t="s">
        <v>226</v>
      </c>
      <c r="G730" t="s">
        <v>3391</v>
      </c>
      <c r="H730">
        <v>53561</v>
      </c>
      <c r="I730" t="s">
        <v>52</v>
      </c>
      <c r="J730" t="s">
        <v>31</v>
      </c>
      <c r="K730" t="s">
        <v>200</v>
      </c>
      <c r="L730" t="s">
        <v>43</v>
      </c>
      <c r="M730">
        <v>21</v>
      </c>
      <c r="N730" t="s">
        <v>45</v>
      </c>
      <c r="O730">
        <v>3</v>
      </c>
      <c r="P730">
        <v>2</v>
      </c>
      <c r="Q730">
        <v>1</v>
      </c>
      <c r="R730">
        <v>4</v>
      </c>
      <c r="T730">
        <v>3</v>
      </c>
      <c r="U730">
        <v>23</v>
      </c>
      <c r="V730" t="s">
        <v>3392</v>
      </c>
      <c r="W730" t="s">
        <v>45</v>
      </c>
      <c r="X730" t="s">
        <v>3393</v>
      </c>
    </row>
    <row r="731" spans="1:24" x14ac:dyDescent="0.25">
      <c r="A731" t="s">
        <v>3394</v>
      </c>
      <c r="B731" t="s">
        <v>3395</v>
      </c>
      <c r="C731" t="s">
        <v>49</v>
      </c>
      <c r="D731">
        <v>30</v>
      </c>
      <c r="E731" t="s">
        <v>38</v>
      </c>
      <c r="F731" t="s">
        <v>148</v>
      </c>
      <c r="G731" t="s">
        <v>3396</v>
      </c>
      <c r="H731">
        <v>54987</v>
      </c>
      <c r="I731" t="s">
        <v>42</v>
      </c>
      <c r="J731" t="s">
        <v>31</v>
      </c>
      <c r="K731" t="s">
        <v>98</v>
      </c>
      <c r="M731">
        <v>11</v>
      </c>
      <c r="N731" t="s">
        <v>34</v>
      </c>
      <c r="O731">
        <v>3</v>
      </c>
      <c r="P731">
        <v>2</v>
      </c>
      <c r="Q731">
        <v>3</v>
      </c>
      <c r="R731">
        <v>3</v>
      </c>
      <c r="S731">
        <v>6</v>
      </c>
      <c r="T731">
        <v>2</v>
      </c>
      <c r="U731">
        <v>19</v>
      </c>
      <c r="V731" t="s">
        <v>3397</v>
      </c>
      <c r="W731" t="s">
        <v>34</v>
      </c>
    </row>
    <row r="732" spans="1:24" x14ac:dyDescent="0.25">
      <c r="A732" t="s">
        <v>3398</v>
      </c>
      <c r="B732" t="s">
        <v>3399</v>
      </c>
      <c r="C732" t="s">
        <v>58</v>
      </c>
      <c r="D732">
        <v>31</v>
      </c>
      <c r="E732" t="s">
        <v>94</v>
      </c>
      <c r="F732" t="s">
        <v>266</v>
      </c>
      <c r="G732" t="s">
        <v>3400</v>
      </c>
      <c r="H732">
        <v>90100</v>
      </c>
      <c r="I732" t="s">
        <v>30</v>
      </c>
      <c r="J732" t="s">
        <v>31</v>
      </c>
      <c r="K732" t="s">
        <v>77</v>
      </c>
      <c r="L732" t="s">
        <v>62</v>
      </c>
      <c r="M732">
        <v>3</v>
      </c>
      <c r="N732" t="s">
        <v>34</v>
      </c>
      <c r="O732">
        <v>2</v>
      </c>
      <c r="P732">
        <v>4</v>
      </c>
      <c r="Q732">
        <v>2</v>
      </c>
      <c r="R732">
        <v>4</v>
      </c>
      <c r="S732">
        <v>4</v>
      </c>
      <c r="T732">
        <v>7</v>
      </c>
      <c r="U732">
        <v>16</v>
      </c>
      <c r="V732" t="s">
        <v>3401</v>
      </c>
      <c r="W732" t="s">
        <v>34</v>
      </c>
    </row>
    <row r="733" spans="1:24" x14ac:dyDescent="0.25">
      <c r="A733" t="s">
        <v>3402</v>
      </c>
      <c r="B733" t="s">
        <v>3403</v>
      </c>
      <c r="C733" t="s">
        <v>73</v>
      </c>
      <c r="D733">
        <v>42</v>
      </c>
      <c r="E733" t="s">
        <v>27</v>
      </c>
      <c r="F733" t="s">
        <v>281</v>
      </c>
      <c r="G733" t="s">
        <v>3404</v>
      </c>
      <c r="H733">
        <v>62056</v>
      </c>
      <c r="I733" t="s">
        <v>30</v>
      </c>
      <c r="J733" t="s">
        <v>61</v>
      </c>
      <c r="K733" t="s">
        <v>113</v>
      </c>
      <c r="L733" t="s">
        <v>62</v>
      </c>
      <c r="M733">
        <v>38</v>
      </c>
      <c r="N733" t="s">
        <v>45</v>
      </c>
      <c r="O733">
        <v>3</v>
      </c>
      <c r="P733">
        <v>3</v>
      </c>
      <c r="Q733">
        <v>2</v>
      </c>
      <c r="R733">
        <v>2</v>
      </c>
      <c r="S733">
        <v>0</v>
      </c>
      <c r="T733">
        <v>7</v>
      </c>
      <c r="U733">
        <v>16</v>
      </c>
      <c r="V733" t="s">
        <v>3405</v>
      </c>
      <c r="W733" t="s">
        <v>45</v>
      </c>
      <c r="X733" t="s">
        <v>3406</v>
      </c>
    </row>
    <row r="734" spans="1:24" x14ac:dyDescent="0.25">
      <c r="A734" t="s">
        <v>3407</v>
      </c>
      <c r="B734" t="s">
        <v>3408</v>
      </c>
      <c r="C734" t="s">
        <v>26</v>
      </c>
      <c r="D734">
        <v>20</v>
      </c>
      <c r="E734" t="s">
        <v>27</v>
      </c>
      <c r="F734" t="s">
        <v>188</v>
      </c>
      <c r="G734" t="s">
        <v>3409</v>
      </c>
      <c r="H734">
        <v>51950</v>
      </c>
      <c r="I734" t="s">
        <v>52</v>
      </c>
      <c r="J734" t="s">
        <v>31</v>
      </c>
      <c r="K734" t="s">
        <v>113</v>
      </c>
      <c r="L734" t="s">
        <v>62</v>
      </c>
      <c r="M734">
        <v>31</v>
      </c>
      <c r="N734" t="s">
        <v>45</v>
      </c>
      <c r="O734">
        <v>3</v>
      </c>
      <c r="P734">
        <v>3</v>
      </c>
      <c r="Q734">
        <v>3</v>
      </c>
      <c r="R734">
        <v>3</v>
      </c>
      <c r="S734">
        <v>6</v>
      </c>
      <c r="T734">
        <v>5</v>
      </c>
      <c r="U734">
        <v>21</v>
      </c>
      <c r="V734" t="s">
        <v>3410</v>
      </c>
      <c r="W734" t="s">
        <v>34</v>
      </c>
    </row>
    <row r="735" spans="1:24" x14ac:dyDescent="0.25">
      <c r="A735" t="s">
        <v>3411</v>
      </c>
      <c r="B735" t="s">
        <v>3412</v>
      </c>
      <c r="C735" t="s">
        <v>26</v>
      </c>
      <c r="D735">
        <v>40</v>
      </c>
      <c r="E735" t="s">
        <v>74</v>
      </c>
      <c r="G735" t="s">
        <v>3413</v>
      </c>
      <c r="H735" t="s">
        <v>3414</v>
      </c>
      <c r="I735" t="s">
        <v>42</v>
      </c>
      <c r="J735" t="s">
        <v>61</v>
      </c>
      <c r="K735" t="s">
        <v>77</v>
      </c>
      <c r="L735" t="s">
        <v>33</v>
      </c>
      <c r="M735">
        <v>14</v>
      </c>
      <c r="N735" t="s">
        <v>34</v>
      </c>
      <c r="O735">
        <v>4</v>
      </c>
      <c r="P735">
        <v>1</v>
      </c>
      <c r="Q735">
        <v>3</v>
      </c>
      <c r="R735">
        <v>2</v>
      </c>
      <c r="S735">
        <v>5</v>
      </c>
      <c r="T735">
        <v>8</v>
      </c>
      <c r="U735">
        <v>15</v>
      </c>
      <c r="V735" t="s">
        <v>3415</v>
      </c>
      <c r="W735" t="s">
        <v>34</v>
      </c>
    </row>
    <row r="736" spans="1:24" x14ac:dyDescent="0.25">
      <c r="A736" t="s">
        <v>3416</v>
      </c>
      <c r="B736" t="s">
        <v>3417</v>
      </c>
      <c r="C736" t="s">
        <v>87</v>
      </c>
      <c r="D736">
        <v>35</v>
      </c>
      <c r="E736" t="s">
        <v>88</v>
      </c>
      <c r="F736" t="s">
        <v>483</v>
      </c>
      <c r="G736" t="s">
        <v>3418</v>
      </c>
      <c r="H736">
        <v>138499</v>
      </c>
      <c r="I736" t="s">
        <v>52</v>
      </c>
      <c r="J736" t="s">
        <v>61</v>
      </c>
      <c r="K736" t="s">
        <v>106</v>
      </c>
      <c r="L736" t="s">
        <v>33</v>
      </c>
      <c r="M736">
        <v>23</v>
      </c>
      <c r="N736" t="s">
        <v>34</v>
      </c>
      <c r="O736">
        <v>3</v>
      </c>
      <c r="P736">
        <v>4</v>
      </c>
      <c r="Q736">
        <v>2</v>
      </c>
      <c r="R736">
        <v>4</v>
      </c>
      <c r="S736">
        <v>2</v>
      </c>
      <c r="T736">
        <v>3</v>
      </c>
      <c r="U736">
        <v>22</v>
      </c>
      <c r="V736" t="s">
        <v>2096</v>
      </c>
      <c r="W736" t="s">
        <v>34</v>
      </c>
    </row>
    <row r="737" spans="1:24" x14ac:dyDescent="0.25">
      <c r="A737" t="s">
        <v>3419</v>
      </c>
      <c r="B737" t="s">
        <v>3420</v>
      </c>
      <c r="C737" t="s">
        <v>26</v>
      </c>
      <c r="D737">
        <v>26</v>
      </c>
      <c r="E737" t="s">
        <v>609</v>
      </c>
      <c r="F737" t="s">
        <v>639</v>
      </c>
      <c r="G737" t="s">
        <v>3421</v>
      </c>
      <c r="H737">
        <v>60152</v>
      </c>
      <c r="I737" t="s">
        <v>30</v>
      </c>
      <c r="J737" t="s">
        <v>61</v>
      </c>
      <c r="K737" t="s">
        <v>83</v>
      </c>
      <c r="L737" t="s">
        <v>62</v>
      </c>
      <c r="M737">
        <v>33</v>
      </c>
      <c r="N737" t="s">
        <v>34</v>
      </c>
      <c r="O737">
        <v>1</v>
      </c>
      <c r="P737">
        <v>1</v>
      </c>
      <c r="Q737">
        <v>4</v>
      </c>
      <c r="R737">
        <v>3</v>
      </c>
      <c r="S737">
        <v>0</v>
      </c>
      <c r="T737">
        <v>6</v>
      </c>
      <c r="U737">
        <v>17</v>
      </c>
      <c r="V737" t="s">
        <v>3422</v>
      </c>
      <c r="W737" t="s">
        <v>34</v>
      </c>
    </row>
    <row r="738" spans="1:24" x14ac:dyDescent="0.25">
      <c r="A738" t="s">
        <v>3423</v>
      </c>
      <c r="B738" t="s">
        <v>3424</v>
      </c>
      <c r="C738" t="s">
        <v>73</v>
      </c>
      <c r="D738">
        <v>34</v>
      </c>
      <c r="E738" t="s">
        <v>798</v>
      </c>
      <c r="F738" t="s">
        <v>75</v>
      </c>
      <c r="G738" t="s">
        <v>3425</v>
      </c>
      <c r="H738">
        <v>42336</v>
      </c>
      <c r="I738" t="s">
        <v>52</v>
      </c>
      <c r="J738" t="s">
        <v>61</v>
      </c>
      <c r="K738" t="s">
        <v>83</v>
      </c>
      <c r="L738" t="s">
        <v>43</v>
      </c>
      <c r="M738">
        <v>13</v>
      </c>
      <c r="N738" t="s">
        <v>34</v>
      </c>
      <c r="O738">
        <v>4</v>
      </c>
      <c r="P738">
        <v>2</v>
      </c>
      <c r="Q738">
        <v>3</v>
      </c>
      <c r="R738">
        <v>4</v>
      </c>
      <c r="S738">
        <v>6</v>
      </c>
      <c r="T738">
        <v>6</v>
      </c>
      <c r="U738">
        <v>12</v>
      </c>
      <c r="V738" t="s">
        <v>3426</v>
      </c>
      <c r="W738" t="s">
        <v>34</v>
      </c>
    </row>
    <row r="739" spans="1:24" x14ac:dyDescent="0.25">
      <c r="A739" t="s">
        <v>3427</v>
      </c>
      <c r="B739" t="s">
        <v>3428</v>
      </c>
      <c r="C739" t="s">
        <v>67</v>
      </c>
      <c r="D739">
        <v>30</v>
      </c>
      <c r="E739" t="s">
        <v>88</v>
      </c>
      <c r="F739" t="s">
        <v>286</v>
      </c>
      <c r="G739" t="s">
        <v>3429</v>
      </c>
      <c r="H739">
        <v>127654</v>
      </c>
      <c r="I739" t="s">
        <v>30</v>
      </c>
      <c r="J739" t="s">
        <v>31</v>
      </c>
      <c r="K739" t="s">
        <v>167</v>
      </c>
      <c r="L739" t="s">
        <v>43</v>
      </c>
      <c r="M739">
        <v>17</v>
      </c>
      <c r="N739" t="s">
        <v>34</v>
      </c>
      <c r="O739">
        <v>1</v>
      </c>
      <c r="P739">
        <v>2</v>
      </c>
      <c r="Q739">
        <v>3</v>
      </c>
      <c r="R739">
        <v>3</v>
      </c>
      <c r="S739">
        <v>4</v>
      </c>
      <c r="T739">
        <v>5</v>
      </c>
      <c r="U739">
        <v>15</v>
      </c>
      <c r="V739" t="s">
        <v>3430</v>
      </c>
      <c r="W739" t="s">
        <v>34</v>
      </c>
    </row>
    <row r="740" spans="1:24" x14ac:dyDescent="0.25">
      <c r="A740" t="s">
        <v>3431</v>
      </c>
      <c r="B740" t="s">
        <v>3432</v>
      </c>
      <c r="C740" t="s">
        <v>67</v>
      </c>
      <c r="D740">
        <v>51</v>
      </c>
      <c r="E740" t="s">
        <v>128</v>
      </c>
      <c r="F740" t="s">
        <v>463</v>
      </c>
      <c r="G740" t="s">
        <v>3433</v>
      </c>
      <c r="H740">
        <v>41978</v>
      </c>
      <c r="I740" t="s">
        <v>52</v>
      </c>
      <c r="J740" t="s">
        <v>31</v>
      </c>
      <c r="K740" t="s">
        <v>200</v>
      </c>
      <c r="L740" t="s">
        <v>43</v>
      </c>
      <c r="M740">
        <v>44</v>
      </c>
      <c r="N740" t="s">
        <v>45</v>
      </c>
      <c r="O740">
        <v>2</v>
      </c>
      <c r="P740">
        <v>2</v>
      </c>
      <c r="Q740">
        <v>3</v>
      </c>
      <c r="R740">
        <v>1</v>
      </c>
      <c r="S740">
        <v>4</v>
      </c>
      <c r="T740">
        <v>6</v>
      </c>
      <c r="U740">
        <v>18</v>
      </c>
      <c r="V740" t="s">
        <v>3434</v>
      </c>
      <c r="W740" t="s">
        <v>45</v>
      </c>
      <c r="X740" t="s">
        <v>3435</v>
      </c>
    </row>
    <row r="741" spans="1:24" x14ac:dyDescent="0.25">
      <c r="A741" t="s">
        <v>3436</v>
      </c>
      <c r="B741" t="s">
        <v>3437</v>
      </c>
      <c r="C741" t="s">
        <v>87</v>
      </c>
      <c r="D741">
        <v>34</v>
      </c>
      <c r="E741" t="s">
        <v>27</v>
      </c>
      <c r="F741" t="s">
        <v>380</v>
      </c>
      <c r="G741" t="s">
        <v>3438</v>
      </c>
      <c r="H741">
        <v>100527</v>
      </c>
      <c r="I741" t="s">
        <v>52</v>
      </c>
      <c r="J741" t="s">
        <v>31</v>
      </c>
      <c r="K741" t="s">
        <v>32</v>
      </c>
      <c r="L741" t="s">
        <v>62</v>
      </c>
      <c r="M741">
        <v>13</v>
      </c>
      <c r="N741" t="s">
        <v>34</v>
      </c>
      <c r="O741">
        <v>1</v>
      </c>
      <c r="P741">
        <v>2</v>
      </c>
      <c r="Q741">
        <v>4</v>
      </c>
      <c r="R741">
        <v>3</v>
      </c>
      <c r="S741">
        <v>2</v>
      </c>
      <c r="T741">
        <v>2</v>
      </c>
      <c r="U741">
        <v>23</v>
      </c>
      <c r="V741" t="s">
        <v>3439</v>
      </c>
      <c r="W741" t="s">
        <v>34</v>
      </c>
    </row>
    <row r="742" spans="1:24" x14ac:dyDescent="0.25">
      <c r="A742" t="s">
        <v>3440</v>
      </c>
      <c r="B742" t="s">
        <v>3441</v>
      </c>
      <c r="C742" t="s">
        <v>81</v>
      </c>
      <c r="D742">
        <v>30</v>
      </c>
      <c r="E742" t="s">
        <v>554</v>
      </c>
      <c r="F742" t="s">
        <v>483</v>
      </c>
      <c r="G742" t="s">
        <v>3442</v>
      </c>
      <c r="H742">
        <v>55590</v>
      </c>
      <c r="I742" t="s">
        <v>30</v>
      </c>
      <c r="J742" t="s">
        <v>61</v>
      </c>
      <c r="K742" t="s">
        <v>131</v>
      </c>
      <c r="L742" t="s">
        <v>43</v>
      </c>
      <c r="M742">
        <v>19</v>
      </c>
      <c r="N742" t="s">
        <v>34</v>
      </c>
      <c r="O742">
        <v>3</v>
      </c>
      <c r="P742">
        <v>4</v>
      </c>
      <c r="Q742">
        <v>2</v>
      </c>
      <c r="R742">
        <v>5</v>
      </c>
      <c r="S742">
        <v>5</v>
      </c>
      <c r="T742">
        <v>6</v>
      </c>
      <c r="V742" t="s">
        <v>3443</v>
      </c>
      <c r="W742" t="s">
        <v>34</v>
      </c>
    </row>
    <row r="743" spans="1:24" x14ac:dyDescent="0.25">
      <c r="A743" t="s">
        <v>3444</v>
      </c>
      <c r="B743" t="s">
        <v>3445</v>
      </c>
      <c r="C743" t="s">
        <v>26</v>
      </c>
      <c r="D743">
        <v>29</v>
      </c>
      <c r="E743" t="s">
        <v>88</v>
      </c>
      <c r="F743" t="s">
        <v>483</v>
      </c>
      <c r="G743" t="s">
        <v>3446</v>
      </c>
      <c r="H743">
        <v>121271</v>
      </c>
      <c r="I743" t="s">
        <v>30</v>
      </c>
      <c r="J743" t="s">
        <v>31</v>
      </c>
      <c r="K743" t="s">
        <v>54</v>
      </c>
      <c r="L743" t="s">
        <v>33</v>
      </c>
      <c r="M743">
        <v>40</v>
      </c>
      <c r="N743" t="s">
        <v>34</v>
      </c>
      <c r="O743">
        <v>2</v>
      </c>
      <c r="P743">
        <v>1</v>
      </c>
      <c r="Q743">
        <v>3</v>
      </c>
      <c r="R743">
        <v>3</v>
      </c>
      <c r="S743">
        <v>2</v>
      </c>
      <c r="T743">
        <v>8</v>
      </c>
      <c r="U743">
        <v>15</v>
      </c>
      <c r="V743" t="s">
        <v>3447</v>
      </c>
      <c r="W743" t="s">
        <v>34</v>
      </c>
    </row>
    <row r="744" spans="1:24" x14ac:dyDescent="0.25">
      <c r="A744" t="s">
        <v>3448</v>
      </c>
      <c r="B744" t="s">
        <v>3449</v>
      </c>
      <c r="C744" t="s">
        <v>102</v>
      </c>
      <c r="D744">
        <v>45</v>
      </c>
      <c r="E744" t="s">
        <v>128</v>
      </c>
      <c r="F744" t="s">
        <v>351</v>
      </c>
      <c r="G744" t="s">
        <v>3450</v>
      </c>
      <c r="H744">
        <v>105354</v>
      </c>
      <c r="I744" t="s">
        <v>42</v>
      </c>
      <c r="J744" t="s">
        <v>31</v>
      </c>
      <c r="K744" t="s">
        <v>106</v>
      </c>
      <c r="L744" t="s">
        <v>43</v>
      </c>
      <c r="M744">
        <v>30</v>
      </c>
      <c r="N744" t="s">
        <v>34</v>
      </c>
      <c r="P744">
        <v>1</v>
      </c>
      <c r="Q744">
        <v>4</v>
      </c>
      <c r="R744">
        <v>1</v>
      </c>
      <c r="S744">
        <v>6</v>
      </c>
      <c r="T744">
        <v>3</v>
      </c>
      <c r="U744">
        <v>21</v>
      </c>
      <c r="V744" t="s">
        <v>3451</v>
      </c>
      <c r="W744" t="s">
        <v>34</v>
      </c>
    </row>
    <row r="745" spans="1:24" x14ac:dyDescent="0.25">
      <c r="A745" t="s">
        <v>3452</v>
      </c>
      <c r="B745" t="s">
        <v>3453</v>
      </c>
      <c r="C745" t="s">
        <v>26</v>
      </c>
      <c r="D745">
        <v>35</v>
      </c>
      <c r="E745" t="s">
        <v>27</v>
      </c>
      <c r="F745" t="s">
        <v>1590</v>
      </c>
      <c r="G745" t="s">
        <v>3454</v>
      </c>
      <c r="H745">
        <v>62654</v>
      </c>
      <c r="I745" t="s">
        <v>30</v>
      </c>
      <c r="J745" t="s">
        <v>53</v>
      </c>
      <c r="K745" t="s">
        <v>32</v>
      </c>
      <c r="L745" t="s">
        <v>33</v>
      </c>
      <c r="M745">
        <v>28</v>
      </c>
      <c r="N745" t="s">
        <v>34</v>
      </c>
      <c r="O745">
        <v>3</v>
      </c>
      <c r="P745">
        <v>1</v>
      </c>
      <c r="Q745">
        <v>4</v>
      </c>
      <c r="R745">
        <v>3</v>
      </c>
      <c r="S745">
        <v>6</v>
      </c>
      <c r="T745">
        <v>3</v>
      </c>
      <c r="U745">
        <v>22</v>
      </c>
      <c r="V745" t="s">
        <v>3455</v>
      </c>
      <c r="W745" t="s">
        <v>34</v>
      </c>
    </row>
    <row r="746" spans="1:24" x14ac:dyDescent="0.25">
      <c r="A746" t="s">
        <v>3456</v>
      </c>
      <c r="B746" t="s">
        <v>3457</v>
      </c>
      <c r="C746" t="s">
        <v>87</v>
      </c>
      <c r="E746" t="s">
        <v>128</v>
      </c>
      <c r="F746" t="s">
        <v>226</v>
      </c>
      <c r="G746" t="s">
        <v>3458</v>
      </c>
      <c r="H746">
        <v>94811</v>
      </c>
      <c r="I746" t="s">
        <v>52</v>
      </c>
      <c r="J746" t="s">
        <v>143</v>
      </c>
      <c r="K746" t="s">
        <v>200</v>
      </c>
      <c r="L746" t="s">
        <v>43</v>
      </c>
      <c r="M746">
        <v>26</v>
      </c>
      <c r="N746" t="s">
        <v>34</v>
      </c>
      <c r="O746">
        <v>2</v>
      </c>
      <c r="P746">
        <v>3</v>
      </c>
      <c r="Q746">
        <v>1</v>
      </c>
      <c r="R746">
        <v>3</v>
      </c>
      <c r="S746">
        <v>0</v>
      </c>
      <c r="T746">
        <v>5</v>
      </c>
      <c r="U746">
        <v>20</v>
      </c>
      <c r="V746" t="s">
        <v>2900</v>
      </c>
      <c r="W746" t="s">
        <v>34</v>
      </c>
    </row>
    <row r="747" spans="1:24" x14ac:dyDescent="0.25">
      <c r="A747" t="s">
        <v>3459</v>
      </c>
      <c r="B747" t="s">
        <v>3460</v>
      </c>
      <c r="C747" t="s">
        <v>58</v>
      </c>
      <c r="D747">
        <v>32</v>
      </c>
      <c r="E747" t="s">
        <v>609</v>
      </c>
      <c r="F747" t="s">
        <v>639</v>
      </c>
      <c r="G747" t="s">
        <v>3461</v>
      </c>
      <c r="I747" t="s">
        <v>42</v>
      </c>
      <c r="J747" t="s">
        <v>143</v>
      </c>
      <c r="K747" t="s">
        <v>54</v>
      </c>
      <c r="L747" t="s">
        <v>43</v>
      </c>
      <c r="M747">
        <v>3</v>
      </c>
      <c r="N747" t="s">
        <v>34</v>
      </c>
      <c r="O747">
        <v>4</v>
      </c>
      <c r="P747">
        <v>2</v>
      </c>
      <c r="Q747">
        <v>3</v>
      </c>
      <c r="R747">
        <v>3</v>
      </c>
      <c r="S747">
        <v>4</v>
      </c>
      <c r="T747">
        <v>2</v>
      </c>
      <c r="U747">
        <v>14</v>
      </c>
      <c r="V747" t="s">
        <v>3462</v>
      </c>
      <c r="W747" t="s">
        <v>34</v>
      </c>
    </row>
    <row r="748" spans="1:24" x14ac:dyDescent="0.25">
      <c r="A748" t="s">
        <v>3463</v>
      </c>
      <c r="B748" t="s">
        <v>3464</v>
      </c>
      <c r="C748" t="s">
        <v>87</v>
      </c>
      <c r="D748">
        <v>20</v>
      </c>
      <c r="E748" t="s">
        <v>38</v>
      </c>
      <c r="F748" t="s">
        <v>148</v>
      </c>
      <c r="G748" t="s">
        <v>3465</v>
      </c>
      <c r="H748">
        <v>69412</v>
      </c>
      <c r="I748" t="s">
        <v>42</v>
      </c>
      <c r="J748" t="s">
        <v>143</v>
      </c>
      <c r="K748" t="s">
        <v>167</v>
      </c>
      <c r="L748" t="s">
        <v>33</v>
      </c>
      <c r="M748">
        <v>44</v>
      </c>
      <c r="N748" t="s">
        <v>34</v>
      </c>
      <c r="O748">
        <v>2</v>
      </c>
      <c r="P748">
        <v>3</v>
      </c>
      <c r="Q748">
        <v>3</v>
      </c>
      <c r="R748">
        <v>2</v>
      </c>
      <c r="S748">
        <v>6</v>
      </c>
      <c r="T748">
        <v>5</v>
      </c>
      <c r="U748">
        <v>11</v>
      </c>
      <c r="V748" t="s">
        <v>3466</v>
      </c>
      <c r="W748" t="s">
        <v>34</v>
      </c>
    </row>
    <row r="749" spans="1:24" x14ac:dyDescent="0.25">
      <c r="A749" t="s">
        <v>3467</v>
      </c>
      <c r="B749" t="s">
        <v>3468</v>
      </c>
      <c r="C749" t="s">
        <v>81</v>
      </c>
      <c r="D749">
        <v>21</v>
      </c>
      <c r="E749" t="s">
        <v>27</v>
      </c>
      <c r="F749" t="s">
        <v>188</v>
      </c>
      <c r="G749" t="s">
        <v>3469</v>
      </c>
      <c r="H749" t="s">
        <v>3470</v>
      </c>
      <c r="I749" t="s">
        <v>42</v>
      </c>
      <c r="J749" t="s">
        <v>31</v>
      </c>
      <c r="K749" t="s">
        <v>54</v>
      </c>
      <c r="L749" t="s">
        <v>43</v>
      </c>
      <c r="M749">
        <v>29</v>
      </c>
      <c r="N749" t="s">
        <v>45</v>
      </c>
      <c r="O749">
        <v>3</v>
      </c>
      <c r="P749">
        <v>1</v>
      </c>
      <c r="Q749">
        <v>1</v>
      </c>
      <c r="R749">
        <v>5</v>
      </c>
      <c r="S749">
        <v>3</v>
      </c>
      <c r="T749">
        <v>1</v>
      </c>
      <c r="U749">
        <v>16</v>
      </c>
      <c r="V749" t="s">
        <v>2472</v>
      </c>
      <c r="W749" t="s">
        <v>34</v>
      </c>
    </row>
    <row r="750" spans="1:24" x14ac:dyDescent="0.25">
      <c r="A750" t="s">
        <v>3471</v>
      </c>
      <c r="B750" t="s">
        <v>3472</v>
      </c>
      <c r="C750" t="s">
        <v>58</v>
      </c>
      <c r="D750">
        <v>42</v>
      </c>
      <c r="E750" t="s">
        <v>197</v>
      </c>
      <c r="F750" t="s">
        <v>235</v>
      </c>
      <c r="G750" t="s">
        <v>3473</v>
      </c>
      <c r="I750" t="s">
        <v>42</v>
      </c>
      <c r="J750" t="s">
        <v>97</v>
      </c>
      <c r="K750" t="s">
        <v>131</v>
      </c>
      <c r="L750" t="s">
        <v>33</v>
      </c>
      <c r="M750">
        <v>27</v>
      </c>
      <c r="N750" t="s">
        <v>45</v>
      </c>
      <c r="O750">
        <v>3</v>
      </c>
      <c r="P750">
        <v>3</v>
      </c>
      <c r="Q750">
        <v>3</v>
      </c>
      <c r="R750">
        <v>2</v>
      </c>
      <c r="S750">
        <v>1</v>
      </c>
      <c r="T750">
        <v>5</v>
      </c>
      <c r="U750">
        <v>12</v>
      </c>
      <c r="V750" t="s">
        <v>3474</v>
      </c>
      <c r="W750" t="s">
        <v>34</v>
      </c>
    </row>
    <row r="751" spans="1:24" x14ac:dyDescent="0.25">
      <c r="A751" t="s">
        <v>3475</v>
      </c>
      <c r="B751" t="s">
        <v>3476</v>
      </c>
      <c r="C751" t="s">
        <v>49</v>
      </c>
      <c r="D751">
        <v>33</v>
      </c>
      <c r="E751" t="s">
        <v>128</v>
      </c>
      <c r="F751" t="s">
        <v>255</v>
      </c>
      <c r="G751" t="s">
        <v>3477</v>
      </c>
      <c r="H751">
        <v>85242</v>
      </c>
      <c r="I751" t="s">
        <v>52</v>
      </c>
      <c r="J751" t="s">
        <v>31</v>
      </c>
      <c r="K751" t="s">
        <v>113</v>
      </c>
      <c r="L751" t="s">
        <v>43</v>
      </c>
      <c r="M751">
        <v>14</v>
      </c>
      <c r="N751" t="s">
        <v>45</v>
      </c>
      <c r="O751">
        <v>1</v>
      </c>
      <c r="P751">
        <v>4</v>
      </c>
      <c r="Q751">
        <v>1</v>
      </c>
      <c r="R751">
        <v>3</v>
      </c>
      <c r="S751">
        <v>2</v>
      </c>
      <c r="T751">
        <v>3</v>
      </c>
      <c r="U751">
        <v>19</v>
      </c>
      <c r="W751" t="s">
        <v>45</v>
      </c>
      <c r="X751" t="s">
        <v>3478</v>
      </c>
    </row>
    <row r="752" spans="1:24" x14ac:dyDescent="0.25">
      <c r="A752" t="s">
        <v>3479</v>
      </c>
      <c r="B752" t="s">
        <v>3480</v>
      </c>
      <c r="C752" t="s">
        <v>102</v>
      </c>
      <c r="D752">
        <v>29</v>
      </c>
      <c r="E752" t="s">
        <v>27</v>
      </c>
      <c r="G752" t="s">
        <v>3481</v>
      </c>
      <c r="H752">
        <v>68517</v>
      </c>
      <c r="I752" t="s">
        <v>42</v>
      </c>
      <c r="J752" t="s">
        <v>61</v>
      </c>
      <c r="K752" t="s">
        <v>77</v>
      </c>
      <c r="L752" t="s">
        <v>62</v>
      </c>
      <c r="M752">
        <v>12</v>
      </c>
      <c r="N752" t="s">
        <v>34</v>
      </c>
      <c r="O752">
        <v>1</v>
      </c>
      <c r="P752">
        <v>3</v>
      </c>
      <c r="Q752">
        <v>2</v>
      </c>
      <c r="R752">
        <v>3</v>
      </c>
      <c r="S752">
        <v>4</v>
      </c>
      <c r="T752">
        <v>2</v>
      </c>
      <c r="U752">
        <v>23</v>
      </c>
      <c r="V752" t="s">
        <v>3482</v>
      </c>
      <c r="W752" t="s">
        <v>45</v>
      </c>
      <c r="X752" t="s">
        <v>3483</v>
      </c>
    </row>
    <row r="753" spans="1:24" x14ac:dyDescent="0.25">
      <c r="A753" t="s">
        <v>3484</v>
      </c>
      <c r="B753" t="s">
        <v>3485</v>
      </c>
      <c r="D753">
        <v>35</v>
      </c>
      <c r="E753" t="s">
        <v>197</v>
      </c>
      <c r="F753" t="s">
        <v>1923</v>
      </c>
      <c r="G753" t="s">
        <v>272</v>
      </c>
      <c r="H753">
        <v>84499</v>
      </c>
      <c r="I753" t="s">
        <v>52</v>
      </c>
      <c r="J753" t="s">
        <v>61</v>
      </c>
      <c r="K753" t="s">
        <v>54</v>
      </c>
      <c r="L753" t="s">
        <v>43</v>
      </c>
      <c r="M753">
        <v>25</v>
      </c>
      <c r="N753" t="s">
        <v>34</v>
      </c>
      <c r="O753">
        <v>2</v>
      </c>
      <c r="P753">
        <v>2</v>
      </c>
      <c r="Q753">
        <v>4</v>
      </c>
      <c r="R753">
        <v>5</v>
      </c>
      <c r="S753">
        <v>2</v>
      </c>
      <c r="T753">
        <v>1</v>
      </c>
      <c r="U753">
        <v>16</v>
      </c>
      <c r="V753" t="s">
        <v>3486</v>
      </c>
      <c r="W753" t="s">
        <v>34</v>
      </c>
    </row>
    <row r="754" spans="1:24" x14ac:dyDescent="0.25">
      <c r="A754" t="s">
        <v>3487</v>
      </c>
      <c r="B754" t="s">
        <v>3488</v>
      </c>
      <c r="C754" t="s">
        <v>58</v>
      </c>
      <c r="D754">
        <v>38</v>
      </c>
      <c r="E754" t="s">
        <v>706</v>
      </c>
      <c r="F754" t="s">
        <v>266</v>
      </c>
      <c r="G754" t="s">
        <v>3489</v>
      </c>
      <c r="H754">
        <v>61363</v>
      </c>
      <c r="I754" t="s">
        <v>52</v>
      </c>
      <c r="J754" t="s">
        <v>61</v>
      </c>
      <c r="K754" t="s">
        <v>113</v>
      </c>
      <c r="L754" t="s">
        <v>33</v>
      </c>
      <c r="M754">
        <v>8</v>
      </c>
      <c r="N754" t="s">
        <v>45</v>
      </c>
      <c r="O754">
        <v>4</v>
      </c>
      <c r="P754">
        <v>3</v>
      </c>
      <c r="Q754">
        <v>3</v>
      </c>
      <c r="R754">
        <v>3</v>
      </c>
      <c r="S754">
        <v>4</v>
      </c>
      <c r="T754">
        <v>6</v>
      </c>
      <c r="U754">
        <v>25</v>
      </c>
      <c r="V754" t="s">
        <v>3490</v>
      </c>
      <c r="W754" t="s">
        <v>34</v>
      </c>
    </row>
    <row r="755" spans="1:24" x14ac:dyDescent="0.25">
      <c r="A755" t="s">
        <v>3491</v>
      </c>
      <c r="B755" t="s">
        <v>3492</v>
      </c>
      <c r="C755" t="s">
        <v>58</v>
      </c>
      <c r="D755">
        <v>37</v>
      </c>
      <c r="E755" t="s">
        <v>94</v>
      </c>
      <c r="F755" t="s">
        <v>266</v>
      </c>
      <c r="G755" t="s">
        <v>3493</v>
      </c>
      <c r="H755">
        <v>102427</v>
      </c>
      <c r="I755" t="s">
        <v>52</v>
      </c>
      <c r="K755" t="s">
        <v>113</v>
      </c>
      <c r="L755" t="s">
        <v>62</v>
      </c>
      <c r="M755">
        <v>42</v>
      </c>
      <c r="O755">
        <v>1</v>
      </c>
      <c r="P755">
        <v>3</v>
      </c>
      <c r="Q755">
        <v>2</v>
      </c>
      <c r="R755">
        <v>1</v>
      </c>
      <c r="S755">
        <v>6</v>
      </c>
      <c r="T755">
        <v>3</v>
      </c>
      <c r="U755">
        <v>15</v>
      </c>
      <c r="V755" t="s">
        <v>3494</v>
      </c>
      <c r="W755" t="s">
        <v>45</v>
      </c>
      <c r="X755" t="s">
        <v>3155</v>
      </c>
    </row>
    <row r="756" spans="1:24" x14ac:dyDescent="0.25">
      <c r="A756" t="s">
        <v>3495</v>
      </c>
      <c r="B756" t="s">
        <v>3496</v>
      </c>
      <c r="C756" t="s">
        <v>102</v>
      </c>
      <c r="D756">
        <v>36</v>
      </c>
      <c r="E756" t="s">
        <v>27</v>
      </c>
      <c r="F756" t="s">
        <v>188</v>
      </c>
      <c r="G756" t="s">
        <v>2293</v>
      </c>
      <c r="H756" t="s">
        <v>3497</v>
      </c>
      <c r="I756" t="s">
        <v>30</v>
      </c>
      <c r="J756" t="s">
        <v>61</v>
      </c>
      <c r="K756" t="s">
        <v>106</v>
      </c>
      <c r="L756" t="s">
        <v>62</v>
      </c>
      <c r="M756">
        <v>43</v>
      </c>
      <c r="N756" t="s">
        <v>45</v>
      </c>
      <c r="O756">
        <v>4</v>
      </c>
      <c r="P756">
        <v>2</v>
      </c>
      <c r="Q756">
        <v>3</v>
      </c>
      <c r="R756">
        <v>3</v>
      </c>
      <c r="S756">
        <v>5</v>
      </c>
      <c r="T756">
        <v>2</v>
      </c>
      <c r="U756">
        <v>11</v>
      </c>
      <c r="V756" t="s">
        <v>3498</v>
      </c>
      <c r="W756" t="s">
        <v>34</v>
      </c>
    </row>
    <row r="757" spans="1:24" x14ac:dyDescent="0.25">
      <c r="A757" t="s">
        <v>3499</v>
      </c>
      <c r="B757" t="s">
        <v>3500</v>
      </c>
      <c r="C757" t="s">
        <v>49</v>
      </c>
      <c r="D757">
        <v>25</v>
      </c>
      <c r="E757" t="s">
        <v>88</v>
      </c>
      <c r="F757" t="s">
        <v>164</v>
      </c>
      <c r="G757" t="s">
        <v>3501</v>
      </c>
      <c r="H757">
        <v>114607</v>
      </c>
      <c r="I757" t="s">
        <v>30</v>
      </c>
      <c r="J757" t="s">
        <v>61</v>
      </c>
      <c r="K757" t="s">
        <v>32</v>
      </c>
      <c r="L757" t="s">
        <v>43</v>
      </c>
      <c r="M757">
        <v>15</v>
      </c>
      <c r="N757" t="s">
        <v>34</v>
      </c>
      <c r="O757">
        <v>2</v>
      </c>
      <c r="P757">
        <v>3</v>
      </c>
      <c r="Q757">
        <v>1</v>
      </c>
      <c r="R757">
        <v>5</v>
      </c>
      <c r="S757">
        <v>6</v>
      </c>
      <c r="T757">
        <v>5</v>
      </c>
      <c r="U757">
        <v>16</v>
      </c>
      <c r="V757" t="s">
        <v>3502</v>
      </c>
      <c r="W757" t="s">
        <v>34</v>
      </c>
    </row>
    <row r="758" spans="1:24" x14ac:dyDescent="0.25">
      <c r="A758" t="s">
        <v>3503</v>
      </c>
      <c r="B758" t="s">
        <v>3504</v>
      </c>
      <c r="C758" t="s">
        <v>58</v>
      </c>
      <c r="D758">
        <v>36</v>
      </c>
      <c r="E758" t="s">
        <v>27</v>
      </c>
      <c r="F758" t="s">
        <v>75</v>
      </c>
      <c r="G758" t="s">
        <v>3505</v>
      </c>
      <c r="H758">
        <v>116469</v>
      </c>
      <c r="I758" t="s">
        <v>30</v>
      </c>
      <c r="J758" t="s">
        <v>97</v>
      </c>
      <c r="K758" t="s">
        <v>98</v>
      </c>
      <c r="L758" t="s">
        <v>43</v>
      </c>
      <c r="M758">
        <v>11</v>
      </c>
      <c r="N758" t="s">
        <v>34</v>
      </c>
      <c r="O758">
        <v>2</v>
      </c>
      <c r="P758">
        <v>4</v>
      </c>
      <c r="Q758">
        <v>4</v>
      </c>
      <c r="R758">
        <v>2</v>
      </c>
      <c r="S758">
        <v>0</v>
      </c>
      <c r="T758">
        <v>5</v>
      </c>
      <c r="U758">
        <v>16</v>
      </c>
      <c r="V758" t="s">
        <v>3506</v>
      </c>
      <c r="W758" t="s">
        <v>34</v>
      </c>
    </row>
    <row r="759" spans="1:24" x14ac:dyDescent="0.25">
      <c r="A759" t="s">
        <v>3507</v>
      </c>
      <c r="B759" t="s">
        <v>3508</v>
      </c>
      <c r="C759" t="s">
        <v>73</v>
      </c>
      <c r="D759">
        <v>50</v>
      </c>
      <c r="E759" t="s">
        <v>197</v>
      </c>
      <c r="F759" t="s">
        <v>884</v>
      </c>
      <c r="G759" t="s">
        <v>3509</v>
      </c>
      <c r="H759">
        <v>98836</v>
      </c>
      <c r="I759" t="s">
        <v>42</v>
      </c>
      <c r="J759" t="s">
        <v>31</v>
      </c>
      <c r="K759" t="s">
        <v>32</v>
      </c>
      <c r="L759" t="s">
        <v>33</v>
      </c>
      <c r="M759">
        <v>45</v>
      </c>
      <c r="N759" t="s">
        <v>45</v>
      </c>
      <c r="O759">
        <v>3</v>
      </c>
      <c r="P759">
        <v>4</v>
      </c>
      <c r="R759">
        <v>4</v>
      </c>
      <c r="S759">
        <v>1</v>
      </c>
      <c r="T759">
        <v>7</v>
      </c>
      <c r="U759">
        <v>23</v>
      </c>
      <c r="V759" t="s">
        <v>3510</v>
      </c>
      <c r="W759" t="s">
        <v>34</v>
      </c>
    </row>
    <row r="760" spans="1:24" x14ac:dyDescent="0.25">
      <c r="A760" t="s">
        <v>3511</v>
      </c>
      <c r="B760" t="s">
        <v>3512</v>
      </c>
      <c r="C760" t="s">
        <v>81</v>
      </c>
      <c r="D760">
        <v>29</v>
      </c>
      <c r="E760" t="s">
        <v>27</v>
      </c>
      <c r="F760" t="s">
        <v>75</v>
      </c>
      <c r="G760" t="s">
        <v>3513</v>
      </c>
      <c r="H760">
        <v>111738</v>
      </c>
      <c r="J760" t="s">
        <v>31</v>
      </c>
      <c r="K760" t="s">
        <v>131</v>
      </c>
      <c r="L760" t="s">
        <v>43</v>
      </c>
      <c r="M760">
        <v>20</v>
      </c>
      <c r="N760" t="s">
        <v>34</v>
      </c>
      <c r="O760">
        <v>2</v>
      </c>
      <c r="P760">
        <v>2</v>
      </c>
      <c r="Q760">
        <v>2</v>
      </c>
      <c r="R760">
        <v>3</v>
      </c>
      <c r="S760">
        <v>6</v>
      </c>
      <c r="T760">
        <v>7</v>
      </c>
      <c r="U760">
        <v>12</v>
      </c>
      <c r="V760" t="s">
        <v>3514</v>
      </c>
      <c r="W760" t="s">
        <v>34</v>
      </c>
    </row>
    <row r="761" spans="1:24" x14ac:dyDescent="0.25">
      <c r="A761" t="s">
        <v>3515</v>
      </c>
      <c r="B761" t="s">
        <v>3516</v>
      </c>
      <c r="C761" t="s">
        <v>102</v>
      </c>
      <c r="D761">
        <v>29</v>
      </c>
      <c r="E761" t="s">
        <v>554</v>
      </c>
      <c r="F761" t="s">
        <v>261</v>
      </c>
      <c r="G761" t="s">
        <v>3517</v>
      </c>
      <c r="H761">
        <v>121647</v>
      </c>
      <c r="I761" t="s">
        <v>30</v>
      </c>
      <c r="J761" t="s">
        <v>61</v>
      </c>
      <c r="K761" t="s">
        <v>83</v>
      </c>
      <c r="L761" t="s">
        <v>33</v>
      </c>
      <c r="M761">
        <v>20</v>
      </c>
      <c r="N761" t="s">
        <v>34</v>
      </c>
      <c r="O761">
        <v>4</v>
      </c>
      <c r="P761">
        <v>1</v>
      </c>
      <c r="Q761">
        <v>1</v>
      </c>
      <c r="R761">
        <v>1</v>
      </c>
      <c r="S761">
        <v>4</v>
      </c>
      <c r="T761">
        <v>2</v>
      </c>
      <c r="U761">
        <v>25</v>
      </c>
      <c r="V761" t="s">
        <v>3518</v>
      </c>
      <c r="W761" t="s">
        <v>34</v>
      </c>
    </row>
    <row r="762" spans="1:24" x14ac:dyDescent="0.25">
      <c r="A762" t="s">
        <v>3519</v>
      </c>
      <c r="B762" t="s">
        <v>3520</v>
      </c>
      <c r="C762" t="s">
        <v>67</v>
      </c>
      <c r="D762">
        <v>22</v>
      </c>
      <c r="E762" t="s">
        <v>128</v>
      </c>
      <c r="F762" t="s">
        <v>226</v>
      </c>
      <c r="G762" t="s">
        <v>3521</v>
      </c>
      <c r="H762">
        <v>105105</v>
      </c>
      <c r="I762" t="s">
        <v>52</v>
      </c>
      <c r="J762" t="s">
        <v>97</v>
      </c>
      <c r="K762" t="s">
        <v>83</v>
      </c>
      <c r="L762" t="s">
        <v>62</v>
      </c>
      <c r="M762">
        <v>11</v>
      </c>
      <c r="O762">
        <v>2</v>
      </c>
      <c r="P762">
        <v>4</v>
      </c>
      <c r="Q762">
        <v>1</v>
      </c>
      <c r="R762">
        <v>3</v>
      </c>
      <c r="S762">
        <v>6</v>
      </c>
      <c r="T762">
        <v>2</v>
      </c>
      <c r="U762">
        <v>13</v>
      </c>
      <c r="V762" t="s">
        <v>3522</v>
      </c>
      <c r="W762" t="s">
        <v>45</v>
      </c>
      <c r="X762" t="s">
        <v>3523</v>
      </c>
    </row>
    <row r="763" spans="1:24" x14ac:dyDescent="0.25">
      <c r="A763" t="s">
        <v>3524</v>
      </c>
      <c r="B763" t="s">
        <v>3525</v>
      </c>
      <c r="C763" t="s">
        <v>81</v>
      </c>
      <c r="D763">
        <v>41</v>
      </c>
      <c r="E763" t="s">
        <v>38</v>
      </c>
      <c r="F763" t="s">
        <v>792</v>
      </c>
      <c r="G763" t="s">
        <v>3526</v>
      </c>
      <c r="H763">
        <v>47907</v>
      </c>
      <c r="I763" t="s">
        <v>52</v>
      </c>
      <c r="J763" t="s">
        <v>53</v>
      </c>
      <c r="K763" t="s">
        <v>131</v>
      </c>
      <c r="L763" t="s">
        <v>62</v>
      </c>
      <c r="M763">
        <v>21</v>
      </c>
      <c r="N763" t="s">
        <v>34</v>
      </c>
      <c r="O763">
        <v>4</v>
      </c>
      <c r="P763">
        <v>3</v>
      </c>
      <c r="Q763">
        <v>4</v>
      </c>
      <c r="R763">
        <v>3</v>
      </c>
      <c r="S763">
        <v>4</v>
      </c>
      <c r="T763">
        <v>2</v>
      </c>
      <c r="U763">
        <v>11</v>
      </c>
      <c r="V763" t="s">
        <v>3527</v>
      </c>
      <c r="W763" t="s">
        <v>34</v>
      </c>
    </row>
    <row r="764" spans="1:24" x14ac:dyDescent="0.25">
      <c r="A764" t="s">
        <v>3528</v>
      </c>
      <c r="B764" t="s">
        <v>3529</v>
      </c>
      <c r="C764" t="s">
        <v>67</v>
      </c>
      <c r="D764">
        <v>32</v>
      </c>
      <c r="E764" t="s">
        <v>88</v>
      </c>
      <c r="F764" t="s">
        <v>89</v>
      </c>
      <c r="G764" t="s">
        <v>3530</v>
      </c>
      <c r="H764">
        <v>139467</v>
      </c>
      <c r="I764" t="s">
        <v>30</v>
      </c>
      <c r="J764" t="s">
        <v>61</v>
      </c>
      <c r="K764" t="s">
        <v>77</v>
      </c>
      <c r="L764" t="s">
        <v>43</v>
      </c>
      <c r="M764">
        <v>5</v>
      </c>
      <c r="N764" t="s">
        <v>34</v>
      </c>
      <c r="O764">
        <v>2</v>
      </c>
      <c r="P764">
        <v>4</v>
      </c>
      <c r="Q764">
        <v>3</v>
      </c>
      <c r="R764">
        <v>3</v>
      </c>
      <c r="T764">
        <v>1</v>
      </c>
      <c r="U764">
        <v>15</v>
      </c>
      <c r="V764" t="s">
        <v>3531</v>
      </c>
      <c r="W764" t="s">
        <v>34</v>
      </c>
    </row>
    <row r="765" spans="1:24" x14ac:dyDescent="0.25">
      <c r="A765" t="s">
        <v>3532</v>
      </c>
      <c r="B765" t="s">
        <v>3533</v>
      </c>
      <c r="C765" t="s">
        <v>26</v>
      </c>
      <c r="D765">
        <v>37</v>
      </c>
      <c r="E765" t="s">
        <v>27</v>
      </c>
      <c r="F765" t="s">
        <v>562</v>
      </c>
      <c r="G765" t="s">
        <v>2986</v>
      </c>
      <c r="H765">
        <v>86084</v>
      </c>
      <c r="I765" t="s">
        <v>30</v>
      </c>
      <c r="J765" t="s">
        <v>61</v>
      </c>
      <c r="K765" t="s">
        <v>106</v>
      </c>
      <c r="L765" t="s">
        <v>33</v>
      </c>
      <c r="M765">
        <v>5</v>
      </c>
      <c r="N765" t="s">
        <v>45</v>
      </c>
      <c r="O765">
        <v>2</v>
      </c>
      <c r="P765">
        <v>2</v>
      </c>
      <c r="Q765">
        <v>3</v>
      </c>
      <c r="R765">
        <v>3</v>
      </c>
      <c r="S765">
        <v>5</v>
      </c>
      <c r="T765">
        <v>4</v>
      </c>
      <c r="U765">
        <v>20</v>
      </c>
      <c r="V765" t="s">
        <v>3534</v>
      </c>
      <c r="W765" t="s">
        <v>45</v>
      </c>
      <c r="X765" t="s">
        <v>1598</v>
      </c>
    </row>
    <row r="766" spans="1:24" x14ac:dyDescent="0.25">
      <c r="A766" t="s">
        <v>3535</v>
      </c>
      <c r="B766" t="s">
        <v>3536</v>
      </c>
      <c r="C766" t="s">
        <v>26</v>
      </c>
      <c r="D766">
        <v>45</v>
      </c>
      <c r="E766" t="s">
        <v>88</v>
      </c>
      <c r="F766" t="s">
        <v>483</v>
      </c>
      <c r="G766" t="s">
        <v>3537</v>
      </c>
      <c r="H766">
        <v>106625</v>
      </c>
      <c r="I766" t="s">
        <v>52</v>
      </c>
      <c r="J766" t="s">
        <v>97</v>
      </c>
      <c r="K766" t="s">
        <v>77</v>
      </c>
      <c r="L766" t="s">
        <v>33</v>
      </c>
      <c r="M766">
        <v>29</v>
      </c>
      <c r="N766" t="s">
        <v>45</v>
      </c>
      <c r="O766">
        <v>2</v>
      </c>
      <c r="P766">
        <v>1</v>
      </c>
      <c r="Q766">
        <v>4</v>
      </c>
      <c r="R766">
        <v>3</v>
      </c>
      <c r="S766">
        <v>4</v>
      </c>
      <c r="T766">
        <v>2</v>
      </c>
      <c r="U766">
        <v>15</v>
      </c>
      <c r="V766" t="s">
        <v>3538</v>
      </c>
      <c r="W766" t="s">
        <v>45</v>
      </c>
      <c r="X766" t="s">
        <v>3539</v>
      </c>
    </row>
    <row r="767" spans="1:24" x14ac:dyDescent="0.25">
      <c r="A767" t="s">
        <v>3540</v>
      </c>
      <c r="B767" t="s">
        <v>3541</v>
      </c>
      <c r="D767">
        <v>30</v>
      </c>
      <c r="E767" t="s">
        <v>27</v>
      </c>
      <c r="F767" t="s">
        <v>281</v>
      </c>
      <c r="G767" t="s">
        <v>3542</v>
      </c>
      <c r="H767">
        <v>82761</v>
      </c>
      <c r="J767" t="s">
        <v>31</v>
      </c>
      <c r="K767" t="s">
        <v>98</v>
      </c>
      <c r="L767" t="s">
        <v>33</v>
      </c>
      <c r="M767">
        <v>28</v>
      </c>
      <c r="N767" t="s">
        <v>34</v>
      </c>
      <c r="O767">
        <v>3</v>
      </c>
      <c r="P767">
        <v>2</v>
      </c>
      <c r="Q767">
        <v>3</v>
      </c>
      <c r="R767">
        <v>4</v>
      </c>
      <c r="S767">
        <v>6</v>
      </c>
      <c r="T767">
        <v>0</v>
      </c>
      <c r="U767">
        <v>22</v>
      </c>
      <c r="V767" t="s">
        <v>3543</v>
      </c>
      <c r="W767" t="s">
        <v>34</v>
      </c>
    </row>
    <row r="768" spans="1:24" x14ac:dyDescent="0.25">
      <c r="A768" t="s">
        <v>3544</v>
      </c>
      <c r="B768" t="s">
        <v>3545</v>
      </c>
      <c r="C768" t="s">
        <v>73</v>
      </c>
      <c r="D768">
        <v>49</v>
      </c>
      <c r="E768" t="s">
        <v>128</v>
      </c>
      <c r="F768" t="s">
        <v>271</v>
      </c>
      <c r="G768" t="s">
        <v>3546</v>
      </c>
      <c r="H768" t="s">
        <v>3547</v>
      </c>
      <c r="I768" t="s">
        <v>30</v>
      </c>
      <c r="J768" t="s">
        <v>61</v>
      </c>
      <c r="K768" t="s">
        <v>83</v>
      </c>
      <c r="L768" t="s">
        <v>62</v>
      </c>
      <c r="M768">
        <v>29</v>
      </c>
      <c r="O768">
        <v>2</v>
      </c>
      <c r="P768">
        <v>3</v>
      </c>
      <c r="Q768">
        <v>1</v>
      </c>
      <c r="R768">
        <v>3</v>
      </c>
      <c r="S768">
        <v>2</v>
      </c>
      <c r="T768">
        <v>2</v>
      </c>
      <c r="U768">
        <v>19</v>
      </c>
      <c r="V768" t="s">
        <v>3548</v>
      </c>
      <c r="W768" t="s">
        <v>45</v>
      </c>
      <c r="X768" t="s">
        <v>3549</v>
      </c>
    </row>
    <row r="769" spans="1:24" x14ac:dyDescent="0.25">
      <c r="A769" t="s">
        <v>3550</v>
      </c>
      <c r="B769" t="s">
        <v>3551</v>
      </c>
      <c r="C769" t="s">
        <v>58</v>
      </c>
      <c r="D769">
        <v>47</v>
      </c>
      <c r="E769" t="s">
        <v>629</v>
      </c>
      <c r="F769" t="s">
        <v>226</v>
      </c>
      <c r="G769" t="s">
        <v>3552</v>
      </c>
      <c r="H769">
        <v>44320</v>
      </c>
      <c r="I769" t="s">
        <v>42</v>
      </c>
      <c r="J769" t="s">
        <v>31</v>
      </c>
      <c r="K769" t="s">
        <v>77</v>
      </c>
      <c r="L769" t="s">
        <v>62</v>
      </c>
      <c r="M769">
        <v>29</v>
      </c>
      <c r="N769" t="s">
        <v>34</v>
      </c>
      <c r="O769">
        <v>4</v>
      </c>
      <c r="P769">
        <v>3</v>
      </c>
      <c r="Q769">
        <v>1</v>
      </c>
      <c r="R769">
        <v>4</v>
      </c>
      <c r="S769">
        <v>0</v>
      </c>
      <c r="U769">
        <v>16</v>
      </c>
      <c r="V769" t="s">
        <v>3553</v>
      </c>
      <c r="W769" t="s">
        <v>34</v>
      </c>
    </row>
    <row r="770" spans="1:24" x14ac:dyDescent="0.25">
      <c r="A770" t="s">
        <v>3554</v>
      </c>
      <c r="B770" t="s">
        <v>3555</v>
      </c>
      <c r="C770" t="s">
        <v>26</v>
      </c>
      <c r="D770">
        <v>35</v>
      </c>
      <c r="E770" t="s">
        <v>122</v>
      </c>
      <c r="F770" t="s">
        <v>123</v>
      </c>
      <c r="G770" t="s">
        <v>3342</v>
      </c>
      <c r="H770" t="s">
        <v>3556</v>
      </c>
      <c r="I770" t="s">
        <v>42</v>
      </c>
      <c r="J770" t="s">
        <v>31</v>
      </c>
      <c r="K770" t="s">
        <v>200</v>
      </c>
      <c r="L770" t="s">
        <v>62</v>
      </c>
      <c r="M770">
        <v>24</v>
      </c>
      <c r="N770" t="s">
        <v>45</v>
      </c>
      <c r="O770">
        <v>3</v>
      </c>
      <c r="P770">
        <v>1</v>
      </c>
      <c r="Q770">
        <v>2</v>
      </c>
      <c r="R770">
        <v>4</v>
      </c>
      <c r="S770">
        <v>0</v>
      </c>
      <c r="T770">
        <v>5</v>
      </c>
      <c r="U770">
        <v>15</v>
      </c>
      <c r="V770" t="s">
        <v>3557</v>
      </c>
      <c r="W770" t="s">
        <v>34</v>
      </c>
    </row>
    <row r="771" spans="1:24" x14ac:dyDescent="0.25">
      <c r="A771" t="s">
        <v>3558</v>
      </c>
      <c r="B771" t="s">
        <v>3559</v>
      </c>
      <c r="C771" t="s">
        <v>87</v>
      </c>
      <c r="D771">
        <v>29</v>
      </c>
      <c r="E771" t="s">
        <v>88</v>
      </c>
      <c r="F771" t="s">
        <v>89</v>
      </c>
      <c r="G771" t="s">
        <v>3560</v>
      </c>
      <c r="H771" t="s">
        <v>3561</v>
      </c>
      <c r="I771" t="s">
        <v>52</v>
      </c>
      <c r="J771" t="s">
        <v>31</v>
      </c>
      <c r="K771" t="s">
        <v>83</v>
      </c>
      <c r="L771" t="s">
        <v>43</v>
      </c>
      <c r="M771">
        <v>31</v>
      </c>
      <c r="N771" t="s">
        <v>45</v>
      </c>
      <c r="O771">
        <v>2</v>
      </c>
      <c r="P771">
        <v>3</v>
      </c>
      <c r="Q771">
        <v>4</v>
      </c>
      <c r="R771">
        <v>1</v>
      </c>
      <c r="S771">
        <v>2</v>
      </c>
      <c r="T771">
        <v>3</v>
      </c>
      <c r="U771">
        <v>24</v>
      </c>
      <c r="V771" t="s">
        <v>3562</v>
      </c>
      <c r="W771" t="s">
        <v>45</v>
      </c>
      <c r="X771" t="s">
        <v>3563</v>
      </c>
    </row>
    <row r="772" spans="1:24" x14ac:dyDescent="0.25">
      <c r="A772" t="s">
        <v>3564</v>
      </c>
      <c r="B772" t="s">
        <v>3565</v>
      </c>
      <c r="C772" t="s">
        <v>102</v>
      </c>
      <c r="D772">
        <v>40</v>
      </c>
      <c r="E772" t="s">
        <v>88</v>
      </c>
      <c r="F772" t="s">
        <v>141</v>
      </c>
      <c r="G772" t="s">
        <v>3566</v>
      </c>
      <c r="H772">
        <v>123722</v>
      </c>
      <c r="I772" t="s">
        <v>42</v>
      </c>
      <c r="J772" t="s">
        <v>31</v>
      </c>
      <c r="K772" t="s">
        <v>113</v>
      </c>
      <c r="L772" t="s">
        <v>43</v>
      </c>
      <c r="M772">
        <v>19</v>
      </c>
      <c r="N772" t="s">
        <v>34</v>
      </c>
      <c r="O772">
        <v>4</v>
      </c>
      <c r="P772">
        <v>2</v>
      </c>
      <c r="Q772">
        <v>4</v>
      </c>
      <c r="R772">
        <v>2</v>
      </c>
      <c r="S772">
        <v>5</v>
      </c>
      <c r="T772">
        <v>2</v>
      </c>
      <c r="U772">
        <v>21</v>
      </c>
      <c r="V772" t="s">
        <v>3567</v>
      </c>
      <c r="W772" t="s">
        <v>34</v>
      </c>
    </row>
    <row r="773" spans="1:24" x14ac:dyDescent="0.25">
      <c r="A773" t="s">
        <v>3568</v>
      </c>
      <c r="B773" t="s">
        <v>3569</v>
      </c>
      <c r="C773" t="s">
        <v>26</v>
      </c>
      <c r="D773">
        <v>30</v>
      </c>
      <c r="E773" t="s">
        <v>128</v>
      </c>
      <c r="F773" t="s">
        <v>123</v>
      </c>
      <c r="G773" t="s">
        <v>3570</v>
      </c>
      <c r="H773">
        <v>62103</v>
      </c>
      <c r="I773" t="s">
        <v>52</v>
      </c>
      <c r="J773" t="s">
        <v>31</v>
      </c>
      <c r="K773" t="s">
        <v>200</v>
      </c>
      <c r="L773" t="s">
        <v>62</v>
      </c>
      <c r="M773">
        <v>21</v>
      </c>
      <c r="N773" t="s">
        <v>34</v>
      </c>
      <c r="O773">
        <v>4</v>
      </c>
      <c r="Q773">
        <v>3</v>
      </c>
      <c r="R773">
        <v>3</v>
      </c>
      <c r="S773">
        <v>1</v>
      </c>
      <c r="T773">
        <v>0</v>
      </c>
      <c r="U773">
        <v>21</v>
      </c>
      <c r="W773" t="s">
        <v>34</v>
      </c>
    </row>
    <row r="774" spans="1:24" x14ac:dyDescent="0.25">
      <c r="A774" t="s">
        <v>3571</v>
      </c>
      <c r="B774" t="s">
        <v>3572</v>
      </c>
      <c r="C774" t="s">
        <v>73</v>
      </c>
      <c r="D774">
        <v>43</v>
      </c>
      <c r="E774" t="s">
        <v>412</v>
      </c>
      <c r="F774" t="s">
        <v>945</v>
      </c>
      <c r="G774" t="s">
        <v>3573</v>
      </c>
      <c r="H774">
        <v>63638</v>
      </c>
      <c r="I774" t="s">
        <v>30</v>
      </c>
      <c r="J774" t="s">
        <v>31</v>
      </c>
      <c r="K774" t="s">
        <v>98</v>
      </c>
      <c r="L774" t="s">
        <v>43</v>
      </c>
      <c r="M774">
        <v>5</v>
      </c>
      <c r="N774" t="s">
        <v>34</v>
      </c>
      <c r="O774">
        <v>4</v>
      </c>
      <c r="P774">
        <v>2</v>
      </c>
      <c r="Q774">
        <v>2</v>
      </c>
      <c r="R774">
        <v>3</v>
      </c>
      <c r="S774">
        <v>6</v>
      </c>
      <c r="T774">
        <v>0</v>
      </c>
      <c r="U774">
        <v>14</v>
      </c>
      <c r="V774" t="s">
        <v>3574</v>
      </c>
      <c r="W774" t="s">
        <v>34</v>
      </c>
    </row>
    <row r="775" spans="1:24" x14ac:dyDescent="0.25">
      <c r="A775" t="s">
        <v>3575</v>
      </c>
      <c r="B775" t="s">
        <v>3576</v>
      </c>
      <c r="C775" t="s">
        <v>67</v>
      </c>
      <c r="D775">
        <v>49</v>
      </c>
      <c r="E775" t="s">
        <v>38</v>
      </c>
      <c r="F775" t="s">
        <v>136</v>
      </c>
      <c r="G775" t="s">
        <v>3577</v>
      </c>
      <c r="H775" t="s">
        <v>3578</v>
      </c>
      <c r="I775" t="s">
        <v>52</v>
      </c>
      <c r="K775" t="s">
        <v>106</v>
      </c>
      <c r="L775" t="s">
        <v>62</v>
      </c>
      <c r="N775" t="s">
        <v>34</v>
      </c>
      <c r="O775">
        <v>1</v>
      </c>
      <c r="P775">
        <v>1</v>
      </c>
      <c r="Q775">
        <v>2</v>
      </c>
      <c r="R775">
        <v>4</v>
      </c>
      <c r="S775">
        <v>2</v>
      </c>
      <c r="T775">
        <v>1</v>
      </c>
      <c r="U775">
        <v>12</v>
      </c>
      <c r="V775" t="s">
        <v>3579</v>
      </c>
      <c r="W775" t="s">
        <v>34</v>
      </c>
    </row>
    <row r="776" spans="1:24" x14ac:dyDescent="0.25">
      <c r="A776" t="s">
        <v>3580</v>
      </c>
      <c r="B776" t="s">
        <v>3581</v>
      </c>
      <c r="C776" t="s">
        <v>58</v>
      </c>
      <c r="D776">
        <v>59</v>
      </c>
      <c r="E776" t="s">
        <v>94</v>
      </c>
      <c r="F776" t="s">
        <v>1013</v>
      </c>
      <c r="G776" t="s">
        <v>3582</v>
      </c>
      <c r="H776" t="s">
        <v>3583</v>
      </c>
      <c r="I776" t="s">
        <v>42</v>
      </c>
      <c r="J776" t="s">
        <v>97</v>
      </c>
      <c r="K776" t="s">
        <v>83</v>
      </c>
      <c r="L776" t="s">
        <v>43</v>
      </c>
      <c r="M776">
        <v>44</v>
      </c>
      <c r="N776" t="s">
        <v>34</v>
      </c>
      <c r="O776">
        <v>1</v>
      </c>
      <c r="P776">
        <v>1</v>
      </c>
      <c r="Q776">
        <v>3</v>
      </c>
      <c r="R776">
        <v>3</v>
      </c>
      <c r="S776">
        <v>0</v>
      </c>
      <c r="T776">
        <v>1</v>
      </c>
      <c r="U776">
        <v>23</v>
      </c>
      <c r="V776" t="s">
        <v>3584</v>
      </c>
      <c r="W776" t="s">
        <v>34</v>
      </c>
    </row>
    <row r="777" spans="1:24" x14ac:dyDescent="0.25">
      <c r="A777" t="s">
        <v>3585</v>
      </c>
      <c r="B777" t="s">
        <v>3586</v>
      </c>
      <c r="C777" t="s">
        <v>26</v>
      </c>
      <c r="D777">
        <v>57</v>
      </c>
      <c r="E777" t="s">
        <v>27</v>
      </c>
      <c r="F777" t="s">
        <v>75</v>
      </c>
      <c r="G777" t="s">
        <v>3587</v>
      </c>
      <c r="H777" t="s">
        <v>3588</v>
      </c>
      <c r="I777" t="s">
        <v>30</v>
      </c>
      <c r="J777" t="s">
        <v>61</v>
      </c>
      <c r="K777" t="s">
        <v>77</v>
      </c>
      <c r="L777" t="s">
        <v>43</v>
      </c>
      <c r="M777">
        <v>9</v>
      </c>
      <c r="N777" t="s">
        <v>34</v>
      </c>
      <c r="P777">
        <v>3</v>
      </c>
      <c r="Q777">
        <v>3</v>
      </c>
      <c r="R777">
        <v>2</v>
      </c>
      <c r="S777">
        <v>1</v>
      </c>
      <c r="T777">
        <v>3</v>
      </c>
      <c r="U777">
        <v>24</v>
      </c>
      <c r="V777" t="s">
        <v>3589</v>
      </c>
      <c r="W777" t="s">
        <v>34</v>
      </c>
    </row>
    <row r="778" spans="1:24" x14ac:dyDescent="0.25">
      <c r="A778" t="s">
        <v>3590</v>
      </c>
      <c r="B778" t="s">
        <v>2122</v>
      </c>
      <c r="C778" t="s">
        <v>58</v>
      </c>
      <c r="D778">
        <v>27</v>
      </c>
      <c r="E778" t="s">
        <v>128</v>
      </c>
      <c r="F778" t="s">
        <v>271</v>
      </c>
      <c r="G778" t="s">
        <v>3591</v>
      </c>
      <c r="H778">
        <v>101744</v>
      </c>
      <c r="I778" t="s">
        <v>42</v>
      </c>
      <c r="J778" t="s">
        <v>31</v>
      </c>
      <c r="K778" t="s">
        <v>77</v>
      </c>
      <c r="L778" t="s">
        <v>43</v>
      </c>
      <c r="M778">
        <v>14</v>
      </c>
      <c r="N778" t="s">
        <v>34</v>
      </c>
      <c r="O778">
        <v>4</v>
      </c>
      <c r="P778">
        <v>2</v>
      </c>
      <c r="Q778">
        <v>2</v>
      </c>
      <c r="R778">
        <v>2</v>
      </c>
      <c r="S778">
        <v>4</v>
      </c>
      <c r="T778">
        <v>8</v>
      </c>
      <c r="U778">
        <v>13</v>
      </c>
      <c r="V778" t="s">
        <v>3592</v>
      </c>
      <c r="W778" t="s">
        <v>34</v>
      </c>
    </row>
    <row r="779" spans="1:24" x14ac:dyDescent="0.25">
      <c r="A779" t="s">
        <v>3593</v>
      </c>
      <c r="B779" t="s">
        <v>3594</v>
      </c>
      <c r="C779" t="s">
        <v>73</v>
      </c>
      <c r="D779">
        <v>23</v>
      </c>
      <c r="E779" t="s">
        <v>27</v>
      </c>
      <c r="F779" t="s">
        <v>59</v>
      </c>
      <c r="G779" t="s">
        <v>3595</v>
      </c>
      <c r="H779">
        <v>52083</v>
      </c>
      <c r="I779" t="s">
        <v>30</v>
      </c>
      <c r="J779" t="s">
        <v>97</v>
      </c>
      <c r="K779" t="s">
        <v>106</v>
      </c>
      <c r="M779">
        <v>3</v>
      </c>
      <c r="N779" t="s">
        <v>45</v>
      </c>
      <c r="O779">
        <v>2</v>
      </c>
      <c r="P779">
        <v>3</v>
      </c>
      <c r="Q779">
        <v>4</v>
      </c>
      <c r="R779">
        <v>5</v>
      </c>
      <c r="S779">
        <v>5</v>
      </c>
      <c r="T779">
        <v>6</v>
      </c>
      <c r="U779">
        <v>25</v>
      </c>
      <c r="V779" t="s">
        <v>3596</v>
      </c>
      <c r="W779" t="s">
        <v>34</v>
      </c>
    </row>
    <row r="780" spans="1:24" x14ac:dyDescent="0.25">
      <c r="A780" t="s">
        <v>3597</v>
      </c>
      <c r="B780" t="s">
        <v>3598</v>
      </c>
      <c r="C780" t="s">
        <v>102</v>
      </c>
      <c r="D780">
        <v>45</v>
      </c>
      <c r="E780" t="s">
        <v>94</v>
      </c>
      <c r="F780" t="s">
        <v>1112</v>
      </c>
      <c r="G780" t="s">
        <v>3599</v>
      </c>
      <c r="H780">
        <v>115158</v>
      </c>
      <c r="J780" t="s">
        <v>31</v>
      </c>
      <c r="K780" t="s">
        <v>106</v>
      </c>
      <c r="L780" t="s">
        <v>33</v>
      </c>
      <c r="M780">
        <v>28</v>
      </c>
      <c r="N780" t="s">
        <v>34</v>
      </c>
      <c r="O780">
        <v>3</v>
      </c>
      <c r="R780">
        <v>2</v>
      </c>
      <c r="S780">
        <v>3</v>
      </c>
      <c r="T780">
        <v>7</v>
      </c>
      <c r="U780">
        <v>22</v>
      </c>
      <c r="V780" t="s">
        <v>3600</v>
      </c>
      <c r="W780" t="s">
        <v>34</v>
      </c>
    </row>
    <row r="781" spans="1:24" x14ac:dyDescent="0.25">
      <c r="A781" t="s">
        <v>3601</v>
      </c>
      <c r="B781" t="s">
        <v>3602</v>
      </c>
      <c r="C781" t="s">
        <v>81</v>
      </c>
      <c r="D781">
        <v>28</v>
      </c>
      <c r="E781" t="s">
        <v>27</v>
      </c>
      <c r="F781" t="s">
        <v>172</v>
      </c>
      <c r="G781" t="s">
        <v>3603</v>
      </c>
      <c r="H781">
        <v>100359</v>
      </c>
      <c r="I781" t="s">
        <v>52</v>
      </c>
      <c r="J781" t="s">
        <v>31</v>
      </c>
      <c r="K781" t="s">
        <v>77</v>
      </c>
      <c r="L781" t="s">
        <v>43</v>
      </c>
      <c r="M781">
        <v>19</v>
      </c>
      <c r="N781" t="s">
        <v>45</v>
      </c>
      <c r="O781">
        <v>1</v>
      </c>
      <c r="P781">
        <v>1</v>
      </c>
      <c r="Q781">
        <v>1</v>
      </c>
      <c r="R781">
        <v>3</v>
      </c>
      <c r="S781">
        <v>0</v>
      </c>
      <c r="T781">
        <v>1</v>
      </c>
      <c r="U781">
        <v>16</v>
      </c>
      <c r="V781" t="s">
        <v>3604</v>
      </c>
      <c r="W781" t="s">
        <v>45</v>
      </c>
      <c r="X781" t="s">
        <v>3605</v>
      </c>
    </row>
    <row r="782" spans="1:24" x14ac:dyDescent="0.25">
      <c r="A782" t="s">
        <v>3606</v>
      </c>
      <c r="B782" t="s">
        <v>3607</v>
      </c>
      <c r="C782" t="s">
        <v>67</v>
      </c>
      <c r="D782">
        <v>30</v>
      </c>
      <c r="E782" t="s">
        <v>457</v>
      </c>
      <c r="F782" t="s">
        <v>75</v>
      </c>
      <c r="G782" t="s">
        <v>3608</v>
      </c>
      <c r="H782">
        <v>80843</v>
      </c>
      <c r="I782" t="s">
        <v>52</v>
      </c>
      <c r="J782" t="s">
        <v>31</v>
      </c>
      <c r="K782" t="s">
        <v>200</v>
      </c>
      <c r="L782" t="s">
        <v>62</v>
      </c>
      <c r="M782">
        <v>16</v>
      </c>
      <c r="N782" t="s">
        <v>34</v>
      </c>
      <c r="O782">
        <v>3</v>
      </c>
      <c r="P782">
        <v>1</v>
      </c>
      <c r="Q782">
        <v>1</v>
      </c>
      <c r="R782">
        <v>4</v>
      </c>
      <c r="S782">
        <v>6</v>
      </c>
      <c r="T782">
        <v>1</v>
      </c>
      <c r="U782">
        <v>15</v>
      </c>
      <c r="V782" t="s">
        <v>3609</v>
      </c>
      <c r="W782" t="s">
        <v>34</v>
      </c>
    </row>
    <row r="783" spans="1:24" x14ac:dyDescent="0.25">
      <c r="A783" t="s">
        <v>3610</v>
      </c>
      <c r="B783" t="s">
        <v>3611</v>
      </c>
      <c r="C783" t="s">
        <v>87</v>
      </c>
      <c r="D783">
        <v>37</v>
      </c>
      <c r="E783" t="s">
        <v>1166</v>
      </c>
      <c r="F783" t="s">
        <v>573</v>
      </c>
      <c r="G783" t="s">
        <v>3612</v>
      </c>
      <c r="H783">
        <v>69719</v>
      </c>
      <c r="I783" t="s">
        <v>30</v>
      </c>
      <c r="J783" t="s">
        <v>31</v>
      </c>
      <c r="K783" t="s">
        <v>106</v>
      </c>
      <c r="L783" t="s">
        <v>43</v>
      </c>
      <c r="M783">
        <v>17</v>
      </c>
      <c r="N783" t="s">
        <v>34</v>
      </c>
      <c r="O783">
        <v>3</v>
      </c>
      <c r="P783">
        <v>3</v>
      </c>
      <c r="Q783">
        <v>3</v>
      </c>
      <c r="R783">
        <v>3</v>
      </c>
      <c r="S783">
        <v>0</v>
      </c>
      <c r="T783">
        <v>7</v>
      </c>
      <c r="U783">
        <v>23</v>
      </c>
      <c r="V783" t="s">
        <v>3613</v>
      </c>
      <c r="W783" t="s">
        <v>34</v>
      </c>
    </row>
    <row r="784" spans="1:24" x14ac:dyDescent="0.25">
      <c r="A784" t="s">
        <v>3614</v>
      </c>
      <c r="B784" t="s">
        <v>3615</v>
      </c>
      <c r="C784" t="s">
        <v>67</v>
      </c>
      <c r="D784">
        <v>31</v>
      </c>
      <c r="E784" t="s">
        <v>122</v>
      </c>
      <c r="F784" t="s">
        <v>123</v>
      </c>
      <c r="G784" t="s">
        <v>3616</v>
      </c>
      <c r="H784">
        <v>94246</v>
      </c>
      <c r="I784" t="s">
        <v>30</v>
      </c>
      <c r="J784" t="s">
        <v>53</v>
      </c>
      <c r="K784" t="s">
        <v>113</v>
      </c>
      <c r="M784">
        <v>16</v>
      </c>
      <c r="N784" t="s">
        <v>34</v>
      </c>
      <c r="P784">
        <v>3</v>
      </c>
      <c r="Q784">
        <v>2</v>
      </c>
      <c r="R784">
        <v>3</v>
      </c>
      <c r="S784">
        <v>3</v>
      </c>
      <c r="T784">
        <v>5</v>
      </c>
      <c r="U784">
        <v>25</v>
      </c>
      <c r="V784" t="s">
        <v>3617</v>
      </c>
      <c r="W784" t="s">
        <v>34</v>
      </c>
    </row>
    <row r="785" spans="1:24" x14ac:dyDescent="0.25">
      <c r="A785" t="s">
        <v>3618</v>
      </c>
      <c r="B785" t="s">
        <v>3619</v>
      </c>
      <c r="C785" t="s">
        <v>26</v>
      </c>
      <c r="D785">
        <v>36</v>
      </c>
      <c r="E785" t="s">
        <v>128</v>
      </c>
      <c r="F785" t="s">
        <v>123</v>
      </c>
      <c r="G785" t="s">
        <v>3620</v>
      </c>
      <c r="H785">
        <v>71077</v>
      </c>
      <c r="I785" t="s">
        <v>30</v>
      </c>
      <c r="J785" t="s">
        <v>31</v>
      </c>
      <c r="K785" t="s">
        <v>98</v>
      </c>
      <c r="L785" t="s">
        <v>33</v>
      </c>
      <c r="M785">
        <v>14</v>
      </c>
      <c r="N785" t="s">
        <v>45</v>
      </c>
      <c r="O785">
        <v>2</v>
      </c>
      <c r="P785">
        <v>3</v>
      </c>
      <c r="R785">
        <v>3</v>
      </c>
      <c r="S785">
        <v>4</v>
      </c>
      <c r="T785">
        <v>2</v>
      </c>
      <c r="U785">
        <v>25</v>
      </c>
      <c r="V785" t="s">
        <v>3621</v>
      </c>
      <c r="W785" t="s">
        <v>45</v>
      </c>
      <c r="X785" t="s">
        <v>3622</v>
      </c>
    </row>
    <row r="786" spans="1:24" x14ac:dyDescent="0.25">
      <c r="A786" t="s">
        <v>3623</v>
      </c>
      <c r="B786" t="s">
        <v>3624</v>
      </c>
      <c r="C786" t="s">
        <v>67</v>
      </c>
      <c r="D786">
        <v>38</v>
      </c>
      <c r="E786" t="s">
        <v>27</v>
      </c>
      <c r="F786" t="s">
        <v>75</v>
      </c>
      <c r="G786" t="s">
        <v>3625</v>
      </c>
      <c r="H786">
        <v>96056</v>
      </c>
      <c r="I786" t="s">
        <v>52</v>
      </c>
      <c r="J786" t="s">
        <v>31</v>
      </c>
      <c r="K786" t="s">
        <v>167</v>
      </c>
      <c r="L786" t="s">
        <v>43</v>
      </c>
      <c r="M786">
        <v>14</v>
      </c>
      <c r="O786">
        <v>1</v>
      </c>
      <c r="P786">
        <v>3</v>
      </c>
      <c r="Q786">
        <v>4</v>
      </c>
      <c r="R786">
        <v>1</v>
      </c>
      <c r="T786">
        <v>4</v>
      </c>
      <c r="U786">
        <v>24</v>
      </c>
      <c r="V786" t="s">
        <v>3626</v>
      </c>
      <c r="W786" t="s">
        <v>34</v>
      </c>
    </row>
    <row r="787" spans="1:24" x14ac:dyDescent="0.25">
      <c r="A787" t="s">
        <v>3627</v>
      </c>
      <c r="B787" t="s">
        <v>3628</v>
      </c>
      <c r="C787" t="s">
        <v>73</v>
      </c>
      <c r="D787">
        <v>43</v>
      </c>
      <c r="E787" t="s">
        <v>128</v>
      </c>
      <c r="F787" t="s">
        <v>271</v>
      </c>
      <c r="G787" t="s">
        <v>3629</v>
      </c>
      <c r="H787">
        <v>80214</v>
      </c>
      <c r="I787" t="s">
        <v>42</v>
      </c>
      <c r="J787" t="s">
        <v>31</v>
      </c>
      <c r="K787" t="s">
        <v>113</v>
      </c>
      <c r="L787" t="s">
        <v>62</v>
      </c>
      <c r="M787">
        <v>38</v>
      </c>
      <c r="N787" t="s">
        <v>45</v>
      </c>
      <c r="O787">
        <v>3</v>
      </c>
      <c r="P787">
        <v>1</v>
      </c>
      <c r="Q787">
        <v>2</v>
      </c>
      <c r="R787">
        <v>1</v>
      </c>
      <c r="S787">
        <v>2</v>
      </c>
      <c r="T787">
        <v>3</v>
      </c>
      <c r="U787">
        <v>18</v>
      </c>
      <c r="V787" t="s">
        <v>3630</v>
      </c>
      <c r="W787" t="s">
        <v>45</v>
      </c>
      <c r="X787" t="s">
        <v>3631</v>
      </c>
    </row>
    <row r="788" spans="1:24" x14ac:dyDescent="0.25">
      <c r="A788" t="s">
        <v>3632</v>
      </c>
      <c r="B788" t="s">
        <v>3633</v>
      </c>
      <c r="C788" t="s">
        <v>49</v>
      </c>
      <c r="D788">
        <v>35</v>
      </c>
      <c r="E788" t="s">
        <v>88</v>
      </c>
      <c r="G788" t="s">
        <v>3634</v>
      </c>
      <c r="H788" t="s">
        <v>3635</v>
      </c>
      <c r="I788" t="s">
        <v>42</v>
      </c>
      <c r="J788" t="s">
        <v>31</v>
      </c>
      <c r="K788" t="s">
        <v>83</v>
      </c>
      <c r="L788" t="s">
        <v>33</v>
      </c>
      <c r="M788">
        <v>29</v>
      </c>
      <c r="P788">
        <v>1</v>
      </c>
      <c r="Q788">
        <v>1</v>
      </c>
      <c r="R788">
        <v>3</v>
      </c>
      <c r="S788">
        <v>6</v>
      </c>
      <c r="T788">
        <v>2</v>
      </c>
      <c r="U788">
        <v>18</v>
      </c>
      <c r="V788" t="s">
        <v>3636</v>
      </c>
      <c r="W788" t="s">
        <v>45</v>
      </c>
      <c r="X788" t="s">
        <v>3637</v>
      </c>
    </row>
    <row r="789" spans="1:24" x14ac:dyDescent="0.25">
      <c r="A789" t="s">
        <v>3638</v>
      </c>
      <c r="B789" t="s">
        <v>3639</v>
      </c>
      <c r="C789" t="s">
        <v>26</v>
      </c>
      <c r="D789">
        <v>34</v>
      </c>
      <c r="E789" t="s">
        <v>38</v>
      </c>
      <c r="F789" t="s">
        <v>3640</v>
      </c>
      <c r="G789" t="s">
        <v>3641</v>
      </c>
      <c r="H789">
        <v>80380</v>
      </c>
      <c r="I789" t="s">
        <v>30</v>
      </c>
      <c r="J789" t="s">
        <v>61</v>
      </c>
      <c r="K789" t="s">
        <v>106</v>
      </c>
      <c r="L789" t="s">
        <v>62</v>
      </c>
      <c r="M789">
        <v>11</v>
      </c>
      <c r="N789" t="s">
        <v>34</v>
      </c>
      <c r="O789">
        <v>3</v>
      </c>
      <c r="P789">
        <v>2</v>
      </c>
      <c r="Q789">
        <v>4</v>
      </c>
      <c r="R789">
        <v>5</v>
      </c>
      <c r="S789">
        <v>0</v>
      </c>
      <c r="T789">
        <v>5</v>
      </c>
      <c r="U789">
        <v>18</v>
      </c>
      <c r="V789" t="s">
        <v>3642</v>
      </c>
      <c r="W789" t="s">
        <v>34</v>
      </c>
    </row>
    <row r="790" spans="1:24" x14ac:dyDescent="0.25">
      <c r="A790" t="s">
        <v>3643</v>
      </c>
      <c r="B790" t="s">
        <v>3644</v>
      </c>
      <c r="C790" t="s">
        <v>81</v>
      </c>
      <c r="D790">
        <v>51</v>
      </c>
      <c r="F790" t="s">
        <v>286</v>
      </c>
      <c r="G790" t="s">
        <v>3645</v>
      </c>
      <c r="H790" t="s">
        <v>3646</v>
      </c>
      <c r="I790" t="s">
        <v>52</v>
      </c>
      <c r="J790" t="s">
        <v>31</v>
      </c>
      <c r="K790" t="s">
        <v>106</v>
      </c>
      <c r="L790" t="s">
        <v>62</v>
      </c>
      <c r="M790">
        <v>43</v>
      </c>
      <c r="N790" t="s">
        <v>34</v>
      </c>
      <c r="O790">
        <v>2</v>
      </c>
      <c r="P790">
        <v>3</v>
      </c>
      <c r="Q790">
        <v>2</v>
      </c>
      <c r="R790">
        <v>1</v>
      </c>
      <c r="S790">
        <v>6</v>
      </c>
      <c r="T790">
        <v>6</v>
      </c>
      <c r="U790">
        <v>25</v>
      </c>
      <c r="V790" t="s">
        <v>3647</v>
      </c>
      <c r="W790" t="s">
        <v>34</v>
      </c>
    </row>
    <row r="791" spans="1:24" x14ac:dyDescent="0.25">
      <c r="A791" t="s">
        <v>3648</v>
      </c>
      <c r="B791" t="s">
        <v>3649</v>
      </c>
      <c r="C791" t="s">
        <v>26</v>
      </c>
      <c r="D791">
        <v>27</v>
      </c>
      <c r="E791" t="s">
        <v>128</v>
      </c>
      <c r="F791" t="s">
        <v>423</v>
      </c>
      <c r="G791" t="s">
        <v>3650</v>
      </c>
      <c r="H791">
        <v>87769</v>
      </c>
      <c r="I791" t="s">
        <v>30</v>
      </c>
      <c r="K791" t="s">
        <v>32</v>
      </c>
      <c r="L791" t="s">
        <v>62</v>
      </c>
      <c r="M791">
        <v>5</v>
      </c>
      <c r="N791" t="s">
        <v>45</v>
      </c>
      <c r="O791">
        <v>1</v>
      </c>
      <c r="P791">
        <v>1</v>
      </c>
      <c r="Q791">
        <v>3</v>
      </c>
      <c r="R791">
        <v>4</v>
      </c>
      <c r="S791">
        <v>1</v>
      </c>
      <c r="T791">
        <v>0</v>
      </c>
      <c r="U791">
        <v>11</v>
      </c>
      <c r="V791" t="s">
        <v>3651</v>
      </c>
      <c r="W791" t="s">
        <v>45</v>
      </c>
      <c r="X791" t="s">
        <v>3652</v>
      </c>
    </row>
    <row r="792" spans="1:24" x14ac:dyDescent="0.25">
      <c r="A792" t="s">
        <v>3653</v>
      </c>
      <c r="B792" t="s">
        <v>3654</v>
      </c>
      <c r="C792" t="s">
        <v>73</v>
      </c>
      <c r="D792">
        <v>29</v>
      </c>
      <c r="E792" t="s">
        <v>629</v>
      </c>
      <c r="F792" t="s">
        <v>123</v>
      </c>
      <c r="G792" t="s">
        <v>3655</v>
      </c>
      <c r="H792" t="s">
        <v>3656</v>
      </c>
      <c r="I792" t="s">
        <v>42</v>
      </c>
      <c r="J792" t="s">
        <v>31</v>
      </c>
      <c r="K792" t="s">
        <v>167</v>
      </c>
      <c r="L792" t="s">
        <v>43</v>
      </c>
      <c r="M792">
        <v>23</v>
      </c>
      <c r="N792" t="s">
        <v>34</v>
      </c>
      <c r="O792">
        <v>2</v>
      </c>
      <c r="P792">
        <v>4</v>
      </c>
      <c r="Q792">
        <v>2</v>
      </c>
      <c r="R792">
        <v>4</v>
      </c>
      <c r="S792">
        <v>2</v>
      </c>
      <c r="T792">
        <v>7</v>
      </c>
      <c r="U792">
        <v>18</v>
      </c>
      <c r="V792" t="s">
        <v>3657</v>
      </c>
      <c r="W792" t="s">
        <v>34</v>
      </c>
    </row>
    <row r="793" spans="1:24" x14ac:dyDescent="0.25">
      <c r="A793" t="s">
        <v>3658</v>
      </c>
      <c r="B793" t="s">
        <v>3659</v>
      </c>
      <c r="C793" t="s">
        <v>102</v>
      </c>
      <c r="D793">
        <v>35</v>
      </c>
      <c r="E793" t="s">
        <v>27</v>
      </c>
      <c r="F793" t="s">
        <v>110</v>
      </c>
      <c r="G793" t="s">
        <v>3660</v>
      </c>
      <c r="H793">
        <v>69267</v>
      </c>
      <c r="I793" t="s">
        <v>52</v>
      </c>
      <c r="J793" t="s">
        <v>31</v>
      </c>
      <c r="K793" t="s">
        <v>200</v>
      </c>
      <c r="L793" t="s">
        <v>43</v>
      </c>
      <c r="M793">
        <v>38</v>
      </c>
      <c r="N793" t="s">
        <v>34</v>
      </c>
      <c r="O793">
        <v>1</v>
      </c>
      <c r="P793">
        <v>4</v>
      </c>
      <c r="Q793">
        <v>2</v>
      </c>
      <c r="R793">
        <v>4</v>
      </c>
      <c r="S793">
        <v>6</v>
      </c>
      <c r="T793">
        <v>6</v>
      </c>
      <c r="U793">
        <v>20</v>
      </c>
      <c r="V793" t="s">
        <v>3661</v>
      </c>
      <c r="W793" t="s">
        <v>45</v>
      </c>
      <c r="X793" t="s">
        <v>3662</v>
      </c>
    </row>
    <row r="794" spans="1:24" x14ac:dyDescent="0.25">
      <c r="A794" t="s">
        <v>3663</v>
      </c>
      <c r="B794" t="s">
        <v>3664</v>
      </c>
      <c r="C794" t="s">
        <v>26</v>
      </c>
      <c r="D794">
        <v>36</v>
      </c>
      <c r="E794" t="s">
        <v>798</v>
      </c>
      <c r="F794" t="s">
        <v>28</v>
      </c>
      <c r="G794" t="s">
        <v>3665</v>
      </c>
      <c r="H794">
        <v>55367</v>
      </c>
      <c r="I794" t="s">
        <v>52</v>
      </c>
      <c r="J794" t="s">
        <v>31</v>
      </c>
      <c r="K794" t="s">
        <v>113</v>
      </c>
      <c r="L794" t="s">
        <v>33</v>
      </c>
      <c r="M794">
        <v>28</v>
      </c>
      <c r="N794" t="s">
        <v>45</v>
      </c>
      <c r="O794">
        <v>4</v>
      </c>
      <c r="P794">
        <v>4</v>
      </c>
      <c r="Q794">
        <v>1</v>
      </c>
      <c r="R794">
        <v>4</v>
      </c>
      <c r="S794">
        <v>3</v>
      </c>
      <c r="T794">
        <v>0</v>
      </c>
      <c r="U794">
        <v>17</v>
      </c>
      <c r="V794" t="s">
        <v>3666</v>
      </c>
      <c r="W794" t="s">
        <v>45</v>
      </c>
      <c r="X794" t="s">
        <v>3667</v>
      </c>
    </row>
    <row r="795" spans="1:24" x14ac:dyDescent="0.25">
      <c r="A795" t="s">
        <v>3668</v>
      </c>
      <c r="B795" t="s">
        <v>3669</v>
      </c>
      <c r="C795" t="s">
        <v>81</v>
      </c>
      <c r="D795">
        <v>36</v>
      </c>
      <c r="E795" t="s">
        <v>197</v>
      </c>
      <c r="F795" t="s">
        <v>573</v>
      </c>
      <c r="G795" t="s">
        <v>3670</v>
      </c>
      <c r="H795" t="s">
        <v>3671</v>
      </c>
      <c r="I795" t="s">
        <v>42</v>
      </c>
      <c r="J795" t="s">
        <v>97</v>
      </c>
      <c r="K795" t="s">
        <v>113</v>
      </c>
      <c r="L795" t="s">
        <v>33</v>
      </c>
      <c r="M795">
        <v>12</v>
      </c>
      <c r="N795" t="s">
        <v>45</v>
      </c>
      <c r="O795">
        <v>3</v>
      </c>
      <c r="P795">
        <v>1</v>
      </c>
      <c r="Q795">
        <v>1</v>
      </c>
      <c r="R795">
        <v>3</v>
      </c>
      <c r="S795">
        <v>2</v>
      </c>
      <c r="T795">
        <v>6</v>
      </c>
      <c r="U795">
        <v>22</v>
      </c>
      <c r="V795" t="s">
        <v>3672</v>
      </c>
      <c r="W795" t="s">
        <v>34</v>
      </c>
    </row>
    <row r="796" spans="1:24" x14ac:dyDescent="0.25">
      <c r="A796" t="s">
        <v>3673</v>
      </c>
      <c r="B796" t="s">
        <v>3674</v>
      </c>
      <c r="C796" t="s">
        <v>87</v>
      </c>
      <c r="D796">
        <v>27</v>
      </c>
      <c r="E796" t="s">
        <v>706</v>
      </c>
      <c r="F796" t="s">
        <v>356</v>
      </c>
      <c r="G796" t="s">
        <v>3675</v>
      </c>
      <c r="H796">
        <v>115727</v>
      </c>
      <c r="I796" t="s">
        <v>42</v>
      </c>
      <c r="J796" t="s">
        <v>31</v>
      </c>
      <c r="K796" t="s">
        <v>167</v>
      </c>
      <c r="L796" t="s">
        <v>43</v>
      </c>
      <c r="M796">
        <v>28</v>
      </c>
      <c r="N796" t="s">
        <v>45</v>
      </c>
      <c r="O796">
        <v>2</v>
      </c>
      <c r="P796">
        <v>4</v>
      </c>
      <c r="Q796">
        <v>3</v>
      </c>
      <c r="R796">
        <v>4</v>
      </c>
      <c r="S796">
        <v>3</v>
      </c>
      <c r="T796">
        <v>4</v>
      </c>
      <c r="U796">
        <v>22</v>
      </c>
      <c r="V796" t="s">
        <v>3676</v>
      </c>
      <c r="W796" t="s">
        <v>45</v>
      </c>
      <c r="X796" t="s">
        <v>3677</v>
      </c>
    </row>
    <row r="797" spans="1:24" x14ac:dyDescent="0.25">
      <c r="A797" t="s">
        <v>3678</v>
      </c>
      <c r="B797" t="s">
        <v>3679</v>
      </c>
      <c r="C797" t="s">
        <v>102</v>
      </c>
      <c r="D797">
        <v>23</v>
      </c>
      <c r="E797" t="s">
        <v>197</v>
      </c>
      <c r="F797" t="s">
        <v>323</v>
      </c>
      <c r="G797" t="s">
        <v>3680</v>
      </c>
      <c r="H797">
        <v>90591</v>
      </c>
      <c r="I797" t="s">
        <v>52</v>
      </c>
      <c r="J797" t="s">
        <v>143</v>
      </c>
      <c r="K797" t="s">
        <v>77</v>
      </c>
      <c r="L797" t="s">
        <v>43</v>
      </c>
      <c r="M797">
        <v>8</v>
      </c>
      <c r="N797" t="s">
        <v>34</v>
      </c>
      <c r="O797">
        <v>3</v>
      </c>
      <c r="P797">
        <v>2</v>
      </c>
      <c r="Q797">
        <v>3</v>
      </c>
      <c r="R797">
        <v>3</v>
      </c>
      <c r="S797">
        <v>0</v>
      </c>
      <c r="T797">
        <v>6</v>
      </c>
      <c r="U797">
        <v>13</v>
      </c>
      <c r="V797" t="s">
        <v>3681</v>
      </c>
      <c r="W797" t="s">
        <v>34</v>
      </c>
    </row>
    <row r="798" spans="1:24" x14ac:dyDescent="0.25">
      <c r="A798" t="s">
        <v>3682</v>
      </c>
      <c r="B798" t="s">
        <v>3683</v>
      </c>
      <c r="C798" t="s">
        <v>81</v>
      </c>
      <c r="D798">
        <v>38</v>
      </c>
      <c r="E798" t="s">
        <v>88</v>
      </c>
      <c r="F798" t="s">
        <v>483</v>
      </c>
      <c r="G798" t="s">
        <v>3684</v>
      </c>
      <c r="H798">
        <v>125687</v>
      </c>
      <c r="I798" t="s">
        <v>30</v>
      </c>
      <c r="J798" t="s">
        <v>61</v>
      </c>
      <c r="K798" t="s">
        <v>131</v>
      </c>
      <c r="M798">
        <v>22</v>
      </c>
      <c r="N798" t="s">
        <v>34</v>
      </c>
      <c r="O798">
        <v>4</v>
      </c>
      <c r="P798">
        <v>4</v>
      </c>
      <c r="Q798">
        <v>1</v>
      </c>
      <c r="R798">
        <v>2</v>
      </c>
      <c r="S798">
        <v>3</v>
      </c>
      <c r="U798">
        <v>20</v>
      </c>
      <c r="V798" t="s">
        <v>3685</v>
      </c>
      <c r="W798" t="s">
        <v>34</v>
      </c>
    </row>
    <row r="799" spans="1:24" x14ac:dyDescent="0.25">
      <c r="A799" t="s">
        <v>3686</v>
      </c>
      <c r="B799" t="s">
        <v>3687</v>
      </c>
      <c r="C799" t="s">
        <v>87</v>
      </c>
      <c r="D799">
        <v>37</v>
      </c>
      <c r="E799" t="s">
        <v>332</v>
      </c>
      <c r="F799" t="s">
        <v>792</v>
      </c>
      <c r="G799" t="s">
        <v>3688</v>
      </c>
      <c r="H799">
        <v>65380</v>
      </c>
      <c r="I799" t="s">
        <v>52</v>
      </c>
      <c r="J799" t="s">
        <v>31</v>
      </c>
      <c r="K799" t="s">
        <v>77</v>
      </c>
      <c r="L799" t="s">
        <v>62</v>
      </c>
      <c r="M799">
        <v>27</v>
      </c>
      <c r="N799" t="s">
        <v>34</v>
      </c>
      <c r="O799">
        <v>3</v>
      </c>
      <c r="P799">
        <v>1</v>
      </c>
      <c r="Q799">
        <v>3</v>
      </c>
      <c r="R799">
        <v>5</v>
      </c>
      <c r="S799">
        <v>0</v>
      </c>
      <c r="T799">
        <v>6</v>
      </c>
      <c r="U799">
        <v>18</v>
      </c>
      <c r="V799" t="s">
        <v>3689</v>
      </c>
      <c r="W799" t="s">
        <v>34</v>
      </c>
    </row>
    <row r="800" spans="1:24" x14ac:dyDescent="0.25">
      <c r="A800" t="s">
        <v>3690</v>
      </c>
      <c r="B800" t="s">
        <v>3691</v>
      </c>
      <c r="C800" t="s">
        <v>81</v>
      </c>
      <c r="D800">
        <v>32</v>
      </c>
      <c r="E800" t="s">
        <v>412</v>
      </c>
      <c r="F800" t="s">
        <v>828</v>
      </c>
      <c r="G800" t="s">
        <v>3692</v>
      </c>
      <c r="H800">
        <v>94963</v>
      </c>
      <c r="I800" t="s">
        <v>52</v>
      </c>
      <c r="J800" t="s">
        <v>53</v>
      </c>
      <c r="K800" t="s">
        <v>200</v>
      </c>
      <c r="L800" t="s">
        <v>62</v>
      </c>
      <c r="M800">
        <v>9</v>
      </c>
      <c r="N800" t="s">
        <v>34</v>
      </c>
      <c r="O800">
        <v>1</v>
      </c>
      <c r="P800">
        <v>3</v>
      </c>
      <c r="Q800">
        <v>2</v>
      </c>
      <c r="R800">
        <v>2</v>
      </c>
      <c r="S800">
        <v>6</v>
      </c>
      <c r="T800">
        <v>4</v>
      </c>
      <c r="U800">
        <v>23</v>
      </c>
      <c r="V800" t="s">
        <v>3693</v>
      </c>
      <c r="W800" t="s">
        <v>34</v>
      </c>
    </row>
    <row r="801" spans="1:24" x14ac:dyDescent="0.25">
      <c r="A801" t="s">
        <v>3694</v>
      </c>
      <c r="B801" t="s">
        <v>3695</v>
      </c>
      <c r="C801" t="s">
        <v>81</v>
      </c>
      <c r="D801">
        <v>20</v>
      </c>
      <c r="E801" t="s">
        <v>27</v>
      </c>
      <c r="F801" t="s">
        <v>75</v>
      </c>
      <c r="G801" t="s">
        <v>3696</v>
      </c>
      <c r="H801">
        <v>107950</v>
      </c>
      <c r="I801" t="s">
        <v>30</v>
      </c>
      <c r="J801" t="s">
        <v>31</v>
      </c>
      <c r="K801" t="s">
        <v>200</v>
      </c>
      <c r="L801" t="s">
        <v>43</v>
      </c>
      <c r="M801">
        <v>18</v>
      </c>
      <c r="N801" t="s">
        <v>45</v>
      </c>
      <c r="P801">
        <v>2</v>
      </c>
      <c r="Q801">
        <v>2</v>
      </c>
      <c r="R801">
        <v>4</v>
      </c>
      <c r="S801">
        <v>1</v>
      </c>
      <c r="T801">
        <v>2</v>
      </c>
      <c r="U801">
        <v>20</v>
      </c>
      <c r="V801" t="s">
        <v>3697</v>
      </c>
      <c r="W801" t="s">
        <v>45</v>
      </c>
      <c r="X801" t="s">
        <v>3698</v>
      </c>
    </row>
    <row r="802" spans="1:24" x14ac:dyDescent="0.25">
      <c r="A802" t="s">
        <v>3699</v>
      </c>
      <c r="B802" t="s">
        <v>3700</v>
      </c>
      <c r="C802" t="s">
        <v>49</v>
      </c>
      <c r="D802">
        <v>19</v>
      </c>
      <c r="E802" t="s">
        <v>88</v>
      </c>
      <c r="F802" t="s">
        <v>261</v>
      </c>
      <c r="G802" t="s">
        <v>3701</v>
      </c>
      <c r="H802" t="s">
        <v>3702</v>
      </c>
      <c r="I802" t="s">
        <v>30</v>
      </c>
      <c r="J802" t="s">
        <v>53</v>
      </c>
      <c r="K802" t="s">
        <v>113</v>
      </c>
      <c r="L802" t="s">
        <v>43</v>
      </c>
      <c r="M802">
        <v>26</v>
      </c>
      <c r="N802" t="s">
        <v>45</v>
      </c>
      <c r="O802">
        <v>2</v>
      </c>
      <c r="P802">
        <v>3</v>
      </c>
      <c r="Q802">
        <v>4</v>
      </c>
      <c r="R802">
        <v>1</v>
      </c>
      <c r="T802">
        <v>4</v>
      </c>
      <c r="U802">
        <v>21</v>
      </c>
      <c r="V802" t="s">
        <v>3703</v>
      </c>
      <c r="W802" t="s">
        <v>45</v>
      </c>
      <c r="X802" t="s">
        <v>3704</v>
      </c>
    </row>
    <row r="803" spans="1:24" x14ac:dyDescent="0.25">
      <c r="A803" t="s">
        <v>3705</v>
      </c>
      <c r="B803" t="s">
        <v>3706</v>
      </c>
      <c r="C803" t="s">
        <v>58</v>
      </c>
      <c r="E803" t="s">
        <v>572</v>
      </c>
      <c r="F803" t="s">
        <v>198</v>
      </c>
      <c r="G803" t="s">
        <v>3707</v>
      </c>
      <c r="H803" t="s">
        <v>3708</v>
      </c>
      <c r="I803" t="s">
        <v>42</v>
      </c>
      <c r="J803" t="s">
        <v>61</v>
      </c>
      <c r="K803" t="s">
        <v>106</v>
      </c>
      <c r="L803" t="s">
        <v>43</v>
      </c>
      <c r="M803">
        <v>12</v>
      </c>
      <c r="N803" t="s">
        <v>34</v>
      </c>
      <c r="O803">
        <v>4</v>
      </c>
      <c r="P803">
        <v>2</v>
      </c>
      <c r="R803">
        <v>2</v>
      </c>
      <c r="S803">
        <v>3</v>
      </c>
      <c r="T803">
        <v>7</v>
      </c>
      <c r="U803">
        <v>15</v>
      </c>
      <c r="V803" t="s">
        <v>3709</v>
      </c>
      <c r="W803" t="s">
        <v>34</v>
      </c>
    </row>
    <row r="804" spans="1:24" x14ac:dyDescent="0.25">
      <c r="A804" t="s">
        <v>3710</v>
      </c>
      <c r="B804" t="s">
        <v>3711</v>
      </c>
      <c r="C804" t="s">
        <v>87</v>
      </c>
      <c r="D804">
        <v>34</v>
      </c>
      <c r="E804" t="s">
        <v>457</v>
      </c>
      <c r="F804" t="s">
        <v>110</v>
      </c>
      <c r="G804" t="s">
        <v>3712</v>
      </c>
      <c r="H804">
        <v>80720</v>
      </c>
      <c r="I804" t="s">
        <v>30</v>
      </c>
      <c r="J804" t="s">
        <v>61</v>
      </c>
      <c r="K804" t="s">
        <v>131</v>
      </c>
      <c r="L804" t="s">
        <v>43</v>
      </c>
      <c r="M804">
        <v>35</v>
      </c>
      <c r="N804" t="s">
        <v>34</v>
      </c>
      <c r="O804">
        <v>3</v>
      </c>
      <c r="P804">
        <v>1</v>
      </c>
      <c r="Q804">
        <v>3</v>
      </c>
      <c r="R804">
        <v>4</v>
      </c>
      <c r="S804">
        <v>6</v>
      </c>
      <c r="T804">
        <v>2</v>
      </c>
      <c r="U804">
        <v>16</v>
      </c>
      <c r="V804" t="s">
        <v>3713</v>
      </c>
      <c r="W804" t="s">
        <v>34</v>
      </c>
    </row>
    <row r="805" spans="1:24" x14ac:dyDescent="0.25">
      <c r="A805" t="s">
        <v>3714</v>
      </c>
      <c r="B805" t="s">
        <v>3715</v>
      </c>
      <c r="C805" t="s">
        <v>58</v>
      </c>
      <c r="D805">
        <v>42</v>
      </c>
      <c r="E805" t="s">
        <v>94</v>
      </c>
      <c r="F805" t="s">
        <v>639</v>
      </c>
      <c r="G805" t="s">
        <v>3716</v>
      </c>
      <c r="H805">
        <v>54779</v>
      </c>
      <c r="I805" t="s">
        <v>42</v>
      </c>
      <c r="J805" t="s">
        <v>31</v>
      </c>
      <c r="K805" t="s">
        <v>77</v>
      </c>
      <c r="L805" t="s">
        <v>33</v>
      </c>
      <c r="M805">
        <v>21</v>
      </c>
      <c r="N805" t="s">
        <v>34</v>
      </c>
      <c r="O805">
        <v>4</v>
      </c>
      <c r="P805">
        <v>2</v>
      </c>
      <c r="Q805">
        <v>4</v>
      </c>
      <c r="R805">
        <v>4</v>
      </c>
      <c r="S805">
        <v>1</v>
      </c>
      <c r="T805">
        <v>2</v>
      </c>
      <c r="U805">
        <v>13</v>
      </c>
      <c r="V805" t="s">
        <v>3717</v>
      </c>
      <c r="W805" t="s">
        <v>34</v>
      </c>
    </row>
    <row r="806" spans="1:24" x14ac:dyDescent="0.25">
      <c r="A806" t="s">
        <v>3718</v>
      </c>
      <c r="B806" t="s">
        <v>3719</v>
      </c>
      <c r="C806" t="s">
        <v>73</v>
      </c>
      <c r="D806">
        <v>42</v>
      </c>
      <c r="E806" t="s">
        <v>88</v>
      </c>
      <c r="F806" t="s">
        <v>483</v>
      </c>
      <c r="G806" t="s">
        <v>3720</v>
      </c>
      <c r="H806" t="s">
        <v>3721</v>
      </c>
      <c r="I806" t="s">
        <v>52</v>
      </c>
      <c r="K806" t="s">
        <v>32</v>
      </c>
      <c r="L806" t="s">
        <v>33</v>
      </c>
      <c r="M806">
        <v>38</v>
      </c>
      <c r="N806" t="s">
        <v>34</v>
      </c>
      <c r="P806">
        <v>1</v>
      </c>
      <c r="Q806">
        <v>3</v>
      </c>
      <c r="R806">
        <v>2</v>
      </c>
      <c r="S806">
        <v>3</v>
      </c>
      <c r="T806">
        <v>6</v>
      </c>
      <c r="U806">
        <v>20</v>
      </c>
      <c r="V806" t="s">
        <v>3722</v>
      </c>
      <c r="W806" t="s">
        <v>34</v>
      </c>
    </row>
    <row r="807" spans="1:24" x14ac:dyDescent="0.25">
      <c r="A807" t="s">
        <v>3723</v>
      </c>
      <c r="B807" t="s">
        <v>3724</v>
      </c>
      <c r="C807" t="s">
        <v>73</v>
      </c>
      <c r="D807">
        <v>33</v>
      </c>
      <c r="E807" t="s">
        <v>27</v>
      </c>
      <c r="F807" t="s">
        <v>50</v>
      </c>
      <c r="G807" t="s">
        <v>3725</v>
      </c>
      <c r="H807">
        <v>110741</v>
      </c>
      <c r="I807" t="s">
        <v>30</v>
      </c>
      <c r="J807" t="s">
        <v>31</v>
      </c>
      <c r="K807" t="s">
        <v>98</v>
      </c>
      <c r="L807" t="s">
        <v>62</v>
      </c>
      <c r="M807">
        <v>1</v>
      </c>
      <c r="N807" t="s">
        <v>34</v>
      </c>
      <c r="O807">
        <v>4</v>
      </c>
      <c r="P807">
        <v>4</v>
      </c>
      <c r="Q807">
        <v>3</v>
      </c>
      <c r="R807">
        <v>5</v>
      </c>
      <c r="S807">
        <v>6</v>
      </c>
      <c r="T807">
        <v>0</v>
      </c>
      <c r="U807">
        <v>19</v>
      </c>
      <c r="V807" t="s">
        <v>3726</v>
      </c>
      <c r="W807" t="s">
        <v>34</v>
      </c>
    </row>
    <row r="808" spans="1:24" x14ac:dyDescent="0.25">
      <c r="A808" t="s">
        <v>3727</v>
      </c>
      <c r="B808" t="s">
        <v>3728</v>
      </c>
      <c r="C808" t="s">
        <v>102</v>
      </c>
      <c r="D808">
        <v>44</v>
      </c>
      <c r="E808" t="s">
        <v>94</v>
      </c>
      <c r="F808" t="s">
        <v>3729</v>
      </c>
      <c r="G808" t="s">
        <v>3730</v>
      </c>
      <c r="H808">
        <v>55195</v>
      </c>
      <c r="I808" t="s">
        <v>52</v>
      </c>
      <c r="J808" t="s">
        <v>143</v>
      </c>
      <c r="K808" t="s">
        <v>54</v>
      </c>
      <c r="L808" t="s">
        <v>43</v>
      </c>
      <c r="M808">
        <v>4</v>
      </c>
      <c r="N808" t="s">
        <v>34</v>
      </c>
      <c r="O808">
        <v>4</v>
      </c>
      <c r="P808">
        <v>1</v>
      </c>
      <c r="Q808">
        <v>2</v>
      </c>
      <c r="R808">
        <v>2</v>
      </c>
      <c r="S808">
        <v>2</v>
      </c>
      <c r="T808">
        <v>2</v>
      </c>
      <c r="U808">
        <v>22</v>
      </c>
      <c r="V808" t="s">
        <v>3731</v>
      </c>
      <c r="W808" t="s">
        <v>34</v>
      </c>
    </row>
    <row r="809" spans="1:24" x14ac:dyDescent="0.25">
      <c r="A809" t="s">
        <v>2189</v>
      </c>
      <c r="B809" t="s">
        <v>2190</v>
      </c>
      <c r="C809" t="s">
        <v>49</v>
      </c>
      <c r="D809">
        <v>40</v>
      </c>
      <c r="E809" t="s">
        <v>457</v>
      </c>
      <c r="F809" t="s">
        <v>75</v>
      </c>
      <c r="G809" t="s">
        <v>2191</v>
      </c>
      <c r="H809">
        <v>74701</v>
      </c>
      <c r="I809" t="s">
        <v>30</v>
      </c>
      <c r="J809" t="s">
        <v>61</v>
      </c>
      <c r="K809" t="s">
        <v>54</v>
      </c>
      <c r="L809" t="s">
        <v>33</v>
      </c>
      <c r="M809">
        <v>45</v>
      </c>
      <c r="N809" t="s">
        <v>45</v>
      </c>
      <c r="O809">
        <v>2</v>
      </c>
      <c r="P809">
        <v>4</v>
      </c>
      <c r="Q809">
        <v>2</v>
      </c>
      <c r="R809">
        <v>3</v>
      </c>
      <c r="S809">
        <v>2</v>
      </c>
      <c r="T809">
        <v>2</v>
      </c>
      <c r="V809" t="s">
        <v>2192</v>
      </c>
      <c r="W809" t="s">
        <v>45</v>
      </c>
      <c r="X809" t="s">
        <v>2193</v>
      </c>
    </row>
    <row r="810" spans="1:24" x14ac:dyDescent="0.25">
      <c r="A810" t="s">
        <v>3732</v>
      </c>
      <c r="B810" t="s">
        <v>3733</v>
      </c>
      <c r="C810" t="s">
        <v>67</v>
      </c>
      <c r="D810">
        <v>34</v>
      </c>
      <c r="E810" t="s">
        <v>665</v>
      </c>
      <c r="F810" t="s">
        <v>792</v>
      </c>
      <c r="G810" t="s">
        <v>3734</v>
      </c>
      <c r="H810" t="s">
        <v>3735</v>
      </c>
      <c r="I810" t="s">
        <v>52</v>
      </c>
      <c r="J810" t="s">
        <v>53</v>
      </c>
      <c r="K810" t="s">
        <v>113</v>
      </c>
      <c r="L810" t="s">
        <v>33</v>
      </c>
      <c r="M810">
        <v>44</v>
      </c>
      <c r="N810" t="s">
        <v>34</v>
      </c>
      <c r="O810">
        <v>1</v>
      </c>
      <c r="P810">
        <v>4</v>
      </c>
      <c r="Q810">
        <v>4</v>
      </c>
      <c r="R810">
        <v>3</v>
      </c>
      <c r="S810">
        <v>3</v>
      </c>
      <c r="T810">
        <v>2</v>
      </c>
      <c r="U810">
        <v>15</v>
      </c>
      <c r="V810" t="s">
        <v>3736</v>
      </c>
      <c r="W810" t="s">
        <v>34</v>
      </c>
    </row>
    <row r="811" spans="1:24" x14ac:dyDescent="0.25">
      <c r="A811" t="s">
        <v>3737</v>
      </c>
      <c r="B811" t="s">
        <v>3738</v>
      </c>
      <c r="D811">
        <v>39</v>
      </c>
      <c r="E811" t="s">
        <v>128</v>
      </c>
      <c r="F811" t="s">
        <v>271</v>
      </c>
      <c r="G811" t="s">
        <v>3739</v>
      </c>
      <c r="H811">
        <v>90246</v>
      </c>
      <c r="I811" t="s">
        <v>42</v>
      </c>
      <c r="J811" t="s">
        <v>61</v>
      </c>
      <c r="K811" t="s">
        <v>77</v>
      </c>
      <c r="L811" t="s">
        <v>33</v>
      </c>
      <c r="M811">
        <v>3</v>
      </c>
      <c r="N811" t="s">
        <v>45</v>
      </c>
      <c r="O811">
        <v>2</v>
      </c>
      <c r="P811">
        <v>1</v>
      </c>
      <c r="Q811">
        <v>4</v>
      </c>
      <c r="R811">
        <v>4</v>
      </c>
      <c r="S811">
        <v>0</v>
      </c>
      <c r="T811">
        <v>8</v>
      </c>
      <c r="U811">
        <v>14</v>
      </c>
      <c r="V811" t="s">
        <v>3740</v>
      </c>
      <c r="W811" t="s">
        <v>45</v>
      </c>
      <c r="X811" t="s">
        <v>3741</v>
      </c>
    </row>
    <row r="812" spans="1:24" x14ac:dyDescent="0.25">
      <c r="A812" t="s">
        <v>3742</v>
      </c>
      <c r="B812" t="s">
        <v>3743</v>
      </c>
      <c r="C812" t="s">
        <v>58</v>
      </c>
      <c r="D812">
        <v>47</v>
      </c>
      <c r="E812" t="s">
        <v>197</v>
      </c>
      <c r="F812" t="s">
        <v>323</v>
      </c>
      <c r="G812" t="s">
        <v>3744</v>
      </c>
      <c r="H812">
        <v>47868</v>
      </c>
      <c r="I812" t="s">
        <v>30</v>
      </c>
      <c r="J812" t="s">
        <v>61</v>
      </c>
      <c r="K812" t="s">
        <v>77</v>
      </c>
      <c r="L812" t="s">
        <v>43</v>
      </c>
      <c r="M812">
        <v>2</v>
      </c>
      <c r="N812" t="s">
        <v>45</v>
      </c>
      <c r="O812">
        <v>4</v>
      </c>
      <c r="P812">
        <v>3</v>
      </c>
      <c r="Q812">
        <v>2</v>
      </c>
      <c r="R812">
        <v>3</v>
      </c>
      <c r="S812">
        <v>0</v>
      </c>
      <c r="T812">
        <v>1</v>
      </c>
      <c r="U812">
        <v>23</v>
      </c>
      <c r="V812" t="s">
        <v>3745</v>
      </c>
      <c r="W812" t="s">
        <v>45</v>
      </c>
      <c r="X812" t="s">
        <v>3746</v>
      </c>
    </row>
    <row r="813" spans="1:24" x14ac:dyDescent="0.25">
      <c r="A813" t="s">
        <v>3747</v>
      </c>
      <c r="B813" t="s">
        <v>3748</v>
      </c>
      <c r="D813">
        <v>30</v>
      </c>
      <c r="E813" t="s">
        <v>103</v>
      </c>
      <c r="F813" t="s">
        <v>463</v>
      </c>
      <c r="G813" t="s">
        <v>3749</v>
      </c>
      <c r="H813">
        <v>106532</v>
      </c>
      <c r="I813" t="s">
        <v>52</v>
      </c>
      <c r="J813" t="s">
        <v>31</v>
      </c>
      <c r="K813" t="s">
        <v>106</v>
      </c>
      <c r="L813" t="s">
        <v>43</v>
      </c>
      <c r="M813">
        <v>6</v>
      </c>
      <c r="N813" t="s">
        <v>34</v>
      </c>
      <c r="P813">
        <v>1</v>
      </c>
      <c r="Q813">
        <v>1</v>
      </c>
      <c r="R813">
        <v>4</v>
      </c>
      <c r="S813">
        <v>3</v>
      </c>
      <c r="T813">
        <v>1</v>
      </c>
      <c r="U813">
        <v>18</v>
      </c>
      <c r="V813" t="s">
        <v>3750</v>
      </c>
      <c r="W813" t="s">
        <v>34</v>
      </c>
    </row>
    <row r="814" spans="1:24" x14ac:dyDescent="0.25">
      <c r="A814" t="s">
        <v>3751</v>
      </c>
      <c r="B814" t="s">
        <v>3752</v>
      </c>
      <c r="C814" t="s">
        <v>67</v>
      </c>
      <c r="D814">
        <v>35</v>
      </c>
      <c r="E814" t="s">
        <v>27</v>
      </c>
      <c r="F814" t="s">
        <v>75</v>
      </c>
      <c r="G814" t="s">
        <v>3753</v>
      </c>
      <c r="H814">
        <v>61241</v>
      </c>
      <c r="I814" t="s">
        <v>30</v>
      </c>
      <c r="J814" t="s">
        <v>61</v>
      </c>
      <c r="K814" t="s">
        <v>77</v>
      </c>
      <c r="L814" t="s">
        <v>33</v>
      </c>
      <c r="M814">
        <v>41</v>
      </c>
      <c r="N814" t="s">
        <v>34</v>
      </c>
      <c r="O814">
        <v>2</v>
      </c>
      <c r="P814">
        <v>1</v>
      </c>
      <c r="Q814">
        <v>4</v>
      </c>
      <c r="R814">
        <v>3</v>
      </c>
      <c r="S814">
        <v>1</v>
      </c>
      <c r="T814">
        <v>3</v>
      </c>
      <c r="U814">
        <v>19</v>
      </c>
      <c r="V814" t="s">
        <v>3754</v>
      </c>
      <c r="W814" t="s">
        <v>34</v>
      </c>
    </row>
    <row r="815" spans="1:24" x14ac:dyDescent="0.25">
      <c r="A815" t="s">
        <v>3755</v>
      </c>
      <c r="B815" t="s">
        <v>3756</v>
      </c>
      <c r="C815" t="s">
        <v>26</v>
      </c>
      <c r="D815">
        <v>36</v>
      </c>
      <c r="E815" t="s">
        <v>798</v>
      </c>
      <c r="F815" t="s">
        <v>281</v>
      </c>
      <c r="G815" t="s">
        <v>3757</v>
      </c>
      <c r="H815" t="s">
        <v>3758</v>
      </c>
      <c r="I815" t="s">
        <v>52</v>
      </c>
      <c r="J815" t="s">
        <v>143</v>
      </c>
      <c r="K815" t="s">
        <v>83</v>
      </c>
      <c r="L815" t="s">
        <v>33</v>
      </c>
      <c r="M815">
        <v>3</v>
      </c>
      <c r="N815" t="s">
        <v>34</v>
      </c>
      <c r="O815">
        <v>2</v>
      </c>
      <c r="P815">
        <v>2</v>
      </c>
      <c r="R815">
        <v>3</v>
      </c>
      <c r="S815">
        <v>5</v>
      </c>
      <c r="T815">
        <v>0</v>
      </c>
      <c r="U815">
        <v>25</v>
      </c>
      <c r="V815" t="s">
        <v>3759</v>
      </c>
      <c r="W815" t="s">
        <v>34</v>
      </c>
    </row>
    <row r="816" spans="1:24" x14ac:dyDescent="0.25">
      <c r="A816" t="s">
        <v>3760</v>
      </c>
      <c r="B816" t="s">
        <v>3761</v>
      </c>
      <c r="C816" t="s">
        <v>67</v>
      </c>
      <c r="D816">
        <v>29</v>
      </c>
      <c r="E816" t="s">
        <v>122</v>
      </c>
      <c r="F816" t="s">
        <v>397</v>
      </c>
      <c r="G816" t="s">
        <v>3762</v>
      </c>
      <c r="H816">
        <v>79634</v>
      </c>
      <c r="I816" t="s">
        <v>42</v>
      </c>
      <c r="J816" t="s">
        <v>143</v>
      </c>
      <c r="K816" t="s">
        <v>98</v>
      </c>
      <c r="L816" t="s">
        <v>33</v>
      </c>
      <c r="M816">
        <v>23</v>
      </c>
      <c r="N816" t="s">
        <v>45</v>
      </c>
      <c r="O816">
        <v>3</v>
      </c>
      <c r="P816">
        <v>1</v>
      </c>
      <c r="Q816">
        <v>1</v>
      </c>
      <c r="R816">
        <v>3</v>
      </c>
      <c r="S816">
        <v>1</v>
      </c>
      <c r="T816">
        <v>1</v>
      </c>
      <c r="U816">
        <v>19</v>
      </c>
      <c r="V816" t="s">
        <v>3763</v>
      </c>
      <c r="W816" t="s">
        <v>34</v>
      </c>
    </row>
    <row r="817" spans="1:24" x14ac:dyDescent="0.25">
      <c r="A817" t="s">
        <v>3764</v>
      </c>
      <c r="B817" t="s">
        <v>3765</v>
      </c>
      <c r="C817" t="s">
        <v>81</v>
      </c>
      <c r="D817">
        <v>21</v>
      </c>
      <c r="E817" t="s">
        <v>94</v>
      </c>
      <c r="F817" t="s">
        <v>3729</v>
      </c>
      <c r="G817" t="s">
        <v>3766</v>
      </c>
      <c r="H817">
        <v>60168</v>
      </c>
      <c r="I817" t="s">
        <v>52</v>
      </c>
      <c r="J817" t="s">
        <v>31</v>
      </c>
      <c r="K817" t="s">
        <v>200</v>
      </c>
      <c r="L817" t="s">
        <v>43</v>
      </c>
      <c r="M817">
        <v>24</v>
      </c>
      <c r="N817" t="s">
        <v>34</v>
      </c>
      <c r="O817">
        <v>4</v>
      </c>
      <c r="P817">
        <v>4</v>
      </c>
      <c r="Q817">
        <v>1</v>
      </c>
      <c r="R817">
        <v>4</v>
      </c>
      <c r="S817">
        <v>1</v>
      </c>
      <c r="T817">
        <v>0</v>
      </c>
      <c r="U817">
        <v>13</v>
      </c>
      <c r="V817" t="s">
        <v>3767</v>
      </c>
      <c r="W817" t="s">
        <v>34</v>
      </c>
    </row>
    <row r="818" spans="1:24" x14ac:dyDescent="0.25">
      <c r="A818" t="s">
        <v>3768</v>
      </c>
      <c r="B818" t="s">
        <v>3769</v>
      </c>
      <c r="C818" t="s">
        <v>67</v>
      </c>
      <c r="D818">
        <v>42</v>
      </c>
      <c r="E818" t="s">
        <v>94</v>
      </c>
      <c r="F818" t="s">
        <v>356</v>
      </c>
      <c r="G818" t="s">
        <v>3770</v>
      </c>
      <c r="H818">
        <v>75605</v>
      </c>
      <c r="I818" t="s">
        <v>30</v>
      </c>
      <c r="J818" t="s">
        <v>61</v>
      </c>
      <c r="K818" t="s">
        <v>32</v>
      </c>
      <c r="L818" t="s">
        <v>62</v>
      </c>
      <c r="M818">
        <v>40</v>
      </c>
      <c r="N818" t="s">
        <v>34</v>
      </c>
      <c r="O818">
        <v>4</v>
      </c>
      <c r="P818">
        <v>3</v>
      </c>
      <c r="Q818">
        <v>3</v>
      </c>
      <c r="R818">
        <v>3</v>
      </c>
      <c r="S818">
        <v>2</v>
      </c>
      <c r="T818">
        <v>7</v>
      </c>
      <c r="U818">
        <v>20</v>
      </c>
      <c r="V818" t="s">
        <v>3771</v>
      </c>
      <c r="W818" t="s">
        <v>34</v>
      </c>
    </row>
    <row r="819" spans="1:24" x14ac:dyDescent="0.25">
      <c r="A819" t="s">
        <v>3772</v>
      </c>
      <c r="B819" t="s">
        <v>3773</v>
      </c>
      <c r="C819" t="s">
        <v>67</v>
      </c>
      <c r="D819">
        <v>26</v>
      </c>
      <c r="E819" t="s">
        <v>103</v>
      </c>
      <c r="F819" t="s">
        <v>1752</v>
      </c>
      <c r="G819" t="s">
        <v>3774</v>
      </c>
      <c r="H819">
        <v>92193</v>
      </c>
      <c r="I819" t="s">
        <v>30</v>
      </c>
      <c r="J819" t="s">
        <v>53</v>
      </c>
      <c r="K819" t="s">
        <v>98</v>
      </c>
      <c r="L819" t="s">
        <v>62</v>
      </c>
      <c r="M819">
        <v>20</v>
      </c>
      <c r="N819" t="s">
        <v>34</v>
      </c>
      <c r="O819">
        <v>4</v>
      </c>
      <c r="P819">
        <v>3</v>
      </c>
      <c r="Q819">
        <v>2</v>
      </c>
      <c r="R819">
        <v>1</v>
      </c>
      <c r="S819">
        <v>4</v>
      </c>
      <c r="T819">
        <v>2</v>
      </c>
      <c r="U819">
        <v>17</v>
      </c>
      <c r="V819" t="s">
        <v>3775</v>
      </c>
      <c r="W819" t="s">
        <v>34</v>
      </c>
    </row>
    <row r="820" spans="1:24" x14ac:dyDescent="0.25">
      <c r="A820" t="s">
        <v>3776</v>
      </c>
      <c r="B820" t="s">
        <v>3777</v>
      </c>
      <c r="C820" t="s">
        <v>58</v>
      </c>
      <c r="D820">
        <v>43</v>
      </c>
      <c r="E820" t="s">
        <v>27</v>
      </c>
      <c r="F820" t="s">
        <v>562</v>
      </c>
      <c r="G820" t="s">
        <v>3608</v>
      </c>
      <c r="H820">
        <v>100139</v>
      </c>
      <c r="J820" t="s">
        <v>143</v>
      </c>
      <c r="K820" t="s">
        <v>200</v>
      </c>
      <c r="L820" t="s">
        <v>43</v>
      </c>
      <c r="M820">
        <v>3</v>
      </c>
      <c r="O820">
        <v>3</v>
      </c>
      <c r="P820">
        <v>4</v>
      </c>
      <c r="Q820">
        <v>1</v>
      </c>
      <c r="R820">
        <v>3</v>
      </c>
      <c r="S820">
        <v>0</v>
      </c>
      <c r="T820">
        <v>3</v>
      </c>
      <c r="U820">
        <v>23</v>
      </c>
      <c r="V820" t="s">
        <v>3778</v>
      </c>
      <c r="W820" t="s">
        <v>34</v>
      </c>
    </row>
    <row r="821" spans="1:24" x14ac:dyDescent="0.25">
      <c r="A821" t="s">
        <v>3779</v>
      </c>
      <c r="B821" t="s">
        <v>3780</v>
      </c>
      <c r="D821">
        <v>39</v>
      </c>
      <c r="E821" t="s">
        <v>1166</v>
      </c>
      <c r="F821" t="s">
        <v>1222</v>
      </c>
      <c r="G821" t="s">
        <v>3781</v>
      </c>
      <c r="H821">
        <v>88377</v>
      </c>
      <c r="I821" t="s">
        <v>52</v>
      </c>
      <c r="J821" t="s">
        <v>61</v>
      </c>
      <c r="K821" t="s">
        <v>167</v>
      </c>
      <c r="L821" t="s">
        <v>33</v>
      </c>
      <c r="M821">
        <v>44</v>
      </c>
      <c r="N821" t="s">
        <v>34</v>
      </c>
      <c r="O821">
        <v>1</v>
      </c>
      <c r="P821">
        <v>2</v>
      </c>
      <c r="Q821">
        <v>2</v>
      </c>
      <c r="R821">
        <v>3</v>
      </c>
      <c r="S821">
        <v>6</v>
      </c>
      <c r="T821">
        <v>7</v>
      </c>
      <c r="U821">
        <v>12</v>
      </c>
      <c r="V821" t="s">
        <v>3782</v>
      </c>
      <c r="W821" t="s">
        <v>34</v>
      </c>
    </row>
    <row r="822" spans="1:24" x14ac:dyDescent="0.25">
      <c r="A822" t="s">
        <v>3783</v>
      </c>
      <c r="B822" t="s">
        <v>3784</v>
      </c>
      <c r="C822" t="s">
        <v>102</v>
      </c>
      <c r="D822">
        <v>39</v>
      </c>
      <c r="E822" t="s">
        <v>798</v>
      </c>
      <c r="F822" t="s">
        <v>172</v>
      </c>
      <c r="G822" t="s">
        <v>3785</v>
      </c>
      <c r="H822">
        <v>69208</v>
      </c>
      <c r="I822" t="s">
        <v>52</v>
      </c>
      <c r="J822" t="s">
        <v>61</v>
      </c>
      <c r="L822" t="s">
        <v>62</v>
      </c>
      <c r="M822">
        <v>18</v>
      </c>
      <c r="N822" t="s">
        <v>45</v>
      </c>
      <c r="O822">
        <v>3</v>
      </c>
      <c r="P822">
        <v>1</v>
      </c>
      <c r="Q822">
        <v>4</v>
      </c>
      <c r="R822">
        <v>3</v>
      </c>
      <c r="S822">
        <v>5</v>
      </c>
      <c r="T822">
        <v>6</v>
      </c>
      <c r="U822">
        <v>23</v>
      </c>
      <c r="V822" t="s">
        <v>3786</v>
      </c>
      <c r="W822" t="s">
        <v>34</v>
      </c>
    </row>
    <row r="823" spans="1:24" x14ac:dyDescent="0.25">
      <c r="A823" t="s">
        <v>3787</v>
      </c>
      <c r="C823" t="s">
        <v>49</v>
      </c>
      <c r="D823">
        <v>37</v>
      </c>
      <c r="E823" t="s">
        <v>579</v>
      </c>
      <c r="F823" t="s">
        <v>286</v>
      </c>
      <c r="G823" t="s">
        <v>3788</v>
      </c>
      <c r="H823">
        <v>128922</v>
      </c>
      <c r="I823" t="s">
        <v>42</v>
      </c>
      <c r="J823" t="s">
        <v>61</v>
      </c>
      <c r="K823" t="s">
        <v>113</v>
      </c>
      <c r="L823" t="s">
        <v>62</v>
      </c>
      <c r="M823">
        <v>8</v>
      </c>
      <c r="N823" t="s">
        <v>34</v>
      </c>
      <c r="O823">
        <v>1</v>
      </c>
      <c r="P823">
        <v>2</v>
      </c>
      <c r="Q823">
        <v>4</v>
      </c>
      <c r="R823">
        <v>4</v>
      </c>
      <c r="S823">
        <v>6</v>
      </c>
      <c r="T823">
        <v>3</v>
      </c>
      <c r="U823">
        <v>18</v>
      </c>
      <c r="V823" t="s">
        <v>3789</v>
      </c>
      <c r="W823" t="s">
        <v>45</v>
      </c>
      <c r="X823" t="s">
        <v>3790</v>
      </c>
    </row>
    <row r="824" spans="1:24" x14ac:dyDescent="0.25">
      <c r="A824" t="s">
        <v>3791</v>
      </c>
      <c r="B824" t="s">
        <v>3792</v>
      </c>
      <c r="C824" t="s">
        <v>87</v>
      </c>
      <c r="D824">
        <v>37</v>
      </c>
      <c r="E824" t="s">
        <v>128</v>
      </c>
      <c r="F824" t="s">
        <v>271</v>
      </c>
      <c r="G824" t="s">
        <v>3793</v>
      </c>
      <c r="H824">
        <v>77598</v>
      </c>
      <c r="I824" t="s">
        <v>30</v>
      </c>
      <c r="J824" t="s">
        <v>31</v>
      </c>
      <c r="K824" t="s">
        <v>167</v>
      </c>
      <c r="L824" t="s">
        <v>43</v>
      </c>
      <c r="M824">
        <v>2</v>
      </c>
      <c r="N824" t="s">
        <v>45</v>
      </c>
      <c r="O824">
        <v>4</v>
      </c>
      <c r="P824">
        <v>3</v>
      </c>
      <c r="Q824">
        <v>3</v>
      </c>
      <c r="R824">
        <v>3</v>
      </c>
      <c r="S824">
        <v>4</v>
      </c>
      <c r="T824">
        <v>3</v>
      </c>
      <c r="U824">
        <v>16</v>
      </c>
      <c r="V824" t="s">
        <v>288</v>
      </c>
      <c r="W824" t="s">
        <v>34</v>
      </c>
    </row>
    <row r="825" spans="1:24" x14ac:dyDescent="0.25">
      <c r="A825" t="s">
        <v>3794</v>
      </c>
      <c r="B825" t="s">
        <v>3795</v>
      </c>
      <c r="C825" t="s">
        <v>49</v>
      </c>
      <c r="D825">
        <v>36</v>
      </c>
      <c r="E825" t="s">
        <v>27</v>
      </c>
      <c r="F825" t="s">
        <v>50</v>
      </c>
      <c r="G825" t="s">
        <v>2760</v>
      </c>
      <c r="H825">
        <v>124536</v>
      </c>
      <c r="I825" t="s">
        <v>30</v>
      </c>
      <c r="J825" t="s">
        <v>61</v>
      </c>
      <c r="K825" t="s">
        <v>167</v>
      </c>
      <c r="L825" t="s">
        <v>33</v>
      </c>
      <c r="M825">
        <v>12</v>
      </c>
      <c r="N825" t="s">
        <v>34</v>
      </c>
      <c r="O825">
        <v>1</v>
      </c>
      <c r="P825">
        <v>3</v>
      </c>
      <c r="Q825">
        <v>2</v>
      </c>
      <c r="R825">
        <v>3</v>
      </c>
      <c r="S825">
        <v>6</v>
      </c>
      <c r="T825">
        <v>2</v>
      </c>
      <c r="U825">
        <v>18</v>
      </c>
      <c r="V825" t="s">
        <v>3796</v>
      </c>
      <c r="W825" t="s">
        <v>34</v>
      </c>
    </row>
    <row r="826" spans="1:24" x14ac:dyDescent="0.25">
      <c r="A826" t="s">
        <v>3797</v>
      </c>
      <c r="B826" t="s">
        <v>3798</v>
      </c>
      <c r="C826" t="s">
        <v>102</v>
      </c>
      <c r="D826">
        <v>38</v>
      </c>
      <c r="E826" t="s">
        <v>74</v>
      </c>
      <c r="F826" t="s">
        <v>799</v>
      </c>
      <c r="G826" t="s">
        <v>3799</v>
      </c>
      <c r="H826">
        <v>48965</v>
      </c>
      <c r="I826" t="s">
        <v>52</v>
      </c>
      <c r="J826" t="s">
        <v>31</v>
      </c>
      <c r="K826" t="s">
        <v>131</v>
      </c>
      <c r="L826" t="s">
        <v>43</v>
      </c>
      <c r="M826">
        <v>45</v>
      </c>
      <c r="N826" t="s">
        <v>34</v>
      </c>
      <c r="O826">
        <v>2</v>
      </c>
      <c r="P826">
        <v>3</v>
      </c>
      <c r="Q826">
        <v>4</v>
      </c>
      <c r="R826">
        <v>1</v>
      </c>
      <c r="S826">
        <v>1</v>
      </c>
      <c r="T826">
        <v>2</v>
      </c>
      <c r="U826">
        <v>14</v>
      </c>
      <c r="V826" t="s">
        <v>3800</v>
      </c>
      <c r="W826" t="s">
        <v>34</v>
      </c>
    </row>
    <row r="827" spans="1:24" x14ac:dyDescent="0.25">
      <c r="A827" t="s">
        <v>3801</v>
      </c>
      <c r="B827" t="s">
        <v>3802</v>
      </c>
      <c r="C827" t="s">
        <v>102</v>
      </c>
      <c r="D827">
        <v>46</v>
      </c>
      <c r="E827" t="s">
        <v>197</v>
      </c>
      <c r="F827" t="s">
        <v>235</v>
      </c>
      <c r="G827" t="s">
        <v>3803</v>
      </c>
      <c r="H827">
        <v>53023</v>
      </c>
      <c r="I827" t="s">
        <v>30</v>
      </c>
      <c r="J827" t="s">
        <v>61</v>
      </c>
      <c r="K827" t="s">
        <v>167</v>
      </c>
      <c r="L827" t="s">
        <v>62</v>
      </c>
      <c r="M827">
        <v>43</v>
      </c>
      <c r="N827" t="s">
        <v>45</v>
      </c>
      <c r="O827">
        <v>2</v>
      </c>
      <c r="P827">
        <v>1</v>
      </c>
      <c r="Q827">
        <v>2</v>
      </c>
      <c r="R827">
        <v>3</v>
      </c>
      <c r="S827">
        <v>2</v>
      </c>
      <c r="T827">
        <v>0</v>
      </c>
      <c r="U827">
        <v>15</v>
      </c>
      <c r="V827" t="s">
        <v>3804</v>
      </c>
      <c r="W827" t="s">
        <v>45</v>
      </c>
      <c r="X827" t="s">
        <v>3805</v>
      </c>
    </row>
    <row r="828" spans="1:24" x14ac:dyDescent="0.25">
      <c r="A828" t="s">
        <v>3806</v>
      </c>
      <c r="B828" t="s">
        <v>3807</v>
      </c>
      <c r="C828" t="s">
        <v>73</v>
      </c>
      <c r="D828">
        <v>34</v>
      </c>
      <c r="E828" t="s">
        <v>412</v>
      </c>
      <c r="F828" t="s">
        <v>945</v>
      </c>
      <c r="G828" t="s">
        <v>3808</v>
      </c>
      <c r="H828">
        <v>42258</v>
      </c>
      <c r="J828" t="s">
        <v>61</v>
      </c>
      <c r="K828" t="s">
        <v>167</v>
      </c>
      <c r="L828" t="s">
        <v>33</v>
      </c>
      <c r="M828">
        <v>20</v>
      </c>
      <c r="N828" t="s">
        <v>45</v>
      </c>
      <c r="O828">
        <v>3</v>
      </c>
      <c r="P828">
        <v>3</v>
      </c>
      <c r="Q828">
        <v>1</v>
      </c>
      <c r="R828">
        <v>4</v>
      </c>
      <c r="S828">
        <v>1</v>
      </c>
      <c r="T828">
        <v>1</v>
      </c>
      <c r="U828">
        <v>13</v>
      </c>
      <c r="V828" t="s">
        <v>3809</v>
      </c>
      <c r="W828" t="s">
        <v>34</v>
      </c>
    </row>
    <row r="829" spans="1:24" x14ac:dyDescent="0.25">
      <c r="A829" t="s">
        <v>3810</v>
      </c>
      <c r="B829" t="s">
        <v>3811</v>
      </c>
      <c r="C829" t="s">
        <v>49</v>
      </c>
      <c r="D829">
        <v>27</v>
      </c>
      <c r="E829" t="s">
        <v>554</v>
      </c>
      <c r="F829" t="s">
        <v>483</v>
      </c>
      <c r="G829" t="s">
        <v>3812</v>
      </c>
      <c r="H829">
        <v>122084</v>
      </c>
      <c r="I829" t="s">
        <v>52</v>
      </c>
      <c r="J829" t="s">
        <v>61</v>
      </c>
      <c r="K829" t="s">
        <v>83</v>
      </c>
      <c r="L829" t="s">
        <v>43</v>
      </c>
      <c r="M829">
        <v>23</v>
      </c>
      <c r="N829" t="s">
        <v>34</v>
      </c>
      <c r="O829">
        <v>4</v>
      </c>
      <c r="P829">
        <v>2</v>
      </c>
      <c r="Q829">
        <v>1</v>
      </c>
      <c r="R829">
        <v>3</v>
      </c>
      <c r="S829">
        <v>3</v>
      </c>
      <c r="T829">
        <v>3</v>
      </c>
      <c r="U829">
        <v>18</v>
      </c>
      <c r="V829" t="s">
        <v>3813</v>
      </c>
      <c r="W829" t="s">
        <v>34</v>
      </c>
    </row>
    <row r="830" spans="1:24" x14ac:dyDescent="0.25">
      <c r="A830" t="s">
        <v>3814</v>
      </c>
      <c r="B830" t="s">
        <v>3815</v>
      </c>
      <c r="C830" t="s">
        <v>102</v>
      </c>
      <c r="D830">
        <v>36</v>
      </c>
      <c r="E830" t="s">
        <v>103</v>
      </c>
      <c r="F830" t="s">
        <v>463</v>
      </c>
      <c r="G830" t="s">
        <v>1973</v>
      </c>
      <c r="H830">
        <v>78505</v>
      </c>
      <c r="I830" t="s">
        <v>42</v>
      </c>
      <c r="J830" t="s">
        <v>61</v>
      </c>
      <c r="K830" t="s">
        <v>167</v>
      </c>
      <c r="L830" t="s">
        <v>62</v>
      </c>
      <c r="M830">
        <v>2</v>
      </c>
      <c r="N830" t="s">
        <v>34</v>
      </c>
      <c r="O830">
        <v>1</v>
      </c>
      <c r="P830">
        <v>1</v>
      </c>
      <c r="Q830">
        <v>2</v>
      </c>
      <c r="R830">
        <v>2</v>
      </c>
      <c r="S830">
        <v>3</v>
      </c>
      <c r="T830">
        <v>0</v>
      </c>
      <c r="U830">
        <v>18</v>
      </c>
      <c r="V830" t="s">
        <v>3816</v>
      </c>
      <c r="W830" t="s">
        <v>34</v>
      </c>
    </row>
    <row r="831" spans="1:24" x14ac:dyDescent="0.25">
      <c r="A831" t="s">
        <v>3817</v>
      </c>
      <c r="B831" t="s">
        <v>3818</v>
      </c>
      <c r="C831" t="s">
        <v>73</v>
      </c>
      <c r="D831">
        <v>25</v>
      </c>
      <c r="E831" t="s">
        <v>197</v>
      </c>
      <c r="F831" t="s">
        <v>323</v>
      </c>
      <c r="G831" t="s">
        <v>3819</v>
      </c>
      <c r="H831">
        <v>65457</v>
      </c>
      <c r="I831" t="s">
        <v>42</v>
      </c>
      <c r="J831" t="s">
        <v>31</v>
      </c>
      <c r="K831" t="s">
        <v>167</v>
      </c>
      <c r="L831" t="s">
        <v>33</v>
      </c>
      <c r="M831">
        <v>32</v>
      </c>
      <c r="N831" t="s">
        <v>34</v>
      </c>
      <c r="O831">
        <v>1</v>
      </c>
      <c r="Q831">
        <v>4</v>
      </c>
      <c r="R831">
        <v>4</v>
      </c>
      <c r="S831">
        <v>0</v>
      </c>
      <c r="T831">
        <v>1</v>
      </c>
      <c r="U831">
        <v>13</v>
      </c>
      <c r="V831" t="s">
        <v>3820</v>
      </c>
      <c r="W831" t="s">
        <v>34</v>
      </c>
    </row>
    <row r="832" spans="1:24" x14ac:dyDescent="0.25">
      <c r="A832" t="s">
        <v>3821</v>
      </c>
      <c r="B832" t="s">
        <v>3822</v>
      </c>
      <c r="C832" t="s">
        <v>26</v>
      </c>
      <c r="D832">
        <v>45</v>
      </c>
      <c r="E832" t="s">
        <v>1166</v>
      </c>
      <c r="F832" t="s">
        <v>235</v>
      </c>
      <c r="G832" t="s">
        <v>3823</v>
      </c>
      <c r="H832">
        <v>59823</v>
      </c>
      <c r="I832" t="s">
        <v>42</v>
      </c>
      <c r="K832" t="s">
        <v>113</v>
      </c>
      <c r="M832">
        <v>25</v>
      </c>
      <c r="N832" t="s">
        <v>34</v>
      </c>
      <c r="O832">
        <v>3</v>
      </c>
      <c r="P832">
        <v>3</v>
      </c>
      <c r="Q832">
        <v>4</v>
      </c>
      <c r="R832">
        <v>4</v>
      </c>
      <c r="S832">
        <v>6</v>
      </c>
      <c r="T832">
        <v>4</v>
      </c>
      <c r="U832">
        <v>19</v>
      </c>
      <c r="V832" t="s">
        <v>3824</v>
      </c>
      <c r="W832" t="s">
        <v>34</v>
      </c>
    </row>
    <row r="833" spans="1:24" x14ac:dyDescent="0.25">
      <c r="A833" t="s">
        <v>3825</v>
      </c>
      <c r="B833" t="s">
        <v>3826</v>
      </c>
      <c r="C833" t="s">
        <v>67</v>
      </c>
      <c r="D833">
        <v>39</v>
      </c>
      <c r="E833" t="s">
        <v>27</v>
      </c>
      <c r="F833" t="s">
        <v>50</v>
      </c>
      <c r="G833" t="s">
        <v>3827</v>
      </c>
      <c r="H833" t="s">
        <v>3828</v>
      </c>
      <c r="I833" t="s">
        <v>42</v>
      </c>
      <c r="J833" t="s">
        <v>97</v>
      </c>
      <c r="K833" t="s">
        <v>54</v>
      </c>
      <c r="L833" t="s">
        <v>43</v>
      </c>
      <c r="M833">
        <v>16</v>
      </c>
      <c r="N833" t="s">
        <v>34</v>
      </c>
      <c r="O833">
        <v>4</v>
      </c>
      <c r="Q833">
        <v>1</v>
      </c>
      <c r="R833">
        <v>4</v>
      </c>
      <c r="S833">
        <v>4</v>
      </c>
      <c r="T833">
        <v>0</v>
      </c>
      <c r="U833">
        <v>15</v>
      </c>
      <c r="V833" t="s">
        <v>3829</v>
      </c>
      <c r="W833" t="s">
        <v>34</v>
      </c>
    </row>
    <row r="834" spans="1:24" x14ac:dyDescent="0.25">
      <c r="A834" t="s">
        <v>3830</v>
      </c>
      <c r="B834" t="s">
        <v>3831</v>
      </c>
      <c r="C834" t="s">
        <v>102</v>
      </c>
      <c r="D834">
        <v>40</v>
      </c>
      <c r="E834" t="s">
        <v>128</v>
      </c>
      <c r="F834" t="s">
        <v>351</v>
      </c>
      <c r="G834" t="s">
        <v>3832</v>
      </c>
      <c r="H834">
        <v>57571</v>
      </c>
      <c r="I834" t="s">
        <v>52</v>
      </c>
      <c r="J834" t="s">
        <v>31</v>
      </c>
      <c r="K834" t="s">
        <v>77</v>
      </c>
      <c r="L834" t="s">
        <v>43</v>
      </c>
      <c r="M834">
        <v>3</v>
      </c>
      <c r="N834" t="s">
        <v>34</v>
      </c>
      <c r="O834">
        <v>3</v>
      </c>
      <c r="P834">
        <v>3</v>
      </c>
      <c r="Q834">
        <v>3</v>
      </c>
      <c r="R834">
        <v>3</v>
      </c>
      <c r="S834">
        <v>4</v>
      </c>
      <c r="T834">
        <v>3</v>
      </c>
      <c r="U834">
        <v>19</v>
      </c>
      <c r="V834" t="s">
        <v>3833</v>
      </c>
      <c r="W834" t="s">
        <v>34</v>
      </c>
    </row>
    <row r="835" spans="1:24" x14ac:dyDescent="0.25">
      <c r="A835" t="s">
        <v>3834</v>
      </c>
      <c r="B835" t="s">
        <v>3835</v>
      </c>
      <c r="C835" t="s">
        <v>81</v>
      </c>
      <c r="D835">
        <v>34</v>
      </c>
      <c r="E835" t="s">
        <v>27</v>
      </c>
      <c r="F835" t="s">
        <v>59</v>
      </c>
      <c r="G835" t="s">
        <v>3836</v>
      </c>
      <c r="H835">
        <v>90141</v>
      </c>
      <c r="I835" t="s">
        <v>42</v>
      </c>
      <c r="J835" t="s">
        <v>97</v>
      </c>
      <c r="K835" t="s">
        <v>83</v>
      </c>
      <c r="L835" t="s">
        <v>43</v>
      </c>
      <c r="M835">
        <v>16</v>
      </c>
      <c r="N835" t="s">
        <v>34</v>
      </c>
      <c r="O835">
        <v>1</v>
      </c>
      <c r="P835">
        <v>1</v>
      </c>
      <c r="Q835">
        <v>1</v>
      </c>
      <c r="R835">
        <v>2</v>
      </c>
      <c r="S835">
        <v>0</v>
      </c>
      <c r="T835">
        <v>7</v>
      </c>
      <c r="U835">
        <v>21</v>
      </c>
      <c r="V835" t="s">
        <v>3837</v>
      </c>
      <c r="W835" t="s">
        <v>34</v>
      </c>
    </row>
    <row r="836" spans="1:24" x14ac:dyDescent="0.25">
      <c r="A836" t="s">
        <v>3838</v>
      </c>
      <c r="B836" t="s">
        <v>3839</v>
      </c>
      <c r="C836" t="s">
        <v>102</v>
      </c>
      <c r="D836">
        <v>29</v>
      </c>
      <c r="E836" t="s">
        <v>27</v>
      </c>
      <c r="F836" t="s">
        <v>50</v>
      </c>
      <c r="G836" t="s">
        <v>3622</v>
      </c>
      <c r="H836">
        <v>53257</v>
      </c>
      <c r="I836" t="s">
        <v>30</v>
      </c>
      <c r="J836" t="s">
        <v>61</v>
      </c>
      <c r="K836" t="s">
        <v>106</v>
      </c>
      <c r="L836" t="s">
        <v>62</v>
      </c>
      <c r="M836">
        <v>11</v>
      </c>
      <c r="N836" t="s">
        <v>34</v>
      </c>
      <c r="O836">
        <v>4</v>
      </c>
      <c r="P836">
        <v>4</v>
      </c>
      <c r="Q836">
        <v>1</v>
      </c>
      <c r="R836">
        <v>3</v>
      </c>
      <c r="S836">
        <v>1</v>
      </c>
      <c r="T836">
        <v>3</v>
      </c>
      <c r="U836">
        <v>14</v>
      </c>
      <c r="V836" t="s">
        <v>3840</v>
      </c>
      <c r="W836" t="s">
        <v>34</v>
      </c>
    </row>
    <row r="837" spans="1:24" x14ac:dyDescent="0.25">
      <c r="A837" t="s">
        <v>3841</v>
      </c>
      <c r="B837" t="s">
        <v>3842</v>
      </c>
      <c r="C837" t="s">
        <v>102</v>
      </c>
      <c r="D837">
        <v>35</v>
      </c>
      <c r="E837" t="s">
        <v>27</v>
      </c>
      <c r="F837" t="s">
        <v>59</v>
      </c>
      <c r="G837" t="s">
        <v>3843</v>
      </c>
      <c r="H837">
        <v>67789</v>
      </c>
      <c r="J837" t="s">
        <v>53</v>
      </c>
      <c r="K837" t="s">
        <v>54</v>
      </c>
      <c r="L837" t="s">
        <v>33</v>
      </c>
      <c r="M837">
        <v>32</v>
      </c>
      <c r="N837" t="s">
        <v>34</v>
      </c>
      <c r="O837">
        <v>4</v>
      </c>
      <c r="P837">
        <v>3</v>
      </c>
      <c r="Q837">
        <v>1</v>
      </c>
      <c r="R837">
        <v>2</v>
      </c>
      <c r="S837">
        <v>2</v>
      </c>
      <c r="T837">
        <v>3</v>
      </c>
      <c r="U837">
        <v>23</v>
      </c>
      <c r="V837" t="s">
        <v>3844</v>
      </c>
      <c r="W837" t="s">
        <v>34</v>
      </c>
    </row>
    <row r="838" spans="1:24" x14ac:dyDescent="0.25">
      <c r="A838" t="s">
        <v>3845</v>
      </c>
      <c r="B838" t="s">
        <v>3846</v>
      </c>
      <c r="C838" t="s">
        <v>102</v>
      </c>
      <c r="D838">
        <v>32</v>
      </c>
      <c r="E838" t="s">
        <v>457</v>
      </c>
      <c r="F838" t="s">
        <v>50</v>
      </c>
      <c r="G838" t="s">
        <v>3847</v>
      </c>
      <c r="H838">
        <v>108037</v>
      </c>
      <c r="I838" t="s">
        <v>52</v>
      </c>
      <c r="J838" t="s">
        <v>143</v>
      </c>
      <c r="K838" t="s">
        <v>131</v>
      </c>
      <c r="L838" t="s">
        <v>33</v>
      </c>
      <c r="M838">
        <v>3</v>
      </c>
      <c r="N838" t="s">
        <v>45</v>
      </c>
      <c r="O838">
        <v>3</v>
      </c>
      <c r="P838">
        <v>2</v>
      </c>
      <c r="Q838">
        <v>3</v>
      </c>
      <c r="R838">
        <v>4</v>
      </c>
      <c r="S838">
        <v>6</v>
      </c>
      <c r="T838">
        <v>6</v>
      </c>
      <c r="U838">
        <v>18</v>
      </c>
      <c r="V838" t="s">
        <v>3848</v>
      </c>
      <c r="W838" t="s">
        <v>34</v>
      </c>
    </row>
    <row r="839" spans="1:24" x14ac:dyDescent="0.25">
      <c r="A839" t="s">
        <v>2451</v>
      </c>
      <c r="B839" t="s">
        <v>2452</v>
      </c>
      <c r="C839" t="s">
        <v>87</v>
      </c>
      <c r="D839">
        <v>33</v>
      </c>
      <c r="E839" t="s">
        <v>38</v>
      </c>
      <c r="F839" t="s">
        <v>438</v>
      </c>
      <c r="G839" t="s">
        <v>2453</v>
      </c>
      <c r="H839">
        <v>63997</v>
      </c>
      <c r="I839" t="s">
        <v>52</v>
      </c>
      <c r="J839" t="s">
        <v>53</v>
      </c>
      <c r="K839" t="s">
        <v>32</v>
      </c>
      <c r="L839" t="s">
        <v>43</v>
      </c>
      <c r="M839">
        <v>45</v>
      </c>
      <c r="N839" t="s">
        <v>34</v>
      </c>
      <c r="O839">
        <v>1</v>
      </c>
      <c r="P839">
        <v>1</v>
      </c>
      <c r="Q839">
        <v>4</v>
      </c>
      <c r="R839">
        <v>3</v>
      </c>
      <c r="S839">
        <v>4</v>
      </c>
      <c r="T839">
        <v>5</v>
      </c>
      <c r="U839">
        <v>15</v>
      </c>
      <c r="V839" t="s">
        <v>2454</v>
      </c>
      <c r="W839" t="s">
        <v>34</v>
      </c>
    </row>
    <row r="840" spans="1:24" x14ac:dyDescent="0.25">
      <c r="A840" t="s">
        <v>3849</v>
      </c>
      <c r="B840" t="s">
        <v>3850</v>
      </c>
      <c r="C840" t="s">
        <v>81</v>
      </c>
      <c r="D840">
        <v>36</v>
      </c>
      <c r="E840" t="s">
        <v>88</v>
      </c>
      <c r="F840" t="s">
        <v>1655</v>
      </c>
      <c r="G840" t="s">
        <v>3851</v>
      </c>
      <c r="H840" t="s">
        <v>3852</v>
      </c>
      <c r="I840" t="s">
        <v>30</v>
      </c>
      <c r="J840" t="s">
        <v>97</v>
      </c>
      <c r="K840" t="s">
        <v>131</v>
      </c>
      <c r="L840" t="s">
        <v>33</v>
      </c>
      <c r="M840">
        <v>25</v>
      </c>
      <c r="N840" t="s">
        <v>45</v>
      </c>
      <c r="O840">
        <v>4</v>
      </c>
      <c r="P840">
        <v>3</v>
      </c>
      <c r="Q840">
        <v>4</v>
      </c>
      <c r="R840">
        <v>3</v>
      </c>
      <c r="S840">
        <v>0</v>
      </c>
      <c r="T840">
        <v>3</v>
      </c>
      <c r="U840">
        <v>19</v>
      </c>
      <c r="V840" t="s">
        <v>1450</v>
      </c>
      <c r="W840" t="s">
        <v>34</v>
      </c>
    </row>
    <row r="841" spans="1:24" x14ac:dyDescent="0.25">
      <c r="A841" t="s">
        <v>3853</v>
      </c>
      <c r="B841" t="s">
        <v>3854</v>
      </c>
      <c r="C841" t="s">
        <v>81</v>
      </c>
      <c r="D841">
        <v>26</v>
      </c>
      <c r="E841" t="s">
        <v>579</v>
      </c>
      <c r="G841" t="s">
        <v>3855</v>
      </c>
      <c r="H841" t="s">
        <v>3856</v>
      </c>
      <c r="I841" t="s">
        <v>30</v>
      </c>
      <c r="J841" t="s">
        <v>31</v>
      </c>
      <c r="K841" t="s">
        <v>32</v>
      </c>
      <c r="L841" t="s">
        <v>43</v>
      </c>
      <c r="M841">
        <v>41</v>
      </c>
      <c r="N841" t="s">
        <v>45</v>
      </c>
      <c r="O841">
        <v>1</v>
      </c>
      <c r="P841">
        <v>4</v>
      </c>
      <c r="Q841">
        <v>3</v>
      </c>
      <c r="R841">
        <v>3</v>
      </c>
      <c r="S841">
        <v>6</v>
      </c>
      <c r="T841">
        <v>4</v>
      </c>
      <c r="U841">
        <v>11</v>
      </c>
      <c r="V841" t="s">
        <v>3857</v>
      </c>
      <c r="W841" t="s">
        <v>45</v>
      </c>
      <c r="X841" t="s">
        <v>3858</v>
      </c>
    </row>
    <row r="842" spans="1:24" x14ac:dyDescent="0.25">
      <c r="A842" t="s">
        <v>3859</v>
      </c>
      <c r="B842" t="s">
        <v>3860</v>
      </c>
      <c r="C842" t="s">
        <v>87</v>
      </c>
      <c r="D842">
        <v>37</v>
      </c>
      <c r="E842" t="s">
        <v>579</v>
      </c>
      <c r="F842" t="s">
        <v>1989</v>
      </c>
      <c r="G842" t="s">
        <v>3861</v>
      </c>
      <c r="H842">
        <v>151548</v>
      </c>
      <c r="I842" t="s">
        <v>52</v>
      </c>
      <c r="J842" t="s">
        <v>61</v>
      </c>
      <c r="K842" t="s">
        <v>200</v>
      </c>
      <c r="L842" t="s">
        <v>43</v>
      </c>
      <c r="M842">
        <v>35</v>
      </c>
      <c r="N842" t="s">
        <v>34</v>
      </c>
      <c r="O842">
        <v>2</v>
      </c>
      <c r="P842">
        <v>1</v>
      </c>
      <c r="Q842">
        <v>4</v>
      </c>
      <c r="R842">
        <v>3</v>
      </c>
      <c r="S842">
        <v>6</v>
      </c>
      <c r="T842">
        <v>6</v>
      </c>
      <c r="V842" t="s">
        <v>72</v>
      </c>
      <c r="W842" t="s">
        <v>34</v>
      </c>
    </row>
    <row r="843" spans="1:24" x14ac:dyDescent="0.25">
      <c r="A843" t="s">
        <v>3862</v>
      </c>
      <c r="B843" t="s">
        <v>3863</v>
      </c>
      <c r="C843" t="s">
        <v>26</v>
      </c>
      <c r="D843">
        <v>31</v>
      </c>
      <c r="E843" t="s">
        <v>128</v>
      </c>
      <c r="F843" t="s">
        <v>3201</v>
      </c>
      <c r="G843" t="s">
        <v>3864</v>
      </c>
      <c r="H843">
        <v>73913</v>
      </c>
      <c r="I843" t="s">
        <v>30</v>
      </c>
      <c r="J843" t="s">
        <v>61</v>
      </c>
      <c r="K843" t="s">
        <v>98</v>
      </c>
      <c r="L843" t="s">
        <v>33</v>
      </c>
      <c r="M843">
        <v>1</v>
      </c>
      <c r="N843" t="s">
        <v>34</v>
      </c>
      <c r="O843">
        <v>1</v>
      </c>
      <c r="P843">
        <v>3</v>
      </c>
      <c r="R843">
        <v>3</v>
      </c>
      <c r="S843">
        <v>6</v>
      </c>
      <c r="T843">
        <v>0</v>
      </c>
      <c r="U843">
        <v>12</v>
      </c>
      <c r="V843" t="s">
        <v>3865</v>
      </c>
      <c r="W843" t="s">
        <v>45</v>
      </c>
      <c r="X843" t="s">
        <v>3866</v>
      </c>
    </row>
    <row r="844" spans="1:24" x14ac:dyDescent="0.25">
      <c r="A844" t="s">
        <v>3867</v>
      </c>
      <c r="B844" t="s">
        <v>3868</v>
      </c>
      <c r="C844" t="s">
        <v>58</v>
      </c>
      <c r="D844">
        <v>27</v>
      </c>
      <c r="E844" t="s">
        <v>74</v>
      </c>
      <c r="F844" t="s">
        <v>75</v>
      </c>
      <c r="G844" t="s">
        <v>3869</v>
      </c>
      <c r="H844">
        <v>49991</v>
      </c>
      <c r="I844" t="s">
        <v>42</v>
      </c>
      <c r="J844" t="s">
        <v>31</v>
      </c>
      <c r="K844" t="s">
        <v>113</v>
      </c>
      <c r="L844" t="s">
        <v>43</v>
      </c>
      <c r="M844">
        <v>22</v>
      </c>
      <c r="N844" t="s">
        <v>34</v>
      </c>
      <c r="O844">
        <v>1</v>
      </c>
      <c r="P844">
        <v>3</v>
      </c>
      <c r="Q844">
        <v>3</v>
      </c>
      <c r="S844">
        <v>4</v>
      </c>
      <c r="T844">
        <v>5</v>
      </c>
      <c r="U844">
        <v>25</v>
      </c>
      <c r="V844" t="s">
        <v>3870</v>
      </c>
      <c r="W844" t="s">
        <v>45</v>
      </c>
      <c r="X844" t="s">
        <v>3871</v>
      </c>
    </row>
    <row r="845" spans="1:24" x14ac:dyDescent="0.25">
      <c r="A845" t="s">
        <v>3872</v>
      </c>
      <c r="B845" t="s">
        <v>3873</v>
      </c>
      <c r="C845" t="s">
        <v>102</v>
      </c>
      <c r="D845">
        <v>43</v>
      </c>
      <c r="E845" t="s">
        <v>128</v>
      </c>
      <c r="F845" t="s">
        <v>1107</v>
      </c>
      <c r="G845" t="s">
        <v>2973</v>
      </c>
      <c r="H845">
        <v>103408</v>
      </c>
      <c r="I845" t="s">
        <v>52</v>
      </c>
      <c r="J845" t="s">
        <v>61</v>
      </c>
      <c r="K845" t="s">
        <v>98</v>
      </c>
      <c r="L845" t="s">
        <v>62</v>
      </c>
      <c r="M845">
        <v>34</v>
      </c>
      <c r="N845" t="s">
        <v>34</v>
      </c>
      <c r="O845">
        <v>3</v>
      </c>
      <c r="P845">
        <v>3</v>
      </c>
      <c r="Q845">
        <v>2</v>
      </c>
      <c r="R845">
        <v>3</v>
      </c>
      <c r="T845">
        <v>7</v>
      </c>
      <c r="U845">
        <v>20</v>
      </c>
      <c r="V845" t="s">
        <v>3874</v>
      </c>
      <c r="W845" t="s">
        <v>34</v>
      </c>
    </row>
    <row r="846" spans="1:24" x14ac:dyDescent="0.25">
      <c r="A846" t="s">
        <v>3875</v>
      </c>
      <c r="B846" t="s">
        <v>3876</v>
      </c>
      <c r="D846">
        <v>33</v>
      </c>
      <c r="E846" t="s">
        <v>1669</v>
      </c>
      <c r="F846" t="s">
        <v>356</v>
      </c>
      <c r="G846" t="s">
        <v>3877</v>
      </c>
      <c r="H846">
        <v>119099</v>
      </c>
      <c r="I846" t="s">
        <v>42</v>
      </c>
      <c r="J846" t="s">
        <v>31</v>
      </c>
      <c r="K846" t="s">
        <v>167</v>
      </c>
      <c r="L846" t="s">
        <v>33</v>
      </c>
      <c r="M846">
        <v>14</v>
      </c>
      <c r="N846" t="s">
        <v>45</v>
      </c>
      <c r="O846">
        <v>3</v>
      </c>
      <c r="P846">
        <v>2</v>
      </c>
      <c r="Q846">
        <v>2</v>
      </c>
      <c r="R846">
        <v>2</v>
      </c>
      <c r="S846">
        <v>5</v>
      </c>
      <c r="T846">
        <v>6</v>
      </c>
      <c r="U846">
        <v>11</v>
      </c>
      <c r="V846" t="s">
        <v>3878</v>
      </c>
      <c r="W846" t="s">
        <v>45</v>
      </c>
      <c r="X846" t="s">
        <v>3879</v>
      </c>
    </row>
    <row r="847" spans="1:24" x14ac:dyDescent="0.25">
      <c r="A847" t="s">
        <v>3880</v>
      </c>
      <c r="B847" t="s">
        <v>3881</v>
      </c>
      <c r="C847" t="s">
        <v>49</v>
      </c>
      <c r="D847">
        <v>45</v>
      </c>
      <c r="E847" t="s">
        <v>94</v>
      </c>
      <c r="F847" t="s">
        <v>356</v>
      </c>
      <c r="G847" t="s">
        <v>3882</v>
      </c>
      <c r="H847">
        <v>62410</v>
      </c>
      <c r="I847" t="s">
        <v>30</v>
      </c>
      <c r="J847" t="s">
        <v>31</v>
      </c>
      <c r="K847" t="s">
        <v>200</v>
      </c>
      <c r="L847" t="s">
        <v>43</v>
      </c>
      <c r="M847">
        <v>34</v>
      </c>
      <c r="N847" t="s">
        <v>34</v>
      </c>
      <c r="O847">
        <v>1</v>
      </c>
      <c r="P847">
        <v>2</v>
      </c>
      <c r="Q847">
        <v>3</v>
      </c>
      <c r="R847">
        <v>3</v>
      </c>
      <c r="S847">
        <v>1</v>
      </c>
      <c r="T847">
        <v>4</v>
      </c>
      <c r="U847">
        <v>13</v>
      </c>
      <c r="V847" t="s">
        <v>3883</v>
      </c>
      <c r="W847" t="s">
        <v>34</v>
      </c>
    </row>
    <row r="848" spans="1:24" x14ac:dyDescent="0.25">
      <c r="A848" t="s">
        <v>3884</v>
      </c>
      <c r="B848" t="s">
        <v>3885</v>
      </c>
      <c r="C848" t="s">
        <v>87</v>
      </c>
      <c r="D848">
        <v>32</v>
      </c>
      <c r="E848" t="s">
        <v>412</v>
      </c>
      <c r="F848" t="s">
        <v>828</v>
      </c>
      <c r="G848" t="s">
        <v>3886</v>
      </c>
      <c r="H848" t="s">
        <v>3887</v>
      </c>
      <c r="I848" t="s">
        <v>52</v>
      </c>
      <c r="J848" t="s">
        <v>31</v>
      </c>
      <c r="K848" t="s">
        <v>167</v>
      </c>
      <c r="L848" t="s">
        <v>62</v>
      </c>
      <c r="M848">
        <v>29</v>
      </c>
      <c r="N848" t="s">
        <v>34</v>
      </c>
      <c r="O848">
        <v>4</v>
      </c>
      <c r="P848">
        <v>1</v>
      </c>
      <c r="Q848">
        <v>1</v>
      </c>
      <c r="R848">
        <v>3</v>
      </c>
      <c r="S848">
        <v>6</v>
      </c>
      <c r="T848">
        <v>1</v>
      </c>
      <c r="U848">
        <v>24</v>
      </c>
      <c r="V848" t="s">
        <v>3888</v>
      </c>
      <c r="W848" t="s">
        <v>45</v>
      </c>
      <c r="X848" t="s">
        <v>3889</v>
      </c>
    </row>
    <row r="849" spans="1:24" x14ac:dyDescent="0.25">
      <c r="A849" t="s">
        <v>3890</v>
      </c>
      <c r="B849" t="s">
        <v>3891</v>
      </c>
      <c r="C849" t="s">
        <v>67</v>
      </c>
      <c r="D849">
        <v>23</v>
      </c>
      <c r="E849" t="s">
        <v>412</v>
      </c>
      <c r="F849" t="s">
        <v>413</v>
      </c>
      <c r="G849" t="s">
        <v>3892</v>
      </c>
      <c r="H849">
        <v>68965</v>
      </c>
      <c r="I849" t="s">
        <v>30</v>
      </c>
      <c r="J849" t="s">
        <v>61</v>
      </c>
      <c r="K849" t="s">
        <v>200</v>
      </c>
      <c r="L849" t="s">
        <v>33</v>
      </c>
      <c r="M849">
        <v>43</v>
      </c>
      <c r="N849" t="s">
        <v>34</v>
      </c>
      <c r="O849">
        <v>2</v>
      </c>
      <c r="P849">
        <v>3</v>
      </c>
      <c r="Q849">
        <v>3</v>
      </c>
      <c r="R849">
        <v>3</v>
      </c>
      <c r="S849">
        <v>6</v>
      </c>
      <c r="T849">
        <v>2</v>
      </c>
      <c r="U849">
        <v>22</v>
      </c>
      <c r="V849" t="s">
        <v>3893</v>
      </c>
      <c r="W849" t="s">
        <v>34</v>
      </c>
    </row>
    <row r="850" spans="1:24" x14ac:dyDescent="0.25">
      <c r="A850" t="s">
        <v>3894</v>
      </c>
      <c r="B850" t="s">
        <v>3895</v>
      </c>
      <c r="C850" t="s">
        <v>58</v>
      </c>
      <c r="D850">
        <v>54</v>
      </c>
      <c r="E850" t="s">
        <v>147</v>
      </c>
      <c r="F850" t="s">
        <v>792</v>
      </c>
      <c r="G850" t="s">
        <v>3896</v>
      </c>
      <c r="H850">
        <v>73542</v>
      </c>
      <c r="I850" t="s">
        <v>30</v>
      </c>
      <c r="J850" t="s">
        <v>97</v>
      </c>
      <c r="K850" t="s">
        <v>167</v>
      </c>
      <c r="L850" t="s">
        <v>33</v>
      </c>
      <c r="M850">
        <v>1</v>
      </c>
      <c r="N850" t="s">
        <v>34</v>
      </c>
      <c r="O850">
        <v>3</v>
      </c>
      <c r="P850">
        <v>2</v>
      </c>
      <c r="Q850">
        <v>1</v>
      </c>
      <c r="R850">
        <v>3</v>
      </c>
      <c r="S850">
        <v>6</v>
      </c>
      <c r="T850">
        <v>1</v>
      </c>
      <c r="U850">
        <v>24</v>
      </c>
      <c r="V850" t="s">
        <v>3897</v>
      </c>
      <c r="W850" t="s">
        <v>34</v>
      </c>
    </row>
    <row r="851" spans="1:24" x14ac:dyDescent="0.25">
      <c r="A851" t="s">
        <v>3898</v>
      </c>
      <c r="B851" t="s">
        <v>3899</v>
      </c>
      <c r="C851" t="s">
        <v>49</v>
      </c>
      <c r="D851">
        <v>33</v>
      </c>
      <c r="E851" t="s">
        <v>128</v>
      </c>
      <c r="F851" t="s">
        <v>123</v>
      </c>
      <c r="G851" t="s">
        <v>3900</v>
      </c>
      <c r="H851">
        <v>99824</v>
      </c>
      <c r="I851" t="s">
        <v>52</v>
      </c>
      <c r="J851" t="s">
        <v>53</v>
      </c>
      <c r="K851" t="s">
        <v>83</v>
      </c>
      <c r="L851" t="s">
        <v>33</v>
      </c>
      <c r="M851">
        <v>33</v>
      </c>
      <c r="N851" t="s">
        <v>34</v>
      </c>
      <c r="O851">
        <v>1</v>
      </c>
      <c r="P851">
        <v>4</v>
      </c>
      <c r="Q851">
        <v>3</v>
      </c>
      <c r="R851">
        <v>4</v>
      </c>
      <c r="S851">
        <v>0</v>
      </c>
      <c r="T851">
        <v>8</v>
      </c>
      <c r="U851">
        <v>16</v>
      </c>
      <c r="V851" t="s">
        <v>3901</v>
      </c>
      <c r="W851" t="s">
        <v>34</v>
      </c>
    </row>
    <row r="852" spans="1:24" x14ac:dyDescent="0.25">
      <c r="A852" t="s">
        <v>3902</v>
      </c>
      <c r="B852" t="s">
        <v>3903</v>
      </c>
      <c r="C852" t="s">
        <v>87</v>
      </c>
      <c r="D852">
        <v>29</v>
      </c>
      <c r="E852" t="s">
        <v>88</v>
      </c>
      <c r="F852" t="s">
        <v>164</v>
      </c>
      <c r="G852" t="s">
        <v>3904</v>
      </c>
      <c r="H852">
        <v>91085</v>
      </c>
      <c r="I852" t="s">
        <v>42</v>
      </c>
      <c r="J852" t="s">
        <v>31</v>
      </c>
      <c r="K852" t="s">
        <v>83</v>
      </c>
      <c r="L852" t="s">
        <v>62</v>
      </c>
      <c r="M852">
        <v>31</v>
      </c>
      <c r="N852" t="s">
        <v>34</v>
      </c>
      <c r="O852">
        <v>4</v>
      </c>
      <c r="P852">
        <v>1</v>
      </c>
      <c r="Q852">
        <v>1</v>
      </c>
      <c r="R852">
        <v>3</v>
      </c>
      <c r="S852">
        <v>5</v>
      </c>
      <c r="T852">
        <v>8</v>
      </c>
      <c r="U852">
        <v>12</v>
      </c>
      <c r="V852" t="s">
        <v>3905</v>
      </c>
      <c r="W852" t="s">
        <v>34</v>
      </c>
    </row>
    <row r="853" spans="1:24" x14ac:dyDescent="0.25">
      <c r="A853" t="s">
        <v>3906</v>
      </c>
      <c r="B853" t="s">
        <v>3907</v>
      </c>
      <c r="C853" t="s">
        <v>102</v>
      </c>
      <c r="D853">
        <v>46</v>
      </c>
      <c r="E853" t="s">
        <v>128</v>
      </c>
      <c r="F853" t="s">
        <v>255</v>
      </c>
      <c r="G853" t="s">
        <v>3908</v>
      </c>
      <c r="H853">
        <v>78466</v>
      </c>
      <c r="I853" t="s">
        <v>42</v>
      </c>
      <c r="J853" t="s">
        <v>61</v>
      </c>
      <c r="K853" t="s">
        <v>167</v>
      </c>
      <c r="L853" t="s">
        <v>62</v>
      </c>
      <c r="M853">
        <v>38</v>
      </c>
      <c r="N853" t="s">
        <v>34</v>
      </c>
      <c r="O853">
        <v>4</v>
      </c>
      <c r="P853">
        <v>3</v>
      </c>
      <c r="Q853">
        <v>4</v>
      </c>
      <c r="R853">
        <v>3</v>
      </c>
      <c r="S853">
        <v>4</v>
      </c>
      <c r="T853">
        <v>3</v>
      </c>
      <c r="V853" t="s">
        <v>3909</v>
      </c>
      <c r="W853" t="s">
        <v>34</v>
      </c>
    </row>
    <row r="854" spans="1:24" x14ac:dyDescent="0.25">
      <c r="A854" t="s">
        <v>3910</v>
      </c>
      <c r="B854" t="s">
        <v>3911</v>
      </c>
      <c r="C854" t="s">
        <v>73</v>
      </c>
      <c r="D854">
        <v>51</v>
      </c>
      <c r="E854" t="s">
        <v>94</v>
      </c>
      <c r="F854" t="s">
        <v>306</v>
      </c>
      <c r="G854" t="s">
        <v>3912</v>
      </c>
      <c r="H854" t="s">
        <v>3913</v>
      </c>
      <c r="I854" t="s">
        <v>52</v>
      </c>
      <c r="J854" t="s">
        <v>61</v>
      </c>
      <c r="K854" t="s">
        <v>131</v>
      </c>
      <c r="L854" t="s">
        <v>43</v>
      </c>
      <c r="M854">
        <v>23</v>
      </c>
      <c r="N854" t="s">
        <v>34</v>
      </c>
      <c r="O854">
        <v>4</v>
      </c>
      <c r="R854">
        <v>3</v>
      </c>
      <c r="S854">
        <v>2</v>
      </c>
      <c r="T854">
        <v>4</v>
      </c>
      <c r="U854">
        <v>12</v>
      </c>
      <c r="V854" t="s">
        <v>3914</v>
      </c>
      <c r="W854" t="s">
        <v>34</v>
      </c>
    </row>
    <row r="855" spans="1:24" x14ac:dyDescent="0.25">
      <c r="A855" t="s">
        <v>3915</v>
      </c>
      <c r="B855" t="s">
        <v>2368</v>
      </c>
      <c r="C855" t="s">
        <v>26</v>
      </c>
      <c r="D855">
        <v>19</v>
      </c>
      <c r="E855" t="s">
        <v>88</v>
      </c>
      <c r="F855" t="s">
        <v>1989</v>
      </c>
      <c r="G855" t="s">
        <v>3916</v>
      </c>
      <c r="H855">
        <v>64381</v>
      </c>
      <c r="I855" t="s">
        <v>42</v>
      </c>
      <c r="J855" t="s">
        <v>61</v>
      </c>
      <c r="K855" t="s">
        <v>131</v>
      </c>
      <c r="M855">
        <v>41</v>
      </c>
      <c r="N855" t="s">
        <v>34</v>
      </c>
      <c r="O855">
        <v>3</v>
      </c>
      <c r="P855">
        <v>4</v>
      </c>
      <c r="Q855">
        <v>1</v>
      </c>
      <c r="R855">
        <v>2</v>
      </c>
      <c r="S855">
        <v>0</v>
      </c>
      <c r="T855">
        <v>4</v>
      </c>
      <c r="U855">
        <v>11</v>
      </c>
      <c r="W855" t="s">
        <v>34</v>
      </c>
    </row>
    <row r="856" spans="1:24" x14ac:dyDescent="0.25">
      <c r="A856" t="s">
        <v>3917</v>
      </c>
      <c r="B856" t="s">
        <v>3918</v>
      </c>
      <c r="C856" t="s">
        <v>49</v>
      </c>
      <c r="D856">
        <v>26</v>
      </c>
      <c r="E856" t="s">
        <v>27</v>
      </c>
      <c r="F856" t="s">
        <v>75</v>
      </c>
      <c r="G856" t="s">
        <v>3919</v>
      </c>
      <c r="H856">
        <v>72179</v>
      </c>
      <c r="I856" t="s">
        <v>30</v>
      </c>
      <c r="J856" t="s">
        <v>61</v>
      </c>
      <c r="L856" t="s">
        <v>33</v>
      </c>
      <c r="M856">
        <v>45</v>
      </c>
      <c r="N856" t="s">
        <v>34</v>
      </c>
      <c r="O856">
        <v>3</v>
      </c>
      <c r="P856">
        <v>2</v>
      </c>
      <c r="Q856">
        <v>3</v>
      </c>
      <c r="R856">
        <v>2</v>
      </c>
      <c r="S856">
        <v>3</v>
      </c>
      <c r="T856">
        <v>3</v>
      </c>
      <c r="U856">
        <v>22</v>
      </c>
      <c r="V856" t="s">
        <v>3795</v>
      </c>
      <c r="W856" t="s">
        <v>34</v>
      </c>
    </row>
    <row r="857" spans="1:24" x14ac:dyDescent="0.25">
      <c r="A857" t="s">
        <v>3920</v>
      </c>
      <c r="B857" t="s">
        <v>3921</v>
      </c>
      <c r="C857" t="s">
        <v>87</v>
      </c>
      <c r="D857">
        <v>44</v>
      </c>
      <c r="E857" t="s">
        <v>579</v>
      </c>
      <c r="F857" t="s">
        <v>483</v>
      </c>
      <c r="G857" t="s">
        <v>3922</v>
      </c>
      <c r="H857">
        <v>113703</v>
      </c>
      <c r="I857" t="s">
        <v>30</v>
      </c>
      <c r="J857" t="s">
        <v>31</v>
      </c>
      <c r="K857" t="s">
        <v>77</v>
      </c>
      <c r="L857" t="s">
        <v>43</v>
      </c>
      <c r="N857" t="s">
        <v>45</v>
      </c>
      <c r="P857">
        <v>1</v>
      </c>
      <c r="Q857">
        <v>2</v>
      </c>
      <c r="R857">
        <v>4</v>
      </c>
      <c r="S857">
        <v>1</v>
      </c>
      <c r="T857">
        <v>0</v>
      </c>
      <c r="U857">
        <v>15</v>
      </c>
      <c r="V857" t="s">
        <v>3923</v>
      </c>
      <c r="W857" t="s">
        <v>45</v>
      </c>
      <c r="X857" t="s">
        <v>3924</v>
      </c>
    </row>
    <row r="858" spans="1:24" x14ac:dyDescent="0.25">
      <c r="A858" t="s">
        <v>3925</v>
      </c>
      <c r="B858" t="s">
        <v>3926</v>
      </c>
      <c r="C858" t="s">
        <v>87</v>
      </c>
      <c r="D858">
        <v>49</v>
      </c>
      <c r="E858" t="s">
        <v>27</v>
      </c>
      <c r="F858" t="s">
        <v>188</v>
      </c>
      <c r="G858" t="s">
        <v>3927</v>
      </c>
      <c r="H858" t="s">
        <v>3928</v>
      </c>
      <c r="I858" t="s">
        <v>52</v>
      </c>
      <c r="J858" t="s">
        <v>31</v>
      </c>
      <c r="K858" t="s">
        <v>77</v>
      </c>
      <c r="L858" t="s">
        <v>33</v>
      </c>
      <c r="M858">
        <v>25</v>
      </c>
      <c r="N858" t="s">
        <v>34</v>
      </c>
      <c r="O858">
        <v>3</v>
      </c>
      <c r="P858">
        <v>4</v>
      </c>
      <c r="Q858">
        <v>4</v>
      </c>
      <c r="R858">
        <v>5</v>
      </c>
      <c r="S858">
        <v>4</v>
      </c>
      <c r="T858">
        <v>2</v>
      </c>
      <c r="U858">
        <v>18</v>
      </c>
      <c r="V858" t="s">
        <v>3929</v>
      </c>
      <c r="W858" t="s">
        <v>34</v>
      </c>
    </row>
    <row r="859" spans="1:24" x14ac:dyDescent="0.25">
      <c r="A859" t="s">
        <v>3930</v>
      </c>
      <c r="B859" t="s">
        <v>3931</v>
      </c>
      <c r="C859" t="s">
        <v>26</v>
      </c>
      <c r="D859">
        <v>60</v>
      </c>
      <c r="E859" t="s">
        <v>88</v>
      </c>
      <c r="F859" t="s">
        <v>483</v>
      </c>
      <c r="G859" t="s">
        <v>3932</v>
      </c>
      <c r="H859">
        <v>128269</v>
      </c>
      <c r="I859" t="s">
        <v>42</v>
      </c>
      <c r="J859" t="s">
        <v>61</v>
      </c>
      <c r="K859" t="s">
        <v>106</v>
      </c>
      <c r="L859" t="s">
        <v>62</v>
      </c>
      <c r="M859">
        <v>18</v>
      </c>
      <c r="N859" t="s">
        <v>34</v>
      </c>
      <c r="O859">
        <v>1</v>
      </c>
      <c r="P859">
        <v>4</v>
      </c>
      <c r="Q859">
        <v>1</v>
      </c>
      <c r="R859">
        <v>3</v>
      </c>
      <c r="S859">
        <v>0</v>
      </c>
      <c r="T859">
        <v>4</v>
      </c>
      <c r="U859">
        <v>22</v>
      </c>
      <c r="V859" t="s">
        <v>3933</v>
      </c>
      <c r="W859" t="s">
        <v>34</v>
      </c>
    </row>
    <row r="860" spans="1:24" x14ac:dyDescent="0.25">
      <c r="A860" t="s">
        <v>3934</v>
      </c>
      <c r="B860" t="s">
        <v>3935</v>
      </c>
      <c r="C860" t="s">
        <v>26</v>
      </c>
      <c r="D860">
        <v>22</v>
      </c>
      <c r="E860" t="s">
        <v>128</v>
      </c>
      <c r="F860" t="s">
        <v>123</v>
      </c>
      <c r="G860" t="s">
        <v>3936</v>
      </c>
      <c r="H860">
        <v>56793</v>
      </c>
      <c r="I860" t="s">
        <v>30</v>
      </c>
      <c r="J860" t="s">
        <v>31</v>
      </c>
      <c r="K860" t="s">
        <v>167</v>
      </c>
      <c r="L860" t="s">
        <v>62</v>
      </c>
      <c r="M860">
        <v>44</v>
      </c>
      <c r="N860" t="s">
        <v>34</v>
      </c>
      <c r="O860">
        <v>2</v>
      </c>
      <c r="P860">
        <v>2</v>
      </c>
      <c r="Q860">
        <v>1</v>
      </c>
      <c r="R860">
        <v>2</v>
      </c>
      <c r="T860">
        <v>0</v>
      </c>
      <c r="U860">
        <v>14</v>
      </c>
      <c r="V860" t="s">
        <v>3937</v>
      </c>
      <c r="W860" t="s">
        <v>34</v>
      </c>
    </row>
    <row r="861" spans="1:24" x14ac:dyDescent="0.25">
      <c r="A861" t="s">
        <v>3938</v>
      </c>
      <c r="B861" t="s">
        <v>3939</v>
      </c>
      <c r="C861" t="s">
        <v>26</v>
      </c>
      <c r="D861">
        <v>41</v>
      </c>
      <c r="E861" t="s">
        <v>412</v>
      </c>
      <c r="F861" t="s">
        <v>828</v>
      </c>
      <c r="G861" t="s">
        <v>3940</v>
      </c>
      <c r="H861">
        <v>41561</v>
      </c>
      <c r="I861" t="s">
        <v>42</v>
      </c>
      <c r="J861" t="s">
        <v>31</v>
      </c>
      <c r="K861" t="s">
        <v>131</v>
      </c>
      <c r="L861" t="s">
        <v>62</v>
      </c>
      <c r="M861">
        <v>16</v>
      </c>
      <c r="N861" t="s">
        <v>45</v>
      </c>
      <c r="O861">
        <v>1</v>
      </c>
      <c r="P861">
        <v>1</v>
      </c>
      <c r="Q861">
        <v>1</v>
      </c>
      <c r="R861">
        <v>4</v>
      </c>
      <c r="S861">
        <v>3</v>
      </c>
      <c r="T861">
        <v>1</v>
      </c>
      <c r="U861">
        <v>20</v>
      </c>
      <c r="V861" t="s">
        <v>3941</v>
      </c>
      <c r="W861" t="s">
        <v>45</v>
      </c>
      <c r="X861" t="s">
        <v>3942</v>
      </c>
    </row>
    <row r="862" spans="1:24" x14ac:dyDescent="0.25">
      <c r="A862" t="s">
        <v>3943</v>
      </c>
      <c r="B862" t="s">
        <v>3944</v>
      </c>
      <c r="C862" t="s">
        <v>49</v>
      </c>
      <c r="D862">
        <v>32</v>
      </c>
      <c r="E862" t="s">
        <v>128</v>
      </c>
      <c r="F862" t="s">
        <v>129</v>
      </c>
      <c r="G862" t="s">
        <v>3945</v>
      </c>
      <c r="H862">
        <v>76122</v>
      </c>
      <c r="I862" t="s">
        <v>42</v>
      </c>
      <c r="J862" t="s">
        <v>31</v>
      </c>
      <c r="L862" t="s">
        <v>43</v>
      </c>
      <c r="M862">
        <v>33</v>
      </c>
      <c r="N862" t="s">
        <v>45</v>
      </c>
      <c r="O862">
        <v>1</v>
      </c>
      <c r="P862">
        <v>2</v>
      </c>
      <c r="Q862">
        <v>4</v>
      </c>
      <c r="R862">
        <v>3</v>
      </c>
      <c r="S862">
        <v>5</v>
      </c>
      <c r="T862">
        <v>6</v>
      </c>
      <c r="U862">
        <v>13</v>
      </c>
      <c r="V862" t="s">
        <v>3946</v>
      </c>
      <c r="W862" t="s">
        <v>45</v>
      </c>
      <c r="X862" t="s">
        <v>3947</v>
      </c>
    </row>
    <row r="863" spans="1:24" x14ac:dyDescent="0.25">
      <c r="A863" t="s">
        <v>3948</v>
      </c>
      <c r="B863" t="s">
        <v>3949</v>
      </c>
      <c r="C863" t="s">
        <v>87</v>
      </c>
      <c r="D863">
        <v>41</v>
      </c>
      <c r="E863" t="s">
        <v>88</v>
      </c>
      <c r="F863" t="s">
        <v>164</v>
      </c>
      <c r="G863" t="s">
        <v>3950</v>
      </c>
      <c r="H863">
        <v>57202</v>
      </c>
      <c r="I863" t="s">
        <v>52</v>
      </c>
      <c r="J863" t="s">
        <v>31</v>
      </c>
      <c r="K863" t="s">
        <v>83</v>
      </c>
      <c r="L863" t="s">
        <v>33</v>
      </c>
      <c r="M863">
        <v>20</v>
      </c>
      <c r="N863" t="s">
        <v>34</v>
      </c>
      <c r="O863">
        <v>1</v>
      </c>
      <c r="P863">
        <v>2</v>
      </c>
      <c r="Q863">
        <v>1</v>
      </c>
      <c r="R863">
        <v>3</v>
      </c>
      <c r="S863">
        <v>4</v>
      </c>
      <c r="T863">
        <v>0</v>
      </c>
      <c r="U863">
        <v>13</v>
      </c>
      <c r="V863" t="s">
        <v>3951</v>
      </c>
      <c r="W863" t="s">
        <v>34</v>
      </c>
    </row>
    <row r="864" spans="1:24" x14ac:dyDescent="0.25">
      <c r="A864" t="s">
        <v>3952</v>
      </c>
      <c r="B864" t="s">
        <v>3953</v>
      </c>
      <c r="C864" t="s">
        <v>49</v>
      </c>
      <c r="E864" t="s">
        <v>27</v>
      </c>
      <c r="F864" t="s">
        <v>2419</v>
      </c>
      <c r="G864" t="s">
        <v>3954</v>
      </c>
      <c r="H864">
        <v>76053</v>
      </c>
      <c r="J864" t="s">
        <v>61</v>
      </c>
      <c r="K864" t="s">
        <v>83</v>
      </c>
      <c r="L864" t="s">
        <v>33</v>
      </c>
      <c r="M864">
        <v>5</v>
      </c>
      <c r="N864" t="s">
        <v>34</v>
      </c>
      <c r="O864">
        <v>2</v>
      </c>
      <c r="P864">
        <v>2</v>
      </c>
      <c r="Q864">
        <v>1</v>
      </c>
      <c r="R864">
        <v>3</v>
      </c>
      <c r="S864">
        <v>0</v>
      </c>
      <c r="T864">
        <v>7</v>
      </c>
      <c r="U864">
        <v>19</v>
      </c>
      <c r="V864" t="s">
        <v>3955</v>
      </c>
      <c r="W864" t="s">
        <v>34</v>
      </c>
    </row>
    <row r="865" spans="1:24" x14ac:dyDescent="0.25">
      <c r="A865" t="s">
        <v>3956</v>
      </c>
      <c r="B865" t="s">
        <v>3957</v>
      </c>
      <c r="C865" t="s">
        <v>49</v>
      </c>
      <c r="D865">
        <v>35</v>
      </c>
      <c r="E865" t="s">
        <v>88</v>
      </c>
      <c r="F865" t="s">
        <v>286</v>
      </c>
      <c r="G865" t="s">
        <v>3958</v>
      </c>
      <c r="H865">
        <v>131946</v>
      </c>
      <c r="I865" t="s">
        <v>42</v>
      </c>
      <c r="J865" t="s">
        <v>97</v>
      </c>
      <c r="K865" t="s">
        <v>77</v>
      </c>
      <c r="L865" t="s">
        <v>62</v>
      </c>
      <c r="M865">
        <v>13</v>
      </c>
      <c r="N865" t="s">
        <v>45</v>
      </c>
      <c r="O865">
        <v>1</v>
      </c>
      <c r="P865">
        <v>1</v>
      </c>
      <c r="Q865">
        <v>2</v>
      </c>
      <c r="R865">
        <v>2</v>
      </c>
      <c r="S865">
        <v>5</v>
      </c>
      <c r="T865">
        <v>1</v>
      </c>
      <c r="U865">
        <v>25</v>
      </c>
      <c r="V865" t="s">
        <v>3959</v>
      </c>
      <c r="W865" t="s">
        <v>45</v>
      </c>
      <c r="X865" t="s">
        <v>3960</v>
      </c>
    </row>
    <row r="866" spans="1:24" x14ac:dyDescent="0.25">
      <c r="A866" t="s">
        <v>3961</v>
      </c>
      <c r="B866" t="s">
        <v>3962</v>
      </c>
      <c r="C866" t="s">
        <v>87</v>
      </c>
      <c r="D866">
        <v>30</v>
      </c>
      <c r="E866" t="s">
        <v>554</v>
      </c>
      <c r="F866" t="s">
        <v>469</v>
      </c>
      <c r="G866" t="s">
        <v>3963</v>
      </c>
      <c r="H866">
        <v>121487</v>
      </c>
      <c r="I866" t="s">
        <v>42</v>
      </c>
      <c r="J866" t="s">
        <v>97</v>
      </c>
      <c r="K866" t="s">
        <v>106</v>
      </c>
      <c r="L866" t="s">
        <v>33</v>
      </c>
      <c r="M866">
        <v>5</v>
      </c>
      <c r="N866" t="s">
        <v>34</v>
      </c>
      <c r="O866">
        <v>4</v>
      </c>
      <c r="P866">
        <v>2</v>
      </c>
      <c r="Q866">
        <v>2</v>
      </c>
      <c r="R866">
        <v>3</v>
      </c>
      <c r="S866">
        <v>3</v>
      </c>
      <c r="T866">
        <v>5</v>
      </c>
      <c r="V866" t="s">
        <v>3964</v>
      </c>
      <c r="W866" t="s">
        <v>34</v>
      </c>
    </row>
    <row r="867" spans="1:24" x14ac:dyDescent="0.25">
      <c r="A867" t="s">
        <v>3965</v>
      </c>
      <c r="B867" t="s">
        <v>3966</v>
      </c>
      <c r="C867" t="s">
        <v>73</v>
      </c>
      <c r="D867">
        <v>29</v>
      </c>
      <c r="E867" t="s">
        <v>197</v>
      </c>
      <c r="F867" t="s">
        <v>323</v>
      </c>
      <c r="G867" t="s">
        <v>3967</v>
      </c>
      <c r="H867" t="s">
        <v>3968</v>
      </c>
      <c r="I867" t="s">
        <v>42</v>
      </c>
      <c r="J867" t="s">
        <v>61</v>
      </c>
      <c r="K867" t="s">
        <v>167</v>
      </c>
      <c r="L867" t="s">
        <v>43</v>
      </c>
      <c r="M867">
        <v>45</v>
      </c>
      <c r="N867" t="s">
        <v>34</v>
      </c>
      <c r="O867">
        <v>3</v>
      </c>
      <c r="P867">
        <v>3</v>
      </c>
      <c r="Q867">
        <v>4</v>
      </c>
      <c r="R867">
        <v>3</v>
      </c>
      <c r="S867">
        <v>2</v>
      </c>
      <c r="T867">
        <v>3</v>
      </c>
      <c r="U867">
        <v>24</v>
      </c>
      <c r="V867" t="s">
        <v>3969</v>
      </c>
      <c r="W867" t="s">
        <v>34</v>
      </c>
    </row>
    <row r="868" spans="1:24" x14ac:dyDescent="0.25">
      <c r="A868" t="s">
        <v>3970</v>
      </c>
      <c r="B868" t="s">
        <v>3971</v>
      </c>
      <c r="C868" t="s">
        <v>26</v>
      </c>
      <c r="D868">
        <v>38</v>
      </c>
      <c r="E868" t="s">
        <v>128</v>
      </c>
      <c r="F868" t="s">
        <v>271</v>
      </c>
      <c r="G868" t="s">
        <v>3972</v>
      </c>
      <c r="H868">
        <v>48963</v>
      </c>
      <c r="I868" t="s">
        <v>52</v>
      </c>
      <c r="J868" t="s">
        <v>61</v>
      </c>
      <c r="K868" t="s">
        <v>167</v>
      </c>
      <c r="L868" t="s">
        <v>33</v>
      </c>
      <c r="M868">
        <v>20</v>
      </c>
      <c r="N868" t="s">
        <v>45</v>
      </c>
      <c r="O868">
        <v>2</v>
      </c>
      <c r="P868">
        <v>4</v>
      </c>
      <c r="Q868">
        <v>1</v>
      </c>
      <c r="R868">
        <v>3</v>
      </c>
      <c r="S868">
        <v>4</v>
      </c>
      <c r="T868">
        <v>5</v>
      </c>
      <c r="U868">
        <v>17</v>
      </c>
      <c r="V868" t="s">
        <v>3973</v>
      </c>
      <c r="W868" t="s">
        <v>45</v>
      </c>
      <c r="X868" t="s">
        <v>3974</v>
      </c>
    </row>
    <row r="869" spans="1:24" x14ac:dyDescent="0.25">
      <c r="A869" t="s">
        <v>3975</v>
      </c>
      <c r="B869" t="s">
        <v>3976</v>
      </c>
      <c r="C869" t="s">
        <v>87</v>
      </c>
      <c r="D869">
        <v>35</v>
      </c>
      <c r="E869" t="s">
        <v>27</v>
      </c>
      <c r="F869" t="s">
        <v>75</v>
      </c>
      <c r="G869" t="s">
        <v>3977</v>
      </c>
      <c r="H869">
        <v>123788</v>
      </c>
      <c r="I869" t="s">
        <v>52</v>
      </c>
      <c r="J869" t="s">
        <v>31</v>
      </c>
      <c r="K869" t="s">
        <v>98</v>
      </c>
      <c r="L869" t="s">
        <v>33</v>
      </c>
      <c r="M869">
        <v>21</v>
      </c>
      <c r="N869" t="s">
        <v>34</v>
      </c>
      <c r="O869">
        <v>1</v>
      </c>
      <c r="P869">
        <v>2</v>
      </c>
      <c r="Q869">
        <v>3</v>
      </c>
      <c r="R869">
        <v>3</v>
      </c>
      <c r="S869">
        <v>3</v>
      </c>
      <c r="T869">
        <v>3</v>
      </c>
      <c r="U869">
        <v>24</v>
      </c>
      <c r="V869" t="s">
        <v>3978</v>
      </c>
      <c r="W869" t="s">
        <v>34</v>
      </c>
    </row>
    <row r="870" spans="1:24" x14ac:dyDescent="0.25">
      <c r="A870" t="s">
        <v>3979</v>
      </c>
      <c r="B870" t="s">
        <v>3980</v>
      </c>
      <c r="C870" t="s">
        <v>81</v>
      </c>
      <c r="D870">
        <v>33</v>
      </c>
      <c r="E870" t="s">
        <v>629</v>
      </c>
      <c r="F870" t="s">
        <v>271</v>
      </c>
      <c r="G870" t="s">
        <v>3981</v>
      </c>
      <c r="H870">
        <v>80874</v>
      </c>
      <c r="I870" t="s">
        <v>30</v>
      </c>
      <c r="J870" t="s">
        <v>143</v>
      </c>
      <c r="K870" t="s">
        <v>167</v>
      </c>
      <c r="L870" t="s">
        <v>62</v>
      </c>
      <c r="M870">
        <v>36</v>
      </c>
      <c r="N870" t="s">
        <v>34</v>
      </c>
      <c r="O870">
        <v>1</v>
      </c>
      <c r="P870">
        <v>3</v>
      </c>
      <c r="Q870">
        <v>4</v>
      </c>
      <c r="R870">
        <v>3</v>
      </c>
      <c r="S870">
        <v>6</v>
      </c>
      <c r="T870">
        <v>6</v>
      </c>
      <c r="U870">
        <v>18</v>
      </c>
      <c r="V870" t="s">
        <v>3982</v>
      </c>
      <c r="W870" t="s">
        <v>34</v>
      </c>
    </row>
    <row r="871" spans="1:24" x14ac:dyDescent="0.25">
      <c r="A871" t="s">
        <v>3983</v>
      </c>
      <c r="B871" t="s">
        <v>3984</v>
      </c>
      <c r="C871" t="s">
        <v>87</v>
      </c>
      <c r="D871">
        <v>43</v>
      </c>
      <c r="E871" t="s">
        <v>94</v>
      </c>
      <c r="F871" t="s">
        <v>356</v>
      </c>
      <c r="G871" t="s">
        <v>3985</v>
      </c>
      <c r="H871">
        <v>126843</v>
      </c>
      <c r="I871" t="s">
        <v>52</v>
      </c>
      <c r="J871" t="s">
        <v>61</v>
      </c>
      <c r="K871" t="s">
        <v>113</v>
      </c>
      <c r="L871" t="s">
        <v>33</v>
      </c>
      <c r="M871">
        <v>10</v>
      </c>
      <c r="N871" t="s">
        <v>34</v>
      </c>
      <c r="O871">
        <v>2</v>
      </c>
      <c r="P871">
        <v>3</v>
      </c>
      <c r="Q871">
        <v>3</v>
      </c>
      <c r="R871">
        <v>1</v>
      </c>
      <c r="S871">
        <v>3</v>
      </c>
      <c r="T871">
        <v>7</v>
      </c>
      <c r="U871">
        <v>11</v>
      </c>
      <c r="V871" t="s">
        <v>3986</v>
      </c>
      <c r="W871" t="s">
        <v>34</v>
      </c>
    </row>
    <row r="872" spans="1:24" x14ac:dyDescent="0.25">
      <c r="A872" t="s">
        <v>3987</v>
      </c>
      <c r="B872" t="s">
        <v>3988</v>
      </c>
      <c r="C872" t="s">
        <v>102</v>
      </c>
      <c r="D872">
        <v>22</v>
      </c>
      <c r="E872" t="s">
        <v>38</v>
      </c>
      <c r="F872" t="s">
        <v>1963</v>
      </c>
      <c r="G872" t="s">
        <v>3989</v>
      </c>
      <c r="H872" t="s">
        <v>3990</v>
      </c>
      <c r="I872" t="s">
        <v>42</v>
      </c>
      <c r="J872" t="s">
        <v>97</v>
      </c>
      <c r="K872" t="s">
        <v>32</v>
      </c>
      <c r="L872" t="s">
        <v>62</v>
      </c>
      <c r="M872">
        <v>2</v>
      </c>
      <c r="N872" t="s">
        <v>34</v>
      </c>
      <c r="O872">
        <v>2</v>
      </c>
      <c r="P872">
        <v>1</v>
      </c>
      <c r="Q872">
        <v>1</v>
      </c>
      <c r="R872">
        <v>2</v>
      </c>
      <c r="S872">
        <v>2</v>
      </c>
      <c r="T872">
        <v>7</v>
      </c>
      <c r="U872">
        <v>17</v>
      </c>
      <c r="V872" t="s">
        <v>3991</v>
      </c>
      <c r="W872" t="s">
        <v>45</v>
      </c>
      <c r="X872" t="s">
        <v>1537</v>
      </c>
    </row>
    <row r="873" spans="1:24" x14ac:dyDescent="0.25">
      <c r="A873" t="s">
        <v>3992</v>
      </c>
      <c r="B873" t="s">
        <v>3993</v>
      </c>
      <c r="C873" t="s">
        <v>49</v>
      </c>
      <c r="D873">
        <v>33</v>
      </c>
      <c r="E873" t="s">
        <v>457</v>
      </c>
      <c r="F873" t="s">
        <v>240</v>
      </c>
      <c r="G873" t="s">
        <v>3994</v>
      </c>
      <c r="H873">
        <v>109520</v>
      </c>
      <c r="I873" t="s">
        <v>52</v>
      </c>
      <c r="J873" t="s">
        <v>31</v>
      </c>
      <c r="K873" t="s">
        <v>167</v>
      </c>
      <c r="L873" t="s">
        <v>62</v>
      </c>
      <c r="M873">
        <v>29</v>
      </c>
      <c r="N873" t="s">
        <v>45</v>
      </c>
      <c r="O873">
        <v>3</v>
      </c>
      <c r="P873">
        <v>1</v>
      </c>
      <c r="Q873">
        <v>2</v>
      </c>
      <c r="R873">
        <v>3</v>
      </c>
      <c r="S873">
        <v>6</v>
      </c>
      <c r="T873">
        <v>2</v>
      </c>
      <c r="U873">
        <v>23</v>
      </c>
      <c r="V873" t="s">
        <v>3995</v>
      </c>
      <c r="W873" t="s">
        <v>45</v>
      </c>
      <c r="X873" t="s">
        <v>3996</v>
      </c>
    </row>
    <row r="874" spans="1:24" x14ac:dyDescent="0.25">
      <c r="A874" t="s">
        <v>3997</v>
      </c>
      <c r="B874" t="s">
        <v>3998</v>
      </c>
      <c r="C874" t="s">
        <v>58</v>
      </c>
      <c r="D874">
        <v>48</v>
      </c>
      <c r="E874" t="s">
        <v>38</v>
      </c>
      <c r="F874" t="s">
        <v>136</v>
      </c>
      <c r="G874" t="s">
        <v>3999</v>
      </c>
      <c r="H874">
        <v>48419</v>
      </c>
      <c r="I874" t="s">
        <v>42</v>
      </c>
      <c r="J874" t="s">
        <v>61</v>
      </c>
      <c r="K874" t="s">
        <v>32</v>
      </c>
      <c r="L874" t="s">
        <v>43</v>
      </c>
      <c r="M874">
        <v>37</v>
      </c>
      <c r="N874" t="s">
        <v>45</v>
      </c>
      <c r="O874">
        <v>2</v>
      </c>
      <c r="P874">
        <v>3</v>
      </c>
      <c r="Q874">
        <v>2</v>
      </c>
      <c r="R874">
        <v>3</v>
      </c>
      <c r="S874">
        <v>3</v>
      </c>
      <c r="T874">
        <v>1</v>
      </c>
      <c r="U874">
        <v>18</v>
      </c>
      <c r="V874" t="s">
        <v>4000</v>
      </c>
      <c r="W874" t="s">
        <v>45</v>
      </c>
      <c r="X874" t="s">
        <v>4001</v>
      </c>
    </row>
    <row r="875" spans="1:24" x14ac:dyDescent="0.25">
      <c r="A875" t="s">
        <v>4002</v>
      </c>
      <c r="B875" t="s">
        <v>4003</v>
      </c>
      <c r="C875" t="s">
        <v>102</v>
      </c>
      <c r="D875">
        <v>26</v>
      </c>
      <c r="E875" t="s">
        <v>412</v>
      </c>
      <c r="F875" t="s">
        <v>1093</v>
      </c>
      <c r="G875" t="s">
        <v>4004</v>
      </c>
      <c r="H875" t="s">
        <v>4005</v>
      </c>
      <c r="I875" t="s">
        <v>52</v>
      </c>
      <c r="J875" t="s">
        <v>97</v>
      </c>
      <c r="K875" t="s">
        <v>83</v>
      </c>
      <c r="L875" t="s">
        <v>33</v>
      </c>
      <c r="M875">
        <v>24</v>
      </c>
      <c r="N875" t="s">
        <v>34</v>
      </c>
      <c r="O875">
        <v>2</v>
      </c>
      <c r="P875">
        <v>1</v>
      </c>
      <c r="Q875">
        <v>1</v>
      </c>
      <c r="R875">
        <v>3</v>
      </c>
      <c r="S875">
        <v>5</v>
      </c>
      <c r="T875">
        <v>2</v>
      </c>
      <c r="V875" t="s">
        <v>4006</v>
      </c>
      <c r="W875" t="s">
        <v>45</v>
      </c>
      <c r="X875" t="s">
        <v>4007</v>
      </c>
    </row>
    <row r="876" spans="1:24" x14ac:dyDescent="0.25">
      <c r="A876" t="s">
        <v>4008</v>
      </c>
      <c r="B876" t="s">
        <v>4009</v>
      </c>
      <c r="C876" t="s">
        <v>26</v>
      </c>
      <c r="D876">
        <v>34</v>
      </c>
      <c r="E876" t="s">
        <v>609</v>
      </c>
      <c r="F876" t="s">
        <v>639</v>
      </c>
      <c r="G876" t="s">
        <v>4010</v>
      </c>
      <c r="H876">
        <v>107341</v>
      </c>
      <c r="I876" t="s">
        <v>30</v>
      </c>
      <c r="J876" t="s">
        <v>61</v>
      </c>
      <c r="K876" t="s">
        <v>32</v>
      </c>
      <c r="L876" t="s">
        <v>62</v>
      </c>
      <c r="M876">
        <v>34</v>
      </c>
      <c r="N876" t="s">
        <v>34</v>
      </c>
      <c r="O876">
        <v>3</v>
      </c>
      <c r="P876">
        <v>1</v>
      </c>
      <c r="Q876">
        <v>2</v>
      </c>
      <c r="R876">
        <v>3</v>
      </c>
      <c r="S876">
        <v>0</v>
      </c>
      <c r="T876">
        <v>0</v>
      </c>
      <c r="U876">
        <v>22</v>
      </c>
      <c r="V876" t="s">
        <v>4011</v>
      </c>
      <c r="W876" t="s">
        <v>34</v>
      </c>
    </row>
    <row r="877" spans="1:24" x14ac:dyDescent="0.25">
      <c r="A877" t="s">
        <v>4012</v>
      </c>
      <c r="B877" t="s">
        <v>4013</v>
      </c>
      <c r="C877" t="s">
        <v>26</v>
      </c>
      <c r="D877">
        <v>30</v>
      </c>
      <c r="E877" t="s">
        <v>27</v>
      </c>
      <c r="F877" t="s">
        <v>594</v>
      </c>
      <c r="G877" t="s">
        <v>3013</v>
      </c>
      <c r="H877" t="s">
        <v>4014</v>
      </c>
      <c r="I877" t="s">
        <v>42</v>
      </c>
      <c r="J877" t="s">
        <v>31</v>
      </c>
      <c r="K877" t="s">
        <v>131</v>
      </c>
      <c r="L877" t="s">
        <v>62</v>
      </c>
      <c r="N877" t="s">
        <v>45</v>
      </c>
      <c r="O877">
        <v>4</v>
      </c>
      <c r="P877">
        <v>3</v>
      </c>
      <c r="Q877">
        <v>2</v>
      </c>
      <c r="R877">
        <v>3</v>
      </c>
      <c r="S877">
        <v>3</v>
      </c>
      <c r="T877">
        <v>4</v>
      </c>
      <c r="U877">
        <v>13</v>
      </c>
      <c r="V877" t="s">
        <v>4015</v>
      </c>
      <c r="W877" t="s">
        <v>45</v>
      </c>
      <c r="X877" t="s">
        <v>4016</v>
      </c>
    </row>
    <row r="878" spans="1:24" x14ac:dyDescent="0.25">
      <c r="A878" t="s">
        <v>4017</v>
      </c>
      <c r="B878" t="s">
        <v>4018</v>
      </c>
      <c r="D878">
        <v>33</v>
      </c>
      <c r="E878" t="s">
        <v>38</v>
      </c>
      <c r="F878" t="s">
        <v>494</v>
      </c>
      <c r="G878" t="s">
        <v>4019</v>
      </c>
      <c r="H878" t="s">
        <v>4020</v>
      </c>
      <c r="I878" t="s">
        <v>52</v>
      </c>
      <c r="J878" t="s">
        <v>31</v>
      </c>
      <c r="K878" t="s">
        <v>106</v>
      </c>
      <c r="L878" t="s">
        <v>33</v>
      </c>
      <c r="M878">
        <v>18</v>
      </c>
      <c r="N878" t="s">
        <v>34</v>
      </c>
      <c r="O878">
        <v>2</v>
      </c>
      <c r="Q878">
        <v>4</v>
      </c>
      <c r="R878">
        <v>4</v>
      </c>
      <c r="S878">
        <v>3</v>
      </c>
      <c r="T878">
        <v>7</v>
      </c>
      <c r="U878">
        <v>20</v>
      </c>
      <c r="V878" t="s">
        <v>4021</v>
      </c>
      <c r="W878" t="s">
        <v>34</v>
      </c>
    </row>
    <row r="879" spans="1:24" x14ac:dyDescent="0.25">
      <c r="A879" t="s">
        <v>4022</v>
      </c>
      <c r="B879" t="s">
        <v>4023</v>
      </c>
      <c r="C879" t="s">
        <v>81</v>
      </c>
      <c r="D879">
        <v>20</v>
      </c>
      <c r="E879" t="s">
        <v>412</v>
      </c>
      <c r="F879" t="s">
        <v>2773</v>
      </c>
      <c r="G879" t="s">
        <v>4024</v>
      </c>
      <c r="H879">
        <v>42243</v>
      </c>
      <c r="I879" t="s">
        <v>42</v>
      </c>
      <c r="J879" t="s">
        <v>31</v>
      </c>
      <c r="K879" t="s">
        <v>83</v>
      </c>
      <c r="L879" t="s">
        <v>62</v>
      </c>
      <c r="M879">
        <v>2</v>
      </c>
      <c r="N879" t="s">
        <v>45</v>
      </c>
      <c r="O879">
        <v>4</v>
      </c>
      <c r="P879">
        <v>3</v>
      </c>
      <c r="Q879">
        <v>1</v>
      </c>
      <c r="R879">
        <v>1</v>
      </c>
      <c r="S879">
        <v>1</v>
      </c>
      <c r="T879">
        <v>8</v>
      </c>
      <c r="U879">
        <v>19</v>
      </c>
      <c r="V879" t="s">
        <v>4025</v>
      </c>
      <c r="W879" t="s">
        <v>34</v>
      </c>
    </row>
    <row r="880" spans="1:24" x14ac:dyDescent="0.25">
      <c r="A880" t="s">
        <v>4026</v>
      </c>
      <c r="B880" t="s">
        <v>4027</v>
      </c>
      <c r="C880" t="s">
        <v>26</v>
      </c>
      <c r="D880">
        <v>33</v>
      </c>
      <c r="E880" t="s">
        <v>88</v>
      </c>
      <c r="F880" t="s">
        <v>261</v>
      </c>
      <c r="G880" t="s">
        <v>4028</v>
      </c>
      <c r="H880">
        <v>98901</v>
      </c>
      <c r="I880" t="s">
        <v>42</v>
      </c>
      <c r="J880" t="s">
        <v>53</v>
      </c>
      <c r="K880" t="s">
        <v>54</v>
      </c>
      <c r="L880" t="s">
        <v>62</v>
      </c>
      <c r="M880">
        <v>7</v>
      </c>
      <c r="N880" t="s">
        <v>34</v>
      </c>
      <c r="O880">
        <v>3</v>
      </c>
      <c r="P880">
        <v>4</v>
      </c>
      <c r="Q880">
        <v>1</v>
      </c>
      <c r="R880">
        <v>2</v>
      </c>
      <c r="S880">
        <v>2</v>
      </c>
      <c r="T880">
        <v>3</v>
      </c>
      <c r="U880">
        <v>17</v>
      </c>
      <c r="V880" t="s">
        <v>4029</v>
      </c>
      <c r="W880" t="s">
        <v>34</v>
      </c>
    </row>
    <row r="881" spans="1:24" x14ac:dyDescent="0.25">
      <c r="A881" t="s">
        <v>4030</v>
      </c>
      <c r="B881" t="s">
        <v>4031</v>
      </c>
      <c r="C881" t="s">
        <v>67</v>
      </c>
      <c r="D881">
        <v>40</v>
      </c>
      <c r="E881" t="s">
        <v>197</v>
      </c>
      <c r="F881" t="s">
        <v>4032</v>
      </c>
      <c r="G881" t="s">
        <v>4033</v>
      </c>
      <c r="H881" t="s">
        <v>4034</v>
      </c>
      <c r="I881" t="s">
        <v>42</v>
      </c>
      <c r="K881" t="s">
        <v>131</v>
      </c>
      <c r="L881" t="s">
        <v>33</v>
      </c>
      <c r="M881">
        <v>12</v>
      </c>
      <c r="N881" t="s">
        <v>45</v>
      </c>
      <c r="O881">
        <v>2</v>
      </c>
      <c r="P881">
        <v>4</v>
      </c>
      <c r="Q881">
        <v>3</v>
      </c>
      <c r="R881">
        <v>4</v>
      </c>
      <c r="S881">
        <v>1</v>
      </c>
      <c r="T881">
        <v>0</v>
      </c>
      <c r="U881">
        <v>19</v>
      </c>
      <c r="V881" t="s">
        <v>4035</v>
      </c>
      <c r="W881" t="s">
        <v>45</v>
      </c>
      <c r="X881" t="s">
        <v>4036</v>
      </c>
    </row>
    <row r="882" spans="1:24" x14ac:dyDescent="0.25">
      <c r="A882" t="s">
        <v>4037</v>
      </c>
      <c r="B882" t="s">
        <v>4038</v>
      </c>
      <c r="C882" t="s">
        <v>58</v>
      </c>
      <c r="D882">
        <v>34</v>
      </c>
      <c r="E882" t="s">
        <v>579</v>
      </c>
      <c r="F882" t="s">
        <v>483</v>
      </c>
      <c r="G882" t="s">
        <v>4039</v>
      </c>
      <c r="H882">
        <v>72388</v>
      </c>
      <c r="I882" t="s">
        <v>42</v>
      </c>
      <c r="J882" t="s">
        <v>61</v>
      </c>
      <c r="K882" t="s">
        <v>32</v>
      </c>
      <c r="L882" t="s">
        <v>33</v>
      </c>
      <c r="M882">
        <v>18</v>
      </c>
      <c r="N882" t="s">
        <v>34</v>
      </c>
      <c r="O882">
        <v>3</v>
      </c>
      <c r="Q882">
        <v>2</v>
      </c>
      <c r="R882">
        <v>3</v>
      </c>
      <c r="S882">
        <v>6</v>
      </c>
      <c r="T882">
        <v>3</v>
      </c>
      <c r="U882">
        <v>15</v>
      </c>
      <c r="V882" t="s">
        <v>4040</v>
      </c>
      <c r="W882" t="s">
        <v>34</v>
      </c>
    </row>
    <row r="883" spans="1:24" x14ac:dyDescent="0.25">
      <c r="A883" t="s">
        <v>4041</v>
      </c>
      <c r="B883" t="s">
        <v>4042</v>
      </c>
      <c r="C883" t="s">
        <v>73</v>
      </c>
      <c r="D883">
        <v>35</v>
      </c>
      <c r="E883" t="s">
        <v>579</v>
      </c>
      <c r="F883" t="s">
        <v>483</v>
      </c>
      <c r="G883" t="s">
        <v>4043</v>
      </c>
      <c r="H883">
        <v>83627</v>
      </c>
      <c r="I883" t="s">
        <v>42</v>
      </c>
      <c r="J883" t="s">
        <v>61</v>
      </c>
      <c r="K883" t="s">
        <v>200</v>
      </c>
      <c r="L883" t="s">
        <v>62</v>
      </c>
      <c r="M883">
        <v>38</v>
      </c>
      <c r="N883" t="s">
        <v>34</v>
      </c>
      <c r="O883">
        <v>1</v>
      </c>
      <c r="P883">
        <v>3</v>
      </c>
      <c r="Q883">
        <v>2</v>
      </c>
      <c r="R883">
        <v>2</v>
      </c>
      <c r="S883">
        <v>5</v>
      </c>
      <c r="T883">
        <v>6</v>
      </c>
      <c r="U883">
        <v>19</v>
      </c>
      <c r="V883" t="s">
        <v>4044</v>
      </c>
      <c r="W883" t="s">
        <v>45</v>
      </c>
      <c r="X883" t="s">
        <v>4045</v>
      </c>
    </row>
    <row r="884" spans="1:24" x14ac:dyDescent="0.25">
      <c r="A884" t="s">
        <v>4046</v>
      </c>
      <c r="B884" t="s">
        <v>4047</v>
      </c>
      <c r="C884" t="s">
        <v>26</v>
      </c>
      <c r="D884">
        <v>26</v>
      </c>
      <c r="F884" t="s">
        <v>255</v>
      </c>
      <c r="G884" t="s">
        <v>4048</v>
      </c>
      <c r="H884">
        <v>43537</v>
      </c>
      <c r="I884" t="s">
        <v>52</v>
      </c>
      <c r="J884" t="s">
        <v>143</v>
      </c>
      <c r="K884" t="s">
        <v>98</v>
      </c>
      <c r="L884" t="s">
        <v>62</v>
      </c>
      <c r="M884">
        <v>18</v>
      </c>
      <c r="N884" t="s">
        <v>34</v>
      </c>
      <c r="O884">
        <v>1</v>
      </c>
      <c r="P884">
        <v>4</v>
      </c>
      <c r="Q884">
        <v>3</v>
      </c>
      <c r="R884">
        <v>3</v>
      </c>
      <c r="S884">
        <v>1</v>
      </c>
      <c r="T884">
        <v>5</v>
      </c>
      <c r="U884">
        <v>19</v>
      </c>
      <c r="V884" t="s">
        <v>4049</v>
      </c>
      <c r="W884" t="s">
        <v>34</v>
      </c>
    </row>
    <row r="885" spans="1:24" x14ac:dyDescent="0.25">
      <c r="A885" t="s">
        <v>4050</v>
      </c>
      <c r="B885" t="s">
        <v>4051</v>
      </c>
      <c r="C885" t="s">
        <v>67</v>
      </c>
      <c r="D885">
        <v>27</v>
      </c>
      <c r="E885" t="s">
        <v>128</v>
      </c>
      <c r="F885" t="s">
        <v>226</v>
      </c>
      <c r="G885" t="s">
        <v>4052</v>
      </c>
      <c r="H885">
        <v>60308</v>
      </c>
      <c r="I885" t="s">
        <v>42</v>
      </c>
      <c r="J885" t="s">
        <v>143</v>
      </c>
      <c r="K885" t="s">
        <v>131</v>
      </c>
      <c r="L885" t="s">
        <v>33</v>
      </c>
      <c r="M885">
        <v>41</v>
      </c>
      <c r="N885" t="s">
        <v>45</v>
      </c>
      <c r="O885">
        <v>4</v>
      </c>
      <c r="P885">
        <v>2</v>
      </c>
      <c r="R885">
        <v>3</v>
      </c>
      <c r="S885">
        <v>2</v>
      </c>
      <c r="T885">
        <v>8</v>
      </c>
      <c r="V885" t="s">
        <v>4053</v>
      </c>
      <c r="W885" t="s">
        <v>34</v>
      </c>
    </row>
    <row r="886" spans="1:24" x14ac:dyDescent="0.25">
      <c r="A886" t="s">
        <v>4054</v>
      </c>
      <c r="B886" t="s">
        <v>4055</v>
      </c>
      <c r="C886" t="s">
        <v>26</v>
      </c>
      <c r="D886">
        <v>36</v>
      </c>
      <c r="E886" t="s">
        <v>457</v>
      </c>
      <c r="F886" t="s">
        <v>188</v>
      </c>
      <c r="G886" t="s">
        <v>4056</v>
      </c>
      <c r="H886">
        <v>56183</v>
      </c>
      <c r="I886" t="s">
        <v>42</v>
      </c>
      <c r="J886" t="s">
        <v>61</v>
      </c>
      <c r="K886" t="s">
        <v>167</v>
      </c>
      <c r="L886" t="s">
        <v>62</v>
      </c>
      <c r="M886">
        <v>5</v>
      </c>
      <c r="N886" t="s">
        <v>34</v>
      </c>
      <c r="O886">
        <v>3</v>
      </c>
      <c r="P886">
        <v>1</v>
      </c>
      <c r="R886">
        <v>3</v>
      </c>
      <c r="S886">
        <v>3</v>
      </c>
      <c r="T886">
        <v>0</v>
      </c>
      <c r="U886">
        <v>16</v>
      </c>
      <c r="V886" t="s">
        <v>4057</v>
      </c>
      <c r="W886" t="s">
        <v>34</v>
      </c>
    </row>
    <row r="887" spans="1:24" x14ac:dyDescent="0.25">
      <c r="A887" t="s">
        <v>4058</v>
      </c>
      <c r="B887" t="s">
        <v>4059</v>
      </c>
      <c r="C887" t="s">
        <v>67</v>
      </c>
      <c r="D887">
        <v>32</v>
      </c>
      <c r="E887" t="s">
        <v>27</v>
      </c>
      <c r="F887" t="s">
        <v>799</v>
      </c>
      <c r="G887" t="s">
        <v>4060</v>
      </c>
      <c r="H887">
        <v>50206</v>
      </c>
      <c r="I887" t="s">
        <v>30</v>
      </c>
      <c r="J887" t="s">
        <v>61</v>
      </c>
      <c r="K887" t="s">
        <v>113</v>
      </c>
      <c r="L887" t="s">
        <v>33</v>
      </c>
      <c r="M887">
        <v>10</v>
      </c>
      <c r="N887" t="s">
        <v>34</v>
      </c>
      <c r="O887">
        <v>1</v>
      </c>
      <c r="P887">
        <v>3</v>
      </c>
      <c r="Q887">
        <v>3</v>
      </c>
      <c r="R887">
        <v>3</v>
      </c>
      <c r="S887">
        <v>0</v>
      </c>
      <c r="T887">
        <v>5</v>
      </c>
      <c r="U887">
        <v>14</v>
      </c>
      <c r="V887" t="s">
        <v>4061</v>
      </c>
      <c r="W887" t="s">
        <v>34</v>
      </c>
    </row>
    <row r="888" spans="1:24" x14ac:dyDescent="0.25">
      <c r="A888" t="s">
        <v>4062</v>
      </c>
      <c r="B888" t="s">
        <v>4063</v>
      </c>
      <c r="D888">
        <v>25</v>
      </c>
      <c r="E888" t="s">
        <v>128</v>
      </c>
      <c r="F888" t="s">
        <v>255</v>
      </c>
      <c r="G888" t="s">
        <v>4064</v>
      </c>
      <c r="H888">
        <v>106525</v>
      </c>
      <c r="I888" t="s">
        <v>30</v>
      </c>
      <c r="J888" t="s">
        <v>61</v>
      </c>
      <c r="K888" t="s">
        <v>98</v>
      </c>
      <c r="L888" t="s">
        <v>33</v>
      </c>
      <c r="M888">
        <v>13</v>
      </c>
      <c r="N888" t="s">
        <v>34</v>
      </c>
      <c r="O888">
        <v>4</v>
      </c>
      <c r="P888">
        <v>1</v>
      </c>
      <c r="Q888">
        <v>4</v>
      </c>
      <c r="R888">
        <v>4</v>
      </c>
      <c r="S888">
        <v>0</v>
      </c>
      <c r="T888">
        <v>5</v>
      </c>
      <c r="U888">
        <v>17</v>
      </c>
      <c r="V888" t="s">
        <v>4065</v>
      </c>
      <c r="W888" t="s">
        <v>34</v>
      </c>
    </row>
    <row r="889" spans="1:24" x14ac:dyDescent="0.25">
      <c r="A889" t="s">
        <v>4066</v>
      </c>
      <c r="B889" t="s">
        <v>4067</v>
      </c>
      <c r="C889" t="s">
        <v>87</v>
      </c>
      <c r="D889">
        <v>41</v>
      </c>
      <c r="E889" t="s">
        <v>27</v>
      </c>
      <c r="F889" t="s">
        <v>59</v>
      </c>
      <c r="G889" t="s">
        <v>4068</v>
      </c>
      <c r="H889">
        <v>67063</v>
      </c>
      <c r="I889" t="s">
        <v>52</v>
      </c>
      <c r="J889" t="s">
        <v>31</v>
      </c>
      <c r="K889" t="s">
        <v>131</v>
      </c>
      <c r="L889" t="s">
        <v>43</v>
      </c>
      <c r="M889">
        <v>17</v>
      </c>
      <c r="N889" t="s">
        <v>45</v>
      </c>
      <c r="O889">
        <v>3</v>
      </c>
      <c r="P889">
        <v>3</v>
      </c>
      <c r="Q889">
        <v>4</v>
      </c>
      <c r="R889">
        <v>3</v>
      </c>
      <c r="S889">
        <v>6</v>
      </c>
      <c r="T889">
        <v>2</v>
      </c>
      <c r="U889">
        <v>17</v>
      </c>
      <c r="V889" t="s">
        <v>4069</v>
      </c>
      <c r="W889" t="s">
        <v>34</v>
      </c>
    </row>
    <row r="890" spans="1:24" x14ac:dyDescent="0.25">
      <c r="A890" t="s">
        <v>4070</v>
      </c>
      <c r="B890" t="s">
        <v>4071</v>
      </c>
      <c r="D890">
        <v>29</v>
      </c>
      <c r="E890" t="s">
        <v>74</v>
      </c>
      <c r="F890" t="s">
        <v>50</v>
      </c>
      <c r="G890" t="s">
        <v>4072</v>
      </c>
      <c r="H890">
        <v>41561</v>
      </c>
      <c r="I890" t="s">
        <v>42</v>
      </c>
      <c r="J890" t="s">
        <v>53</v>
      </c>
      <c r="K890" t="s">
        <v>83</v>
      </c>
      <c r="L890" t="s">
        <v>62</v>
      </c>
      <c r="M890">
        <v>40</v>
      </c>
      <c r="N890" t="s">
        <v>34</v>
      </c>
      <c r="O890">
        <v>4</v>
      </c>
      <c r="P890">
        <v>3</v>
      </c>
      <c r="Q890">
        <v>1</v>
      </c>
      <c r="R890">
        <v>4</v>
      </c>
      <c r="S890">
        <v>2</v>
      </c>
      <c r="T890">
        <v>2</v>
      </c>
      <c r="U890">
        <v>19</v>
      </c>
      <c r="V890" t="s">
        <v>4073</v>
      </c>
      <c r="W890" t="s">
        <v>34</v>
      </c>
    </row>
    <row r="891" spans="1:24" x14ac:dyDescent="0.25">
      <c r="A891" t="s">
        <v>4074</v>
      </c>
      <c r="B891" t="s">
        <v>4075</v>
      </c>
      <c r="C891" t="s">
        <v>73</v>
      </c>
      <c r="D891">
        <v>32</v>
      </c>
      <c r="E891" t="s">
        <v>412</v>
      </c>
      <c r="F891" t="s">
        <v>1093</v>
      </c>
      <c r="G891" t="s">
        <v>4076</v>
      </c>
      <c r="H891">
        <v>51074</v>
      </c>
      <c r="I891" t="s">
        <v>30</v>
      </c>
      <c r="J891" t="s">
        <v>97</v>
      </c>
      <c r="K891" t="s">
        <v>54</v>
      </c>
      <c r="L891" t="s">
        <v>43</v>
      </c>
      <c r="M891">
        <v>35</v>
      </c>
      <c r="N891" t="s">
        <v>34</v>
      </c>
      <c r="O891">
        <v>1</v>
      </c>
      <c r="P891">
        <v>3</v>
      </c>
      <c r="Q891">
        <v>3</v>
      </c>
      <c r="R891">
        <v>2</v>
      </c>
      <c r="S891">
        <v>1</v>
      </c>
      <c r="T891">
        <v>1</v>
      </c>
      <c r="U891">
        <v>16</v>
      </c>
      <c r="V891" t="s">
        <v>4077</v>
      </c>
      <c r="W891" t="s">
        <v>45</v>
      </c>
      <c r="X891" t="s">
        <v>4078</v>
      </c>
    </row>
    <row r="892" spans="1:24" x14ac:dyDescent="0.25">
      <c r="A892" t="s">
        <v>4079</v>
      </c>
      <c r="B892" t="s">
        <v>4080</v>
      </c>
      <c r="C892" t="s">
        <v>102</v>
      </c>
      <c r="D892">
        <v>28</v>
      </c>
      <c r="E892" t="s">
        <v>128</v>
      </c>
      <c r="F892" t="s">
        <v>123</v>
      </c>
      <c r="G892" t="s">
        <v>4081</v>
      </c>
      <c r="I892" t="s">
        <v>30</v>
      </c>
      <c r="J892" t="s">
        <v>61</v>
      </c>
      <c r="K892" t="s">
        <v>83</v>
      </c>
      <c r="L892" t="s">
        <v>33</v>
      </c>
      <c r="M892">
        <v>44</v>
      </c>
      <c r="N892" t="s">
        <v>34</v>
      </c>
      <c r="O892">
        <v>2</v>
      </c>
      <c r="P892">
        <v>4</v>
      </c>
      <c r="Q892">
        <v>1</v>
      </c>
      <c r="R892">
        <v>2</v>
      </c>
      <c r="S892">
        <v>2</v>
      </c>
      <c r="T892">
        <v>5</v>
      </c>
      <c r="U892">
        <v>25</v>
      </c>
      <c r="V892" t="s">
        <v>4082</v>
      </c>
      <c r="W892" t="s">
        <v>34</v>
      </c>
    </row>
    <row r="893" spans="1:24" x14ac:dyDescent="0.25">
      <c r="A893" t="s">
        <v>4083</v>
      </c>
      <c r="B893" t="s">
        <v>4084</v>
      </c>
      <c r="C893" t="s">
        <v>87</v>
      </c>
      <c r="D893">
        <v>27</v>
      </c>
      <c r="E893" t="s">
        <v>27</v>
      </c>
      <c r="F893" t="s">
        <v>240</v>
      </c>
      <c r="G893" t="s">
        <v>4085</v>
      </c>
      <c r="H893">
        <v>128096</v>
      </c>
      <c r="I893" t="s">
        <v>30</v>
      </c>
      <c r="J893" t="s">
        <v>31</v>
      </c>
      <c r="K893" t="s">
        <v>200</v>
      </c>
      <c r="L893" t="s">
        <v>33</v>
      </c>
      <c r="M893">
        <v>44</v>
      </c>
      <c r="N893" t="s">
        <v>34</v>
      </c>
      <c r="O893">
        <v>1</v>
      </c>
      <c r="P893">
        <v>3</v>
      </c>
      <c r="Q893">
        <v>4</v>
      </c>
      <c r="R893">
        <v>3</v>
      </c>
      <c r="S893">
        <v>3</v>
      </c>
      <c r="T893">
        <v>8</v>
      </c>
      <c r="U893">
        <v>19</v>
      </c>
      <c r="V893" t="s">
        <v>4086</v>
      </c>
      <c r="W893" t="s">
        <v>34</v>
      </c>
    </row>
    <row r="894" spans="1:24" x14ac:dyDescent="0.25">
      <c r="A894" t="s">
        <v>4087</v>
      </c>
      <c r="B894" t="s">
        <v>4088</v>
      </c>
      <c r="C894" t="s">
        <v>58</v>
      </c>
      <c r="D894">
        <v>33</v>
      </c>
      <c r="E894" t="s">
        <v>94</v>
      </c>
      <c r="F894" t="s">
        <v>1436</v>
      </c>
      <c r="G894" t="s">
        <v>4089</v>
      </c>
      <c r="H894">
        <v>121351</v>
      </c>
      <c r="I894" t="s">
        <v>52</v>
      </c>
      <c r="J894" t="s">
        <v>61</v>
      </c>
      <c r="K894" t="s">
        <v>200</v>
      </c>
      <c r="L894" t="s">
        <v>43</v>
      </c>
      <c r="M894">
        <v>42</v>
      </c>
      <c r="N894" t="s">
        <v>34</v>
      </c>
      <c r="O894">
        <v>1</v>
      </c>
      <c r="P894">
        <v>2</v>
      </c>
      <c r="Q894">
        <v>4</v>
      </c>
      <c r="R894">
        <v>4</v>
      </c>
      <c r="S894">
        <v>1</v>
      </c>
      <c r="T894">
        <v>0</v>
      </c>
      <c r="U894">
        <v>18</v>
      </c>
      <c r="V894" t="s">
        <v>4090</v>
      </c>
      <c r="W894" t="s">
        <v>34</v>
      </c>
    </row>
    <row r="895" spans="1:24" x14ac:dyDescent="0.25">
      <c r="A895" t="s">
        <v>4091</v>
      </c>
      <c r="B895" t="s">
        <v>1621</v>
      </c>
      <c r="C895" t="s">
        <v>73</v>
      </c>
      <c r="D895">
        <v>34</v>
      </c>
      <c r="E895" t="s">
        <v>27</v>
      </c>
      <c r="F895" t="s">
        <v>50</v>
      </c>
      <c r="G895" t="s">
        <v>4092</v>
      </c>
      <c r="H895">
        <v>42047</v>
      </c>
      <c r="I895" t="s">
        <v>30</v>
      </c>
      <c r="J895" t="s">
        <v>31</v>
      </c>
      <c r="K895" t="s">
        <v>98</v>
      </c>
      <c r="L895" t="s">
        <v>62</v>
      </c>
      <c r="M895">
        <v>22</v>
      </c>
      <c r="N895" t="s">
        <v>34</v>
      </c>
      <c r="O895">
        <v>3</v>
      </c>
      <c r="P895">
        <v>1</v>
      </c>
      <c r="Q895">
        <v>3</v>
      </c>
      <c r="R895">
        <v>4</v>
      </c>
      <c r="T895">
        <v>2</v>
      </c>
      <c r="U895">
        <v>14</v>
      </c>
      <c r="V895" t="s">
        <v>4093</v>
      </c>
      <c r="W895" t="s">
        <v>34</v>
      </c>
    </row>
    <row r="896" spans="1:24" x14ac:dyDescent="0.25">
      <c r="A896" t="s">
        <v>4094</v>
      </c>
      <c r="B896" t="s">
        <v>4095</v>
      </c>
      <c r="C896" t="s">
        <v>73</v>
      </c>
      <c r="D896">
        <v>29</v>
      </c>
      <c r="E896" t="s">
        <v>128</v>
      </c>
      <c r="F896" t="s">
        <v>123</v>
      </c>
      <c r="G896" t="s">
        <v>4096</v>
      </c>
      <c r="H896">
        <v>100089</v>
      </c>
      <c r="I896" t="s">
        <v>30</v>
      </c>
      <c r="J896" t="s">
        <v>31</v>
      </c>
      <c r="K896" t="s">
        <v>113</v>
      </c>
      <c r="L896" t="s">
        <v>33</v>
      </c>
      <c r="M896">
        <v>6</v>
      </c>
      <c r="N896" t="s">
        <v>34</v>
      </c>
      <c r="O896">
        <v>1</v>
      </c>
      <c r="P896">
        <v>1</v>
      </c>
      <c r="Q896">
        <v>2</v>
      </c>
      <c r="R896">
        <v>3</v>
      </c>
      <c r="S896">
        <v>3</v>
      </c>
      <c r="T896">
        <v>6</v>
      </c>
      <c r="U896">
        <v>20</v>
      </c>
      <c r="V896" t="s">
        <v>4097</v>
      </c>
      <c r="W896" t="s">
        <v>34</v>
      </c>
    </row>
    <row r="897" spans="1:24" x14ac:dyDescent="0.25">
      <c r="A897" t="s">
        <v>4098</v>
      </c>
      <c r="B897" t="s">
        <v>4099</v>
      </c>
      <c r="C897" t="s">
        <v>102</v>
      </c>
      <c r="D897">
        <v>34</v>
      </c>
      <c r="E897" t="s">
        <v>128</v>
      </c>
      <c r="F897" t="s">
        <v>226</v>
      </c>
      <c r="G897" t="s">
        <v>4100</v>
      </c>
      <c r="H897">
        <v>39660</v>
      </c>
      <c r="I897" t="s">
        <v>30</v>
      </c>
      <c r="J897" t="s">
        <v>61</v>
      </c>
      <c r="K897" t="s">
        <v>32</v>
      </c>
      <c r="L897" t="s">
        <v>33</v>
      </c>
      <c r="M897">
        <v>4</v>
      </c>
      <c r="N897" t="s">
        <v>34</v>
      </c>
      <c r="O897">
        <v>3</v>
      </c>
      <c r="P897">
        <v>2</v>
      </c>
      <c r="Q897">
        <v>1</v>
      </c>
      <c r="R897">
        <v>4</v>
      </c>
      <c r="S897">
        <v>3</v>
      </c>
      <c r="T897">
        <v>5</v>
      </c>
      <c r="U897">
        <v>24</v>
      </c>
      <c r="V897" t="s">
        <v>4101</v>
      </c>
      <c r="W897" t="s">
        <v>34</v>
      </c>
    </row>
    <row r="898" spans="1:24" x14ac:dyDescent="0.25">
      <c r="A898" t="s">
        <v>4102</v>
      </c>
      <c r="B898" t="s">
        <v>4103</v>
      </c>
      <c r="C898" t="s">
        <v>102</v>
      </c>
      <c r="D898">
        <v>38</v>
      </c>
      <c r="E898" t="s">
        <v>88</v>
      </c>
      <c r="F898" t="s">
        <v>1876</v>
      </c>
      <c r="G898" t="s">
        <v>4104</v>
      </c>
      <c r="H898" t="s">
        <v>4105</v>
      </c>
      <c r="I898" t="s">
        <v>30</v>
      </c>
      <c r="J898" t="s">
        <v>31</v>
      </c>
      <c r="K898" t="s">
        <v>113</v>
      </c>
      <c r="L898" t="s">
        <v>43</v>
      </c>
      <c r="M898">
        <v>3</v>
      </c>
      <c r="N898" t="s">
        <v>45</v>
      </c>
      <c r="O898">
        <v>3</v>
      </c>
      <c r="P898">
        <v>4</v>
      </c>
      <c r="Q898">
        <v>4</v>
      </c>
      <c r="R898">
        <v>5</v>
      </c>
      <c r="S898">
        <v>0</v>
      </c>
      <c r="T898">
        <v>1</v>
      </c>
      <c r="U898">
        <v>13</v>
      </c>
      <c r="V898" t="s">
        <v>4106</v>
      </c>
      <c r="W898" t="s">
        <v>34</v>
      </c>
    </row>
    <row r="899" spans="1:24" x14ac:dyDescent="0.25">
      <c r="A899" t="s">
        <v>4107</v>
      </c>
      <c r="B899" t="s">
        <v>4108</v>
      </c>
      <c r="C899" t="s">
        <v>49</v>
      </c>
      <c r="D899">
        <v>26</v>
      </c>
      <c r="E899" t="s">
        <v>74</v>
      </c>
      <c r="F899" t="s">
        <v>2419</v>
      </c>
      <c r="G899" t="s">
        <v>4109</v>
      </c>
      <c r="H899">
        <v>65915</v>
      </c>
      <c r="I899" t="s">
        <v>42</v>
      </c>
      <c r="J899" t="s">
        <v>143</v>
      </c>
      <c r="K899" t="s">
        <v>83</v>
      </c>
      <c r="L899" t="s">
        <v>62</v>
      </c>
      <c r="M899">
        <v>13</v>
      </c>
      <c r="N899" t="s">
        <v>34</v>
      </c>
      <c r="O899">
        <v>2</v>
      </c>
      <c r="P899">
        <v>4</v>
      </c>
      <c r="Q899">
        <v>1</v>
      </c>
      <c r="R899">
        <v>3</v>
      </c>
      <c r="S899">
        <v>3</v>
      </c>
      <c r="T899">
        <v>4</v>
      </c>
      <c r="U899">
        <v>13</v>
      </c>
      <c r="V899" t="s">
        <v>4110</v>
      </c>
      <c r="W899" t="s">
        <v>34</v>
      </c>
    </row>
    <row r="900" spans="1:24" x14ac:dyDescent="0.25">
      <c r="A900" t="s">
        <v>4111</v>
      </c>
      <c r="B900" t="s">
        <v>4112</v>
      </c>
      <c r="C900" t="s">
        <v>58</v>
      </c>
      <c r="D900">
        <v>44</v>
      </c>
      <c r="E900" t="s">
        <v>88</v>
      </c>
      <c r="F900" t="s">
        <v>483</v>
      </c>
      <c r="G900" t="s">
        <v>4113</v>
      </c>
      <c r="H900" t="s">
        <v>4114</v>
      </c>
      <c r="I900" t="s">
        <v>42</v>
      </c>
      <c r="J900" t="s">
        <v>53</v>
      </c>
      <c r="K900" t="s">
        <v>54</v>
      </c>
      <c r="L900" t="s">
        <v>43</v>
      </c>
      <c r="M900">
        <v>20</v>
      </c>
      <c r="N900" t="s">
        <v>45</v>
      </c>
      <c r="O900">
        <v>3</v>
      </c>
      <c r="P900">
        <v>1</v>
      </c>
      <c r="Q900">
        <v>4</v>
      </c>
      <c r="R900">
        <v>3</v>
      </c>
      <c r="S900">
        <v>2</v>
      </c>
      <c r="T900">
        <v>4</v>
      </c>
      <c r="U900">
        <v>25</v>
      </c>
      <c r="V900" t="s">
        <v>4115</v>
      </c>
      <c r="W900" t="s">
        <v>34</v>
      </c>
    </row>
    <row r="901" spans="1:24" x14ac:dyDescent="0.25">
      <c r="A901" t="s">
        <v>4116</v>
      </c>
      <c r="B901" t="s">
        <v>4117</v>
      </c>
      <c r="C901" t="s">
        <v>87</v>
      </c>
      <c r="D901">
        <v>42</v>
      </c>
      <c r="E901" t="s">
        <v>706</v>
      </c>
      <c r="F901" t="s">
        <v>266</v>
      </c>
      <c r="G901" t="s">
        <v>4118</v>
      </c>
      <c r="H901">
        <v>85824</v>
      </c>
      <c r="I901" t="s">
        <v>52</v>
      </c>
      <c r="J901" t="s">
        <v>61</v>
      </c>
      <c r="K901" t="s">
        <v>131</v>
      </c>
      <c r="L901" t="s">
        <v>43</v>
      </c>
      <c r="M901">
        <v>18</v>
      </c>
      <c r="N901" t="s">
        <v>34</v>
      </c>
      <c r="O901">
        <v>1</v>
      </c>
      <c r="P901">
        <v>4</v>
      </c>
      <c r="R901">
        <v>4</v>
      </c>
      <c r="S901">
        <v>1</v>
      </c>
      <c r="T901">
        <v>6</v>
      </c>
      <c r="U901">
        <v>20</v>
      </c>
      <c r="V901" t="s">
        <v>4119</v>
      </c>
      <c r="W901" t="s">
        <v>34</v>
      </c>
    </row>
    <row r="902" spans="1:24" x14ac:dyDescent="0.25">
      <c r="A902" t="s">
        <v>4120</v>
      </c>
      <c r="B902" t="s">
        <v>4121</v>
      </c>
      <c r="C902" t="s">
        <v>49</v>
      </c>
      <c r="D902">
        <v>40</v>
      </c>
      <c r="E902" t="s">
        <v>88</v>
      </c>
      <c r="F902" t="s">
        <v>89</v>
      </c>
      <c r="G902" t="s">
        <v>4122</v>
      </c>
      <c r="H902">
        <v>120703</v>
      </c>
      <c r="I902" t="s">
        <v>52</v>
      </c>
      <c r="J902" t="s">
        <v>61</v>
      </c>
      <c r="K902" t="s">
        <v>98</v>
      </c>
      <c r="L902" t="s">
        <v>33</v>
      </c>
      <c r="M902">
        <v>29</v>
      </c>
      <c r="N902" t="s">
        <v>34</v>
      </c>
      <c r="O902">
        <v>3</v>
      </c>
      <c r="P902">
        <v>3</v>
      </c>
      <c r="Q902">
        <v>4</v>
      </c>
      <c r="R902">
        <v>3</v>
      </c>
      <c r="S902">
        <v>5</v>
      </c>
      <c r="T902">
        <v>5</v>
      </c>
      <c r="U902">
        <v>21</v>
      </c>
      <c r="V902" t="s">
        <v>4123</v>
      </c>
      <c r="W902" t="s">
        <v>34</v>
      </c>
    </row>
    <row r="903" spans="1:24" x14ac:dyDescent="0.25">
      <c r="A903" t="s">
        <v>4124</v>
      </c>
      <c r="B903" t="s">
        <v>4125</v>
      </c>
      <c r="C903" t="s">
        <v>49</v>
      </c>
      <c r="D903">
        <v>45</v>
      </c>
      <c r="E903" t="s">
        <v>103</v>
      </c>
      <c r="F903" t="s">
        <v>123</v>
      </c>
      <c r="G903" t="s">
        <v>4126</v>
      </c>
      <c r="H903">
        <v>71695</v>
      </c>
      <c r="I903" t="s">
        <v>42</v>
      </c>
      <c r="J903" t="s">
        <v>97</v>
      </c>
      <c r="K903" t="s">
        <v>77</v>
      </c>
      <c r="L903" t="s">
        <v>43</v>
      </c>
      <c r="M903">
        <v>35</v>
      </c>
      <c r="N903" t="s">
        <v>34</v>
      </c>
      <c r="O903">
        <v>3</v>
      </c>
      <c r="P903">
        <v>1</v>
      </c>
      <c r="Q903">
        <v>3</v>
      </c>
      <c r="R903">
        <v>4</v>
      </c>
      <c r="S903">
        <v>4</v>
      </c>
      <c r="T903">
        <v>7</v>
      </c>
      <c r="U903">
        <v>17</v>
      </c>
      <c r="V903" t="s">
        <v>4127</v>
      </c>
      <c r="W903" t="s">
        <v>34</v>
      </c>
    </row>
    <row r="904" spans="1:24" x14ac:dyDescent="0.25">
      <c r="A904" t="s">
        <v>4128</v>
      </c>
      <c r="B904" t="s">
        <v>4129</v>
      </c>
      <c r="C904" t="s">
        <v>81</v>
      </c>
      <c r="D904">
        <v>42</v>
      </c>
      <c r="E904" t="s">
        <v>94</v>
      </c>
      <c r="F904" t="s">
        <v>356</v>
      </c>
      <c r="G904" t="s">
        <v>4130</v>
      </c>
      <c r="H904" t="s">
        <v>4131</v>
      </c>
      <c r="I904" t="s">
        <v>30</v>
      </c>
      <c r="J904" t="s">
        <v>61</v>
      </c>
      <c r="K904" t="s">
        <v>83</v>
      </c>
      <c r="L904" t="s">
        <v>33</v>
      </c>
      <c r="M904">
        <v>41</v>
      </c>
      <c r="O904">
        <v>4</v>
      </c>
      <c r="P904">
        <v>4</v>
      </c>
      <c r="Q904">
        <v>3</v>
      </c>
      <c r="R904">
        <v>2</v>
      </c>
      <c r="S904">
        <v>1</v>
      </c>
      <c r="T904">
        <v>6</v>
      </c>
      <c r="U904">
        <v>23</v>
      </c>
      <c r="V904" t="s">
        <v>4132</v>
      </c>
      <c r="W904" t="s">
        <v>34</v>
      </c>
    </row>
    <row r="905" spans="1:24" x14ac:dyDescent="0.25">
      <c r="A905" t="s">
        <v>4133</v>
      </c>
      <c r="B905" t="s">
        <v>4134</v>
      </c>
      <c r="C905" t="s">
        <v>58</v>
      </c>
      <c r="D905">
        <v>32</v>
      </c>
      <c r="E905" t="s">
        <v>94</v>
      </c>
      <c r="F905" t="s">
        <v>356</v>
      </c>
      <c r="G905" t="s">
        <v>4135</v>
      </c>
      <c r="H905">
        <v>51705</v>
      </c>
      <c r="I905" t="s">
        <v>52</v>
      </c>
      <c r="J905" t="s">
        <v>143</v>
      </c>
      <c r="K905" t="s">
        <v>77</v>
      </c>
      <c r="L905" t="s">
        <v>33</v>
      </c>
      <c r="M905">
        <v>3</v>
      </c>
      <c r="N905" t="s">
        <v>34</v>
      </c>
      <c r="O905">
        <v>4</v>
      </c>
      <c r="P905">
        <v>1</v>
      </c>
      <c r="Q905">
        <v>1</v>
      </c>
      <c r="R905">
        <v>1</v>
      </c>
      <c r="S905">
        <v>3</v>
      </c>
      <c r="T905">
        <v>6</v>
      </c>
      <c r="V905" t="s">
        <v>4136</v>
      </c>
      <c r="W905" t="s">
        <v>34</v>
      </c>
    </row>
    <row r="906" spans="1:24" x14ac:dyDescent="0.25">
      <c r="A906" t="s">
        <v>4137</v>
      </c>
      <c r="B906" t="s">
        <v>4138</v>
      </c>
      <c r="C906" t="s">
        <v>49</v>
      </c>
      <c r="D906">
        <v>32</v>
      </c>
      <c r="E906" t="s">
        <v>128</v>
      </c>
      <c r="F906" t="s">
        <v>463</v>
      </c>
      <c r="G906" t="s">
        <v>4139</v>
      </c>
      <c r="H906">
        <v>77207</v>
      </c>
      <c r="I906" t="s">
        <v>30</v>
      </c>
      <c r="J906" t="s">
        <v>97</v>
      </c>
      <c r="K906" t="s">
        <v>200</v>
      </c>
      <c r="L906" t="s">
        <v>33</v>
      </c>
      <c r="M906">
        <v>41</v>
      </c>
      <c r="N906" t="s">
        <v>34</v>
      </c>
      <c r="O906">
        <v>3</v>
      </c>
      <c r="P906">
        <v>3</v>
      </c>
      <c r="Q906">
        <v>1</v>
      </c>
      <c r="R906">
        <v>3</v>
      </c>
      <c r="S906">
        <v>2</v>
      </c>
      <c r="T906">
        <v>3</v>
      </c>
      <c r="U906">
        <v>13</v>
      </c>
      <c r="V906" t="s">
        <v>4140</v>
      </c>
      <c r="W906" t="s">
        <v>34</v>
      </c>
    </row>
    <row r="907" spans="1:24" x14ac:dyDescent="0.25">
      <c r="A907" t="s">
        <v>4141</v>
      </c>
      <c r="B907" t="s">
        <v>4142</v>
      </c>
      <c r="C907" t="s">
        <v>49</v>
      </c>
      <c r="E907" t="s">
        <v>579</v>
      </c>
      <c r="F907" t="s">
        <v>286</v>
      </c>
      <c r="G907" t="s">
        <v>4143</v>
      </c>
      <c r="H907">
        <v>79052</v>
      </c>
      <c r="I907" t="s">
        <v>52</v>
      </c>
      <c r="J907" t="s">
        <v>61</v>
      </c>
      <c r="K907" t="s">
        <v>32</v>
      </c>
      <c r="M907">
        <v>43</v>
      </c>
      <c r="N907" t="s">
        <v>34</v>
      </c>
      <c r="O907">
        <v>4</v>
      </c>
      <c r="Q907">
        <v>4</v>
      </c>
      <c r="R907">
        <v>2</v>
      </c>
      <c r="S907">
        <v>3</v>
      </c>
      <c r="T907">
        <v>0</v>
      </c>
      <c r="U907">
        <v>14</v>
      </c>
      <c r="V907" t="s">
        <v>4144</v>
      </c>
      <c r="W907" t="s">
        <v>34</v>
      </c>
    </row>
    <row r="908" spans="1:24" x14ac:dyDescent="0.25">
      <c r="A908" t="s">
        <v>4145</v>
      </c>
      <c r="B908" t="s">
        <v>4146</v>
      </c>
      <c r="C908" t="s">
        <v>81</v>
      </c>
      <c r="E908" t="s">
        <v>27</v>
      </c>
      <c r="F908" t="s">
        <v>59</v>
      </c>
      <c r="G908" t="s">
        <v>4147</v>
      </c>
      <c r="H908" t="s">
        <v>4148</v>
      </c>
      <c r="I908" t="s">
        <v>52</v>
      </c>
      <c r="J908" t="s">
        <v>31</v>
      </c>
      <c r="K908" t="s">
        <v>77</v>
      </c>
      <c r="N908" t="s">
        <v>34</v>
      </c>
      <c r="O908">
        <v>4</v>
      </c>
      <c r="P908">
        <v>4</v>
      </c>
      <c r="Q908">
        <v>1</v>
      </c>
      <c r="R908">
        <v>1</v>
      </c>
      <c r="T908">
        <v>8</v>
      </c>
      <c r="V908" t="s">
        <v>4149</v>
      </c>
      <c r="W908" t="s">
        <v>34</v>
      </c>
    </row>
    <row r="909" spans="1:24" x14ac:dyDescent="0.25">
      <c r="A909" t="s">
        <v>3965</v>
      </c>
      <c r="B909" t="s">
        <v>3966</v>
      </c>
      <c r="C909" t="s">
        <v>73</v>
      </c>
      <c r="D909">
        <v>29</v>
      </c>
      <c r="E909" t="s">
        <v>197</v>
      </c>
      <c r="F909" t="s">
        <v>323</v>
      </c>
      <c r="G909" t="s">
        <v>3967</v>
      </c>
      <c r="H909" t="s">
        <v>3968</v>
      </c>
      <c r="I909" t="s">
        <v>42</v>
      </c>
      <c r="J909" t="s">
        <v>61</v>
      </c>
      <c r="K909" t="s">
        <v>167</v>
      </c>
      <c r="L909" t="s">
        <v>43</v>
      </c>
      <c r="M909">
        <v>45</v>
      </c>
      <c r="N909" t="s">
        <v>34</v>
      </c>
      <c r="O909">
        <v>3</v>
      </c>
      <c r="P909">
        <v>3</v>
      </c>
      <c r="Q909">
        <v>4</v>
      </c>
      <c r="R909">
        <v>3</v>
      </c>
      <c r="S909">
        <v>2</v>
      </c>
      <c r="T909">
        <v>3</v>
      </c>
      <c r="U909">
        <v>24</v>
      </c>
      <c r="V909" t="s">
        <v>3969</v>
      </c>
      <c r="W909" t="s">
        <v>34</v>
      </c>
    </row>
    <row r="910" spans="1:24" x14ac:dyDescent="0.25">
      <c r="A910" t="s">
        <v>4150</v>
      </c>
      <c r="B910" t="s">
        <v>4151</v>
      </c>
      <c r="C910" t="s">
        <v>73</v>
      </c>
      <c r="D910">
        <v>19</v>
      </c>
      <c r="E910" t="s">
        <v>128</v>
      </c>
      <c r="F910" t="s">
        <v>255</v>
      </c>
      <c r="G910" t="s">
        <v>4152</v>
      </c>
      <c r="H910">
        <v>60692</v>
      </c>
      <c r="I910" t="s">
        <v>42</v>
      </c>
      <c r="J910" t="s">
        <v>31</v>
      </c>
      <c r="K910" t="s">
        <v>32</v>
      </c>
      <c r="L910" t="s">
        <v>43</v>
      </c>
      <c r="M910">
        <v>14</v>
      </c>
      <c r="N910" t="s">
        <v>45</v>
      </c>
      <c r="O910">
        <v>2</v>
      </c>
      <c r="P910">
        <v>4</v>
      </c>
      <c r="Q910">
        <v>1</v>
      </c>
      <c r="R910">
        <v>3</v>
      </c>
      <c r="S910">
        <v>6</v>
      </c>
      <c r="T910">
        <v>6</v>
      </c>
      <c r="U910">
        <v>21</v>
      </c>
      <c r="V910" t="s">
        <v>4153</v>
      </c>
      <c r="W910" t="s">
        <v>45</v>
      </c>
      <c r="X910" t="s">
        <v>381</v>
      </c>
    </row>
    <row r="911" spans="1:24" x14ac:dyDescent="0.25">
      <c r="A911" t="s">
        <v>4154</v>
      </c>
      <c r="B911" t="s">
        <v>4155</v>
      </c>
      <c r="D911">
        <v>25</v>
      </c>
      <c r="E911" t="s">
        <v>197</v>
      </c>
      <c r="G911" t="s">
        <v>4156</v>
      </c>
      <c r="H911">
        <v>86524</v>
      </c>
      <c r="I911" t="s">
        <v>52</v>
      </c>
      <c r="K911" t="s">
        <v>77</v>
      </c>
      <c r="L911" t="s">
        <v>62</v>
      </c>
      <c r="M911">
        <v>21</v>
      </c>
      <c r="N911" t="s">
        <v>34</v>
      </c>
      <c r="O911">
        <v>3</v>
      </c>
      <c r="P911">
        <v>4</v>
      </c>
      <c r="Q911">
        <v>4</v>
      </c>
      <c r="R911">
        <v>4</v>
      </c>
      <c r="S911">
        <v>3</v>
      </c>
      <c r="T911">
        <v>8</v>
      </c>
      <c r="U911">
        <v>25</v>
      </c>
      <c r="V911" t="s">
        <v>4157</v>
      </c>
      <c r="W911" t="s">
        <v>34</v>
      </c>
    </row>
    <row r="912" spans="1:24" x14ac:dyDescent="0.25">
      <c r="A912" t="s">
        <v>4158</v>
      </c>
      <c r="B912" t="s">
        <v>4159</v>
      </c>
      <c r="C912" t="s">
        <v>67</v>
      </c>
      <c r="D912">
        <v>48</v>
      </c>
      <c r="E912" t="s">
        <v>128</v>
      </c>
      <c r="F912" t="s">
        <v>271</v>
      </c>
      <c r="G912" t="s">
        <v>4160</v>
      </c>
      <c r="H912">
        <v>82361</v>
      </c>
      <c r="I912" t="s">
        <v>52</v>
      </c>
      <c r="J912" t="s">
        <v>61</v>
      </c>
      <c r="K912" t="s">
        <v>77</v>
      </c>
      <c r="L912" t="s">
        <v>33</v>
      </c>
      <c r="M912">
        <v>1</v>
      </c>
      <c r="N912" t="s">
        <v>45</v>
      </c>
      <c r="O912">
        <v>2</v>
      </c>
      <c r="Q912">
        <v>4</v>
      </c>
      <c r="R912">
        <v>3</v>
      </c>
      <c r="S912">
        <v>5</v>
      </c>
      <c r="T912">
        <v>7</v>
      </c>
      <c r="V912" t="s">
        <v>4161</v>
      </c>
      <c r="W912" t="s">
        <v>45</v>
      </c>
      <c r="X912" t="s">
        <v>1582</v>
      </c>
    </row>
    <row r="913" spans="1:24" x14ac:dyDescent="0.25">
      <c r="A913" t="s">
        <v>4162</v>
      </c>
      <c r="B913" t="s">
        <v>4163</v>
      </c>
      <c r="C913" t="s">
        <v>58</v>
      </c>
      <c r="D913">
        <v>37</v>
      </c>
      <c r="E913" t="s">
        <v>128</v>
      </c>
      <c r="F913" t="s">
        <v>255</v>
      </c>
      <c r="G913" t="s">
        <v>4164</v>
      </c>
      <c r="H913">
        <v>42268</v>
      </c>
      <c r="I913" t="s">
        <v>30</v>
      </c>
      <c r="J913" t="s">
        <v>61</v>
      </c>
      <c r="K913" t="s">
        <v>131</v>
      </c>
      <c r="L913" t="s">
        <v>43</v>
      </c>
      <c r="M913">
        <v>22</v>
      </c>
      <c r="N913" t="s">
        <v>34</v>
      </c>
      <c r="O913">
        <v>4</v>
      </c>
      <c r="P913">
        <v>1</v>
      </c>
      <c r="Q913">
        <v>3</v>
      </c>
      <c r="R913">
        <v>2</v>
      </c>
      <c r="S913">
        <v>0</v>
      </c>
      <c r="T913">
        <v>1</v>
      </c>
      <c r="U913">
        <v>17</v>
      </c>
      <c r="V913" t="s">
        <v>4165</v>
      </c>
      <c r="W913" t="s">
        <v>34</v>
      </c>
    </row>
    <row r="914" spans="1:24" x14ac:dyDescent="0.25">
      <c r="A914" t="s">
        <v>4166</v>
      </c>
      <c r="B914" t="s">
        <v>4167</v>
      </c>
      <c r="D914">
        <v>50</v>
      </c>
      <c r="E914" t="s">
        <v>94</v>
      </c>
      <c r="F914" t="s">
        <v>266</v>
      </c>
      <c r="G914" t="s">
        <v>4168</v>
      </c>
      <c r="H914">
        <v>75857</v>
      </c>
      <c r="I914" t="s">
        <v>42</v>
      </c>
      <c r="J914" t="s">
        <v>97</v>
      </c>
      <c r="K914" t="s">
        <v>106</v>
      </c>
      <c r="L914" t="s">
        <v>33</v>
      </c>
      <c r="M914">
        <v>36</v>
      </c>
      <c r="N914" t="s">
        <v>34</v>
      </c>
      <c r="O914">
        <v>1</v>
      </c>
      <c r="P914">
        <v>1</v>
      </c>
      <c r="Q914">
        <v>2</v>
      </c>
      <c r="R914">
        <v>4</v>
      </c>
      <c r="S914">
        <v>2</v>
      </c>
      <c r="T914">
        <v>7</v>
      </c>
      <c r="U914">
        <v>25</v>
      </c>
      <c r="V914" t="s">
        <v>4169</v>
      </c>
      <c r="W914" t="s">
        <v>45</v>
      </c>
      <c r="X914" t="s">
        <v>4170</v>
      </c>
    </row>
    <row r="915" spans="1:24" x14ac:dyDescent="0.25">
      <c r="A915" t="s">
        <v>4171</v>
      </c>
      <c r="B915" t="s">
        <v>4172</v>
      </c>
      <c r="C915" t="s">
        <v>87</v>
      </c>
      <c r="D915">
        <v>41</v>
      </c>
      <c r="E915" t="s">
        <v>197</v>
      </c>
      <c r="F915" t="s">
        <v>235</v>
      </c>
      <c r="G915" t="s">
        <v>4173</v>
      </c>
      <c r="H915">
        <v>99364</v>
      </c>
      <c r="I915" t="s">
        <v>52</v>
      </c>
      <c r="J915" t="s">
        <v>31</v>
      </c>
      <c r="K915" t="s">
        <v>200</v>
      </c>
      <c r="L915" t="s">
        <v>62</v>
      </c>
      <c r="M915">
        <v>24</v>
      </c>
      <c r="N915" t="s">
        <v>34</v>
      </c>
      <c r="O915">
        <v>1</v>
      </c>
      <c r="P915">
        <v>1</v>
      </c>
      <c r="Q915">
        <v>4</v>
      </c>
      <c r="R915">
        <v>1</v>
      </c>
      <c r="S915">
        <v>2</v>
      </c>
      <c r="T915">
        <v>1</v>
      </c>
      <c r="U915">
        <v>22</v>
      </c>
      <c r="V915" t="s">
        <v>4174</v>
      </c>
      <c r="W915" t="s">
        <v>34</v>
      </c>
    </row>
    <row r="916" spans="1:24" x14ac:dyDescent="0.25">
      <c r="A916" t="s">
        <v>4175</v>
      </c>
      <c r="B916" t="s">
        <v>4176</v>
      </c>
      <c r="C916" t="s">
        <v>102</v>
      </c>
      <c r="D916">
        <v>23</v>
      </c>
      <c r="E916" t="s">
        <v>94</v>
      </c>
      <c r="F916" t="s">
        <v>266</v>
      </c>
      <c r="G916" t="s">
        <v>4177</v>
      </c>
      <c r="H916" t="s">
        <v>4178</v>
      </c>
      <c r="I916" t="s">
        <v>52</v>
      </c>
      <c r="J916" t="s">
        <v>143</v>
      </c>
      <c r="K916" t="s">
        <v>83</v>
      </c>
      <c r="L916" t="s">
        <v>33</v>
      </c>
      <c r="M916">
        <v>12</v>
      </c>
      <c r="N916" t="s">
        <v>45</v>
      </c>
      <c r="O916">
        <v>3</v>
      </c>
      <c r="P916">
        <v>4</v>
      </c>
      <c r="Q916">
        <v>2</v>
      </c>
      <c r="R916">
        <v>3</v>
      </c>
      <c r="S916">
        <v>3</v>
      </c>
      <c r="T916">
        <v>1</v>
      </c>
      <c r="U916">
        <v>21</v>
      </c>
      <c r="V916" t="s">
        <v>4179</v>
      </c>
      <c r="W916" t="s">
        <v>45</v>
      </c>
      <c r="X916" t="s">
        <v>4180</v>
      </c>
    </row>
    <row r="917" spans="1:24" x14ac:dyDescent="0.25">
      <c r="A917" t="s">
        <v>4181</v>
      </c>
      <c r="B917" t="s">
        <v>4182</v>
      </c>
      <c r="C917" t="s">
        <v>58</v>
      </c>
      <c r="D917">
        <v>29</v>
      </c>
      <c r="E917" t="s">
        <v>457</v>
      </c>
      <c r="F917" t="s">
        <v>75</v>
      </c>
      <c r="G917" t="s">
        <v>4183</v>
      </c>
      <c r="H917" t="s">
        <v>4184</v>
      </c>
      <c r="I917" t="s">
        <v>42</v>
      </c>
      <c r="J917" t="s">
        <v>31</v>
      </c>
      <c r="K917" t="s">
        <v>131</v>
      </c>
      <c r="L917" t="s">
        <v>62</v>
      </c>
      <c r="M917">
        <v>7</v>
      </c>
      <c r="N917" t="s">
        <v>34</v>
      </c>
      <c r="O917">
        <v>4</v>
      </c>
      <c r="P917">
        <v>3</v>
      </c>
      <c r="Q917">
        <v>4</v>
      </c>
      <c r="R917">
        <v>5</v>
      </c>
      <c r="S917">
        <v>4</v>
      </c>
      <c r="T917">
        <v>5</v>
      </c>
      <c r="V917" t="s">
        <v>4185</v>
      </c>
      <c r="W917" t="s">
        <v>34</v>
      </c>
    </row>
    <row r="918" spans="1:24" x14ac:dyDescent="0.25">
      <c r="A918" t="s">
        <v>4186</v>
      </c>
      <c r="B918" t="s">
        <v>4187</v>
      </c>
      <c r="C918" t="s">
        <v>49</v>
      </c>
      <c r="D918">
        <v>44</v>
      </c>
      <c r="E918" t="s">
        <v>88</v>
      </c>
      <c r="F918" t="s">
        <v>89</v>
      </c>
      <c r="G918" t="s">
        <v>4188</v>
      </c>
      <c r="H918">
        <v>75482</v>
      </c>
      <c r="I918" t="s">
        <v>30</v>
      </c>
      <c r="J918" t="s">
        <v>61</v>
      </c>
      <c r="K918" t="s">
        <v>54</v>
      </c>
      <c r="L918" t="s">
        <v>43</v>
      </c>
      <c r="M918">
        <v>30</v>
      </c>
      <c r="N918" t="s">
        <v>34</v>
      </c>
      <c r="O918">
        <v>2</v>
      </c>
      <c r="P918">
        <v>4</v>
      </c>
      <c r="Q918">
        <v>4</v>
      </c>
      <c r="S918">
        <v>5</v>
      </c>
      <c r="T918">
        <v>8</v>
      </c>
      <c r="U918">
        <v>22</v>
      </c>
      <c r="V918" t="s">
        <v>4189</v>
      </c>
      <c r="W918" t="s">
        <v>34</v>
      </c>
    </row>
    <row r="919" spans="1:24" x14ac:dyDescent="0.25">
      <c r="A919" t="s">
        <v>4190</v>
      </c>
      <c r="B919" t="s">
        <v>4191</v>
      </c>
      <c r="C919" t="s">
        <v>102</v>
      </c>
      <c r="D919">
        <v>27</v>
      </c>
      <c r="E919" t="s">
        <v>128</v>
      </c>
      <c r="F919" t="s">
        <v>1752</v>
      </c>
      <c r="G919" t="s">
        <v>4192</v>
      </c>
      <c r="H919">
        <v>56529</v>
      </c>
      <c r="I919" t="s">
        <v>30</v>
      </c>
      <c r="J919" t="s">
        <v>61</v>
      </c>
      <c r="K919" t="s">
        <v>200</v>
      </c>
      <c r="L919" t="s">
        <v>43</v>
      </c>
      <c r="M919">
        <v>25</v>
      </c>
      <c r="N919" t="s">
        <v>45</v>
      </c>
      <c r="O919">
        <v>4</v>
      </c>
      <c r="Q919">
        <v>2</v>
      </c>
      <c r="R919">
        <v>3</v>
      </c>
      <c r="S919">
        <v>5</v>
      </c>
      <c r="T919">
        <v>1</v>
      </c>
      <c r="U919">
        <v>20</v>
      </c>
      <c r="V919" t="s">
        <v>4193</v>
      </c>
      <c r="W919" t="s">
        <v>34</v>
      </c>
    </row>
    <row r="920" spans="1:24" x14ac:dyDescent="0.25">
      <c r="A920" t="s">
        <v>4194</v>
      </c>
      <c r="B920" t="s">
        <v>4195</v>
      </c>
      <c r="C920" t="s">
        <v>67</v>
      </c>
      <c r="D920">
        <v>23</v>
      </c>
      <c r="E920" t="s">
        <v>197</v>
      </c>
      <c r="F920" t="s">
        <v>235</v>
      </c>
      <c r="G920" t="s">
        <v>4196</v>
      </c>
      <c r="H920">
        <v>80257</v>
      </c>
      <c r="I920" t="s">
        <v>42</v>
      </c>
      <c r="J920" t="s">
        <v>61</v>
      </c>
      <c r="K920" t="s">
        <v>113</v>
      </c>
      <c r="L920" t="s">
        <v>62</v>
      </c>
      <c r="M920">
        <v>35</v>
      </c>
      <c r="N920" t="s">
        <v>34</v>
      </c>
      <c r="O920">
        <v>2</v>
      </c>
      <c r="P920">
        <v>1</v>
      </c>
      <c r="Q920">
        <v>4</v>
      </c>
      <c r="R920">
        <v>2</v>
      </c>
      <c r="S920">
        <v>3</v>
      </c>
      <c r="T920">
        <v>8</v>
      </c>
      <c r="U920">
        <v>13</v>
      </c>
      <c r="V920" t="s">
        <v>4197</v>
      </c>
      <c r="W920" t="s">
        <v>45</v>
      </c>
      <c r="X920" t="s">
        <v>4198</v>
      </c>
    </row>
    <row r="921" spans="1:24" x14ac:dyDescent="0.25">
      <c r="A921" t="s">
        <v>4199</v>
      </c>
      <c r="B921" t="s">
        <v>4200</v>
      </c>
      <c r="C921" t="s">
        <v>87</v>
      </c>
      <c r="D921">
        <v>40</v>
      </c>
      <c r="E921" t="s">
        <v>94</v>
      </c>
      <c r="F921" t="s">
        <v>306</v>
      </c>
      <c r="G921" t="s">
        <v>4201</v>
      </c>
      <c r="H921">
        <v>121047</v>
      </c>
      <c r="I921" t="s">
        <v>52</v>
      </c>
      <c r="J921" t="s">
        <v>31</v>
      </c>
      <c r="K921" t="s">
        <v>77</v>
      </c>
      <c r="L921" t="s">
        <v>43</v>
      </c>
      <c r="M921">
        <v>28</v>
      </c>
      <c r="N921" t="s">
        <v>45</v>
      </c>
      <c r="O921">
        <v>4</v>
      </c>
      <c r="P921">
        <v>2</v>
      </c>
      <c r="Q921">
        <v>2</v>
      </c>
      <c r="R921">
        <v>2</v>
      </c>
      <c r="S921">
        <v>5</v>
      </c>
      <c r="T921">
        <v>4</v>
      </c>
      <c r="U921">
        <v>13</v>
      </c>
      <c r="V921" t="s">
        <v>4202</v>
      </c>
      <c r="W921" t="s">
        <v>45</v>
      </c>
      <c r="X921" t="s">
        <v>4203</v>
      </c>
    </row>
    <row r="922" spans="1:24" x14ac:dyDescent="0.25">
      <c r="A922" t="s">
        <v>4204</v>
      </c>
      <c r="B922" t="s">
        <v>4205</v>
      </c>
      <c r="C922" t="s">
        <v>26</v>
      </c>
      <c r="E922" t="s">
        <v>94</v>
      </c>
      <c r="F922" t="s">
        <v>266</v>
      </c>
      <c r="G922" t="s">
        <v>4206</v>
      </c>
      <c r="H922">
        <v>51568</v>
      </c>
      <c r="I922" t="s">
        <v>42</v>
      </c>
      <c r="J922" t="s">
        <v>61</v>
      </c>
      <c r="K922" t="s">
        <v>106</v>
      </c>
      <c r="L922" t="s">
        <v>43</v>
      </c>
      <c r="M922">
        <v>26</v>
      </c>
      <c r="N922" t="s">
        <v>34</v>
      </c>
      <c r="O922">
        <v>1</v>
      </c>
      <c r="P922">
        <v>4</v>
      </c>
      <c r="Q922">
        <v>4</v>
      </c>
      <c r="R922">
        <v>5</v>
      </c>
      <c r="S922">
        <v>4</v>
      </c>
      <c r="T922">
        <v>0</v>
      </c>
      <c r="U922">
        <v>18</v>
      </c>
      <c r="V922" t="s">
        <v>4207</v>
      </c>
      <c r="W922" t="s">
        <v>34</v>
      </c>
    </row>
    <row r="923" spans="1:24" x14ac:dyDescent="0.25">
      <c r="A923" t="s">
        <v>4208</v>
      </c>
      <c r="B923" t="s">
        <v>4209</v>
      </c>
      <c r="C923" t="s">
        <v>81</v>
      </c>
      <c r="D923">
        <v>19</v>
      </c>
      <c r="E923" t="s">
        <v>128</v>
      </c>
      <c r="F923" t="s">
        <v>255</v>
      </c>
      <c r="G923" t="s">
        <v>4210</v>
      </c>
      <c r="H923" t="s">
        <v>4211</v>
      </c>
      <c r="I923" t="s">
        <v>52</v>
      </c>
      <c r="J923" t="s">
        <v>61</v>
      </c>
      <c r="K923" t="s">
        <v>131</v>
      </c>
      <c r="L923" t="s">
        <v>62</v>
      </c>
      <c r="M923">
        <v>37</v>
      </c>
      <c r="N923" t="s">
        <v>34</v>
      </c>
      <c r="O923">
        <v>4</v>
      </c>
      <c r="P923">
        <v>1</v>
      </c>
      <c r="Q923">
        <v>2</v>
      </c>
      <c r="R923">
        <v>5</v>
      </c>
      <c r="S923">
        <v>3</v>
      </c>
      <c r="T923">
        <v>6</v>
      </c>
      <c r="U923">
        <v>24</v>
      </c>
      <c r="V923" t="s">
        <v>4212</v>
      </c>
      <c r="W923" t="s">
        <v>34</v>
      </c>
    </row>
    <row r="924" spans="1:24" x14ac:dyDescent="0.25">
      <c r="A924" t="s">
        <v>4213</v>
      </c>
      <c r="B924" t="s">
        <v>4214</v>
      </c>
      <c r="C924" t="s">
        <v>58</v>
      </c>
      <c r="E924" t="s">
        <v>88</v>
      </c>
      <c r="F924" t="s">
        <v>1989</v>
      </c>
      <c r="G924" t="s">
        <v>4215</v>
      </c>
      <c r="H924">
        <v>69600</v>
      </c>
      <c r="I924" t="s">
        <v>52</v>
      </c>
      <c r="J924" t="s">
        <v>31</v>
      </c>
      <c r="K924" t="s">
        <v>131</v>
      </c>
      <c r="L924" t="s">
        <v>62</v>
      </c>
      <c r="M924">
        <v>14</v>
      </c>
      <c r="N924" t="s">
        <v>34</v>
      </c>
      <c r="O924">
        <v>1</v>
      </c>
      <c r="P924">
        <v>3</v>
      </c>
      <c r="Q924">
        <v>1</v>
      </c>
      <c r="R924">
        <v>3</v>
      </c>
      <c r="S924">
        <v>1</v>
      </c>
      <c r="T924">
        <v>1</v>
      </c>
      <c r="U924">
        <v>21</v>
      </c>
      <c r="V924" t="s">
        <v>4216</v>
      </c>
      <c r="W924" t="s">
        <v>34</v>
      </c>
    </row>
    <row r="925" spans="1:24" x14ac:dyDescent="0.25">
      <c r="A925" t="s">
        <v>4217</v>
      </c>
      <c r="B925" t="s">
        <v>4218</v>
      </c>
      <c r="C925" t="s">
        <v>81</v>
      </c>
      <c r="D925">
        <v>28</v>
      </c>
      <c r="E925" t="s">
        <v>798</v>
      </c>
      <c r="F925" t="s">
        <v>188</v>
      </c>
      <c r="G925" t="s">
        <v>4219</v>
      </c>
      <c r="H925">
        <v>122268</v>
      </c>
      <c r="I925" t="s">
        <v>52</v>
      </c>
      <c r="K925" t="s">
        <v>131</v>
      </c>
      <c r="L925" t="s">
        <v>43</v>
      </c>
      <c r="M925">
        <v>23</v>
      </c>
      <c r="N925" t="s">
        <v>34</v>
      </c>
      <c r="O925">
        <v>2</v>
      </c>
      <c r="P925">
        <v>2</v>
      </c>
      <c r="Q925">
        <v>2</v>
      </c>
      <c r="R925">
        <v>4</v>
      </c>
      <c r="S925">
        <v>4</v>
      </c>
      <c r="T925">
        <v>0</v>
      </c>
      <c r="U925">
        <v>22</v>
      </c>
      <c r="V925" t="s">
        <v>4220</v>
      </c>
      <c r="W925" t="s">
        <v>34</v>
      </c>
    </row>
    <row r="926" spans="1:24" x14ac:dyDescent="0.25">
      <c r="A926" t="s">
        <v>4221</v>
      </c>
      <c r="B926" t="s">
        <v>4222</v>
      </c>
      <c r="C926" t="s">
        <v>87</v>
      </c>
      <c r="D926">
        <v>28</v>
      </c>
      <c r="E926" t="s">
        <v>412</v>
      </c>
      <c r="F926" t="s">
        <v>1093</v>
      </c>
      <c r="G926" t="s">
        <v>4223</v>
      </c>
      <c r="H926">
        <v>54459</v>
      </c>
      <c r="I926" t="s">
        <v>30</v>
      </c>
      <c r="J926" t="s">
        <v>61</v>
      </c>
      <c r="K926" t="s">
        <v>54</v>
      </c>
      <c r="L926" t="s">
        <v>33</v>
      </c>
      <c r="M926">
        <v>36</v>
      </c>
      <c r="N926" t="s">
        <v>45</v>
      </c>
      <c r="O926">
        <v>1</v>
      </c>
      <c r="P926">
        <v>4</v>
      </c>
      <c r="Q926">
        <v>4</v>
      </c>
      <c r="S926">
        <v>0</v>
      </c>
      <c r="T926">
        <v>6</v>
      </c>
      <c r="U926">
        <v>13</v>
      </c>
      <c r="V926" t="s">
        <v>4224</v>
      </c>
      <c r="W926" t="s">
        <v>45</v>
      </c>
      <c r="X926" t="s">
        <v>4225</v>
      </c>
    </row>
    <row r="927" spans="1:24" x14ac:dyDescent="0.25">
      <c r="A927" t="s">
        <v>4226</v>
      </c>
      <c r="B927" t="s">
        <v>4227</v>
      </c>
      <c r="C927" t="s">
        <v>73</v>
      </c>
      <c r="D927">
        <v>23</v>
      </c>
      <c r="E927" t="s">
        <v>88</v>
      </c>
      <c r="F927" t="s">
        <v>286</v>
      </c>
      <c r="G927" t="s">
        <v>4228</v>
      </c>
      <c r="H927">
        <v>118628</v>
      </c>
      <c r="I927" t="s">
        <v>30</v>
      </c>
      <c r="J927" t="s">
        <v>31</v>
      </c>
      <c r="L927" t="s">
        <v>62</v>
      </c>
      <c r="M927">
        <v>36</v>
      </c>
      <c r="N927" t="s">
        <v>34</v>
      </c>
      <c r="O927">
        <v>1</v>
      </c>
      <c r="P927">
        <v>2</v>
      </c>
      <c r="Q927">
        <v>3</v>
      </c>
      <c r="R927">
        <v>4</v>
      </c>
      <c r="S927">
        <v>5</v>
      </c>
      <c r="T927">
        <v>4</v>
      </c>
      <c r="U927">
        <v>22</v>
      </c>
      <c r="V927" t="s">
        <v>3811</v>
      </c>
      <c r="W927" t="s">
        <v>34</v>
      </c>
    </row>
    <row r="928" spans="1:24" x14ac:dyDescent="0.25">
      <c r="A928" t="s">
        <v>4229</v>
      </c>
      <c r="B928" t="s">
        <v>4230</v>
      </c>
      <c r="C928" t="s">
        <v>26</v>
      </c>
      <c r="D928">
        <v>40</v>
      </c>
      <c r="E928" t="s">
        <v>554</v>
      </c>
      <c r="F928" t="s">
        <v>89</v>
      </c>
      <c r="G928" t="s">
        <v>4231</v>
      </c>
      <c r="H928">
        <v>146837</v>
      </c>
      <c r="I928" t="s">
        <v>52</v>
      </c>
      <c r="J928" t="s">
        <v>143</v>
      </c>
      <c r="K928" t="s">
        <v>32</v>
      </c>
      <c r="L928" t="s">
        <v>62</v>
      </c>
      <c r="M928">
        <v>4</v>
      </c>
      <c r="N928" t="s">
        <v>34</v>
      </c>
      <c r="O928">
        <v>1</v>
      </c>
      <c r="P928">
        <v>3</v>
      </c>
      <c r="Q928">
        <v>3</v>
      </c>
      <c r="R928">
        <v>3</v>
      </c>
      <c r="T928">
        <v>2</v>
      </c>
      <c r="U928">
        <v>22</v>
      </c>
      <c r="V928" t="s">
        <v>4232</v>
      </c>
      <c r="W928" t="s">
        <v>34</v>
      </c>
    </row>
    <row r="929" spans="1:24" x14ac:dyDescent="0.25">
      <c r="A929" t="s">
        <v>4233</v>
      </c>
      <c r="B929" t="s">
        <v>4234</v>
      </c>
      <c r="C929" t="s">
        <v>67</v>
      </c>
      <c r="D929">
        <v>40</v>
      </c>
      <c r="E929" t="s">
        <v>665</v>
      </c>
      <c r="F929" t="s">
        <v>3640</v>
      </c>
      <c r="G929" t="s">
        <v>4235</v>
      </c>
      <c r="H929">
        <v>51722</v>
      </c>
      <c r="I929" t="s">
        <v>30</v>
      </c>
      <c r="J929" t="s">
        <v>61</v>
      </c>
      <c r="K929" t="s">
        <v>83</v>
      </c>
      <c r="L929" t="s">
        <v>43</v>
      </c>
      <c r="M929">
        <v>26</v>
      </c>
      <c r="N929" t="s">
        <v>45</v>
      </c>
      <c r="O929">
        <v>1</v>
      </c>
      <c r="P929">
        <v>1</v>
      </c>
      <c r="Q929">
        <v>1</v>
      </c>
      <c r="R929">
        <v>5</v>
      </c>
      <c r="S929">
        <v>2</v>
      </c>
      <c r="T929">
        <v>1</v>
      </c>
      <c r="U929">
        <v>19</v>
      </c>
      <c r="V929" t="s">
        <v>4236</v>
      </c>
      <c r="W929" t="s">
        <v>45</v>
      </c>
      <c r="X929" t="s">
        <v>4237</v>
      </c>
    </row>
    <row r="930" spans="1:24" x14ac:dyDescent="0.25">
      <c r="A930" t="s">
        <v>4238</v>
      </c>
      <c r="B930" t="s">
        <v>4239</v>
      </c>
      <c r="C930" t="s">
        <v>87</v>
      </c>
      <c r="D930">
        <v>41</v>
      </c>
      <c r="E930" t="s">
        <v>798</v>
      </c>
      <c r="F930" t="s">
        <v>59</v>
      </c>
      <c r="G930" t="s">
        <v>4240</v>
      </c>
      <c r="H930">
        <v>92800</v>
      </c>
      <c r="I930" t="s">
        <v>30</v>
      </c>
      <c r="J930" t="s">
        <v>143</v>
      </c>
      <c r="K930" t="s">
        <v>113</v>
      </c>
      <c r="L930" t="s">
        <v>33</v>
      </c>
      <c r="M930">
        <v>37</v>
      </c>
      <c r="N930" t="s">
        <v>45</v>
      </c>
      <c r="O930">
        <v>2</v>
      </c>
      <c r="P930">
        <v>2</v>
      </c>
      <c r="Q930">
        <v>4</v>
      </c>
      <c r="R930">
        <v>4</v>
      </c>
      <c r="S930">
        <v>6</v>
      </c>
      <c r="T930">
        <v>3</v>
      </c>
      <c r="U930">
        <v>21</v>
      </c>
      <c r="V930" t="s">
        <v>4241</v>
      </c>
      <c r="W930" t="s">
        <v>45</v>
      </c>
      <c r="X930" t="s">
        <v>4242</v>
      </c>
    </row>
    <row r="931" spans="1:24" x14ac:dyDescent="0.25">
      <c r="A931" t="s">
        <v>4243</v>
      </c>
      <c r="B931" t="s">
        <v>4244</v>
      </c>
      <c r="C931" t="s">
        <v>81</v>
      </c>
      <c r="D931">
        <v>33</v>
      </c>
      <c r="E931" t="s">
        <v>554</v>
      </c>
      <c r="F931" t="s">
        <v>286</v>
      </c>
      <c r="G931" t="s">
        <v>4245</v>
      </c>
      <c r="H931">
        <v>72689</v>
      </c>
      <c r="I931" t="s">
        <v>30</v>
      </c>
      <c r="J931" t="s">
        <v>61</v>
      </c>
      <c r="K931" t="s">
        <v>167</v>
      </c>
      <c r="L931" t="s">
        <v>43</v>
      </c>
      <c r="O931">
        <v>3</v>
      </c>
      <c r="P931">
        <v>4</v>
      </c>
      <c r="Q931">
        <v>1</v>
      </c>
      <c r="R931">
        <v>5</v>
      </c>
      <c r="S931">
        <v>3</v>
      </c>
      <c r="T931">
        <v>1</v>
      </c>
      <c r="U931">
        <v>11</v>
      </c>
      <c r="W931" t="s">
        <v>34</v>
      </c>
    </row>
    <row r="932" spans="1:24" x14ac:dyDescent="0.25">
      <c r="A932" t="s">
        <v>4246</v>
      </c>
      <c r="B932" t="s">
        <v>4247</v>
      </c>
      <c r="C932" t="s">
        <v>81</v>
      </c>
      <c r="D932">
        <v>43</v>
      </c>
      <c r="E932" t="s">
        <v>27</v>
      </c>
      <c r="F932" t="s">
        <v>188</v>
      </c>
      <c r="G932" t="s">
        <v>4248</v>
      </c>
      <c r="H932" t="s">
        <v>4249</v>
      </c>
      <c r="I932" t="s">
        <v>42</v>
      </c>
      <c r="K932" t="s">
        <v>98</v>
      </c>
      <c r="L932" t="s">
        <v>43</v>
      </c>
      <c r="M932">
        <v>28</v>
      </c>
      <c r="O932">
        <v>1</v>
      </c>
      <c r="P932">
        <v>3</v>
      </c>
      <c r="Q932">
        <v>1</v>
      </c>
      <c r="R932">
        <v>2</v>
      </c>
      <c r="S932">
        <v>2</v>
      </c>
      <c r="T932">
        <v>8</v>
      </c>
      <c r="U932">
        <v>19</v>
      </c>
      <c r="V932" t="s">
        <v>4250</v>
      </c>
      <c r="W932" t="s">
        <v>34</v>
      </c>
    </row>
    <row r="933" spans="1:24" x14ac:dyDescent="0.25">
      <c r="A933" t="s">
        <v>4251</v>
      </c>
      <c r="B933" t="s">
        <v>4252</v>
      </c>
      <c r="C933" t="s">
        <v>67</v>
      </c>
      <c r="D933">
        <v>41</v>
      </c>
      <c r="E933" t="s">
        <v>74</v>
      </c>
      <c r="F933" t="s">
        <v>188</v>
      </c>
      <c r="G933" t="s">
        <v>4253</v>
      </c>
      <c r="H933" t="s">
        <v>4254</v>
      </c>
      <c r="I933" t="s">
        <v>52</v>
      </c>
      <c r="J933" t="s">
        <v>97</v>
      </c>
      <c r="K933" t="s">
        <v>54</v>
      </c>
      <c r="L933" t="s">
        <v>43</v>
      </c>
      <c r="M933">
        <v>37</v>
      </c>
      <c r="N933" t="s">
        <v>34</v>
      </c>
      <c r="O933">
        <v>2</v>
      </c>
      <c r="P933">
        <v>1</v>
      </c>
      <c r="Q933">
        <v>1</v>
      </c>
      <c r="R933">
        <v>3</v>
      </c>
      <c r="S933">
        <v>6</v>
      </c>
      <c r="T933">
        <v>4</v>
      </c>
      <c r="U933">
        <v>14</v>
      </c>
      <c r="V933" t="s">
        <v>4255</v>
      </c>
      <c r="W933" t="s">
        <v>34</v>
      </c>
    </row>
    <row r="934" spans="1:24" x14ac:dyDescent="0.25">
      <c r="A934" t="s">
        <v>4256</v>
      </c>
      <c r="B934" t="s">
        <v>4257</v>
      </c>
      <c r="C934" t="s">
        <v>102</v>
      </c>
      <c r="D934">
        <v>22</v>
      </c>
      <c r="E934" t="s">
        <v>128</v>
      </c>
      <c r="F934" t="s">
        <v>255</v>
      </c>
      <c r="G934" t="s">
        <v>4258</v>
      </c>
      <c r="H934">
        <v>83385</v>
      </c>
      <c r="I934" t="s">
        <v>52</v>
      </c>
      <c r="J934" t="s">
        <v>53</v>
      </c>
      <c r="K934" t="s">
        <v>32</v>
      </c>
      <c r="L934" t="s">
        <v>33</v>
      </c>
      <c r="M934">
        <v>4</v>
      </c>
      <c r="N934" t="s">
        <v>34</v>
      </c>
      <c r="P934">
        <v>2</v>
      </c>
      <c r="Q934">
        <v>4</v>
      </c>
      <c r="R934">
        <v>3</v>
      </c>
      <c r="S934">
        <v>4</v>
      </c>
      <c r="T934">
        <v>5</v>
      </c>
      <c r="U934">
        <v>12</v>
      </c>
      <c r="V934" t="s">
        <v>4259</v>
      </c>
      <c r="W934" t="s">
        <v>34</v>
      </c>
    </row>
    <row r="935" spans="1:24" x14ac:dyDescent="0.25">
      <c r="A935" t="s">
        <v>4260</v>
      </c>
      <c r="B935" t="s">
        <v>4261</v>
      </c>
      <c r="C935" t="s">
        <v>73</v>
      </c>
      <c r="D935">
        <v>34</v>
      </c>
      <c r="E935" t="s">
        <v>38</v>
      </c>
      <c r="F935" t="s">
        <v>4262</v>
      </c>
      <c r="G935" t="s">
        <v>4263</v>
      </c>
      <c r="H935">
        <v>32553</v>
      </c>
      <c r="I935" t="s">
        <v>52</v>
      </c>
      <c r="J935" t="s">
        <v>53</v>
      </c>
      <c r="K935" t="s">
        <v>106</v>
      </c>
      <c r="L935" t="s">
        <v>33</v>
      </c>
      <c r="M935">
        <v>4</v>
      </c>
      <c r="N935" t="s">
        <v>34</v>
      </c>
      <c r="O935">
        <v>2</v>
      </c>
      <c r="P935">
        <v>2</v>
      </c>
      <c r="Q935">
        <v>2</v>
      </c>
      <c r="R935">
        <v>3</v>
      </c>
      <c r="S935">
        <v>4</v>
      </c>
      <c r="T935">
        <v>8</v>
      </c>
      <c r="U935">
        <v>12</v>
      </c>
      <c r="V935" t="s">
        <v>4264</v>
      </c>
      <c r="W935" t="s">
        <v>45</v>
      </c>
      <c r="X935" t="s">
        <v>3103</v>
      </c>
    </row>
    <row r="936" spans="1:24" x14ac:dyDescent="0.25">
      <c r="A936" t="s">
        <v>4265</v>
      </c>
      <c r="B936" t="s">
        <v>4266</v>
      </c>
      <c r="C936" t="s">
        <v>26</v>
      </c>
      <c r="D936">
        <v>36</v>
      </c>
      <c r="E936" t="s">
        <v>706</v>
      </c>
      <c r="F936" t="s">
        <v>356</v>
      </c>
      <c r="G936" t="s">
        <v>4267</v>
      </c>
      <c r="H936">
        <v>56980</v>
      </c>
      <c r="I936" t="s">
        <v>52</v>
      </c>
      <c r="J936" t="s">
        <v>53</v>
      </c>
      <c r="K936" t="s">
        <v>32</v>
      </c>
      <c r="L936" t="s">
        <v>33</v>
      </c>
      <c r="M936">
        <v>2</v>
      </c>
      <c r="N936" t="s">
        <v>34</v>
      </c>
      <c r="O936">
        <v>1</v>
      </c>
      <c r="P936">
        <v>3</v>
      </c>
      <c r="Q936">
        <v>2</v>
      </c>
      <c r="R936">
        <v>4</v>
      </c>
      <c r="S936">
        <v>6</v>
      </c>
      <c r="T936">
        <v>2</v>
      </c>
      <c r="U936">
        <v>17</v>
      </c>
      <c r="W936" t="s">
        <v>34</v>
      </c>
    </row>
    <row r="937" spans="1:24" x14ac:dyDescent="0.25">
      <c r="A937" t="s">
        <v>4268</v>
      </c>
      <c r="B937" t="s">
        <v>4269</v>
      </c>
      <c r="C937" t="s">
        <v>73</v>
      </c>
      <c r="D937">
        <v>44</v>
      </c>
      <c r="E937" t="s">
        <v>128</v>
      </c>
      <c r="G937" t="s">
        <v>3224</v>
      </c>
      <c r="H937" t="s">
        <v>4270</v>
      </c>
      <c r="I937" t="s">
        <v>42</v>
      </c>
      <c r="J937" t="s">
        <v>61</v>
      </c>
      <c r="K937" t="s">
        <v>131</v>
      </c>
      <c r="L937" t="s">
        <v>33</v>
      </c>
      <c r="M937">
        <v>10</v>
      </c>
      <c r="N937" t="s">
        <v>34</v>
      </c>
      <c r="O937">
        <v>3</v>
      </c>
      <c r="P937">
        <v>1</v>
      </c>
      <c r="Q937">
        <v>3</v>
      </c>
      <c r="R937">
        <v>3</v>
      </c>
      <c r="S937">
        <v>1</v>
      </c>
      <c r="T937">
        <v>8</v>
      </c>
      <c r="U937">
        <v>19</v>
      </c>
      <c r="V937" t="s">
        <v>4271</v>
      </c>
      <c r="W937" t="s">
        <v>34</v>
      </c>
    </row>
    <row r="938" spans="1:24" x14ac:dyDescent="0.25">
      <c r="A938" t="s">
        <v>4272</v>
      </c>
      <c r="B938" t="s">
        <v>4273</v>
      </c>
      <c r="C938" t="s">
        <v>87</v>
      </c>
      <c r="D938">
        <v>32</v>
      </c>
      <c r="E938" t="s">
        <v>197</v>
      </c>
      <c r="F938" t="s">
        <v>1923</v>
      </c>
      <c r="G938" t="s">
        <v>4274</v>
      </c>
      <c r="H938">
        <v>91365</v>
      </c>
      <c r="K938" t="s">
        <v>106</v>
      </c>
      <c r="L938" t="s">
        <v>62</v>
      </c>
      <c r="M938">
        <v>5</v>
      </c>
      <c r="N938" t="s">
        <v>34</v>
      </c>
      <c r="O938">
        <v>3</v>
      </c>
      <c r="P938">
        <v>2</v>
      </c>
      <c r="Q938">
        <v>2</v>
      </c>
      <c r="R938">
        <v>3</v>
      </c>
      <c r="S938">
        <v>6</v>
      </c>
      <c r="T938">
        <v>1</v>
      </c>
      <c r="U938">
        <v>21</v>
      </c>
      <c r="V938" t="s">
        <v>4275</v>
      </c>
      <c r="W938" t="s">
        <v>34</v>
      </c>
    </row>
    <row r="939" spans="1:24" x14ac:dyDescent="0.25">
      <c r="A939" t="s">
        <v>4276</v>
      </c>
      <c r="B939" t="s">
        <v>4277</v>
      </c>
      <c r="C939" t="s">
        <v>58</v>
      </c>
      <c r="D939">
        <v>47</v>
      </c>
      <c r="E939" t="s">
        <v>665</v>
      </c>
      <c r="F939" t="s">
        <v>792</v>
      </c>
      <c r="G939" t="s">
        <v>4278</v>
      </c>
      <c r="H939" t="s">
        <v>4279</v>
      </c>
      <c r="I939" t="s">
        <v>30</v>
      </c>
      <c r="J939" t="s">
        <v>61</v>
      </c>
      <c r="K939" t="s">
        <v>98</v>
      </c>
      <c r="L939" t="s">
        <v>33</v>
      </c>
      <c r="M939">
        <v>1</v>
      </c>
      <c r="N939" t="s">
        <v>34</v>
      </c>
      <c r="O939">
        <v>4</v>
      </c>
      <c r="P939">
        <v>3</v>
      </c>
      <c r="Q939">
        <v>4</v>
      </c>
      <c r="R939">
        <v>3</v>
      </c>
      <c r="S939">
        <v>4</v>
      </c>
      <c r="T939">
        <v>2</v>
      </c>
      <c r="U939">
        <v>25</v>
      </c>
      <c r="V939" t="s">
        <v>4280</v>
      </c>
      <c r="W939" t="s">
        <v>34</v>
      </c>
    </row>
    <row r="940" spans="1:24" x14ac:dyDescent="0.25">
      <c r="A940" t="s">
        <v>4281</v>
      </c>
      <c r="B940" t="s">
        <v>4282</v>
      </c>
      <c r="C940" t="s">
        <v>87</v>
      </c>
      <c r="D940">
        <v>19</v>
      </c>
      <c r="F940" t="s">
        <v>75</v>
      </c>
      <c r="G940" t="s">
        <v>4283</v>
      </c>
      <c r="H940">
        <v>45005</v>
      </c>
      <c r="I940" t="s">
        <v>52</v>
      </c>
      <c r="J940" t="s">
        <v>61</v>
      </c>
      <c r="K940" t="s">
        <v>54</v>
      </c>
      <c r="L940" t="s">
        <v>62</v>
      </c>
      <c r="N940" t="s">
        <v>34</v>
      </c>
      <c r="O940">
        <v>3</v>
      </c>
      <c r="P940">
        <v>2</v>
      </c>
      <c r="Q940">
        <v>4</v>
      </c>
      <c r="R940">
        <v>3</v>
      </c>
      <c r="S940">
        <v>6</v>
      </c>
      <c r="T940">
        <v>4</v>
      </c>
      <c r="U940">
        <v>13</v>
      </c>
      <c r="W940" t="s">
        <v>34</v>
      </c>
    </row>
    <row r="941" spans="1:24" x14ac:dyDescent="0.25">
      <c r="A941" t="s">
        <v>2951</v>
      </c>
      <c r="B941" t="s">
        <v>2952</v>
      </c>
      <c r="C941" t="s">
        <v>67</v>
      </c>
      <c r="D941">
        <v>19</v>
      </c>
      <c r="E941" t="s">
        <v>74</v>
      </c>
      <c r="F941" t="s">
        <v>110</v>
      </c>
      <c r="G941" t="s">
        <v>2953</v>
      </c>
      <c r="H941">
        <v>116658</v>
      </c>
      <c r="I941" t="s">
        <v>30</v>
      </c>
      <c r="K941" t="s">
        <v>77</v>
      </c>
      <c r="L941" t="s">
        <v>62</v>
      </c>
      <c r="M941">
        <v>36</v>
      </c>
      <c r="N941" t="s">
        <v>34</v>
      </c>
      <c r="O941">
        <v>3</v>
      </c>
      <c r="P941">
        <v>1</v>
      </c>
      <c r="Q941">
        <v>2</v>
      </c>
      <c r="R941">
        <v>4</v>
      </c>
      <c r="S941">
        <v>3</v>
      </c>
      <c r="T941">
        <v>7</v>
      </c>
      <c r="U941">
        <v>16</v>
      </c>
      <c r="V941" t="s">
        <v>2954</v>
      </c>
      <c r="W941" t="s">
        <v>34</v>
      </c>
    </row>
    <row r="942" spans="1:24" x14ac:dyDescent="0.25">
      <c r="A942" t="s">
        <v>4284</v>
      </c>
      <c r="B942" t="s">
        <v>4285</v>
      </c>
      <c r="C942" t="s">
        <v>26</v>
      </c>
      <c r="D942">
        <v>52</v>
      </c>
      <c r="E942" t="s">
        <v>38</v>
      </c>
      <c r="F942" t="s">
        <v>4262</v>
      </c>
      <c r="G942" t="s">
        <v>4286</v>
      </c>
      <c r="H942" t="s">
        <v>4287</v>
      </c>
      <c r="I942" t="s">
        <v>42</v>
      </c>
      <c r="J942" t="s">
        <v>31</v>
      </c>
      <c r="K942" t="s">
        <v>200</v>
      </c>
      <c r="L942" t="s">
        <v>62</v>
      </c>
      <c r="M942">
        <v>12</v>
      </c>
      <c r="N942" t="s">
        <v>34</v>
      </c>
      <c r="O942">
        <v>3</v>
      </c>
      <c r="P942">
        <v>2</v>
      </c>
      <c r="Q942">
        <v>4</v>
      </c>
      <c r="R942">
        <v>4</v>
      </c>
      <c r="S942">
        <v>3</v>
      </c>
      <c r="T942">
        <v>0</v>
      </c>
      <c r="U942">
        <v>18</v>
      </c>
      <c r="V942" t="s">
        <v>4288</v>
      </c>
      <c r="W942" t="s">
        <v>34</v>
      </c>
    </row>
    <row r="943" spans="1:24" x14ac:dyDescent="0.25">
      <c r="A943" t="s">
        <v>4289</v>
      </c>
      <c r="B943" t="s">
        <v>4290</v>
      </c>
      <c r="C943" t="s">
        <v>58</v>
      </c>
      <c r="D943">
        <v>39</v>
      </c>
      <c r="E943" t="s">
        <v>88</v>
      </c>
      <c r="F943" t="s">
        <v>89</v>
      </c>
      <c r="G943" t="s">
        <v>4291</v>
      </c>
      <c r="H943">
        <v>135850</v>
      </c>
      <c r="I943" t="s">
        <v>42</v>
      </c>
      <c r="J943" t="s">
        <v>61</v>
      </c>
      <c r="K943" t="s">
        <v>131</v>
      </c>
      <c r="L943" t="s">
        <v>62</v>
      </c>
      <c r="M943">
        <v>35</v>
      </c>
      <c r="N943" t="s">
        <v>34</v>
      </c>
      <c r="O943">
        <v>4</v>
      </c>
      <c r="P943">
        <v>2</v>
      </c>
      <c r="Q943">
        <v>1</v>
      </c>
      <c r="R943">
        <v>3</v>
      </c>
      <c r="S943">
        <v>2</v>
      </c>
      <c r="T943">
        <v>3</v>
      </c>
      <c r="U943">
        <v>11</v>
      </c>
      <c r="V943" t="s">
        <v>4292</v>
      </c>
      <c r="W943" t="s">
        <v>34</v>
      </c>
    </row>
    <row r="944" spans="1:24" x14ac:dyDescent="0.25">
      <c r="A944" t="s">
        <v>4293</v>
      </c>
      <c r="B944" t="s">
        <v>4294</v>
      </c>
      <c r="C944" t="s">
        <v>67</v>
      </c>
      <c r="D944">
        <v>35</v>
      </c>
      <c r="E944" t="s">
        <v>88</v>
      </c>
      <c r="F944" t="s">
        <v>286</v>
      </c>
      <c r="G944" t="s">
        <v>4295</v>
      </c>
      <c r="H944">
        <v>86416</v>
      </c>
      <c r="I944" t="s">
        <v>30</v>
      </c>
      <c r="J944" t="s">
        <v>61</v>
      </c>
      <c r="K944" t="s">
        <v>131</v>
      </c>
      <c r="L944" t="s">
        <v>43</v>
      </c>
      <c r="M944">
        <v>29</v>
      </c>
      <c r="N944" t="s">
        <v>45</v>
      </c>
      <c r="O944">
        <v>4</v>
      </c>
      <c r="P944">
        <v>2</v>
      </c>
      <c r="Q944">
        <v>2</v>
      </c>
      <c r="R944">
        <v>2</v>
      </c>
      <c r="S944">
        <v>4</v>
      </c>
      <c r="T944">
        <v>4</v>
      </c>
      <c r="U944">
        <v>23</v>
      </c>
      <c r="V944" t="s">
        <v>4296</v>
      </c>
      <c r="W944" t="s">
        <v>45</v>
      </c>
      <c r="X944" t="s">
        <v>4297</v>
      </c>
    </row>
    <row r="945" spans="1:24" x14ac:dyDescent="0.25">
      <c r="A945" t="s">
        <v>4298</v>
      </c>
      <c r="B945" t="s">
        <v>4299</v>
      </c>
      <c r="C945" t="s">
        <v>73</v>
      </c>
      <c r="D945">
        <v>27</v>
      </c>
      <c r="E945" t="s">
        <v>128</v>
      </c>
      <c r="F945" t="s">
        <v>271</v>
      </c>
      <c r="G945" t="s">
        <v>3749</v>
      </c>
      <c r="H945">
        <v>105608</v>
      </c>
      <c r="I945" t="s">
        <v>42</v>
      </c>
      <c r="J945" t="s">
        <v>143</v>
      </c>
      <c r="K945" t="s">
        <v>200</v>
      </c>
      <c r="L945" t="s">
        <v>62</v>
      </c>
      <c r="M945">
        <v>4</v>
      </c>
      <c r="N945" t="s">
        <v>34</v>
      </c>
      <c r="O945">
        <v>2</v>
      </c>
      <c r="P945">
        <v>3</v>
      </c>
      <c r="Q945">
        <v>4</v>
      </c>
      <c r="R945">
        <v>2</v>
      </c>
      <c r="S945">
        <v>3</v>
      </c>
      <c r="T945">
        <v>0</v>
      </c>
      <c r="U945">
        <v>12</v>
      </c>
      <c r="V945" t="s">
        <v>1614</v>
      </c>
      <c r="W945" t="s">
        <v>34</v>
      </c>
    </row>
    <row r="946" spans="1:24" x14ac:dyDescent="0.25">
      <c r="A946" t="s">
        <v>4300</v>
      </c>
      <c r="B946" t="s">
        <v>4301</v>
      </c>
      <c r="C946" t="s">
        <v>49</v>
      </c>
      <c r="D946">
        <v>40</v>
      </c>
      <c r="E946" t="s">
        <v>1669</v>
      </c>
      <c r="F946" t="s">
        <v>639</v>
      </c>
      <c r="G946" t="s">
        <v>4302</v>
      </c>
      <c r="H946">
        <v>126787</v>
      </c>
      <c r="I946" t="s">
        <v>30</v>
      </c>
      <c r="J946" t="s">
        <v>97</v>
      </c>
      <c r="K946" t="s">
        <v>83</v>
      </c>
      <c r="L946" t="s">
        <v>43</v>
      </c>
      <c r="M946">
        <v>16</v>
      </c>
      <c r="N946" t="s">
        <v>34</v>
      </c>
      <c r="O946">
        <v>1</v>
      </c>
      <c r="P946">
        <v>3</v>
      </c>
      <c r="Q946">
        <v>4</v>
      </c>
      <c r="R946">
        <v>4</v>
      </c>
      <c r="S946">
        <v>4</v>
      </c>
      <c r="T946">
        <v>1</v>
      </c>
      <c r="U946">
        <v>12</v>
      </c>
      <c r="V946" t="s">
        <v>4303</v>
      </c>
      <c r="W946" t="s">
        <v>34</v>
      </c>
    </row>
    <row r="947" spans="1:24" x14ac:dyDescent="0.25">
      <c r="A947" t="s">
        <v>4304</v>
      </c>
      <c r="B947" t="s">
        <v>4305</v>
      </c>
      <c r="C947" t="s">
        <v>49</v>
      </c>
      <c r="D947">
        <v>39</v>
      </c>
      <c r="E947" t="s">
        <v>27</v>
      </c>
      <c r="F947" t="s">
        <v>28</v>
      </c>
      <c r="G947" t="s">
        <v>4306</v>
      </c>
      <c r="H947" t="s">
        <v>4307</v>
      </c>
      <c r="I947" t="s">
        <v>52</v>
      </c>
      <c r="J947" t="s">
        <v>61</v>
      </c>
      <c r="K947" t="s">
        <v>106</v>
      </c>
      <c r="L947" t="s">
        <v>33</v>
      </c>
      <c r="M947">
        <v>5</v>
      </c>
      <c r="N947" t="s">
        <v>34</v>
      </c>
      <c r="O947">
        <v>2</v>
      </c>
      <c r="P947">
        <v>3</v>
      </c>
      <c r="Q947">
        <v>4</v>
      </c>
      <c r="R947">
        <v>3</v>
      </c>
      <c r="S947">
        <v>5</v>
      </c>
      <c r="T947">
        <v>2</v>
      </c>
      <c r="U947">
        <v>20</v>
      </c>
      <c r="V947" t="s">
        <v>4308</v>
      </c>
      <c r="W947" t="s">
        <v>34</v>
      </c>
    </row>
    <row r="948" spans="1:24" x14ac:dyDescent="0.25">
      <c r="A948" t="s">
        <v>4309</v>
      </c>
      <c r="B948" t="s">
        <v>4310</v>
      </c>
      <c r="C948" t="s">
        <v>73</v>
      </c>
      <c r="D948">
        <v>35</v>
      </c>
      <c r="E948" t="s">
        <v>27</v>
      </c>
      <c r="F948" t="s">
        <v>1195</v>
      </c>
      <c r="G948" t="s">
        <v>4311</v>
      </c>
      <c r="I948" t="s">
        <v>30</v>
      </c>
      <c r="K948" t="s">
        <v>106</v>
      </c>
      <c r="L948" t="s">
        <v>62</v>
      </c>
      <c r="M948">
        <v>32</v>
      </c>
      <c r="N948" t="s">
        <v>34</v>
      </c>
      <c r="O948">
        <v>1</v>
      </c>
      <c r="P948">
        <v>2</v>
      </c>
      <c r="Q948">
        <v>2</v>
      </c>
      <c r="R948">
        <v>4</v>
      </c>
      <c r="S948">
        <v>2</v>
      </c>
      <c r="U948">
        <v>23</v>
      </c>
      <c r="V948" t="s">
        <v>4312</v>
      </c>
      <c r="W948" t="s">
        <v>34</v>
      </c>
    </row>
    <row r="949" spans="1:24" x14ac:dyDescent="0.25">
      <c r="A949" t="s">
        <v>4313</v>
      </c>
      <c r="B949" t="s">
        <v>4314</v>
      </c>
      <c r="C949" t="s">
        <v>87</v>
      </c>
      <c r="D949">
        <v>26</v>
      </c>
      <c r="E949" t="s">
        <v>27</v>
      </c>
      <c r="F949" t="s">
        <v>59</v>
      </c>
      <c r="G949" t="s">
        <v>4315</v>
      </c>
      <c r="H949" t="s">
        <v>4316</v>
      </c>
      <c r="I949" t="s">
        <v>52</v>
      </c>
      <c r="J949" t="s">
        <v>61</v>
      </c>
      <c r="K949" t="s">
        <v>167</v>
      </c>
      <c r="L949" t="s">
        <v>33</v>
      </c>
      <c r="M949">
        <v>34</v>
      </c>
      <c r="N949" t="s">
        <v>34</v>
      </c>
      <c r="O949">
        <v>3</v>
      </c>
      <c r="P949">
        <v>2</v>
      </c>
      <c r="Q949">
        <v>1</v>
      </c>
      <c r="R949">
        <v>3</v>
      </c>
      <c r="S949">
        <v>0</v>
      </c>
      <c r="U949">
        <v>17</v>
      </c>
      <c r="V949" t="s">
        <v>2269</v>
      </c>
      <c r="W949" t="s">
        <v>34</v>
      </c>
    </row>
    <row r="950" spans="1:24" x14ac:dyDescent="0.25">
      <c r="A950" t="s">
        <v>4317</v>
      </c>
      <c r="B950" t="s">
        <v>4318</v>
      </c>
      <c r="C950" t="s">
        <v>58</v>
      </c>
      <c r="D950">
        <v>26</v>
      </c>
      <c r="E950" t="s">
        <v>128</v>
      </c>
      <c r="F950" t="s">
        <v>1274</v>
      </c>
      <c r="G950" t="s">
        <v>4319</v>
      </c>
      <c r="H950" t="s">
        <v>4320</v>
      </c>
      <c r="I950" t="s">
        <v>42</v>
      </c>
      <c r="J950" t="s">
        <v>31</v>
      </c>
      <c r="K950" t="s">
        <v>106</v>
      </c>
      <c r="L950" t="s">
        <v>43</v>
      </c>
      <c r="M950">
        <v>29</v>
      </c>
      <c r="N950" t="s">
        <v>45</v>
      </c>
      <c r="O950">
        <v>3</v>
      </c>
      <c r="P950">
        <v>2</v>
      </c>
      <c r="Q950">
        <v>1</v>
      </c>
      <c r="R950">
        <v>3</v>
      </c>
      <c r="S950">
        <v>1</v>
      </c>
      <c r="T950">
        <v>8</v>
      </c>
      <c r="U950">
        <v>11</v>
      </c>
      <c r="V950" t="s">
        <v>4321</v>
      </c>
      <c r="W950" t="s">
        <v>34</v>
      </c>
    </row>
    <row r="951" spans="1:24" x14ac:dyDescent="0.25">
      <c r="A951" t="s">
        <v>4322</v>
      </c>
      <c r="B951" t="s">
        <v>4323</v>
      </c>
      <c r="C951" t="s">
        <v>102</v>
      </c>
      <c r="D951">
        <v>44</v>
      </c>
      <c r="E951" t="s">
        <v>88</v>
      </c>
      <c r="F951" t="s">
        <v>141</v>
      </c>
      <c r="G951" t="s">
        <v>4324</v>
      </c>
      <c r="H951">
        <v>73017</v>
      </c>
      <c r="I951" t="s">
        <v>30</v>
      </c>
      <c r="J951" t="s">
        <v>31</v>
      </c>
      <c r="L951" t="s">
        <v>33</v>
      </c>
      <c r="M951">
        <v>42</v>
      </c>
      <c r="N951" t="s">
        <v>45</v>
      </c>
      <c r="O951">
        <v>3</v>
      </c>
      <c r="P951">
        <v>1</v>
      </c>
      <c r="Q951">
        <v>4</v>
      </c>
      <c r="R951">
        <v>3</v>
      </c>
      <c r="S951">
        <v>2</v>
      </c>
      <c r="T951">
        <v>5</v>
      </c>
      <c r="U951">
        <v>14</v>
      </c>
      <c r="V951" t="s">
        <v>4325</v>
      </c>
      <c r="W951" t="s">
        <v>34</v>
      </c>
    </row>
    <row r="952" spans="1:24" x14ac:dyDescent="0.25">
      <c r="A952" t="s">
        <v>4326</v>
      </c>
      <c r="B952" t="s">
        <v>4327</v>
      </c>
      <c r="C952" t="s">
        <v>81</v>
      </c>
      <c r="D952">
        <v>52</v>
      </c>
      <c r="E952" t="s">
        <v>27</v>
      </c>
      <c r="F952" t="s">
        <v>59</v>
      </c>
      <c r="G952" t="s">
        <v>4328</v>
      </c>
      <c r="H952" t="s">
        <v>4329</v>
      </c>
      <c r="I952" t="s">
        <v>42</v>
      </c>
      <c r="J952" t="s">
        <v>31</v>
      </c>
      <c r="K952" t="s">
        <v>200</v>
      </c>
      <c r="L952" t="s">
        <v>43</v>
      </c>
      <c r="M952">
        <v>2</v>
      </c>
      <c r="N952" t="s">
        <v>34</v>
      </c>
      <c r="O952">
        <v>2</v>
      </c>
      <c r="P952">
        <v>4</v>
      </c>
      <c r="Q952">
        <v>4</v>
      </c>
      <c r="R952">
        <v>3</v>
      </c>
      <c r="S952">
        <v>3</v>
      </c>
      <c r="T952">
        <v>8</v>
      </c>
      <c r="U952">
        <v>14</v>
      </c>
      <c r="V952" t="s">
        <v>4330</v>
      </c>
      <c r="W952" t="s">
        <v>34</v>
      </c>
    </row>
    <row r="953" spans="1:24" x14ac:dyDescent="0.25">
      <c r="A953" t="s">
        <v>4331</v>
      </c>
      <c r="B953" t="s">
        <v>4332</v>
      </c>
      <c r="C953" t="s">
        <v>67</v>
      </c>
      <c r="D953">
        <v>37</v>
      </c>
      <c r="E953" t="s">
        <v>88</v>
      </c>
      <c r="F953" t="s">
        <v>1644</v>
      </c>
      <c r="G953" t="s">
        <v>4333</v>
      </c>
      <c r="H953" t="s">
        <v>4334</v>
      </c>
      <c r="I953" t="s">
        <v>52</v>
      </c>
      <c r="J953" t="s">
        <v>143</v>
      </c>
      <c r="K953" t="s">
        <v>113</v>
      </c>
      <c r="L953" t="s">
        <v>62</v>
      </c>
      <c r="M953">
        <v>9</v>
      </c>
      <c r="N953" t="s">
        <v>34</v>
      </c>
      <c r="O953">
        <v>1</v>
      </c>
      <c r="P953">
        <v>2</v>
      </c>
      <c r="Q953">
        <v>1</v>
      </c>
      <c r="R953">
        <v>3</v>
      </c>
      <c r="S953">
        <v>3</v>
      </c>
      <c r="T953">
        <v>4</v>
      </c>
      <c r="U953">
        <v>17</v>
      </c>
      <c r="V953" t="s">
        <v>4335</v>
      </c>
      <c r="W953" t="s">
        <v>34</v>
      </c>
    </row>
    <row r="954" spans="1:24" x14ac:dyDescent="0.25">
      <c r="A954" t="s">
        <v>4336</v>
      </c>
      <c r="B954" t="s">
        <v>4337</v>
      </c>
      <c r="C954" t="s">
        <v>67</v>
      </c>
      <c r="D954">
        <v>22</v>
      </c>
      <c r="E954" t="s">
        <v>88</v>
      </c>
      <c r="F954" t="s">
        <v>220</v>
      </c>
      <c r="G954" t="s">
        <v>4338</v>
      </c>
      <c r="H954" t="s">
        <v>4339</v>
      </c>
      <c r="I954" t="s">
        <v>42</v>
      </c>
      <c r="J954" t="s">
        <v>31</v>
      </c>
      <c r="K954" t="s">
        <v>98</v>
      </c>
      <c r="L954" t="s">
        <v>43</v>
      </c>
      <c r="M954">
        <v>34</v>
      </c>
      <c r="N954" t="s">
        <v>45</v>
      </c>
      <c r="O954">
        <v>2</v>
      </c>
      <c r="P954">
        <v>1</v>
      </c>
      <c r="Q954">
        <v>3</v>
      </c>
      <c r="R954">
        <v>5</v>
      </c>
      <c r="S954">
        <v>6</v>
      </c>
      <c r="T954">
        <v>1</v>
      </c>
      <c r="U954">
        <v>21</v>
      </c>
      <c r="V954" t="s">
        <v>4340</v>
      </c>
      <c r="W954" t="s">
        <v>45</v>
      </c>
      <c r="X954" t="s">
        <v>4341</v>
      </c>
    </row>
    <row r="955" spans="1:24" x14ac:dyDescent="0.25">
      <c r="A955" t="s">
        <v>4342</v>
      </c>
      <c r="B955" t="s">
        <v>4343</v>
      </c>
      <c r="C955" t="s">
        <v>67</v>
      </c>
      <c r="D955">
        <v>44</v>
      </c>
      <c r="E955" t="s">
        <v>457</v>
      </c>
      <c r="F955" t="s">
        <v>188</v>
      </c>
      <c r="G955" t="s">
        <v>4344</v>
      </c>
      <c r="H955">
        <v>113760</v>
      </c>
      <c r="I955" t="s">
        <v>30</v>
      </c>
      <c r="J955" t="s">
        <v>53</v>
      </c>
      <c r="K955" t="s">
        <v>77</v>
      </c>
      <c r="L955" t="s">
        <v>43</v>
      </c>
      <c r="N955" t="s">
        <v>45</v>
      </c>
      <c r="O955">
        <v>4</v>
      </c>
      <c r="P955">
        <v>2</v>
      </c>
      <c r="R955">
        <v>5</v>
      </c>
      <c r="S955">
        <v>2</v>
      </c>
      <c r="T955">
        <v>5</v>
      </c>
      <c r="U955">
        <v>22</v>
      </c>
      <c r="V955" t="s">
        <v>4345</v>
      </c>
      <c r="W955" t="s">
        <v>34</v>
      </c>
    </row>
    <row r="956" spans="1:24" x14ac:dyDescent="0.25">
      <c r="A956" t="s">
        <v>4346</v>
      </c>
      <c r="B956" t="s">
        <v>4347</v>
      </c>
      <c r="C956" t="s">
        <v>73</v>
      </c>
      <c r="D956">
        <v>42</v>
      </c>
      <c r="E956" t="s">
        <v>197</v>
      </c>
      <c r="F956" t="s">
        <v>235</v>
      </c>
      <c r="G956" t="s">
        <v>4348</v>
      </c>
      <c r="H956">
        <v>81650</v>
      </c>
      <c r="I956" t="s">
        <v>52</v>
      </c>
      <c r="J956" t="s">
        <v>61</v>
      </c>
      <c r="K956" t="s">
        <v>54</v>
      </c>
      <c r="L956" t="s">
        <v>33</v>
      </c>
      <c r="M956">
        <v>26</v>
      </c>
      <c r="N956" t="s">
        <v>45</v>
      </c>
      <c r="O956">
        <v>3</v>
      </c>
      <c r="P956">
        <v>4</v>
      </c>
      <c r="Q956">
        <v>4</v>
      </c>
      <c r="R956">
        <v>4</v>
      </c>
      <c r="S956">
        <v>4</v>
      </c>
      <c r="T956">
        <v>2</v>
      </c>
      <c r="U956">
        <v>18</v>
      </c>
      <c r="V956" t="s">
        <v>4349</v>
      </c>
      <c r="W956" t="s">
        <v>45</v>
      </c>
      <c r="X956" t="s">
        <v>4350</v>
      </c>
    </row>
    <row r="957" spans="1:24" x14ac:dyDescent="0.25">
      <c r="A957" t="s">
        <v>4351</v>
      </c>
      <c r="B957" t="s">
        <v>4352</v>
      </c>
      <c r="C957" t="s">
        <v>49</v>
      </c>
      <c r="D957">
        <v>38</v>
      </c>
      <c r="E957" t="s">
        <v>27</v>
      </c>
      <c r="F957" t="s">
        <v>59</v>
      </c>
      <c r="G957" t="s">
        <v>4353</v>
      </c>
      <c r="H957">
        <v>54971</v>
      </c>
      <c r="I957" t="s">
        <v>42</v>
      </c>
      <c r="J957" t="s">
        <v>31</v>
      </c>
      <c r="K957" t="s">
        <v>113</v>
      </c>
      <c r="L957" t="s">
        <v>62</v>
      </c>
      <c r="M957">
        <v>22</v>
      </c>
      <c r="N957" t="s">
        <v>34</v>
      </c>
      <c r="O957">
        <v>3</v>
      </c>
      <c r="Q957">
        <v>2</v>
      </c>
      <c r="R957">
        <v>1</v>
      </c>
      <c r="S957">
        <v>6</v>
      </c>
      <c r="U957">
        <v>21</v>
      </c>
      <c r="V957" t="s">
        <v>4354</v>
      </c>
      <c r="W957" t="s">
        <v>34</v>
      </c>
    </row>
    <row r="958" spans="1:24" x14ac:dyDescent="0.25">
      <c r="A958" t="s">
        <v>4355</v>
      </c>
      <c r="B958" t="s">
        <v>4356</v>
      </c>
      <c r="C958" t="s">
        <v>49</v>
      </c>
      <c r="D958">
        <v>19</v>
      </c>
      <c r="E958" t="s">
        <v>197</v>
      </c>
      <c r="F958" t="s">
        <v>781</v>
      </c>
      <c r="G958" t="s">
        <v>4357</v>
      </c>
      <c r="I958" t="s">
        <v>52</v>
      </c>
      <c r="J958" t="s">
        <v>61</v>
      </c>
      <c r="K958" t="s">
        <v>98</v>
      </c>
      <c r="L958" t="s">
        <v>62</v>
      </c>
      <c r="M958">
        <v>2</v>
      </c>
      <c r="N958" t="s">
        <v>45</v>
      </c>
      <c r="O958">
        <v>2</v>
      </c>
      <c r="P958">
        <v>3</v>
      </c>
      <c r="Q958">
        <v>2</v>
      </c>
      <c r="R958">
        <v>2</v>
      </c>
      <c r="S958">
        <v>2</v>
      </c>
      <c r="U958">
        <v>14</v>
      </c>
      <c r="V958" t="s">
        <v>4358</v>
      </c>
      <c r="W958" t="s">
        <v>45</v>
      </c>
      <c r="X958" t="s">
        <v>4359</v>
      </c>
    </row>
    <row r="959" spans="1:24" x14ac:dyDescent="0.25">
      <c r="A959" t="s">
        <v>4360</v>
      </c>
      <c r="B959" t="s">
        <v>4361</v>
      </c>
      <c r="C959" t="s">
        <v>81</v>
      </c>
      <c r="D959">
        <v>19</v>
      </c>
      <c r="E959" t="s">
        <v>88</v>
      </c>
      <c r="F959" t="s">
        <v>555</v>
      </c>
      <c r="G959" t="s">
        <v>4362</v>
      </c>
      <c r="I959" t="s">
        <v>52</v>
      </c>
      <c r="J959" t="s">
        <v>31</v>
      </c>
      <c r="K959" t="s">
        <v>113</v>
      </c>
      <c r="L959" t="s">
        <v>33</v>
      </c>
      <c r="N959" t="s">
        <v>34</v>
      </c>
      <c r="O959">
        <v>1</v>
      </c>
      <c r="P959">
        <v>1</v>
      </c>
      <c r="Q959">
        <v>3</v>
      </c>
      <c r="R959">
        <v>5</v>
      </c>
      <c r="S959">
        <v>2</v>
      </c>
      <c r="T959">
        <v>5</v>
      </c>
      <c r="U959">
        <v>19</v>
      </c>
      <c r="V959" t="s">
        <v>4363</v>
      </c>
      <c r="W959" t="s">
        <v>34</v>
      </c>
    </row>
    <row r="960" spans="1:24" x14ac:dyDescent="0.25">
      <c r="A960" t="s">
        <v>4364</v>
      </c>
      <c r="B960" t="s">
        <v>4365</v>
      </c>
      <c r="C960" t="s">
        <v>49</v>
      </c>
      <c r="D960">
        <v>20</v>
      </c>
      <c r="E960" t="s">
        <v>88</v>
      </c>
      <c r="F960" t="s">
        <v>89</v>
      </c>
      <c r="G960" t="s">
        <v>1108</v>
      </c>
      <c r="H960">
        <v>123761</v>
      </c>
      <c r="I960" t="s">
        <v>42</v>
      </c>
      <c r="J960" t="s">
        <v>61</v>
      </c>
      <c r="K960" t="s">
        <v>131</v>
      </c>
      <c r="L960" t="s">
        <v>33</v>
      </c>
      <c r="M960">
        <v>20</v>
      </c>
      <c r="N960" t="s">
        <v>45</v>
      </c>
      <c r="O960">
        <v>2</v>
      </c>
      <c r="P960">
        <v>4</v>
      </c>
      <c r="Q960">
        <v>1</v>
      </c>
      <c r="R960">
        <v>4</v>
      </c>
      <c r="S960">
        <v>2</v>
      </c>
      <c r="T960">
        <v>7</v>
      </c>
      <c r="U960">
        <v>17</v>
      </c>
      <c r="V960" t="s">
        <v>4366</v>
      </c>
      <c r="W960" t="s">
        <v>45</v>
      </c>
      <c r="X960" t="s">
        <v>4367</v>
      </c>
    </row>
    <row r="961" spans="1:24" x14ac:dyDescent="0.25">
      <c r="A961" t="s">
        <v>4368</v>
      </c>
      <c r="B961" t="s">
        <v>4369</v>
      </c>
      <c r="C961" t="s">
        <v>73</v>
      </c>
      <c r="D961">
        <v>33</v>
      </c>
      <c r="E961" t="s">
        <v>27</v>
      </c>
      <c r="F961" t="s">
        <v>188</v>
      </c>
      <c r="G961" t="s">
        <v>4370</v>
      </c>
      <c r="H961" t="s">
        <v>4371</v>
      </c>
      <c r="I961" t="s">
        <v>42</v>
      </c>
      <c r="K961" t="s">
        <v>200</v>
      </c>
      <c r="L961" t="s">
        <v>43</v>
      </c>
      <c r="M961">
        <v>35</v>
      </c>
      <c r="N961" t="s">
        <v>34</v>
      </c>
      <c r="O961">
        <v>3</v>
      </c>
      <c r="P961">
        <v>1</v>
      </c>
      <c r="Q961">
        <v>4</v>
      </c>
      <c r="R961">
        <v>3</v>
      </c>
      <c r="S961">
        <v>5</v>
      </c>
      <c r="T961">
        <v>7</v>
      </c>
      <c r="U961">
        <v>17</v>
      </c>
      <c r="V961" t="s">
        <v>4372</v>
      </c>
      <c r="W961" t="s">
        <v>34</v>
      </c>
    </row>
    <row r="962" spans="1:24" x14ac:dyDescent="0.25">
      <c r="A962" t="s">
        <v>4373</v>
      </c>
      <c r="B962" t="s">
        <v>4374</v>
      </c>
      <c r="C962" t="s">
        <v>67</v>
      </c>
      <c r="D962">
        <v>24</v>
      </c>
      <c r="E962" t="s">
        <v>27</v>
      </c>
      <c r="F962" t="s">
        <v>188</v>
      </c>
      <c r="G962" t="s">
        <v>4375</v>
      </c>
      <c r="H962">
        <v>99514</v>
      </c>
      <c r="I962" t="s">
        <v>42</v>
      </c>
      <c r="J962" t="s">
        <v>31</v>
      </c>
      <c r="K962" t="s">
        <v>106</v>
      </c>
      <c r="M962">
        <v>27</v>
      </c>
      <c r="N962" t="s">
        <v>45</v>
      </c>
      <c r="O962">
        <v>4</v>
      </c>
      <c r="P962">
        <v>3</v>
      </c>
      <c r="Q962">
        <v>1</v>
      </c>
      <c r="R962">
        <v>1</v>
      </c>
      <c r="S962">
        <v>2</v>
      </c>
      <c r="T962">
        <v>6</v>
      </c>
      <c r="U962">
        <v>17</v>
      </c>
      <c r="V962" t="s">
        <v>4376</v>
      </c>
      <c r="W962" t="s">
        <v>34</v>
      </c>
    </row>
    <row r="963" spans="1:24" x14ac:dyDescent="0.25">
      <c r="A963" t="s">
        <v>4377</v>
      </c>
      <c r="B963" t="s">
        <v>4378</v>
      </c>
      <c r="C963" t="s">
        <v>49</v>
      </c>
      <c r="D963">
        <v>36</v>
      </c>
      <c r="E963" t="s">
        <v>88</v>
      </c>
      <c r="F963" t="s">
        <v>214</v>
      </c>
      <c r="G963" t="s">
        <v>4379</v>
      </c>
      <c r="H963" t="s">
        <v>4380</v>
      </c>
      <c r="I963" t="s">
        <v>42</v>
      </c>
      <c r="J963" t="s">
        <v>143</v>
      </c>
      <c r="K963" t="s">
        <v>200</v>
      </c>
      <c r="L963" t="s">
        <v>33</v>
      </c>
      <c r="M963">
        <v>8</v>
      </c>
      <c r="N963" t="s">
        <v>34</v>
      </c>
      <c r="O963">
        <v>3</v>
      </c>
      <c r="P963">
        <v>1</v>
      </c>
      <c r="Q963">
        <v>3</v>
      </c>
      <c r="R963">
        <v>3</v>
      </c>
      <c r="S963">
        <v>6</v>
      </c>
      <c r="T963">
        <v>2</v>
      </c>
      <c r="U963">
        <v>19</v>
      </c>
      <c r="V963" t="s">
        <v>4381</v>
      </c>
      <c r="W963" t="s">
        <v>34</v>
      </c>
    </row>
    <row r="964" spans="1:24" x14ac:dyDescent="0.25">
      <c r="A964" t="s">
        <v>4382</v>
      </c>
      <c r="B964" t="s">
        <v>4383</v>
      </c>
      <c r="C964" t="s">
        <v>58</v>
      </c>
      <c r="D964">
        <v>34</v>
      </c>
      <c r="E964" t="s">
        <v>412</v>
      </c>
      <c r="F964" t="s">
        <v>828</v>
      </c>
      <c r="G964" t="s">
        <v>2450</v>
      </c>
      <c r="H964">
        <v>45319</v>
      </c>
      <c r="I964" t="s">
        <v>30</v>
      </c>
      <c r="J964" t="s">
        <v>53</v>
      </c>
      <c r="K964" t="s">
        <v>113</v>
      </c>
      <c r="L964" t="s">
        <v>43</v>
      </c>
      <c r="M964">
        <v>40</v>
      </c>
      <c r="N964" t="s">
        <v>45</v>
      </c>
      <c r="O964">
        <v>1</v>
      </c>
      <c r="P964">
        <v>4</v>
      </c>
      <c r="Q964">
        <v>1</v>
      </c>
      <c r="S964">
        <v>1</v>
      </c>
      <c r="T964">
        <v>8</v>
      </c>
      <c r="U964">
        <v>15</v>
      </c>
      <c r="W964" t="s">
        <v>45</v>
      </c>
      <c r="X964" t="s">
        <v>4384</v>
      </c>
    </row>
    <row r="965" spans="1:24" x14ac:dyDescent="0.25">
      <c r="A965" t="s">
        <v>4385</v>
      </c>
      <c r="B965" t="s">
        <v>4386</v>
      </c>
      <c r="C965" t="s">
        <v>102</v>
      </c>
      <c r="D965">
        <v>28</v>
      </c>
      <c r="E965" t="s">
        <v>27</v>
      </c>
      <c r="F965" t="s">
        <v>188</v>
      </c>
      <c r="G965" t="s">
        <v>4387</v>
      </c>
      <c r="H965">
        <v>67408</v>
      </c>
      <c r="I965" t="s">
        <v>52</v>
      </c>
      <c r="J965" t="s">
        <v>143</v>
      </c>
      <c r="K965" t="s">
        <v>131</v>
      </c>
      <c r="L965" t="s">
        <v>43</v>
      </c>
      <c r="M965">
        <v>39</v>
      </c>
      <c r="N965" t="s">
        <v>45</v>
      </c>
      <c r="O965">
        <v>1</v>
      </c>
      <c r="P965">
        <v>4</v>
      </c>
      <c r="Q965">
        <v>2</v>
      </c>
      <c r="S965">
        <v>2</v>
      </c>
      <c r="T965">
        <v>1</v>
      </c>
      <c r="U965">
        <v>20</v>
      </c>
      <c r="V965" t="s">
        <v>4388</v>
      </c>
      <c r="W965" t="s">
        <v>45</v>
      </c>
      <c r="X965" t="s">
        <v>4389</v>
      </c>
    </row>
    <row r="966" spans="1:24" x14ac:dyDescent="0.25">
      <c r="A966" t="s">
        <v>4390</v>
      </c>
      <c r="B966" t="s">
        <v>551</v>
      </c>
      <c r="C966" t="s">
        <v>73</v>
      </c>
      <c r="D966">
        <v>26</v>
      </c>
      <c r="E966" t="s">
        <v>197</v>
      </c>
      <c r="F966" t="s">
        <v>573</v>
      </c>
      <c r="G966" t="s">
        <v>4391</v>
      </c>
      <c r="H966">
        <v>59689</v>
      </c>
      <c r="I966" t="s">
        <v>42</v>
      </c>
      <c r="J966" t="s">
        <v>31</v>
      </c>
      <c r="K966" t="s">
        <v>32</v>
      </c>
      <c r="L966" t="s">
        <v>33</v>
      </c>
      <c r="M966">
        <v>27</v>
      </c>
      <c r="N966" t="s">
        <v>45</v>
      </c>
      <c r="O966">
        <v>4</v>
      </c>
      <c r="P966">
        <v>1</v>
      </c>
      <c r="Q966">
        <v>3</v>
      </c>
      <c r="S966">
        <v>0</v>
      </c>
      <c r="T966">
        <v>2</v>
      </c>
      <c r="U966">
        <v>12</v>
      </c>
      <c r="V966" t="s">
        <v>4392</v>
      </c>
      <c r="W966" t="s">
        <v>34</v>
      </c>
    </row>
    <row r="967" spans="1:24" x14ac:dyDescent="0.25">
      <c r="A967" t="s">
        <v>4393</v>
      </c>
      <c r="B967" t="s">
        <v>4394</v>
      </c>
      <c r="C967" t="s">
        <v>87</v>
      </c>
      <c r="D967">
        <v>50</v>
      </c>
      <c r="E967" t="s">
        <v>128</v>
      </c>
      <c r="G967" t="s">
        <v>4395</v>
      </c>
      <c r="H967">
        <v>43263</v>
      </c>
      <c r="I967" t="s">
        <v>52</v>
      </c>
      <c r="J967" t="s">
        <v>143</v>
      </c>
      <c r="K967" t="s">
        <v>54</v>
      </c>
      <c r="L967" t="s">
        <v>43</v>
      </c>
      <c r="M967">
        <v>32</v>
      </c>
      <c r="N967" t="s">
        <v>45</v>
      </c>
      <c r="O967">
        <v>3</v>
      </c>
      <c r="P967">
        <v>3</v>
      </c>
      <c r="R967">
        <v>1</v>
      </c>
      <c r="S967">
        <v>6</v>
      </c>
      <c r="T967">
        <v>8</v>
      </c>
      <c r="U967">
        <v>13</v>
      </c>
      <c r="V967" t="s">
        <v>4396</v>
      </c>
      <c r="W967" t="s">
        <v>34</v>
      </c>
    </row>
    <row r="968" spans="1:24" x14ac:dyDescent="0.25">
      <c r="A968" t="s">
        <v>4397</v>
      </c>
      <c r="B968" t="s">
        <v>4398</v>
      </c>
      <c r="C968" t="s">
        <v>81</v>
      </c>
      <c r="D968">
        <v>19</v>
      </c>
      <c r="E968" t="s">
        <v>798</v>
      </c>
      <c r="F968" t="s">
        <v>281</v>
      </c>
      <c r="G968" t="s">
        <v>4399</v>
      </c>
      <c r="H968">
        <v>103047</v>
      </c>
      <c r="I968" t="s">
        <v>52</v>
      </c>
      <c r="J968" t="s">
        <v>31</v>
      </c>
      <c r="K968" t="s">
        <v>200</v>
      </c>
      <c r="L968" t="s">
        <v>62</v>
      </c>
      <c r="M968">
        <v>3</v>
      </c>
      <c r="N968" t="s">
        <v>34</v>
      </c>
      <c r="O968">
        <v>3</v>
      </c>
      <c r="P968">
        <v>1</v>
      </c>
      <c r="Q968">
        <v>2</v>
      </c>
      <c r="R968">
        <v>2</v>
      </c>
      <c r="S968">
        <v>1</v>
      </c>
      <c r="T968">
        <v>1</v>
      </c>
      <c r="U968">
        <v>25</v>
      </c>
      <c r="V968" t="s">
        <v>4400</v>
      </c>
      <c r="W968" t="s">
        <v>34</v>
      </c>
    </row>
    <row r="969" spans="1:24" x14ac:dyDescent="0.25">
      <c r="A969" t="s">
        <v>4401</v>
      </c>
      <c r="B969" t="s">
        <v>4402</v>
      </c>
      <c r="C969" t="s">
        <v>73</v>
      </c>
      <c r="D969">
        <v>41</v>
      </c>
      <c r="E969" t="s">
        <v>128</v>
      </c>
      <c r="F969" t="s">
        <v>123</v>
      </c>
      <c r="G969" t="s">
        <v>4403</v>
      </c>
      <c r="H969">
        <v>83028</v>
      </c>
      <c r="I969" t="s">
        <v>42</v>
      </c>
      <c r="J969" t="s">
        <v>61</v>
      </c>
      <c r="K969" t="s">
        <v>113</v>
      </c>
      <c r="L969" t="s">
        <v>43</v>
      </c>
      <c r="M969">
        <v>31</v>
      </c>
      <c r="N969" t="s">
        <v>45</v>
      </c>
      <c r="O969">
        <v>4</v>
      </c>
      <c r="P969">
        <v>1</v>
      </c>
      <c r="Q969">
        <v>2</v>
      </c>
      <c r="R969">
        <v>3</v>
      </c>
      <c r="S969">
        <v>4</v>
      </c>
      <c r="T969">
        <v>6</v>
      </c>
      <c r="U969">
        <v>21</v>
      </c>
      <c r="V969" t="s">
        <v>4404</v>
      </c>
      <c r="W969" t="s">
        <v>34</v>
      </c>
    </row>
    <row r="970" spans="1:24" x14ac:dyDescent="0.25">
      <c r="A970" t="s">
        <v>4405</v>
      </c>
      <c r="B970" t="s">
        <v>4406</v>
      </c>
      <c r="C970" t="s">
        <v>26</v>
      </c>
      <c r="D970">
        <v>28</v>
      </c>
      <c r="E970" t="s">
        <v>128</v>
      </c>
      <c r="F970" t="s">
        <v>255</v>
      </c>
      <c r="G970" t="s">
        <v>1223</v>
      </c>
      <c r="H970">
        <v>68350</v>
      </c>
      <c r="J970" t="s">
        <v>61</v>
      </c>
      <c r="K970" t="s">
        <v>113</v>
      </c>
      <c r="M970">
        <v>2</v>
      </c>
      <c r="N970" t="s">
        <v>34</v>
      </c>
      <c r="O970">
        <v>3</v>
      </c>
      <c r="P970">
        <v>2</v>
      </c>
      <c r="Q970">
        <v>2</v>
      </c>
      <c r="R970">
        <v>5</v>
      </c>
      <c r="S970">
        <v>4</v>
      </c>
      <c r="T970">
        <v>2</v>
      </c>
      <c r="U970">
        <v>12</v>
      </c>
      <c r="V970" t="s">
        <v>4407</v>
      </c>
      <c r="W970" t="s">
        <v>34</v>
      </c>
    </row>
    <row r="971" spans="1:24" x14ac:dyDescent="0.25">
      <c r="A971" t="s">
        <v>4408</v>
      </c>
      <c r="B971" t="s">
        <v>4409</v>
      </c>
      <c r="C971" t="s">
        <v>49</v>
      </c>
      <c r="D971">
        <v>40</v>
      </c>
      <c r="E971" t="s">
        <v>27</v>
      </c>
      <c r="F971" t="s">
        <v>75</v>
      </c>
      <c r="G971" t="s">
        <v>2671</v>
      </c>
      <c r="H971">
        <v>76257</v>
      </c>
      <c r="I971" t="s">
        <v>42</v>
      </c>
      <c r="J971" t="s">
        <v>97</v>
      </c>
      <c r="K971" t="s">
        <v>32</v>
      </c>
      <c r="L971" t="s">
        <v>33</v>
      </c>
      <c r="M971">
        <v>19</v>
      </c>
      <c r="N971" t="s">
        <v>34</v>
      </c>
      <c r="O971">
        <v>3</v>
      </c>
      <c r="P971">
        <v>3</v>
      </c>
      <c r="Q971">
        <v>3</v>
      </c>
      <c r="R971">
        <v>4</v>
      </c>
      <c r="S971">
        <v>1</v>
      </c>
      <c r="T971">
        <v>4</v>
      </c>
      <c r="U971">
        <v>23</v>
      </c>
      <c r="V971" t="s">
        <v>4410</v>
      </c>
      <c r="W971" t="s">
        <v>34</v>
      </c>
    </row>
    <row r="972" spans="1:24" x14ac:dyDescent="0.25">
      <c r="A972" t="s">
        <v>4411</v>
      </c>
      <c r="B972" t="s">
        <v>4412</v>
      </c>
      <c r="C972" t="s">
        <v>102</v>
      </c>
      <c r="D972">
        <v>34</v>
      </c>
      <c r="E972" t="s">
        <v>38</v>
      </c>
      <c r="F972" t="s">
        <v>148</v>
      </c>
      <c r="G972" t="s">
        <v>4413</v>
      </c>
      <c r="H972">
        <v>56377</v>
      </c>
      <c r="I972" t="s">
        <v>52</v>
      </c>
      <c r="J972" t="s">
        <v>61</v>
      </c>
      <c r="K972" t="s">
        <v>77</v>
      </c>
      <c r="L972" t="s">
        <v>62</v>
      </c>
      <c r="M972">
        <v>37</v>
      </c>
      <c r="N972" t="s">
        <v>34</v>
      </c>
      <c r="O972">
        <v>2</v>
      </c>
      <c r="P972">
        <v>3</v>
      </c>
      <c r="Q972">
        <v>1</v>
      </c>
      <c r="R972">
        <v>3</v>
      </c>
      <c r="S972">
        <v>0</v>
      </c>
      <c r="T972">
        <v>0</v>
      </c>
      <c r="U972">
        <v>14</v>
      </c>
      <c r="V972" t="s">
        <v>4414</v>
      </c>
      <c r="W972" t="s">
        <v>45</v>
      </c>
      <c r="X972" t="s">
        <v>4415</v>
      </c>
    </row>
    <row r="973" spans="1:24" x14ac:dyDescent="0.25">
      <c r="A973" t="s">
        <v>4416</v>
      </c>
      <c r="B973" t="s">
        <v>4417</v>
      </c>
      <c r="C973" t="s">
        <v>102</v>
      </c>
      <c r="D973">
        <v>33</v>
      </c>
      <c r="E973" t="s">
        <v>1669</v>
      </c>
      <c r="F973" t="s">
        <v>4418</v>
      </c>
      <c r="G973" t="s">
        <v>4419</v>
      </c>
      <c r="H973" t="s">
        <v>4420</v>
      </c>
      <c r="I973" t="s">
        <v>52</v>
      </c>
      <c r="J973" t="s">
        <v>61</v>
      </c>
      <c r="K973" t="s">
        <v>131</v>
      </c>
      <c r="L973" t="s">
        <v>43</v>
      </c>
      <c r="M973">
        <v>1</v>
      </c>
      <c r="N973" t="s">
        <v>45</v>
      </c>
      <c r="O973">
        <v>2</v>
      </c>
      <c r="P973">
        <v>1</v>
      </c>
      <c r="Q973">
        <v>3</v>
      </c>
      <c r="R973">
        <v>4</v>
      </c>
      <c r="S973">
        <v>3</v>
      </c>
      <c r="T973">
        <v>6</v>
      </c>
      <c r="U973">
        <v>17</v>
      </c>
      <c r="V973" t="s">
        <v>4421</v>
      </c>
      <c r="W973" t="s">
        <v>34</v>
      </c>
    </row>
    <row r="974" spans="1:24" x14ac:dyDescent="0.25">
      <c r="A974" t="s">
        <v>4422</v>
      </c>
      <c r="B974" t="s">
        <v>4423</v>
      </c>
      <c r="C974" t="s">
        <v>58</v>
      </c>
      <c r="D974">
        <v>47</v>
      </c>
      <c r="E974" t="s">
        <v>27</v>
      </c>
      <c r="F974" t="s">
        <v>75</v>
      </c>
      <c r="G974" t="s">
        <v>4424</v>
      </c>
      <c r="H974">
        <v>85436</v>
      </c>
      <c r="I974" t="s">
        <v>30</v>
      </c>
      <c r="J974" t="s">
        <v>61</v>
      </c>
      <c r="K974" t="s">
        <v>113</v>
      </c>
      <c r="L974" t="s">
        <v>62</v>
      </c>
      <c r="M974">
        <v>21</v>
      </c>
      <c r="N974" t="s">
        <v>34</v>
      </c>
      <c r="O974">
        <v>3</v>
      </c>
      <c r="P974">
        <v>2</v>
      </c>
      <c r="Q974">
        <v>3</v>
      </c>
      <c r="R974">
        <v>4</v>
      </c>
      <c r="S974">
        <v>6</v>
      </c>
      <c r="T974">
        <v>3</v>
      </c>
      <c r="U974">
        <v>22</v>
      </c>
      <c r="V974" t="s">
        <v>4425</v>
      </c>
      <c r="W974" t="s">
        <v>34</v>
      </c>
    </row>
    <row r="975" spans="1:24" x14ac:dyDescent="0.25">
      <c r="A975" t="s">
        <v>4426</v>
      </c>
      <c r="B975" t="s">
        <v>4427</v>
      </c>
      <c r="C975" t="s">
        <v>73</v>
      </c>
      <c r="D975">
        <v>39</v>
      </c>
      <c r="E975" t="s">
        <v>27</v>
      </c>
      <c r="F975" t="s">
        <v>75</v>
      </c>
      <c r="G975" t="s">
        <v>2371</v>
      </c>
      <c r="H975" t="s">
        <v>4428</v>
      </c>
      <c r="I975" t="s">
        <v>52</v>
      </c>
      <c r="J975" t="s">
        <v>143</v>
      </c>
      <c r="K975" t="s">
        <v>167</v>
      </c>
      <c r="L975" t="s">
        <v>33</v>
      </c>
      <c r="M975">
        <v>7</v>
      </c>
      <c r="N975" t="s">
        <v>34</v>
      </c>
      <c r="O975">
        <v>2</v>
      </c>
      <c r="P975">
        <v>3</v>
      </c>
      <c r="Q975">
        <v>3</v>
      </c>
      <c r="R975">
        <v>4</v>
      </c>
      <c r="T975">
        <v>5</v>
      </c>
      <c r="U975">
        <v>25</v>
      </c>
      <c r="V975" t="s">
        <v>4429</v>
      </c>
      <c r="W975" t="s">
        <v>34</v>
      </c>
    </row>
    <row r="976" spans="1:24" x14ac:dyDescent="0.25">
      <c r="A976" t="s">
        <v>4430</v>
      </c>
      <c r="B976" t="s">
        <v>4431</v>
      </c>
      <c r="D976">
        <v>35</v>
      </c>
      <c r="E976" t="s">
        <v>27</v>
      </c>
      <c r="F976" t="s">
        <v>75</v>
      </c>
      <c r="G976" t="s">
        <v>4432</v>
      </c>
      <c r="H976">
        <v>64223</v>
      </c>
      <c r="I976" t="s">
        <v>30</v>
      </c>
      <c r="J976" t="s">
        <v>31</v>
      </c>
      <c r="K976" t="s">
        <v>54</v>
      </c>
      <c r="L976" t="s">
        <v>43</v>
      </c>
      <c r="M976">
        <v>15</v>
      </c>
      <c r="N976" t="s">
        <v>34</v>
      </c>
      <c r="O976">
        <v>2</v>
      </c>
      <c r="P976">
        <v>2</v>
      </c>
      <c r="Q976">
        <v>4</v>
      </c>
      <c r="R976">
        <v>3</v>
      </c>
      <c r="S976">
        <v>6</v>
      </c>
      <c r="T976">
        <v>6</v>
      </c>
      <c r="U976">
        <v>14</v>
      </c>
      <c r="V976" t="s">
        <v>4433</v>
      </c>
      <c r="W976" t="s">
        <v>34</v>
      </c>
    </row>
    <row r="977" spans="1:24" x14ac:dyDescent="0.25">
      <c r="A977" t="s">
        <v>2848</v>
      </c>
      <c r="B977" t="s">
        <v>2849</v>
      </c>
      <c r="C977" t="s">
        <v>87</v>
      </c>
      <c r="D977">
        <v>48</v>
      </c>
      <c r="E977" t="s">
        <v>27</v>
      </c>
      <c r="F977" t="s">
        <v>2419</v>
      </c>
      <c r="G977" t="s">
        <v>2850</v>
      </c>
      <c r="H977">
        <v>55078</v>
      </c>
      <c r="I977" t="s">
        <v>30</v>
      </c>
      <c r="J977" t="s">
        <v>53</v>
      </c>
      <c r="K977" t="s">
        <v>83</v>
      </c>
      <c r="L977" t="s">
        <v>43</v>
      </c>
      <c r="M977">
        <v>6</v>
      </c>
      <c r="N977" t="s">
        <v>34</v>
      </c>
      <c r="O977">
        <v>1</v>
      </c>
      <c r="P977">
        <v>3</v>
      </c>
      <c r="Q977">
        <v>2</v>
      </c>
      <c r="R977">
        <v>3</v>
      </c>
      <c r="S977">
        <v>2</v>
      </c>
      <c r="T977">
        <v>5</v>
      </c>
      <c r="U977">
        <v>18</v>
      </c>
      <c r="V977" t="s">
        <v>2851</v>
      </c>
      <c r="W977" t="s">
        <v>34</v>
      </c>
    </row>
    <row r="978" spans="1:24" x14ac:dyDescent="0.25">
      <c r="A978" t="s">
        <v>4434</v>
      </c>
      <c r="B978" t="s">
        <v>4435</v>
      </c>
      <c r="C978" t="s">
        <v>58</v>
      </c>
      <c r="D978">
        <v>21</v>
      </c>
      <c r="E978" t="s">
        <v>27</v>
      </c>
      <c r="F978" t="s">
        <v>1590</v>
      </c>
      <c r="G978" t="s">
        <v>4436</v>
      </c>
      <c r="H978" t="s">
        <v>4437</v>
      </c>
      <c r="I978" t="s">
        <v>52</v>
      </c>
      <c r="J978" t="s">
        <v>61</v>
      </c>
      <c r="K978" t="s">
        <v>77</v>
      </c>
      <c r="L978" t="s">
        <v>62</v>
      </c>
      <c r="M978">
        <v>16</v>
      </c>
      <c r="N978" t="s">
        <v>34</v>
      </c>
      <c r="O978">
        <v>3</v>
      </c>
      <c r="P978">
        <v>2</v>
      </c>
      <c r="Q978">
        <v>1</v>
      </c>
      <c r="R978">
        <v>3</v>
      </c>
      <c r="S978">
        <v>5</v>
      </c>
      <c r="T978">
        <v>7</v>
      </c>
      <c r="U978">
        <v>21</v>
      </c>
      <c r="V978" t="s">
        <v>4438</v>
      </c>
      <c r="W978" t="s">
        <v>34</v>
      </c>
    </row>
    <row r="979" spans="1:24" x14ac:dyDescent="0.25">
      <c r="A979" t="s">
        <v>4439</v>
      </c>
      <c r="B979" t="s">
        <v>4440</v>
      </c>
      <c r="C979" t="s">
        <v>87</v>
      </c>
      <c r="D979">
        <v>38</v>
      </c>
      <c r="E979" t="s">
        <v>128</v>
      </c>
      <c r="F979" t="s">
        <v>129</v>
      </c>
      <c r="G979" t="s">
        <v>4441</v>
      </c>
      <c r="H979">
        <v>93482</v>
      </c>
      <c r="I979" t="s">
        <v>52</v>
      </c>
      <c r="J979" t="s">
        <v>31</v>
      </c>
      <c r="K979" t="s">
        <v>54</v>
      </c>
      <c r="L979" t="s">
        <v>43</v>
      </c>
      <c r="M979">
        <v>28</v>
      </c>
      <c r="N979" t="s">
        <v>34</v>
      </c>
      <c r="O979">
        <v>2</v>
      </c>
      <c r="P979">
        <v>4</v>
      </c>
      <c r="R979">
        <v>5</v>
      </c>
      <c r="S979">
        <v>0</v>
      </c>
      <c r="T979">
        <v>3</v>
      </c>
      <c r="U979">
        <v>24</v>
      </c>
      <c r="V979" t="s">
        <v>4442</v>
      </c>
      <c r="W979" t="s">
        <v>45</v>
      </c>
      <c r="X979" t="s">
        <v>4443</v>
      </c>
    </row>
    <row r="980" spans="1:24" x14ac:dyDescent="0.25">
      <c r="A980" t="s">
        <v>4444</v>
      </c>
      <c r="B980" t="s">
        <v>4445</v>
      </c>
      <c r="C980" t="s">
        <v>81</v>
      </c>
      <c r="D980">
        <v>29</v>
      </c>
      <c r="E980" t="s">
        <v>88</v>
      </c>
      <c r="F980" t="s">
        <v>141</v>
      </c>
      <c r="G980" t="s">
        <v>4446</v>
      </c>
      <c r="H980" t="s">
        <v>4447</v>
      </c>
      <c r="I980" t="s">
        <v>42</v>
      </c>
      <c r="J980" t="s">
        <v>61</v>
      </c>
      <c r="K980" t="s">
        <v>106</v>
      </c>
      <c r="L980" t="s">
        <v>43</v>
      </c>
      <c r="M980">
        <v>44</v>
      </c>
      <c r="N980" t="s">
        <v>34</v>
      </c>
      <c r="O980">
        <v>4</v>
      </c>
      <c r="Q980">
        <v>4</v>
      </c>
      <c r="R980">
        <v>4</v>
      </c>
      <c r="S980">
        <v>6</v>
      </c>
      <c r="T980">
        <v>3</v>
      </c>
      <c r="U980">
        <v>13</v>
      </c>
      <c r="V980" t="s">
        <v>4448</v>
      </c>
      <c r="W980" t="s">
        <v>34</v>
      </c>
    </row>
    <row r="981" spans="1:24" x14ac:dyDescent="0.25">
      <c r="A981" t="s">
        <v>4449</v>
      </c>
      <c r="B981" t="s">
        <v>4450</v>
      </c>
      <c r="C981" t="s">
        <v>102</v>
      </c>
      <c r="D981">
        <v>35</v>
      </c>
      <c r="E981" t="s">
        <v>128</v>
      </c>
      <c r="F981" t="s">
        <v>271</v>
      </c>
      <c r="G981" t="s">
        <v>4451</v>
      </c>
      <c r="H981">
        <v>85664</v>
      </c>
      <c r="I981" t="s">
        <v>52</v>
      </c>
      <c r="J981" t="s">
        <v>31</v>
      </c>
      <c r="K981" t="s">
        <v>200</v>
      </c>
      <c r="L981" t="s">
        <v>33</v>
      </c>
      <c r="M981">
        <v>10</v>
      </c>
      <c r="N981" t="s">
        <v>34</v>
      </c>
      <c r="O981">
        <v>3</v>
      </c>
      <c r="P981">
        <v>3</v>
      </c>
      <c r="Q981">
        <v>2</v>
      </c>
      <c r="R981">
        <v>3</v>
      </c>
      <c r="S981">
        <v>3</v>
      </c>
      <c r="T981">
        <v>5</v>
      </c>
      <c r="U981">
        <v>21</v>
      </c>
      <c r="V981" t="s">
        <v>4452</v>
      </c>
      <c r="W981" t="s">
        <v>34</v>
      </c>
    </row>
    <row r="982" spans="1:24" x14ac:dyDescent="0.25">
      <c r="A982" t="s">
        <v>4453</v>
      </c>
      <c r="B982" t="s">
        <v>4454</v>
      </c>
      <c r="C982" t="s">
        <v>67</v>
      </c>
      <c r="D982">
        <v>47</v>
      </c>
      <c r="E982" t="s">
        <v>27</v>
      </c>
      <c r="F982" t="s">
        <v>188</v>
      </c>
      <c r="G982" t="s">
        <v>4455</v>
      </c>
      <c r="H982">
        <v>98968</v>
      </c>
      <c r="I982" t="s">
        <v>30</v>
      </c>
      <c r="J982" t="s">
        <v>97</v>
      </c>
      <c r="K982" t="s">
        <v>200</v>
      </c>
      <c r="L982" t="s">
        <v>43</v>
      </c>
      <c r="M982">
        <v>20</v>
      </c>
      <c r="N982" t="s">
        <v>34</v>
      </c>
      <c r="O982">
        <v>1</v>
      </c>
      <c r="P982">
        <v>2</v>
      </c>
      <c r="Q982">
        <v>2</v>
      </c>
      <c r="R982">
        <v>4</v>
      </c>
      <c r="S982">
        <v>4</v>
      </c>
      <c r="T982">
        <v>4</v>
      </c>
      <c r="U982">
        <v>21</v>
      </c>
      <c r="V982" t="s">
        <v>4456</v>
      </c>
      <c r="W982" t="s">
        <v>34</v>
      </c>
    </row>
    <row r="983" spans="1:24" x14ac:dyDescent="0.25">
      <c r="A983" t="s">
        <v>4457</v>
      </c>
      <c r="B983" t="s">
        <v>4458</v>
      </c>
      <c r="C983" t="s">
        <v>73</v>
      </c>
      <c r="D983">
        <v>35</v>
      </c>
      <c r="E983" t="s">
        <v>554</v>
      </c>
      <c r="F983" t="s">
        <v>483</v>
      </c>
      <c r="G983" t="s">
        <v>4459</v>
      </c>
      <c r="H983">
        <v>124509</v>
      </c>
      <c r="I983" t="s">
        <v>30</v>
      </c>
      <c r="J983" t="s">
        <v>97</v>
      </c>
      <c r="K983" t="s">
        <v>113</v>
      </c>
      <c r="L983" t="s">
        <v>33</v>
      </c>
      <c r="M983">
        <v>3</v>
      </c>
      <c r="N983" t="s">
        <v>34</v>
      </c>
      <c r="O983">
        <v>1</v>
      </c>
      <c r="Q983">
        <v>2</v>
      </c>
      <c r="R983">
        <v>3</v>
      </c>
      <c r="S983">
        <v>0</v>
      </c>
      <c r="T983">
        <v>0</v>
      </c>
      <c r="U983">
        <v>11</v>
      </c>
      <c r="V983" t="s">
        <v>4460</v>
      </c>
      <c r="W983" t="s">
        <v>45</v>
      </c>
      <c r="X983" t="s">
        <v>4461</v>
      </c>
    </row>
    <row r="984" spans="1:24" x14ac:dyDescent="0.25">
      <c r="A984" t="s">
        <v>4462</v>
      </c>
      <c r="B984" t="s">
        <v>4463</v>
      </c>
      <c r="C984" t="s">
        <v>26</v>
      </c>
      <c r="D984">
        <v>49</v>
      </c>
      <c r="E984" t="s">
        <v>27</v>
      </c>
      <c r="F984" t="s">
        <v>240</v>
      </c>
      <c r="G984" t="s">
        <v>4464</v>
      </c>
      <c r="H984" t="s">
        <v>4465</v>
      </c>
      <c r="I984" t="s">
        <v>42</v>
      </c>
      <c r="J984" t="s">
        <v>61</v>
      </c>
      <c r="K984" t="s">
        <v>54</v>
      </c>
      <c r="L984" t="s">
        <v>62</v>
      </c>
      <c r="M984">
        <v>11</v>
      </c>
      <c r="N984" t="s">
        <v>34</v>
      </c>
      <c r="P984">
        <v>1</v>
      </c>
      <c r="Q984">
        <v>2</v>
      </c>
      <c r="R984">
        <v>5</v>
      </c>
      <c r="S984">
        <v>1</v>
      </c>
      <c r="T984">
        <v>3</v>
      </c>
      <c r="U984">
        <v>13</v>
      </c>
      <c r="V984" t="s">
        <v>4466</v>
      </c>
      <c r="W984" t="s">
        <v>34</v>
      </c>
    </row>
    <row r="985" spans="1:24" x14ac:dyDescent="0.25">
      <c r="A985" t="s">
        <v>4467</v>
      </c>
      <c r="B985" t="s">
        <v>4468</v>
      </c>
      <c r="C985" t="s">
        <v>81</v>
      </c>
      <c r="D985">
        <v>35</v>
      </c>
      <c r="E985" t="s">
        <v>88</v>
      </c>
      <c r="F985" t="s">
        <v>748</v>
      </c>
      <c r="G985" t="s">
        <v>4469</v>
      </c>
      <c r="H985" t="s">
        <v>4470</v>
      </c>
      <c r="I985" t="s">
        <v>30</v>
      </c>
      <c r="K985" t="s">
        <v>77</v>
      </c>
      <c r="L985" t="s">
        <v>43</v>
      </c>
      <c r="M985">
        <v>5</v>
      </c>
      <c r="N985" t="s">
        <v>34</v>
      </c>
      <c r="O985">
        <v>2</v>
      </c>
      <c r="P985">
        <v>4</v>
      </c>
      <c r="Q985">
        <v>4</v>
      </c>
      <c r="R985">
        <v>3</v>
      </c>
      <c r="S985">
        <v>4</v>
      </c>
      <c r="T985">
        <v>1</v>
      </c>
      <c r="U985">
        <v>20</v>
      </c>
      <c r="V985" t="s">
        <v>4471</v>
      </c>
      <c r="W985" t="s">
        <v>34</v>
      </c>
    </row>
    <row r="986" spans="1:24" x14ac:dyDescent="0.25">
      <c r="A986" t="s">
        <v>4472</v>
      </c>
      <c r="B986" t="s">
        <v>4473</v>
      </c>
      <c r="C986" t="s">
        <v>73</v>
      </c>
      <c r="D986">
        <v>32</v>
      </c>
      <c r="E986" t="s">
        <v>665</v>
      </c>
      <c r="F986" t="s">
        <v>136</v>
      </c>
      <c r="G986" t="s">
        <v>4474</v>
      </c>
      <c r="H986" t="s">
        <v>4475</v>
      </c>
      <c r="I986" t="s">
        <v>42</v>
      </c>
      <c r="J986" t="s">
        <v>61</v>
      </c>
      <c r="K986" t="s">
        <v>54</v>
      </c>
      <c r="L986" t="s">
        <v>33</v>
      </c>
      <c r="M986">
        <v>21</v>
      </c>
      <c r="N986" t="s">
        <v>34</v>
      </c>
      <c r="O986">
        <v>4</v>
      </c>
      <c r="P986">
        <v>4</v>
      </c>
      <c r="Q986">
        <v>4</v>
      </c>
      <c r="R986">
        <v>3</v>
      </c>
      <c r="S986">
        <v>0</v>
      </c>
      <c r="T986">
        <v>1</v>
      </c>
      <c r="U986">
        <v>23</v>
      </c>
      <c r="V986" t="s">
        <v>4476</v>
      </c>
      <c r="W986" t="s">
        <v>34</v>
      </c>
    </row>
    <row r="987" spans="1:24" x14ac:dyDescent="0.25">
      <c r="A987" t="s">
        <v>4477</v>
      </c>
      <c r="B987" t="s">
        <v>4478</v>
      </c>
      <c r="C987" t="s">
        <v>58</v>
      </c>
      <c r="D987">
        <v>19</v>
      </c>
      <c r="E987" t="s">
        <v>1166</v>
      </c>
      <c r="F987" t="s">
        <v>573</v>
      </c>
      <c r="G987" t="s">
        <v>4479</v>
      </c>
      <c r="H987">
        <v>76392</v>
      </c>
      <c r="I987" t="s">
        <v>30</v>
      </c>
      <c r="J987" t="s">
        <v>143</v>
      </c>
      <c r="K987" t="s">
        <v>113</v>
      </c>
      <c r="L987" t="s">
        <v>62</v>
      </c>
      <c r="M987">
        <v>7</v>
      </c>
      <c r="N987" t="s">
        <v>34</v>
      </c>
      <c r="O987">
        <v>1</v>
      </c>
      <c r="P987">
        <v>1</v>
      </c>
      <c r="Q987">
        <v>2</v>
      </c>
      <c r="S987">
        <v>2</v>
      </c>
      <c r="T987">
        <v>1</v>
      </c>
      <c r="U987">
        <v>25</v>
      </c>
      <c r="V987" t="s">
        <v>4480</v>
      </c>
      <c r="W987" t="s">
        <v>45</v>
      </c>
      <c r="X987" t="s">
        <v>4481</v>
      </c>
    </row>
    <row r="988" spans="1:24" x14ac:dyDescent="0.25">
      <c r="A988" t="s">
        <v>4482</v>
      </c>
      <c r="B988" t="s">
        <v>4483</v>
      </c>
      <c r="C988" t="s">
        <v>87</v>
      </c>
      <c r="D988">
        <v>35</v>
      </c>
      <c r="E988" t="s">
        <v>27</v>
      </c>
      <c r="F988" t="s">
        <v>50</v>
      </c>
      <c r="G988" t="s">
        <v>4484</v>
      </c>
      <c r="H988">
        <v>97773</v>
      </c>
      <c r="I988" t="s">
        <v>30</v>
      </c>
      <c r="J988" t="s">
        <v>61</v>
      </c>
      <c r="K988" t="s">
        <v>200</v>
      </c>
      <c r="L988" t="s">
        <v>33</v>
      </c>
      <c r="M988">
        <v>30</v>
      </c>
      <c r="N988" t="s">
        <v>34</v>
      </c>
      <c r="P988">
        <v>3</v>
      </c>
      <c r="Q988">
        <v>3</v>
      </c>
      <c r="S988">
        <v>0</v>
      </c>
      <c r="T988">
        <v>7</v>
      </c>
      <c r="U988">
        <v>21</v>
      </c>
      <c r="V988" t="s">
        <v>4485</v>
      </c>
      <c r="W988" t="s">
        <v>34</v>
      </c>
    </row>
    <row r="989" spans="1:24" x14ac:dyDescent="0.25">
      <c r="A989" t="s">
        <v>4486</v>
      </c>
      <c r="B989" t="s">
        <v>4487</v>
      </c>
      <c r="C989" t="s">
        <v>58</v>
      </c>
      <c r="D989">
        <v>45</v>
      </c>
      <c r="E989" t="s">
        <v>629</v>
      </c>
      <c r="F989" t="s">
        <v>271</v>
      </c>
      <c r="G989" t="s">
        <v>4488</v>
      </c>
      <c r="H989" t="s">
        <v>4489</v>
      </c>
      <c r="I989" t="s">
        <v>52</v>
      </c>
      <c r="J989" t="s">
        <v>61</v>
      </c>
      <c r="K989" t="s">
        <v>167</v>
      </c>
      <c r="L989" t="s">
        <v>33</v>
      </c>
      <c r="M989">
        <v>5</v>
      </c>
      <c r="N989" t="s">
        <v>34</v>
      </c>
      <c r="O989">
        <v>2</v>
      </c>
      <c r="P989">
        <v>3</v>
      </c>
      <c r="Q989">
        <v>3</v>
      </c>
      <c r="R989">
        <v>2</v>
      </c>
      <c r="S989">
        <v>3</v>
      </c>
      <c r="T989">
        <v>1</v>
      </c>
      <c r="U989">
        <v>20</v>
      </c>
      <c r="V989" t="s">
        <v>4490</v>
      </c>
      <c r="W989" t="s">
        <v>34</v>
      </c>
    </row>
    <row r="990" spans="1:24" x14ac:dyDescent="0.25">
      <c r="A990" t="s">
        <v>4491</v>
      </c>
      <c r="B990" t="s">
        <v>4492</v>
      </c>
      <c r="C990" t="s">
        <v>73</v>
      </c>
      <c r="D990">
        <v>35</v>
      </c>
      <c r="E990" t="s">
        <v>457</v>
      </c>
      <c r="F990" t="s">
        <v>59</v>
      </c>
      <c r="G990" t="s">
        <v>4493</v>
      </c>
      <c r="H990">
        <v>97184</v>
      </c>
      <c r="I990" t="s">
        <v>42</v>
      </c>
      <c r="J990" t="s">
        <v>53</v>
      </c>
      <c r="K990" t="s">
        <v>113</v>
      </c>
      <c r="L990" t="s">
        <v>43</v>
      </c>
      <c r="M990">
        <v>39</v>
      </c>
      <c r="N990" t="s">
        <v>34</v>
      </c>
      <c r="O990">
        <v>2</v>
      </c>
      <c r="P990">
        <v>3</v>
      </c>
      <c r="Q990">
        <v>1</v>
      </c>
      <c r="R990">
        <v>3</v>
      </c>
      <c r="S990">
        <v>3</v>
      </c>
      <c r="T990">
        <v>3</v>
      </c>
      <c r="U990">
        <v>11</v>
      </c>
      <c r="V990" t="s">
        <v>4494</v>
      </c>
      <c r="W990" t="s">
        <v>45</v>
      </c>
      <c r="X990" t="s">
        <v>4495</v>
      </c>
    </row>
    <row r="991" spans="1:24" x14ac:dyDescent="0.25">
      <c r="A991" t="s">
        <v>4496</v>
      </c>
      <c r="B991" t="s">
        <v>4497</v>
      </c>
      <c r="C991" t="s">
        <v>73</v>
      </c>
      <c r="D991">
        <v>39</v>
      </c>
      <c r="E991" t="s">
        <v>94</v>
      </c>
      <c r="F991" t="s">
        <v>639</v>
      </c>
      <c r="G991" t="s">
        <v>4498</v>
      </c>
      <c r="H991">
        <v>67440</v>
      </c>
      <c r="I991" t="s">
        <v>30</v>
      </c>
      <c r="J991" t="s">
        <v>31</v>
      </c>
      <c r="K991" t="s">
        <v>106</v>
      </c>
      <c r="L991" t="s">
        <v>62</v>
      </c>
      <c r="M991">
        <v>4</v>
      </c>
      <c r="N991" t="s">
        <v>34</v>
      </c>
      <c r="O991">
        <v>4</v>
      </c>
      <c r="P991">
        <v>2</v>
      </c>
      <c r="Q991">
        <v>3</v>
      </c>
      <c r="R991">
        <v>3</v>
      </c>
      <c r="S991">
        <v>2</v>
      </c>
      <c r="T991">
        <v>2</v>
      </c>
      <c r="U991">
        <v>21</v>
      </c>
      <c r="V991" t="s">
        <v>4499</v>
      </c>
      <c r="W991" t="s">
        <v>34</v>
      </c>
    </row>
    <row r="992" spans="1:24" x14ac:dyDescent="0.25">
      <c r="A992" t="s">
        <v>4500</v>
      </c>
      <c r="B992" t="s">
        <v>4501</v>
      </c>
      <c r="C992" t="s">
        <v>87</v>
      </c>
      <c r="D992">
        <v>32</v>
      </c>
      <c r="E992" t="s">
        <v>412</v>
      </c>
      <c r="F992" t="s">
        <v>1355</v>
      </c>
      <c r="G992" t="s">
        <v>4502</v>
      </c>
      <c r="H992" t="s">
        <v>4503</v>
      </c>
      <c r="I992" t="s">
        <v>52</v>
      </c>
      <c r="J992" t="s">
        <v>61</v>
      </c>
      <c r="K992" t="s">
        <v>113</v>
      </c>
      <c r="L992" t="s">
        <v>43</v>
      </c>
      <c r="M992">
        <v>3</v>
      </c>
      <c r="N992" t="s">
        <v>34</v>
      </c>
      <c r="O992">
        <v>2</v>
      </c>
      <c r="Q992">
        <v>1</v>
      </c>
      <c r="R992">
        <v>5</v>
      </c>
      <c r="S992">
        <v>3</v>
      </c>
      <c r="T992">
        <v>5</v>
      </c>
      <c r="U992">
        <v>20</v>
      </c>
      <c r="V992" t="s">
        <v>4504</v>
      </c>
      <c r="W992" t="s">
        <v>45</v>
      </c>
      <c r="X992" t="s">
        <v>4505</v>
      </c>
    </row>
    <row r="993" spans="1:24" x14ac:dyDescent="0.25">
      <c r="A993" t="s">
        <v>4506</v>
      </c>
      <c r="B993" t="s">
        <v>4507</v>
      </c>
      <c r="C993" t="s">
        <v>81</v>
      </c>
      <c r="D993">
        <v>46</v>
      </c>
      <c r="E993" t="s">
        <v>27</v>
      </c>
      <c r="F993" t="s">
        <v>188</v>
      </c>
      <c r="G993" t="s">
        <v>4508</v>
      </c>
      <c r="H993" t="s">
        <v>4509</v>
      </c>
      <c r="I993" t="s">
        <v>42</v>
      </c>
      <c r="J993" t="s">
        <v>143</v>
      </c>
      <c r="K993" t="s">
        <v>83</v>
      </c>
      <c r="L993" t="s">
        <v>43</v>
      </c>
      <c r="M993">
        <v>30</v>
      </c>
      <c r="N993" t="s">
        <v>34</v>
      </c>
      <c r="O993">
        <v>3</v>
      </c>
      <c r="Q993">
        <v>2</v>
      </c>
      <c r="R993">
        <v>4</v>
      </c>
      <c r="S993">
        <v>0</v>
      </c>
      <c r="T993">
        <v>1</v>
      </c>
      <c r="U993">
        <v>13</v>
      </c>
      <c r="V993" t="s">
        <v>4510</v>
      </c>
      <c r="W993" t="s">
        <v>34</v>
      </c>
    </row>
    <row r="994" spans="1:24" x14ac:dyDescent="0.25">
      <c r="A994" t="s">
        <v>4511</v>
      </c>
      <c r="B994" t="s">
        <v>4512</v>
      </c>
      <c r="C994" t="s">
        <v>49</v>
      </c>
      <c r="D994">
        <v>54</v>
      </c>
      <c r="E994" t="s">
        <v>88</v>
      </c>
      <c r="F994" t="s">
        <v>141</v>
      </c>
      <c r="G994" t="s">
        <v>4513</v>
      </c>
      <c r="H994" t="s">
        <v>4514</v>
      </c>
      <c r="I994" t="s">
        <v>52</v>
      </c>
      <c r="J994" t="s">
        <v>143</v>
      </c>
      <c r="K994" t="s">
        <v>167</v>
      </c>
      <c r="L994" t="s">
        <v>62</v>
      </c>
      <c r="M994">
        <v>24</v>
      </c>
      <c r="N994" t="s">
        <v>34</v>
      </c>
      <c r="O994">
        <v>4</v>
      </c>
      <c r="P994">
        <v>3</v>
      </c>
      <c r="R994">
        <v>2</v>
      </c>
      <c r="S994">
        <v>6</v>
      </c>
      <c r="T994">
        <v>7</v>
      </c>
      <c r="U994">
        <v>24</v>
      </c>
      <c r="V994" t="s">
        <v>4515</v>
      </c>
      <c r="W994" t="s">
        <v>34</v>
      </c>
    </row>
    <row r="995" spans="1:24" x14ac:dyDescent="0.25">
      <c r="A995" t="s">
        <v>4516</v>
      </c>
      <c r="B995" t="s">
        <v>4517</v>
      </c>
      <c r="C995" t="s">
        <v>102</v>
      </c>
      <c r="D995">
        <v>39</v>
      </c>
      <c r="E995" t="s">
        <v>579</v>
      </c>
      <c r="F995" t="s">
        <v>89</v>
      </c>
      <c r="G995" t="s">
        <v>4518</v>
      </c>
      <c r="H995">
        <v>88824</v>
      </c>
      <c r="I995" t="s">
        <v>52</v>
      </c>
      <c r="J995" t="s">
        <v>31</v>
      </c>
      <c r="K995" t="s">
        <v>131</v>
      </c>
      <c r="L995" t="s">
        <v>33</v>
      </c>
      <c r="M995">
        <v>22</v>
      </c>
      <c r="N995" t="s">
        <v>34</v>
      </c>
      <c r="O995">
        <v>2</v>
      </c>
      <c r="P995">
        <v>2</v>
      </c>
      <c r="Q995">
        <v>3</v>
      </c>
      <c r="R995">
        <v>3</v>
      </c>
      <c r="S995">
        <v>6</v>
      </c>
      <c r="T995">
        <v>1</v>
      </c>
      <c r="U995">
        <v>16</v>
      </c>
      <c r="W995" t="s">
        <v>34</v>
      </c>
    </row>
    <row r="996" spans="1:24" x14ac:dyDescent="0.25">
      <c r="A996" t="s">
        <v>4519</v>
      </c>
      <c r="B996" t="s">
        <v>4520</v>
      </c>
      <c r="C996" t="s">
        <v>81</v>
      </c>
      <c r="D996">
        <v>37</v>
      </c>
      <c r="E996" t="s">
        <v>332</v>
      </c>
      <c r="F996" t="s">
        <v>148</v>
      </c>
      <c r="G996" t="s">
        <v>4521</v>
      </c>
      <c r="H996">
        <v>48378</v>
      </c>
      <c r="I996" t="s">
        <v>52</v>
      </c>
      <c r="J996" t="s">
        <v>97</v>
      </c>
      <c r="K996" t="s">
        <v>200</v>
      </c>
      <c r="L996" t="s">
        <v>33</v>
      </c>
      <c r="M996">
        <v>27</v>
      </c>
      <c r="N996" t="s">
        <v>34</v>
      </c>
      <c r="P996">
        <v>2</v>
      </c>
      <c r="Q996">
        <v>4</v>
      </c>
      <c r="R996">
        <v>4</v>
      </c>
      <c r="S996">
        <v>0</v>
      </c>
      <c r="T996">
        <v>6</v>
      </c>
      <c r="U996">
        <v>23</v>
      </c>
      <c r="V996" t="s">
        <v>4522</v>
      </c>
      <c r="W996" t="s">
        <v>34</v>
      </c>
    </row>
    <row r="997" spans="1:24" x14ac:dyDescent="0.25">
      <c r="A997" t="s">
        <v>4523</v>
      </c>
      <c r="B997" t="s">
        <v>4524</v>
      </c>
      <c r="C997" t="s">
        <v>26</v>
      </c>
      <c r="D997">
        <v>30</v>
      </c>
      <c r="E997" t="s">
        <v>1669</v>
      </c>
      <c r="F997" t="s">
        <v>356</v>
      </c>
      <c r="G997" t="s">
        <v>4525</v>
      </c>
      <c r="I997" t="s">
        <v>42</v>
      </c>
      <c r="J997" t="s">
        <v>31</v>
      </c>
      <c r="K997" t="s">
        <v>83</v>
      </c>
      <c r="L997" t="s">
        <v>43</v>
      </c>
      <c r="M997">
        <v>13</v>
      </c>
      <c r="N997" t="s">
        <v>45</v>
      </c>
      <c r="O997">
        <v>3</v>
      </c>
      <c r="P997">
        <v>1</v>
      </c>
      <c r="R997">
        <v>4</v>
      </c>
      <c r="S997">
        <v>1</v>
      </c>
      <c r="T997">
        <v>4</v>
      </c>
      <c r="U997">
        <v>18</v>
      </c>
      <c r="V997" t="s">
        <v>4526</v>
      </c>
      <c r="W997" t="s">
        <v>34</v>
      </c>
    </row>
    <row r="998" spans="1:24" x14ac:dyDescent="0.25">
      <c r="A998" t="s">
        <v>4527</v>
      </c>
      <c r="B998" t="s">
        <v>4528</v>
      </c>
      <c r="C998" t="s">
        <v>26</v>
      </c>
      <c r="D998">
        <v>31</v>
      </c>
      <c r="E998" t="s">
        <v>128</v>
      </c>
      <c r="F998" t="s">
        <v>271</v>
      </c>
      <c r="G998" t="s">
        <v>4529</v>
      </c>
      <c r="I998" t="s">
        <v>42</v>
      </c>
      <c r="J998" t="s">
        <v>31</v>
      </c>
      <c r="K998" t="s">
        <v>32</v>
      </c>
      <c r="L998" t="s">
        <v>62</v>
      </c>
      <c r="M998">
        <v>34</v>
      </c>
      <c r="N998" t="s">
        <v>34</v>
      </c>
      <c r="O998">
        <v>3</v>
      </c>
      <c r="Q998">
        <v>3</v>
      </c>
      <c r="R998">
        <v>4</v>
      </c>
      <c r="S998">
        <v>3</v>
      </c>
      <c r="T998">
        <v>8</v>
      </c>
      <c r="U998">
        <v>13</v>
      </c>
      <c r="V998" t="s">
        <v>4530</v>
      </c>
      <c r="W998" t="s">
        <v>34</v>
      </c>
    </row>
    <row r="999" spans="1:24" x14ac:dyDescent="0.25">
      <c r="A999" t="s">
        <v>4531</v>
      </c>
      <c r="B999" t="s">
        <v>4532</v>
      </c>
      <c r="C999" t="s">
        <v>87</v>
      </c>
      <c r="D999">
        <v>41</v>
      </c>
      <c r="E999" t="s">
        <v>94</v>
      </c>
      <c r="F999" t="s">
        <v>95</v>
      </c>
      <c r="G999" t="s">
        <v>4533</v>
      </c>
      <c r="H999" t="s">
        <v>4534</v>
      </c>
      <c r="I999" t="s">
        <v>30</v>
      </c>
      <c r="J999" t="s">
        <v>143</v>
      </c>
      <c r="K999" t="s">
        <v>106</v>
      </c>
      <c r="L999" t="s">
        <v>33</v>
      </c>
      <c r="M999">
        <v>4</v>
      </c>
      <c r="N999" t="s">
        <v>34</v>
      </c>
      <c r="O999">
        <v>2</v>
      </c>
      <c r="P999">
        <v>3</v>
      </c>
      <c r="Q999">
        <v>4</v>
      </c>
      <c r="R999">
        <v>3</v>
      </c>
      <c r="S999">
        <v>0</v>
      </c>
      <c r="T999">
        <v>7</v>
      </c>
      <c r="U999">
        <v>18</v>
      </c>
      <c r="V999" t="s">
        <v>4535</v>
      </c>
      <c r="W999" t="s">
        <v>34</v>
      </c>
    </row>
    <row r="1000" spans="1:24" x14ac:dyDescent="0.25">
      <c r="A1000" t="s">
        <v>4536</v>
      </c>
      <c r="B1000" t="s">
        <v>4537</v>
      </c>
      <c r="C1000" t="s">
        <v>49</v>
      </c>
      <c r="D1000">
        <v>34</v>
      </c>
      <c r="E1000" t="s">
        <v>38</v>
      </c>
      <c r="F1000" t="s">
        <v>494</v>
      </c>
      <c r="G1000" t="s">
        <v>4538</v>
      </c>
      <c r="H1000">
        <v>39489</v>
      </c>
      <c r="I1000" t="s">
        <v>30</v>
      </c>
      <c r="J1000" t="s">
        <v>97</v>
      </c>
      <c r="K1000" t="s">
        <v>77</v>
      </c>
      <c r="L1000" t="s">
        <v>62</v>
      </c>
      <c r="M1000">
        <v>8</v>
      </c>
      <c r="N1000" t="s">
        <v>34</v>
      </c>
      <c r="O1000">
        <v>2</v>
      </c>
      <c r="P1000">
        <v>3</v>
      </c>
      <c r="R1000">
        <v>1</v>
      </c>
      <c r="S1000">
        <v>0</v>
      </c>
      <c r="T1000">
        <v>2</v>
      </c>
      <c r="U1000">
        <v>17</v>
      </c>
      <c r="V1000" t="s">
        <v>4539</v>
      </c>
      <c r="W1000" t="s">
        <v>34</v>
      </c>
    </row>
    <row r="1001" spans="1:24" x14ac:dyDescent="0.25">
      <c r="A1001" t="s">
        <v>4540</v>
      </c>
      <c r="B1001" t="s">
        <v>4541</v>
      </c>
      <c r="C1001" t="s">
        <v>87</v>
      </c>
      <c r="D1001">
        <v>37</v>
      </c>
      <c r="E1001" t="s">
        <v>94</v>
      </c>
      <c r="F1001" t="s">
        <v>266</v>
      </c>
      <c r="G1001" t="s">
        <v>4542</v>
      </c>
      <c r="H1001">
        <v>51633</v>
      </c>
      <c r="I1001" t="s">
        <v>30</v>
      </c>
      <c r="K1001" t="s">
        <v>98</v>
      </c>
      <c r="L1001" t="s">
        <v>62</v>
      </c>
      <c r="M1001">
        <v>38</v>
      </c>
      <c r="N1001" t="s">
        <v>34</v>
      </c>
      <c r="O1001">
        <v>4</v>
      </c>
      <c r="P1001">
        <v>4</v>
      </c>
      <c r="Q1001">
        <v>3</v>
      </c>
      <c r="R1001">
        <v>3</v>
      </c>
      <c r="S1001">
        <v>4</v>
      </c>
      <c r="T1001">
        <v>1</v>
      </c>
      <c r="U1001">
        <v>23</v>
      </c>
      <c r="V1001" t="s">
        <v>4543</v>
      </c>
      <c r="W1001" t="s">
        <v>34</v>
      </c>
    </row>
    <row r="1002" spans="1:24" x14ac:dyDescent="0.25">
      <c r="A1002" t="s">
        <v>4544</v>
      </c>
      <c r="B1002" t="s">
        <v>4545</v>
      </c>
      <c r="C1002" t="s">
        <v>81</v>
      </c>
      <c r="D1002">
        <v>38</v>
      </c>
      <c r="E1002" t="s">
        <v>94</v>
      </c>
      <c r="F1002" t="s">
        <v>306</v>
      </c>
      <c r="G1002" t="s">
        <v>4546</v>
      </c>
      <c r="H1002">
        <v>107420</v>
      </c>
      <c r="I1002" t="s">
        <v>52</v>
      </c>
      <c r="J1002" t="s">
        <v>61</v>
      </c>
      <c r="K1002" t="s">
        <v>98</v>
      </c>
      <c r="L1002" t="s">
        <v>43</v>
      </c>
      <c r="M1002">
        <v>38</v>
      </c>
      <c r="N1002" t="s">
        <v>34</v>
      </c>
      <c r="O1002">
        <v>4</v>
      </c>
      <c r="P1002">
        <v>4</v>
      </c>
      <c r="Q1002">
        <v>3</v>
      </c>
      <c r="R1002">
        <v>3</v>
      </c>
      <c r="S1002">
        <v>2</v>
      </c>
      <c r="U1002">
        <v>23</v>
      </c>
      <c r="V1002" t="s">
        <v>4547</v>
      </c>
      <c r="W1002" t="s">
        <v>34</v>
      </c>
    </row>
    <row r="1003" spans="1:24" x14ac:dyDescent="0.25">
      <c r="A1003" t="s">
        <v>4548</v>
      </c>
      <c r="B1003" t="s">
        <v>4549</v>
      </c>
      <c r="C1003" t="s">
        <v>67</v>
      </c>
      <c r="D1003">
        <v>35</v>
      </c>
      <c r="E1003" t="s">
        <v>197</v>
      </c>
      <c r="F1003" t="s">
        <v>4550</v>
      </c>
      <c r="G1003" t="s">
        <v>4551</v>
      </c>
      <c r="H1003">
        <v>61775</v>
      </c>
      <c r="I1003" t="s">
        <v>30</v>
      </c>
      <c r="J1003" t="s">
        <v>53</v>
      </c>
      <c r="K1003" t="s">
        <v>113</v>
      </c>
      <c r="L1003" t="s">
        <v>43</v>
      </c>
      <c r="M1003">
        <v>32</v>
      </c>
      <c r="N1003" t="s">
        <v>45</v>
      </c>
      <c r="O1003">
        <v>3</v>
      </c>
      <c r="P1003">
        <v>1</v>
      </c>
      <c r="Q1003">
        <v>2</v>
      </c>
      <c r="R1003">
        <v>3</v>
      </c>
      <c r="S1003">
        <v>5</v>
      </c>
      <c r="T1003">
        <v>3</v>
      </c>
      <c r="V1003" t="s">
        <v>4552</v>
      </c>
      <c r="W1003" t="s">
        <v>45</v>
      </c>
      <c r="X1003" t="s">
        <v>4553</v>
      </c>
    </row>
    <row r="1004" spans="1:24" x14ac:dyDescent="0.25">
      <c r="A1004" t="s">
        <v>4554</v>
      </c>
      <c r="B1004" t="s">
        <v>4555</v>
      </c>
      <c r="C1004" t="s">
        <v>67</v>
      </c>
      <c r="D1004">
        <v>31</v>
      </c>
      <c r="E1004" t="s">
        <v>1669</v>
      </c>
      <c r="F1004" t="s">
        <v>306</v>
      </c>
      <c r="G1004" t="s">
        <v>4556</v>
      </c>
      <c r="H1004">
        <v>112003</v>
      </c>
      <c r="I1004" t="s">
        <v>52</v>
      </c>
      <c r="J1004" t="s">
        <v>31</v>
      </c>
      <c r="K1004" t="s">
        <v>32</v>
      </c>
      <c r="L1004" t="s">
        <v>62</v>
      </c>
      <c r="M1004">
        <v>12</v>
      </c>
      <c r="N1004" t="s">
        <v>34</v>
      </c>
      <c r="O1004">
        <v>2</v>
      </c>
      <c r="P1004">
        <v>4</v>
      </c>
      <c r="Q1004">
        <v>1</v>
      </c>
      <c r="R1004">
        <v>3</v>
      </c>
      <c r="S1004">
        <v>6</v>
      </c>
      <c r="T1004">
        <v>3</v>
      </c>
      <c r="U1004">
        <v>18</v>
      </c>
      <c r="V1004" t="s">
        <v>4557</v>
      </c>
      <c r="W1004" t="s">
        <v>34</v>
      </c>
    </row>
    <row r="1005" spans="1:24" x14ac:dyDescent="0.25">
      <c r="A1005" t="s">
        <v>4558</v>
      </c>
      <c r="B1005" t="s">
        <v>4559</v>
      </c>
      <c r="C1005" t="s">
        <v>87</v>
      </c>
      <c r="D1005">
        <v>36</v>
      </c>
      <c r="E1005" t="s">
        <v>128</v>
      </c>
      <c r="F1005" t="s">
        <v>397</v>
      </c>
      <c r="G1005" t="s">
        <v>4560</v>
      </c>
      <c r="H1005">
        <v>94587</v>
      </c>
      <c r="I1005" t="s">
        <v>30</v>
      </c>
      <c r="J1005" t="s">
        <v>61</v>
      </c>
      <c r="K1005" t="s">
        <v>131</v>
      </c>
      <c r="L1005" t="s">
        <v>43</v>
      </c>
      <c r="M1005">
        <v>2</v>
      </c>
      <c r="N1005" t="s">
        <v>34</v>
      </c>
      <c r="O1005">
        <v>4</v>
      </c>
      <c r="P1005">
        <v>4</v>
      </c>
      <c r="R1005">
        <v>5</v>
      </c>
      <c r="S1005">
        <v>0</v>
      </c>
      <c r="T1005">
        <v>3</v>
      </c>
      <c r="U1005">
        <v>19</v>
      </c>
      <c r="V1005" t="s">
        <v>4561</v>
      </c>
      <c r="W1005" t="s">
        <v>34</v>
      </c>
    </row>
    <row r="1006" spans="1:24" x14ac:dyDescent="0.25">
      <c r="A1006" t="s">
        <v>4562</v>
      </c>
      <c r="B1006" t="s">
        <v>4563</v>
      </c>
      <c r="C1006" t="s">
        <v>67</v>
      </c>
      <c r="D1006">
        <v>48</v>
      </c>
      <c r="E1006" t="s">
        <v>88</v>
      </c>
      <c r="F1006" t="s">
        <v>89</v>
      </c>
      <c r="G1006" t="s">
        <v>4564</v>
      </c>
      <c r="H1006">
        <v>127253</v>
      </c>
      <c r="I1006" t="s">
        <v>52</v>
      </c>
      <c r="J1006" t="s">
        <v>97</v>
      </c>
      <c r="K1006" t="s">
        <v>200</v>
      </c>
      <c r="L1006" t="s">
        <v>43</v>
      </c>
      <c r="M1006">
        <v>42</v>
      </c>
      <c r="N1006" t="s">
        <v>34</v>
      </c>
      <c r="O1006">
        <v>3</v>
      </c>
      <c r="P1006">
        <v>1</v>
      </c>
      <c r="Q1006">
        <v>3</v>
      </c>
      <c r="R1006">
        <v>3</v>
      </c>
      <c r="S1006">
        <v>1</v>
      </c>
      <c r="T1006">
        <v>7</v>
      </c>
      <c r="U1006">
        <v>12</v>
      </c>
      <c r="V1006" t="s">
        <v>4565</v>
      </c>
      <c r="W1006" t="s">
        <v>34</v>
      </c>
    </row>
    <row r="1007" spans="1:24" x14ac:dyDescent="0.25">
      <c r="A1007" t="s">
        <v>4566</v>
      </c>
      <c r="B1007" t="s">
        <v>4567</v>
      </c>
      <c r="D1007">
        <v>28</v>
      </c>
      <c r="E1007" t="s">
        <v>27</v>
      </c>
      <c r="F1007" t="s">
        <v>75</v>
      </c>
      <c r="G1007" t="s">
        <v>4568</v>
      </c>
      <c r="H1007">
        <v>98098</v>
      </c>
      <c r="I1007" t="s">
        <v>30</v>
      </c>
      <c r="J1007" t="s">
        <v>61</v>
      </c>
      <c r="K1007" t="s">
        <v>98</v>
      </c>
      <c r="L1007" t="s">
        <v>33</v>
      </c>
      <c r="M1007">
        <v>35</v>
      </c>
      <c r="N1007" t="s">
        <v>34</v>
      </c>
      <c r="O1007">
        <v>1</v>
      </c>
      <c r="P1007">
        <v>4</v>
      </c>
      <c r="Q1007">
        <v>3</v>
      </c>
      <c r="R1007">
        <v>4</v>
      </c>
      <c r="S1007">
        <v>2</v>
      </c>
      <c r="T1007">
        <v>2</v>
      </c>
      <c r="U1007">
        <v>17</v>
      </c>
      <c r="V1007" t="s">
        <v>4569</v>
      </c>
      <c r="W1007" t="s">
        <v>34</v>
      </c>
    </row>
    <row r="1008" spans="1:24" x14ac:dyDescent="0.25">
      <c r="A1008" t="s">
        <v>4570</v>
      </c>
      <c r="B1008" t="s">
        <v>4571</v>
      </c>
      <c r="C1008" t="s">
        <v>49</v>
      </c>
      <c r="D1008">
        <v>38</v>
      </c>
      <c r="E1008" t="s">
        <v>128</v>
      </c>
      <c r="F1008" t="s">
        <v>1752</v>
      </c>
      <c r="G1008" t="s">
        <v>4572</v>
      </c>
      <c r="H1008" t="s">
        <v>4573</v>
      </c>
      <c r="I1008" t="s">
        <v>42</v>
      </c>
      <c r="J1008" t="s">
        <v>53</v>
      </c>
      <c r="K1008" t="s">
        <v>167</v>
      </c>
      <c r="L1008" t="s">
        <v>43</v>
      </c>
      <c r="M1008">
        <v>3</v>
      </c>
      <c r="N1008" t="s">
        <v>34</v>
      </c>
      <c r="O1008">
        <v>2</v>
      </c>
      <c r="P1008">
        <v>4</v>
      </c>
      <c r="Q1008">
        <v>1</v>
      </c>
      <c r="R1008">
        <v>4</v>
      </c>
      <c r="S1008">
        <v>3</v>
      </c>
      <c r="T1008">
        <v>1</v>
      </c>
      <c r="U1008">
        <v>15</v>
      </c>
      <c r="V1008" t="s">
        <v>4574</v>
      </c>
      <c r="W1008" t="s">
        <v>34</v>
      </c>
    </row>
    <row r="1009" spans="1:24" x14ac:dyDescent="0.25">
      <c r="A1009" t="s">
        <v>4575</v>
      </c>
      <c r="B1009" t="s">
        <v>4576</v>
      </c>
      <c r="C1009" t="s">
        <v>87</v>
      </c>
      <c r="D1009">
        <v>24</v>
      </c>
      <c r="E1009" t="s">
        <v>103</v>
      </c>
      <c r="F1009" t="s">
        <v>123</v>
      </c>
      <c r="G1009" t="s">
        <v>4577</v>
      </c>
      <c r="H1009">
        <v>56115</v>
      </c>
      <c r="I1009" t="s">
        <v>42</v>
      </c>
      <c r="J1009" t="s">
        <v>53</v>
      </c>
      <c r="K1009" t="s">
        <v>200</v>
      </c>
      <c r="M1009">
        <v>37</v>
      </c>
      <c r="N1009" t="s">
        <v>45</v>
      </c>
      <c r="O1009">
        <v>2</v>
      </c>
      <c r="P1009">
        <v>2</v>
      </c>
      <c r="Q1009">
        <v>3</v>
      </c>
      <c r="R1009">
        <v>2</v>
      </c>
      <c r="S1009">
        <v>6</v>
      </c>
      <c r="T1009">
        <v>4</v>
      </c>
      <c r="V1009" t="s">
        <v>4578</v>
      </c>
      <c r="W1009" t="s">
        <v>45</v>
      </c>
      <c r="X1009" t="s">
        <v>4579</v>
      </c>
    </row>
    <row r="1010" spans="1:24" x14ac:dyDescent="0.25">
      <c r="A1010" t="s">
        <v>4580</v>
      </c>
      <c r="B1010" t="s">
        <v>4581</v>
      </c>
      <c r="C1010" t="s">
        <v>102</v>
      </c>
      <c r="D1010">
        <v>25</v>
      </c>
      <c r="E1010" t="s">
        <v>27</v>
      </c>
      <c r="F1010" t="s">
        <v>59</v>
      </c>
      <c r="G1010" t="s">
        <v>4582</v>
      </c>
      <c r="H1010">
        <v>61487</v>
      </c>
      <c r="I1010" t="s">
        <v>30</v>
      </c>
      <c r="J1010" t="s">
        <v>61</v>
      </c>
      <c r="K1010" t="s">
        <v>77</v>
      </c>
      <c r="L1010" t="s">
        <v>43</v>
      </c>
      <c r="M1010">
        <v>28</v>
      </c>
      <c r="N1010" t="s">
        <v>45</v>
      </c>
      <c r="O1010">
        <v>2</v>
      </c>
      <c r="P1010">
        <v>3</v>
      </c>
      <c r="Q1010">
        <v>1</v>
      </c>
      <c r="R1010">
        <v>3</v>
      </c>
      <c r="S1010">
        <v>5</v>
      </c>
      <c r="T1010">
        <v>4</v>
      </c>
      <c r="U1010">
        <v>14</v>
      </c>
      <c r="V1010" t="s">
        <v>4583</v>
      </c>
      <c r="W1010" t="s">
        <v>45</v>
      </c>
      <c r="X1010" t="s">
        <v>4584</v>
      </c>
    </row>
    <row r="1011" spans="1:24" x14ac:dyDescent="0.25">
      <c r="A1011" t="s">
        <v>4585</v>
      </c>
      <c r="B1011" t="s">
        <v>4586</v>
      </c>
      <c r="C1011" t="s">
        <v>102</v>
      </c>
      <c r="D1011">
        <v>35</v>
      </c>
      <c r="E1011" t="s">
        <v>27</v>
      </c>
      <c r="F1011" t="s">
        <v>59</v>
      </c>
      <c r="G1011" t="s">
        <v>4587</v>
      </c>
      <c r="H1011">
        <v>48772</v>
      </c>
      <c r="I1011" t="s">
        <v>30</v>
      </c>
      <c r="J1011" t="s">
        <v>31</v>
      </c>
      <c r="K1011" t="s">
        <v>106</v>
      </c>
      <c r="L1011" t="s">
        <v>62</v>
      </c>
      <c r="M1011">
        <v>33</v>
      </c>
      <c r="N1011" t="s">
        <v>45</v>
      </c>
      <c r="O1011">
        <v>1</v>
      </c>
      <c r="P1011">
        <v>2</v>
      </c>
      <c r="Q1011">
        <v>3</v>
      </c>
      <c r="R1011">
        <v>4</v>
      </c>
      <c r="S1011">
        <v>5</v>
      </c>
      <c r="T1011">
        <v>4</v>
      </c>
      <c r="U1011">
        <v>25</v>
      </c>
      <c r="V1011" t="s">
        <v>4588</v>
      </c>
      <c r="W1011" t="s">
        <v>45</v>
      </c>
      <c r="X1011" t="s">
        <v>4589</v>
      </c>
    </row>
    <row r="1012" spans="1:24" x14ac:dyDescent="0.25">
      <c r="A1012" t="s">
        <v>4590</v>
      </c>
      <c r="B1012" t="s">
        <v>4591</v>
      </c>
      <c r="C1012" t="s">
        <v>58</v>
      </c>
      <c r="D1012">
        <v>37</v>
      </c>
      <c r="E1012" t="s">
        <v>197</v>
      </c>
      <c r="F1012" t="s">
        <v>573</v>
      </c>
      <c r="G1012" t="s">
        <v>4592</v>
      </c>
      <c r="H1012">
        <v>78065</v>
      </c>
      <c r="I1012" t="s">
        <v>30</v>
      </c>
      <c r="J1012" t="s">
        <v>61</v>
      </c>
      <c r="K1012" t="s">
        <v>32</v>
      </c>
      <c r="L1012" t="s">
        <v>33</v>
      </c>
      <c r="M1012">
        <v>23</v>
      </c>
      <c r="N1012" t="s">
        <v>45</v>
      </c>
      <c r="O1012">
        <v>1</v>
      </c>
      <c r="P1012">
        <v>2</v>
      </c>
      <c r="Q1012">
        <v>1</v>
      </c>
      <c r="R1012">
        <v>5</v>
      </c>
      <c r="S1012">
        <v>2</v>
      </c>
      <c r="T1012">
        <v>6</v>
      </c>
      <c r="U1012">
        <v>19</v>
      </c>
      <c r="V1012" t="s">
        <v>4593</v>
      </c>
      <c r="W1012" t="s">
        <v>45</v>
      </c>
      <c r="X1012" t="s">
        <v>2043</v>
      </c>
    </row>
    <row r="1013" spans="1:24" x14ac:dyDescent="0.25">
      <c r="A1013" t="s">
        <v>4594</v>
      </c>
      <c r="B1013" t="s">
        <v>4595</v>
      </c>
      <c r="C1013" t="s">
        <v>58</v>
      </c>
      <c r="E1013" t="s">
        <v>128</v>
      </c>
      <c r="F1013" t="s">
        <v>271</v>
      </c>
      <c r="G1013" t="s">
        <v>4596</v>
      </c>
      <c r="H1013">
        <v>84076</v>
      </c>
      <c r="I1013" t="s">
        <v>52</v>
      </c>
      <c r="J1013" t="s">
        <v>61</v>
      </c>
      <c r="K1013" t="s">
        <v>200</v>
      </c>
      <c r="L1013" t="s">
        <v>33</v>
      </c>
      <c r="M1013">
        <v>15</v>
      </c>
      <c r="N1013" t="s">
        <v>34</v>
      </c>
      <c r="O1013">
        <v>1</v>
      </c>
      <c r="P1013">
        <v>2</v>
      </c>
      <c r="Q1013">
        <v>4</v>
      </c>
      <c r="R1013">
        <v>3</v>
      </c>
      <c r="S1013">
        <v>6</v>
      </c>
      <c r="T1013">
        <v>0</v>
      </c>
      <c r="U1013">
        <v>23</v>
      </c>
      <c r="V1013" t="s">
        <v>4597</v>
      </c>
      <c r="W1013" t="s">
        <v>34</v>
      </c>
    </row>
    <row r="1014" spans="1:24" x14ac:dyDescent="0.25">
      <c r="A1014" t="s">
        <v>4598</v>
      </c>
      <c r="B1014" t="s">
        <v>4599</v>
      </c>
      <c r="C1014" t="s">
        <v>49</v>
      </c>
      <c r="E1014" t="s">
        <v>609</v>
      </c>
      <c r="F1014" t="s">
        <v>639</v>
      </c>
      <c r="G1014" t="s">
        <v>4600</v>
      </c>
      <c r="H1014">
        <v>67527</v>
      </c>
      <c r="I1014" t="s">
        <v>52</v>
      </c>
      <c r="J1014" t="s">
        <v>61</v>
      </c>
      <c r="K1014" t="s">
        <v>98</v>
      </c>
      <c r="L1014" t="s">
        <v>43</v>
      </c>
      <c r="M1014">
        <v>24</v>
      </c>
      <c r="N1014" t="s">
        <v>34</v>
      </c>
      <c r="O1014">
        <v>4</v>
      </c>
      <c r="P1014">
        <v>3</v>
      </c>
      <c r="Q1014">
        <v>4</v>
      </c>
      <c r="R1014">
        <v>2</v>
      </c>
      <c r="S1014">
        <v>3</v>
      </c>
      <c r="T1014">
        <v>4</v>
      </c>
      <c r="U1014">
        <v>16</v>
      </c>
      <c r="V1014" t="s">
        <v>4601</v>
      </c>
      <c r="W1014" t="s">
        <v>34</v>
      </c>
    </row>
    <row r="1015" spans="1:24" x14ac:dyDescent="0.25">
      <c r="A1015" t="s">
        <v>4602</v>
      </c>
      <c r="B1015" t="s">
        <v>4603</v>
      </c>
      <c r="C1015" t="s">
        <v>58</v>
      </c>
      <c r="D1015">
        <v>45</v>
      </c>
      <c r="E1015" t="s">
        <v>27</v>
      </c>
      <c r="F1015" t="s">
        <v>50</v>
      </c>
      <c r="G1015" t="s">
        <v>4604</v>
      </c>
      <c r="I1015" t="s">
        <v>30</v>
      </c>
      <c r="J1015" t="s">
        <v>31</v>
      </c>
      <c r="K1015" t="s">
        <v>83</v>
      </c>
      <c r="L1015" t="s">
        <v>43</v>
      </c>
      <c r="M1015">
        <v>29</v>
      </c>
      <c r="N1015" t="s">
        <v>45</v>
      </c>
      <c r="O1015">
        <v>4</v>
      </c>
      <c r="P1015">
        <v>4</v>
      </c>
      <c r="Q1015">
        <v>4</v>
      </c>
      <c r="R1015">
        <v>2</v>
      </c>
      <c r="S1015">
        <v>6</v>
      </c>
      <c r="T1015">
        <v>2</v>
      </c>
      <c r="U1015">
        <v>19</v>
      </c>
      <c r="V1015" t="s">
        <v>4605</v>
      </c>
      <c r="W1015" t="s">
        <v>34</v>
      </c>
    </row>
    <row r="1016" spans="1:24" x14ac:dyDescent="0.25">
      <c r="A1016" t="s">
        <v>4606</v>
      </c>
      <c r="B1016" t="s">
        <v>4607</v>
      </c>
      <c r="C1016" t="s">
        <v>49</v>
      </c>
      <c r="D1016">
        <v>25</v>
      </c>
      <c r="E1016" t="s">
        <v>1166</v>
      </c>
      <c r="F1016" t="s">
        <v>573</v>
      </c>
      <c r="G1016" t="s">
        <v>4608</v>
      </c>
      <c r="H1016">
        <v>76250</v>
      </c>
      <c r="I1016" t="s">
        <v>42</v>
      </c>
      <c r="J1016" t="s">
        <v>53</v>
      </c>
      <c r="K1016" t="s">
        <v>32</v>
      </c>
      <c r="M1016">
        <v>31</v>
      </c>
      <c r="N1016" t="s">
        <v>34</v>
      </c>
      <c r="O1016">
        <v>1</v>
      </c>
      <c r="P1016">
        <v>4</v>
      </c>
      <c r="R1016">
        <v>3</v>
      </c>
      <c r="S1016">
        <v>4</v>
      </c>
      <c r="T1016">
        <v>6</v>
      </c>
      <c r="U1016">
        <v>15</v>
      </c>
      <c r="V1016" t="s">
        <v>4609</v>
      </c>
      <c r="W1016" t="s">
        <v>45</v>
      </c>
      <c r="X1016" t="s">
        <v>4610</v>
      </c>
    </row>
    <row r="1017" spans="1:24" x14ac:dyDescent="0.25">
      <c r="A1017" t="s">
        <v>4611</v>
      </c>
      <c r="B1017" t="s">
        <v>4612</v>
      </c>
      <c r="C1017" t="s">
        <v>26</v>
      </c>
      <c r="D1017">
        <v>40</v>
      </c>
      <c r="E1017" t="s">
        <v>27</v>
      </c>
      <c r="F1017" t="s">
        <v>1590</v>
      </c>
      <c r="G1017" t="s">
        <v>4613</v>
      </c>
      <c r="H1017">
        <v>54918</v>
      </c>
      <c r="I1017" t="s">
        <v>30</v>
      </c>
      <c r="J1017" t="s">
        <v>31</v>
      </c>
      <c r="K1017" t="s">
        <v>113</v>
      </c>
      <c r="L1017" t="s">
        <v>43</v>
      </c>
      <c r="M1017">
        <v>8</v>
      </c>
      <c r="N1017" t="s">
        <v>34</v>
      </c>
      <c r="O1017">
        <v>3</v>
      </c>
      <c r="P1017">
        <v>4</v>
      </c>
      <c r="Q1017">
        <v>4</v>
      </c>
      <c r="R1017">
        <v>4</v>
      </c>
      <c r="S1017">
        <v>5</v>
      </c>
      <c r="T1017">
        <v>6</v>
      </c>
      <c r="U1017">
        <v>11</v>
      </c>
      <c r="V1017" t="s">
        <v>4614</v>
      </c>
      <c r="W1017" t="s">
        <v>34</v>
      </c>
    </row>
    <row r="1018" spans="1:24" x14ac:dyDescent="0.25">
      <c r="A1018" t="s">
        <v>4615</v>
      </c>
      <c r="B1018" t="s">
        <v>4616</v>
      </c>
      <c r="C1018" t="s">
        <v>73</v>
      </c>
      <c r="D1018">
        <v>32</v>
      </c>
      <c r="E1018" t="s">
        <v>147</v>
      </c>
      <c r="F1018" t="s">
        <v>136</v>
      </c>
      <c r="G1018" t="s">
        <v>4617</v>
      </c>
      <c r="H1018">
        <v>85569</v>
      </c>
      <c r="I1018" t="s">
        <v>30</v>
      </c>
      <c r="J1018" t="s">
        <v>61</v>
      </c>
      <c r="K1018" t="s">
        <v>77</v>
      </c>
      <c r="L1018" t="s">
        <v>62</v>
      </c>
      <c r="M1018">
        <v>10</v>
      </c>
      <c r="N1018" t="s">
        <v>34</v>
      </c>
      <c r="O1018">
        <v>2</v>
      </c>
      <c r="P1018">
        <v>2</v>
      </c>
      <c r="Q1018">
        <v>3</v>
      </c>
      <c r="R1018">
        <v>2</v>
      </c>
      <c r="S1018">
        <v>3</v>
      </c>
      <c r="T1018">
        <v>0</v>
      </c>
      <c r="V1018" t="s">
        <v>4618</v>
      </c>
      <c r="W1018" t="s">
        <v>34</v>
      </c>
    </row>
    <row r="1019" spans="1:24" x14ac:dyDescent="0.25">
      <c r="A1019" t="s">
        <v>4619</v>
      </c>
      <c r="B1019" t="s">
        <v>4620</v>
      </c>
      <c r="C1019" t="s">
        <v>58</v>
      </c>
      <c r="D1019">
        <v>38</v>
      </c>
      <c r="E1019" t="s">
        <v>609</v>
      </c>
      <c r="F1019" t="s">
        <v>266</v>
      </c>
      <c r="G1019" t="s">
        <v>4621</v>
      </c>
      <c r="H1019">
        <v>105044</v>
      </c>
      <c r="I1019" t="s">
        <v>30</v>
      </c>
      <c r="J1019" t="s">
        <v>61</v>
      </c>
      <c r="K1019" t="s">
        <v>32</v>
      </c>
      <c r="L1019" t="s">
        <v>43</v>
      </c>
      <c r="M1019">
        <v>30</v>
      </c>
      <c r="N1019" t="s">
        <v>34</v>
      </c>
      <c r="P1019">
        <v>2</v>
      </c>
      <c r="Q1019">
        <v>4</v>
      </c>
      <c r="R1019">
        <v>4</v>
      </c>
      <c r="S1019">
        <v>1</v>
      </c>
      <c r="T1019">
        <v>4</v>
      </c>
      <c r="U1019">
        <v>14</v>
      </c>
      <c r="W1019" t="s">
        <v>34</v>
      </c>
    </row>
    <row r="1020" spans="1:24" x14ac:dyDescent="0.25">
      <c r="A1020" t="s">
        <v>4622</v>
      </c>
      <c r="B1020" t="s">
        <v>4623</v>
      </c>
      <c r="D1020">
        <v>27</v>
      </c>
      <c r="E1020" t="s">
        <v>457</v>
      </c>
      <c r="F1020" t="s">
        <v>50</v>
      </c>
      <c r="G1020" t="s">
        <v>4078</v>
      </c>
      <c r="H1020">
        <v>64476</v>
      </c>
      <c r="I1020" t="s">
        <v>42</v>
      </c>
      <c r="J1020" t="s">
        <v>61</v>
      </c>
      <c r="L1020" t="s">
        <v>62</v>
      </c>
      <c r="M1020">
        <v>13</v>
      </c>
      <c r="N1020" t="s">
        <v>34</v>
      </c>
      <c r="O1020">
        <v>4</v>
      </c>
      <c r="P1020">
        <v>1</v>
      </c>
      <c r="Q1020">
        <v>1</v>
      </c>
      <c r="R1020">
        <v>4</v>
      </c>
      <c r="S1020">
        <v>5</v>
      </c>
      <c r="U1020">
        <v>23</v>
      </c>
      <c r="V1020" t="s">
        <v>4624</v>
      </c>
      <c r="W1020" t="s">
        <v>34</v>
      </c>
    </row>
    <row r="1021" spans="1:24" x14ac:dyDescent="0.25">
      <c r="A1021" t="s">
        <v>4625</v>
      </c>
      <c r="B1021" t="s">
        <v>4626</v>
      </c>
      <c r="C1021" t="s">
        <v>81</v>
      </c>
      <c r="D1021">
        <v>43</v>
      </c>
      <c r="E1021" t="s">
        <v>128</v>
      </c>
      <c r="F1021" t="s">
        <v>226</v>
      </c>
      <c r="G1021" t="s">
        <v>4627</v>
      </c>
      <c r="H1021">
        <v>70717</v>
      </c>
      <c r="K1021" t="s">
        <v>77</v>
      </c>
      <c r="L1021" t="s">
        <v>33</v>
      </c>
      <c r="M1021">
        <v>30</v>
      </c>
      <c r="N1021" t="s">
        <v>34</v>
      </c>
      <c r="O1021">
        <v>3</v>
      </c>
      <c r="P1021">
        <v>2</v>
      </c>
      <c r="Q1021">
        <v>3</v>
      </c>
      <c r="R1021">
        <v>3</v>
      </c>
      <c r="T1021">
        <v>0</v>
      </c>
      <c r="U1021">
        <v>13</v>
      </c>
      <c r="V1021" t="s">
        <v>4628</v>
      </c>
      <c r="W1021" t="s">
        <v>34</v>
      </c>
    </row>
    <row r="1022" spans="1:24" x14ac:dyDescent="0.25">
      <c r="A1022" t="s">
        <v>4629</v>
      </c>
      <c r="B1022" t="s">
        <v>4630</v>
      </c>
      <c r="C1022" t="s">
        <v>102</v>
      </c>
      <c r="D1022">
        <v>22</v>
      </c>
      <c r="E1022" t="s">
        <v>412</v>
      </c>
      <c r="F1022" t="s">
        <v>1615</v>
      </c>
      <c r="G1022" t="s">
        <v>4631</v>
      </c>
      <c r="H1022">
        <v>78190</v>
      </c>
      <c r="I1022" t="s">
        <v>42</v>
      </c>
      <c r="J1022" t="s">
        <v>61</v>
      </c>
      <c r="K1022" t="s">
        <v>113</v>
      </c>
      <c r="L1022" t="s">
        <v>62</v>
      </c>
      <c r="M1022">
        <v>44</v>
      </c>
      <c r="N1022" t="s">
        <v>34</v>
      </c>
      <c r="P1022">
        <v>3</v>
      </c>
      <c r="Q1022">
        <v>4</v>
      </c>
      <c r="R1022">
        <v>4</v>
      </c>
      <c r="S1022">
        <v>6</v>
      </c>
      <c r="T1022">
        <v>1</v>
      </c>
      <c r="U1022">
        <v>23</v>
      </c>
      <c r="V1022" t="s">
        <v>4632</v>
      </c>
      <c r="W1022" t="s">
        <v>34</v>
      </c>
    </row>
    <row r="1023" spans="1:24" x14ac:dyDescent="0.25">
      <c r="A1023" t="s">
        <v>4633</v>
      </c>
      <c r="B1023" t="s">
        <v>4634</v>
      </c>
      <c r="C1023" t="s">
        <v>81</v>
      </c>
      <c r="D1023">
        <v>29</v>
      </c>
      <c r="E1023" t="s">
        <v>412</v>
      </c>
      <c r="F1023" t="s">
        <v>828</v>
      </c>
      <c r="G1023" t="s">
        <v>4635</v>
      </c>
      <c r="H1023">
        <v>82910</v>
      </c>
      <c r="I1023" t="s">
        <v>30</v>
      </c>
      <c r="J1023" t="s">
        <v>143</v>
      </c>
      <c r="K1023" t="s">
        <v>77</v>
      </c>
      <c r="L1023" t="s">
        <v>33</v>
      </c>
      <c r="M1023">
        <v>12</v>
      </c>
      <c r="N1023" t="s">
        <v>34</v>
      </c>
      <c r="O1023">
        <v>2</v>
      </c>
      <c r="P1023">
        <v>3</v>
      </c>
      <c r="Q1023">
        <v>2</v>
      </c>
      <c r="R1023">
        <v>3</v>
      </c>
      <c r="S1023">
        <v>0</v>
      </c>
      <c r="T1023">
        <v>0</v>
      </c>
      <c r="U1023">
        <v>14</v>
      </c>
      <c r="V1023" t="s">
        <v>4636</v>
      </c>
      <c r="W1023" t="s">
        <v>34</v>
      </c>
    </row>
    <row r="1024" spans="1:24" x14ac:dyDescent="0.25">
      <c r="A1024" t="s">
        <v>4637</v>
      </c>
      <c r="B1024" t="s">
        <v>4638</v>
      </c>
      <c r="C1024" t="s">
        <v>67</v>
      </c>
      <c r="D1024">
        <v>29</v>
      </c>
      <c r="E1024" t="s">
        <v>128</v>
      </c>
      <c r="F1024" t="s">
        <v>271</v>
      </c>
      <c r="G1024" t="s">
        <v>853</v>
      </c>
      <c r="H1024">
        <v>71134</v>
      </c>
      <c r="I1024" t="s">
        <v>52</v>
      </c>
      <c r="J1024" t="s">
        <v>61</v>
      </c>
      <c r="K1024" t="s">
        <v>113</v>
      </c>
      <c r="L1024" t="s">
        <v>43</v>
      </c>
      <c r="N1024" t="s">
        <v>34</v>
      </c>
      <c r="O1024">
        <v>1</v>
      </c>
      <c r="P1024">
        <v>1</v>
      </c>
      <c r="Q1024">
        <v>2</v>
      </c>
      <c r="R1024">
        <v>4</v>
      </c>
      <c r="S1024">
        <v>0</v>
      </c>
      <c r="T1024">
        <v>6</v>
      </c>
      <c r="U1024">
        <v>19</v>
      </c>
      <c r="V1024" t="s">
        <v>4639</v>
      </c>
      <c r="W1024" t="s">
        <v>45</v>
      </c>
      <c r="X1024" t="s">
        <v>4640</v>
      </c>
    </row>
    <row r="1025" spans="1:24" x14ac:dyDescent="0.25">
      <c r="A1025" t="s">
        <v>4641</v>
      </c>
      <c r="B1025" t="s">
        <v>4642</v>
      </c>
      <c r="C1025" t="s">
        <v>81</v>
      </c>
      <c r="D1025">
        <v>34</v>
      </c>
      <c r="E1025" t="s">
        <v>798</v>
      </c>
      <c r="F1025" t="s">
        <v>75</v>
      </c>
      <c r="G1025" t="s">
        <v>4643</v>
      </c>
      <c r="H1025" t="s">
        <v>4644</v>
      </c>
      <c r="I1025" t="s">
        <v>42</v>
      </c>
      <c r="J1025" t="s">
        <v>61</v>
      </c>
      <c r="K1025" t="s">
        <v>83</v>
      </c>
      <c r="L1025" t="s">
        <v>43</v>
      </c>
      <c r="M1025">
        <v>37</v>
      </c>
      <c r="N1025" t="s">
        <v>34</v>
      </c>
      <c r="O1025">
        <v>3</v>
      </c>
      <c r="P1025">
        <v>3</v>
      </c>
      <c r="Q1025">
        <v>1</v>
      </c>
      <c r="R1025">
        <v>3</v>
      </c>
      <c r="S1025">
        <v>3</v>
      </c>
      <c r="T1025">
        <v>2</v>
      </c>
      <c r="U1025">
        <v>24</v>
      </c>
      <c r="V1025" t="s">
        <v>3008</v>
      </c>
      <c r="W1025" t="s">
        <v>34</v>
      </c>
    </row>
    <row r="1026" spans="1:24" x14ac:dyDescent="0.25">
      <c r="A1026" t="s">
        <v>4645</v>
      </c>
      <c r="B1026" t="s">
        <v>4646</v>
      </c>
      <c r="C1026" t="s">
        <v>67</v>
      </c>
      <c r="D1026">
        <v>28</v>
      </c>
      <c r="E1026" t="s">
        <v>27</v>
      </c>
      <c r="F1026" t="s">
        <v>50</v>
      </c>
      <c r="G1026" t="s">
        <v>4647</v>
      </c>
      <c r="H1026">
        <v>58116</v>
      </c>
      <c r="I1026" t="s">
        <v>30</v>
      </c>
      <c r="J1026" t="s">
        <v>97</v>
      </c>
      <c r="K1026" t="s">
        <v>98</v>
      </c>
      <c r="L1026" t="s">
        <v>33</v>
      </c>
      <c r="M1026">
        <v>34</v>
      </c>
      <c r="N1026" t="s">
        <v>34</v>
      </c>
      <c r="O1026">
        <v>2</v>
      </c>
      <c r="P1026">
        <v>3</v>
      </c>
      <c r="Q1026">
        <v>3</v>
      </c>
      <c r="R1026">
        <v>3</v>
      </c>
      <c r="S1026">
        <v>4</v>
      </c>
      <c r="T1026">
        <v>3</v>
      </c>
      <c r="U1026">
        <v>17</v>
      </c>
      <c r="W1026" t="s">
        <v>34</v>
      </c>
    </row>
    <row r="1027" spans="1:24" x14ac:dyDescent="0.25">
      <c r="A1027" t="s">
        <v>4648</v>
      </c>
      <c r="B1027" t="s">
        <v>4649</v>
      </c>
      <c r="C1027" t="s">
        <v>58</v>
      </c>
      <c r="D1027">
        <v>53</v>
      </c>
      <c r="E1027" t="s">
        <v>572</v>
      </c>
      <c r="F1027" t="s">
        <v>573</v>
      </c>
      <c r="G1027" t="s">
        <v>4650</v>
      </c>
      <c r="H1027">
        <v>77806</v>
      </c>
      <c r="I1027" t="s">
        <v>42</v>
      </c>
      <c r="J1027" t="s">
        <v>61</v>
      </c>
      <c r="K1027" t="s">
        <v>200</v>
      </c>
      <c r="L1027" t="s">
        <v>33</v>
      </c>
      <c r="M1027">
        <v>39</v>
      </c>
      <c r="N1027" t="s">
        <v>34</v>
      </c>
      <c r="P1027">
        <v>4</v>
      </c>
      <c r="R1027">
        <v>2</v>
      </c>
      <c r="S1027">
        <v>1</v>
      </c>
      <c r="T1027">
        <v>2</v>
      </c>
      <c r="U1027">
        <v>12</v>
      </c>
      <c r="V1027" t="s">
        <v>4651</v>
      </c>
      <c r="W1027" t="s">
        <v>34</v>
      </c>
    </row>
    <row r="1028" spans="1:24" x14ac:dyDescent="0.25">
      <c r="A1028" t="s">
        <v>4652</v>
      </c>
      <c r="B1028" t="s">
        <v>4653</v>
      </c>
      <c r="C1028" t="s">
        <v>67</v>
      </c>
      <c r="D1028">
        <v>38</v>
      </c>
      <c r="E1028" t="s">
        <v>27</v>
      </c>
      <c r="F1028" t="s">
        <v>75</v>
      </c>
      <c r="G1028" t="s">
        <v>4654</v>
      </c>
      <c r="H1028">
        <v>97841</v>
      </c>
      <c r="I1028" t="s">
        <v>52</v>
      </c>
      <c r="J1028" t="s">
        <v>61</v>
      </c>
      <c r="K1028" t="s">
        <v>32</v>
      </c>
      <c r="L1028" t="s">
        <v>62</v>
      </c>
      <c r="M1028">
        <v>21</v>
      </c>
      <c r="N1028" t="s">
        <v>34</v>
      </c>
      <c r="O1028">
        <v>3</v>
      </c>
      <c r="P1028">
        <v>2</v>
      </c>
      <c r="Q1028">
        <v>1</v>
      </c>
      <c r="R1028">
        <v>3</v>
      </c>
      <c r="S1028">
        <v>6</v>
      </c>
      <c r="T1028">
        <v>7</v>
      </c>
      <c r="U1028">
        <v>19</v>
      </c>
      <c r="W1028" t="s">
        <v>34</v>
      </c>
    </row>
    <row r="1029" spans="1:24" x14ac:dyDescent="0.25">
      <c r="A1029" t="s">
        <v>4655</v>
      </c>
      <c r="B1029" t="s">
        <v>4656</v>
      </c>
      <c r="C1029" t="s">
        <v>58</v>
      </c>
      <c r="D1029">
        <v>24</v>
      </c>
      <c r="E1029" t="s">
        <v>103</v>
      </c>
      <c r="F1029" t="s">
        <v>226</v>
      </c>
      <c r="G1029" t="s">
        <v>4657</v>
      </c>
      <c r="H1029">
        <v>67123</v>
      </c>
      <c r="I1029" t="s">
        <v>30</v>
      </c>
      <c r="J1029" t="s">
        <v>31</v>
      </c>
      <c r="K1029" t="s">
        <v>167</v>
      </c>
      <c r="M1029">
        <v>22</v>
      </c>
      <c r="N1029" t="s">
        <v>45</v>
      </c>
      <c r="O1029">
        <v>1</v>
      </c>
      <c r="P1029">
        <v>1</v>
      </c>
      <c r="Q1029">
        <v>1</v>
      </c>
      <c r="R1029">
        <v>3</v>
      </c>
      <c r="S1029">
        <v>1</v>
      </c>
      <c r="T1029">
        <v>4</v>
      </c>
      <c r="U1029">
        <v>11</v>
      </c>
      <c r="V1029" t="s">
        <v>4658</v>
      </c>
      <c r="W1029" t="s">
        <v>45</v>
      </c>
      <c r="X1029" t="s">
        <v>4659</v>
      </c>
    </row>
    <row r="1030" spans="1:24" x14ac:dyDescent="0.25">
      <c r="A1030" t="s">
        <v>4660</v>
      </c>
      <c r="B1030" t="s">
        <v>4661</v>
      </c>
      <c r="C1030" t="s">
        <v>102</v>
      </c>
      <c r="D1030">
        <v>45</v>
      </c>
      <c r="E1030" t="s">
        <v>128</v>
      </c>
      <c r="F1030" t="s">
        <v>423</v>
      </c>
      <c r="G1030" t="s">
        <v>4662</v>
      </c>
      <c r="H1030" t="s">
        <v>4663</v>
      </c>
      <c r="I1030" t="s">
        <v>30</v>
      </c>
      <c r="J1030" t="s">
        <v>31</v>
      </c>
      <c r="K1030" t="s">
        <v>77</v>
      </c>
      <c r="L1030" t="s">
        <v>62</v>
      </c>
      <c r="M1030">
        <v>5</v>
      </c>
      <c r="N1030" t="s">
        <v>34</v>
      </c>
      <c r="O1030">
        <v>3</v>
      </c>
      <c r="P1030">
        <v>2</v>
      </c>
      <c r="R1030">
        <v>5</v>
      </c>
      <c r="S1030">
        <v>2</v>
      </c>
      <c r="T1030">
        <v>4</v>
      </c>
      <c r="U1030">
        <v>14</v>
      </c>
      <c r="V1030" t="s">
        <v>4664</v>
      </c>
      <c r="W1030" t="s">
        <v>34</v>
      </c>
    </row>
    <row r="1031" spans="1:24" x14ac:dyDescent="0.25">
      <c r="A1031" t="s">
        <v>4665</v>
      </c>
      <c r="B1031" t="s">
        <v>4666</v>
      </c>
      <c r="C1031" t="s">
        <v>81</v>
      </c>
      <c r="D1031">
        <v>27</v>
      </c>
      <c r="E1031" t="s">
        <v>128</v>
      </c>
      <c r="F1031" t="s">
        <v>123</v>
      </c>
      <c r="G1031" t="s">
        <v>4667</v>
      </c>
      <c r="H1031">
        <v>37688</v>
      </c>
      <c r="I1031" t="s">
        <v>30</v>
      </c>
      <c r="J1031" t="s">
        <v>61</v>
      </c>
      <c r="K1031" t="s">
        <v>98</v>
      </c>
      <c r="L1031" t="s">
        <v>33</v>
      </c>
      <c r="M1031">
        <v>5</v>
      </c>
      <c r="N1031" t="s">
        <v>45</v>
      </c>
      <c r="O1031">
        <v>4</v>
      </c>
      <c r="Q1031">
        <v>3</v>
      </c>
      <c r="R1031">
        <v>3</v>
      </c>
      <c r="S1031">
        <v>1</v>
      </c>
      <c r="T1031">
        <v>0</v>
      </c>
      <c r="U1031">
        <v>12</v>
      </c>
      <c r="V1031" t="s">
        <v>4668</v>
      </c>
      <c r="W1031" t="s">
        <v>34</v>
      </c>
    </row>
    <row r="1032" spans="1:24" x14ac:dyDescent="0.25">
      <c r="A1032" t="s">
        <v>4669</v>
      </c>
      <c r="B1032" t="s">
        <v>4670</v>
      </c>
      <c r="C1032" t="s">
        <v>49</v>
      </c>
      <c r="D1032">
        <v>28</v>
      </c>
      <c r="E1032" t="s">
        <v>27</v>
      </c>
      <c r="F1032" t="s">
        <v>1590</v>
      </c>
      <c r="G1032" t="s">
        <v>4671</v>
      </c>
      <c r="H1032">
        <v>61893</v>
      </c>
      <c r="I1032" t="s">
        <v>42</v>
      </c>
      <c r="J1032" t="s">
        <v>61</v>
      </c>
      <c r="L1032" t="s">
        <v>43</v>
      </c>
      <c r="M1032">
        <v>6</v>
      </c>
      <c r="N1032" t="s">
        <v>34</v>
      </c>
      <c r="O1032">
        <v>4</v>
      </c>
      <c r="P1032">
        <v>4</v>
      </c>
      <c r="Q1032">
        <v>4</v>
      </c>
      <c r="R1032">
        <v>2</v>
      </c>
      <c r="S1032">
        <v>3</v>
      </c>
      <c r="T1032">
        <v>4</v>
      </c>
      <c r="U1032">
        <v>21</v>
      </c>
      <c r="V1032" t="s">
        <v>4672</v>
      </c>
      <c r="W1032" t="s">
        <v>34</v>
      </c>
    </row>
    <row r="1033" spans="1:24" x14ac:dyDescent="0.25">
      <c r="A1033" t="s">
        <v>4673</v>
      </c>
      <c r="B1033" t="s">
        <v>4674</v>
      </c>
      <c r="D1033">
        <v>25</v>
      </c>
      <c r="E1033" t="s">
        <v>128</v>
      </c>
      <c r="F1033" t="s">
        <v>123</v>
      </c>
      <c r="G1033" t="s">
        <v>4675</v>
      </c>
      <c r="H1033">
        <v>50157</v>
      </c>
      <c r="I1033" t="s">
        <v>42</v>
      </c>
      <c r="J1033" t="s">
        <v>61</v>
      </c>
      <c r="K1033" t="s">
        <v>83</v>
      </c>
      <c r="L1033" t="s">
        <v>33</v>
      </c>
      <c r="M1033">
        <v>25</v>
      </c>
      <c r="N1033" t="s">
        <v>34</v>
      </c>
      <c r="O1033">
        <v>3</v>
      </c>
      <c r="Q1033">
        <v>3</v>
      </c>
      <c r="R1033">
        <v>3</v>
      </c>
      <c r="S1033">
        <v>1</v>
      </c>
      <c r="T1033">
        <v>1</v>
      </c>
      <c r="U1033">
        <v>13</v>
      </c>
      <c r="V1033" t="s">
        <v>4676</v>
      </c>
      <c r="W1033" t="s">
        <v>34</v>
      </c>
    </row>
    <row r="1034" spans="1:24" x14ac:dyDescent="0.25">
      <c r="A1034" t="s">
        <v>4677</v>
      </c>
      <c r="B1034" t="s">
        <v>4678</v>
      </c>
      <c r="C1034" t="s">
        <v>73</v>
      </c>
      <c r="D1034">
        <v>32</v>
      </c>
      <c r="E1034" t="s">
        <v>128</v>
      </c>
      <c r="F1034" t="s">
        <v>397</v>
      </c>
      <c r="G1034" t="s">
        <v>4679</v>
      </c>
      <c r="H1034">
        <v>53612</v>
      </c>
      <c r="I1034" t="s">
        <v>42</v>
      </c>
      <c r="J1034" t="s">
        <v>31</v>
      </c>
      <c r="K1034" t="s">
        <v>32</v>
      </c>
      <c r="M1034">
        <v>35</v>
      </c>
      <c r="N1034" t="s">
        <v>34</v>
      </c>
      <c r="O1034">
        <v>4</v>
      </c>
      <c r="P1034">
        <v>4</v>
      </c>
      <c r="Q1034">
        <v>1</v>
      </c>
      <c r="S1034">
        <v>6</v>
      </c>
      <c r="T1034">
        <v>0</v>
      </c>
      <c r="U1034">
        <v>11</v>
      </c>
      <c r="V1034" t="s">
        <v>4680</v>
      </c>
      <c r="W1034" t="s">
        <v>34</v>
      </c>
    </row>
    <row r="1035" spans="1:24" x14ac:dyDescent="0.25">
      <c r="A1035" t="s">
        <v>4681</v>
      </c>
      <c r="B1035" t="s">
        <v>4682</v>
      </c>
      <c r="C1035" t="s">
        <v>58</v>
      </c>
      <c r="D1035">
        <v>44</v>
      </c>
      <c r="E1035" t="s">
        <v>88</v>
      </c>
      <c r="F1035" t="s">
        <v>214</v>
      </c>
      <c r="G1035" t="s">
        <v>4683</v>
      </c>
      <c r="H1035">
        <v>77259</v>
      </c>
      <c r="I1035" t="s">
        <v>52</v>
      </c>
      <c r="J1035" t="s">
        <v>31</v>
      </c>
      <c r="K1035" t="s">
        <v>83</v>
      </c>
      <c r="L1035" t="s">
        <v>33</v>
      </c>
      <c r="M1035">
        <v>43</v>
      </c>
      <c r="N1035" t="s">
        <v>34</v>
      </c>
      <c r="O1035">
        <v>2</v>
      </c>
      <c r="P1035">
        <v>4</v>
      </c>
      <c r="Q1035">
        <v>1</v>
      </c>
      <c r="R1035">
        <v>3</v>
      </c>
      <c r="S1035">
        <v>5</v>
      </c>
      <c r="T1035">
        <v>8</v>
      </c>
      <c r="U1035">
        <v>25</v>
      </c>
      <c r="V1035" t="s">
        <v>4684</v>
      </c>
      <c r="W1035" t="s">
        <v>45</v>
      </c>
      <c r="X1035" t="s">
        <v>4685</v>
      </c>
    </row>
    <row r="1036" spans="1:24" x14ac:dyDescent="0.25">
      <c r="A1036" t="s">
        <v>4686</v>
      </c>
      <c r="B1036" t="s">
        <v>4687</v>
      </c>
      <c r="C1036" t="s">
        <v>87</v>
      </c>
      <c r="D1036">
        <v>32</v>
      </c>
      <c r="E1036" t="s">
        <v>128</v>
      </c>
      <c r="F1036" t="s">
        <v>848</v>
      </c>
      <c r="G1036" t="s">
        <v>4688</v>
      </c>
      <c r="H1036">
        <v>54721</v>
      </c>
      <c r="I1036" t="s">
        <v>30</v>
      </c>
      <c r="J1036" t="s">
        <v>61</v>
      </c>
      <c r="K1036" t="s">
        <v>106</v>
      </c>
      <c r="L1036" t="s">
        <v>33</v>
      </c>
      <c r="N1036" t="s">
        <v>45</v>
      </c>
      <c r="O1036">
        <v>2</v>
      </c>
      <c r="P1036">
        <v>4</v>
      </c>
      <c r="Q1036">
        <v>2</v>
      </c>
      <c r="R1036">
        <v>3</v>
      </c>
      <c r="S1036">
        <v>1</v>
      </c>
      <c r="T1036">
        <v>0</v>
      </c>
      <c r="U1036">
        <v>24</v>
      </c>
      <c r="V1036" t="s">
        <v>4689</v>
      </c>
      <c r="W1036" t="s">
        <v>45</v>
      </c>
      <c r="X1036" t="s">
        <v>4690</v>
      </c>
    </row>
    <row r="1037" spans="1:24" x14ac:dyDescent="0.25">
      <c r="A1037" t="s">
        <v>4691</v>
      </c>
      <c r="B1037" t="s">
        <v>4692</v>
      </c>
      <c r="D1037">
        <v>19</v>
      </c>
      <c r="E1037" t="s">
        <v>412</v>
      </c>
      <c r="F1037" t="s">
        <v>1794</v>
      </c>
      <c r="G1037" t="s">
        <v>4693</v>
      </c>
      <c r="H1037">
        <v>33409</v>
      </c>
      <c r="I1037" t="s">
        <v>30</v>
      </c>
      <c r="J1037" t="s">
        <v>61</v>
      </c>
      <c r="K1037" t="s">
        <v>83</v>
      </c>
      <c r="L1037" t="s">
        <v>62</v>
      </c>
      <c r="M1037">
        <v>28</v>
      </c>
      <c r="N1037" t="s">
        <v>34</v>
      </c>
      <c r="O1037">
        <v>3</v>
      </c>
      <c r="P1037">
        <v>3</v>
      </c>
      <c r="Q1037">
        <v>3</v>
      </c>
      <c r="R1037">
        <v>3</v>
      </c>
      <c r="S1037">
        <v>4</v>
      </c>
      <c r="T1037">
        <v>4</v>
      </c>
      <c r="U1037">
        <v>11</v>
      </c>
      <c r="V1037" t="s">
        <v>4694</v>
      </c>
      <c r="W1037" t="s">
        <v>34</v>
      </c>
    </row>
    <row r="1038" spans="1:24" x14ac:dyDescent="0.25">
      <c r="A1038" t="s">
        <v>4695</v>
      </c>
      <c r="B1038" t="s">
        <v>4696</v>
      </c>
      <c r="C1038" t="s">
        <v>58</v>
      </c>
      <c r="D1038">
        <v>29</v>
      </c>
      <c r="E1038" t="s">
        <v>27</v>
      </c>
      <c r="F1038" t="s">
        <v>172</v>
      </c>
      <c r="G1038" t="s">
        <v>4697</v>
      </c>
      <c r="H1038">
        <v>51405</v>
      </c>
      <c r="I1038" t="s">
        <v>52</v>
      </c>
      <c r="J1038" t="s">
        <v>143</v>
      </c>
      <c r="K1038" t="s">
        <v>98</v>
      </c>
      <c r="L1038" t="s">
        <v>43</v>
      </c>
      <c r="M1038">
        <v>14</v>
      </c>
      <c r="N1038" t="s">
        <v>34</v>
      </c>
      <c r="O1038">
        <v>3</v>
      </c>
      <c r="P1038">
        <v>4</v>
      </c>
      <c r="Q1038">
        <v>4</v>
      </c>
      <c r="R1038">
        <v>4</v>
      </c>
      <c r="S1038">
        <v>5</v>
      </c>
      <c r="T1038">
        <v>3</v>
      </c>
      <c r="U1038">
        <v>13</v>
      </c>
      <c r="V1038" t="s">
        <v>4698</v>
      </c>
      <c r="W1038" t="s">
        <v>34</v>
      </c>
    </row>
    <row r="1039" spans="1:24" x14ac:dyDescent="0.25">
      <c r="A1039" t="s">
        <v>4699</v>
      </c>
      <c r="B1039" t="s">
        <v>4700</v>
      </c>
      <c r="C1039" t="s">
        <v>26</v>
      </c>
      <c r="D1039">
        <v>26</v>
      </c>
      <c r="E1039" t="s">
        <v>74</v>
      </c>
      <c r="F1039" t="s">
        <v>188</v>
      </c>
      <c r="G1039" t="s">
        <v>1855</v>
      </c>
      <c r="H1039">
        <v>93834</v>
      </c>
      <c r="I1039" t="s">
        <v>52</v>
      </c>
      <c r="J1039" t="s">
        <v>143</v>
      </c>
      <c r="K1039" t="s">
        <v>32</v>
      </c>
      <c r="L1039" t="s">
        <v>43</v>
      </c>
      <c r="N1039" t="s">
        <v>34</v>
      </c>
      <c r="O1039">
        <v>1</v>
      </c>
      <c r="P1039">
        <v>4</v>
      </c>
      <c r="Q1039">
        <v>3</v>
      </c>
      <c r="R1039">
        <v>2</v>
      </c>
      <c r="S1039">
        <v>4</v>
      </c>
      <c r="T1039">
        <v>1</v>
      </c>
      <c r="U1039">
        <v>24</v>
      </c>
      <c r="V1039" t="s">
        <v>4701</v>
      </c>
      <c r="W1039" t="s">
        <v>34</v>
      </c>
    </row>
    <row r="1040" spans="1:24" x14ac:dyDescent="0.25">
      <c r="A1040" t="s">
        <v>4702</v>
      </c>
      <c r="B1040" t="s">
        <v>4703</v>
      </c>
      <c r="C1040" t="s">
        <v>26</v>
      </c>
      <c r="D1040">
        <v>46</v>
      </c>
      <c r="E1040" t="s">
        <v>332</v>
      </c>
      <c r="F1040" t="s">
        <v>333</v>
      </c>
      <c r="G1040" t="s">
        <v>4704</v>
      </c>
      <c r="H1040">
        <v>60396</v>
      </c>
      <c r="I1040" t="s">
        <v>42</v>
      </c>
      <c r="J1040" t="s">
        <v>61</v>
      </c>
      <c r="K1040" t="s">
        <v>98</v>
      </c>
      <c r="L1040" t="s">
        <v>62</v>
      </c>
      <c r="M1040">
        <v>2</v>
      </c>
      <c r="N1040" t="s">
        <v>34</v>
      </c>
      <c r="O1040">
        <v>4</v>
      </c>
      <c r="P1040">
        <v>4</v>
      </c>
      <c r="Q1040">
        <v>3</v>
      </c>
      <c r="R1040">
        <v>3</v>
      </c>
      <c r="S1040">
        <v>6</v>
      </c>
      <c r="T1040">
        <v>2</v>
      </c>
      <c r="U1040">
        <v>16</v>
      </c>
      <c r="V1040" t="s">
        <v>4705</v>
      </c>
      <c r="W1040" t="s">
        <v>34</v>
      </c>
    </row>
    <row r="1041" spans="1:24" x14ac:dyDescent="0.25">
      <c r="A1041" t="s">
        <v>4706</v>
      </c>
      <c r="B1041" t="s">
        <v>4707</v>
      </c>
      <c r="C1041" t="s">
        <v>81</v>
      </c>
      <c r="D1041">
        <v>29</v>
      </c>
      <c r="E1041" t="s">
        <v>128</v>
      </c>
      <c r="F1041" t="s">
        <v>226</v>
      </c>
      <c r="G1041" t="s">
        <v>4708</v>
      </c>
      <c r="H1041">
        <v>93615</v>
      </c>
      <c r="I1041" t="s">
        <v>30</v>
      </c>
      <c r="K1041" t="s">
        <v>32</v>
      </c>
      <c r="L1041" t="s">
        <v>33</v>
      </c>
      <c r="M1041">
        <v>35</v>
      </c>
      <c r="N1041" t="s">
        <v>34</v>
      </c>
      <c r="O1041">
        <v>3</v>
      </c>
      <c r="P1041">
        <v>1</v>
      </c>
      <c r="Q1041">
        <v>1</v>
      </c>
      <c r="R1041">
        <v>5</v>
      </c>
      <c r="S1041">
        <v>1</v>
      </c>
      <c r="T1041">
        <v>2</v>
      </c>
      <c r="U1041">
        <v>23</v>
      </c>
      <c r="V1041" t="s">
        <v>4709</v>
      </c>
      <c r="W1041" t="s">
        <v>34</v>
      </c>
    </row>
    <row r="1042" spans="1:24" x14ac:dyDescent="0.25">
      <c r="A1042" t="s">
        <v>4710</v>
      </c>
      <c r="B1042" t="s">
        <v>4711</v>
      </c>
      <c r="C1042" t="s">
        <v>49</v>
      </c>
      <c r="D1042">
        <v>28</v>
      </c>
      <c r="E1042" t="s">
        <v>197</v>
      </c>
      <c r="F1042" t="s">
        <v>573</v>
      </c>
      <c r="G1042" t="s">
        <v>4712</v>
      </c>
      <c r="H1042" t="s">
        <v>4713</v>
      </c>
      <c r="I1042" t="s">
        <v>42</v>
      </c>
      <c r="J1042" t="s">
        <v>61</v>
      </c>
      <c r="K1042" t="s">
        <v>83</v>
      </c>
      <c r="L1042" t="s">
        <v>62</v>
      </c>
      <c r="M1042">
        <v>2</v>
      </c>
      <c r="N1042" t="s">
        <v>34</v>
      </c>
      <c r="O1042">
        <v>3</v>
      </c>
      <c r="P1042">
        <v>2</v>
      </c>
      <c r="Q1042">
        <v>2</v>
      </c>
      <c r="R1042">
        <v>4</v>
      </c>
      <c r="S1042">
        <v>1</v>
      </c>
      <c r="T1042">
        <v>8</v>
      </c>
      <c r="U1042">
        <v>15</v>
      </c>
      <c r="V1042" t="s">
        <v>4714</v>
      </c>
      <c r="W1042" t="s">
        <v>34</v>
      </c>
    </row>
    <row r="1043" spans="1:24" x14ac:dyDescent="0.25">
      <c r="A1043" t="s">
        <v>4516</v>
      </c>
      <c r="B1043" t="s">
        <v>4517</v>
      </c>
      <c r="C1043" t="s">
        <v>102</v>
      </c>
      <c r="D1043">
        <v>39</v>
      </c>
      <c r="E1043" t="s">
        <v>88</v>
      </c>
      <c r="F1043" t="s">
        <v>1686</v>
      </c>
      <c r="G1043" t="s">
        <v>4518</v>
      </c>
      <c r="H1043">
        <v>88824</v>
      </c>
      <c r="I1043" t="s">
        <v>52</v>
      </c>
      <c r="J1043" t="s">
        <v>31</v>
      </c>
      <c r="K1043" t="s">
        <v>131</v>
      </c>
      <c r="L1043" t="s">
        <v>33</v>
      </c>
      <c r="M1043">
        <v>22</v>
      </c>
      <c r="N1043" t="s">
        <v>34</v>
      </c>
      <c r="O1043">
        <v>2</v>
      </c>
      <c r="P1043">
        <v>2</v>
      </c>
      <c r="Q1043">
        <v>3</v>
      </c>
      <c r="R1043">
        <v>3</v>
      </c>
      <c r="S1043">
        <v>6</v>
      </c>
      <c r="T1043">
        <v>1</v>
      </c>
      <c r="U1043">
        <v>16</v>
      </c>
      <c r="W1043" t="s">
        <v>34</v>
      </c>
    </row>
    <row r="1044" spans="1:24" x14ac:dyDescent="0.25">
      <c r="A1044" t="s">
        <v>4715</v>
      </c>
      <c r="B1044" t="s">
        <v>4716</v>
      </c>
      <c r="C1044" t="s">
        <v>49</v>
      </c>
      <c r="D1044">
        <v>29</v>
      </c>
      <c r="E1044" t="s">
        <v>38</v>
      </c>
      <c r="F1044" t="s">
        <v>148</v>
      </c>
      <c r="G1044" t="s">
        <v>4717</v>
      </c>
      <c r="H1044">
        <v>65771</v>
      </c>
      <c r="I1044" t="s">
        <v>52</v>
      </c>
      <c r="J1044" t="s">
        <v>31</v>
      </c>
      <c r="K1044" t="s">
        <v>83</v>
      </c>
      <c r="L1044" t="s">
        <v>43</v>
      </c>
      <c r="M1044">
        <v>16</v>
      </c>
      <c r="N1044" t="s">
        <v>45</v>
      </c>
      <c r="O1044">
        <v>3</v>
      </c>
      <c r="P1044">
        <v>1</v>
      </c>
      <c r="Q1044">
        <v>3</v>
      </c>
      <c r="R1044">
        <v>3</v>
      </c>
      <c r="S1044">
        <v>5</v>
      </c>
      <c r="T1044">
        <v>5</v>
      </c>
      <c r="U1044">
        <v>13</v>
      </c>
      <c r="V1044" t="s">
        <v>4718</v>
      </c>
      <c r="W1044" t="s">
        <v>34</v>
      </c>
    </row>
    <row r="1045" spans="1:24" x14ac:dyDescent="0.25">
      <c r="A1045" t="s">
        <v>4719</v>
      </c>
      <c r="B1045" t="s">
        <v>4720</v>
      </c>
      <c r="C1045" t="s">
        <v>87</v>
      </c>
      <c r="D1045">
        <v>48</v>
      </c>
      <c r="E1045" t="s">
        <v>128</v>
      </c>
      <c r="F1045" t="s">
        <v>3201</v>
      </c>
      <c r="G1045" t="s">
        <v>4721</v>
      </c>
      <c r="H1045">
        <v>52780</v>
      </c>
      <c r="I1045" t="s">
        <v>30</v>
      </c>
      <c r="J1045" t="s">
        <v>61</v>
      </c>
      <c r="K1045" t="s">
        <v>113</v>
      </c>
      <c r="M1045">
        <v>42</v>
      </c>
      <c r="N1045" t="s">
        <v>34</v>
      </c>
      <c r="O1045">
        <v>3</v>
      </c>
      <c r="P1045">
        <v>3</v>
      </c>
      <c r="Q1045">
        <v>1</v>
      </c>
      <c r="R1045">
        <v>2</v>
      </c>
      <c r="S1045">
        <v>5</v>
      </c>
      <c r="T1045">
        <v>2</v>
      </c>
      <c r="U1045">
        <v>11</v>
      </c>
      <c r="V1045" t="s">
        <v>4722</v>
      </c>
      <c r="W1045" t="s">
        <v>34</v>
      </c>
    </row>
    <row r="1046" spans="1:24" x14ac:dyDescent="0.25">
      <c r="A1046" t="s">
        <v>4723</v>
      </c>
      <c r="B1046" t="s">
        <v>4724</v>
      </c>
      <c r="C1046" t="s">
        <v>87</v>
      </c>
      <c r="D1046">
        <v>30</v>
      </c>
      <c r="E1046" t="s">
        <v>103</v>
      </c>
      <c r="F1046" t="s">
        <v>123</v>
      </c>
      <c r="G1046" t="s">
        <v>4725</v>
      </c>
      <c r="H1046" t="s">
        <v>4726</v>
      </c>
      <c r="I1046" t="s">
        <v>30</v>
      </c>
      <c r="J1046" t="s">
        <v>61</v>
      </c>
      <c r="K1046" t="s">
        <v>32</v>
      </c>
      <c r="L1046" t="s">
        <v>43</v>
      </c>
      <c r="M1046">
        <v>22</v>
      </c>
      <c r="N1046" t="s">
        <v>34</v>
      </c>
      <c r="O1046">
        <v>1</v>
      </c>
      <c r="P1046">
        <v>1</v>
      </c>
      <c r="Q1046">
        <v>2</v>
      </c>
      <c r="R1046">
        <v>1</v>
      </c>
      <c r="S1046">
        <v>3</v>
      </c>
      <c r="T1046">
        <v>0</v>
      </c>
      <c r="U1046">
        <v>25</v>
      </c>
      <c r="V1046" t="s">
        <v>4727</v>
      </c>
      <c r="W1046" t="s">
        <v>34</v>
      </c>
    </row>
    <row r="1047" spans="1:24" x14ac:dyDescent="0.25">
      <c r="A1047" t="s">
        <v>4728</v>
      </c>
      <c r="B1047" t="s">
        <v>4729</v>
      </c>
      <c r="C1047" t="s">
        <v>81</v>
      </c>
      <c r="D1047">
        <v>32</v>
      </c>
      <c r="E1047" t="s">
        <v>74</v>
      </c>
      <c r="F1047" t="s">
        <v>188</v>
      </c>
      <c r="G1047" t="s">
        <v>4730</v>
      </c>
      <c r="H1047">
        <v>48664</v>
      </c>
      <c r="I1047" t="s">
        <v>42</v>
      </c>
      <c r="J1047" t="s">
        <v>61</v>
      </c>
      <c r="K1047" t="s">
        <v>106</v>
      </c>
      <c r="L1047" t="s">
        <v>33</v>
      </c>
      <c r="M1047">
        <v>10</v>
      </c>
      <c r="N1047" t="s">
        <v>45</v>
      </c>
      <c r="O1047">
        <v>2</v>
      </c>
      <c r="P1047">
        <v>2</v>
      </c>
      <c r="Q1047">
        <v>2</v>
      </c>
      <c r="R1047">
        <v>4</v>
      </c>
      <c r="S1047">
        <v>6</v>
      </c>
      <c r="T1047">
        <v>1</v>
      </c>
      <c r="U1047">
        <v>18</v>
      </c>
      <c r="V1047" t="s">
        <v>4731</v>
      </c>
      <c r="W1047" t="s">
        <v>45</v>
      </c>
      <c r="X1047" t="s">
        <v>4732</v>
      </c>
    </row>
    <row r="1048" spans="1:24" x14ac:dyDescent="0.25">
      <c r="A1048" t="s">
        <v>4733</v>
      </c>
      <c r="B1048" t="s">
        <v>4734</v>
      </c>
      <c r="C1048" t="s">
        <v>73</v>
      </c>
      <c r="D1048">
        <v>48</v>
      </c>
      <c r="E1048" t="s">
        <v>27</v>
      </c>
      <c r="F1048" t="s">
        <v>50</v>
      </c>
      <c r="G1048" t="s">
        <v>4735</v>
      </c>
      <c r="H1048">
        <v>79626</v>
      </c>
      <c r="I1048" t="s">
        <v>42</v>
      </c>
      <c r="J1048" t="s">
        <v>97</v>
      </c>
      <c r="K1048" t="s">
        <v>77</v>
      </c>
      <c r="L1048" t="s">
        <v>62</v>
      </c>
      <c r="M1048">
        <v>40</v>
      </c>
      <c r="N1048" t="s">
        <v>34</v>
      </c>
      <c r="O1048">
        <v>1</v>
      </c>
      <c r="P1048">
        <v>1</v>
      </c>
      <c r="Q1048">
        <v>3</v>
      </c>
      <c r="S1048">
        <v>3</v>
      </c>
      <c r="T1048">
        <v>7</v>
      </c>
      <c r="U1048">
        <v>19</v>
      </c>
      <c r="V1048" t="s">
        <v>4736</v>
      </c>
      <c r="W1048" t="s">
        <v>34</v>
      </c>
    </row>
    <row r="1049" spans="1:24" x14ac:dyDescent="0.25">
      <c r="A1049" t="s">
        <v>4737</v>
      </c>
      <c r="B1049" t="s">
        <v>4738</v>
      </c>
      <c r="C1049" t="s">
        <v>102</v>
      </c>
      <c r="D1049">
        <v>38</v>
      </c>
      <c r="E1049" t="s">
        <v>457</v>
      </c>
      <c r="F1049" t="s">
        <v>188</v>
      </c>
      <c r="G1049" t="s">
        <v>4739</v>
      </c>
      <c r="H1049">
        <v>91806</v>
      </c>
      <c r="I1049" t="s">
        <v>52</v>
      </c>
      <c r="J1049" t="s">
        <v>53</v>
      </c>
      <c r="K1049" t="s">
        <v>54</v>
      </c>
      <c r="L1049" t="s">
        <v>43</v>
      </c>
      <c r="M1049">
        <v>42</v>
      </c>
      <c r="N1049" t="s">
        <v>34</v>
      </c>
      <c r="O1049">
        <v>1</v>
      </c>
      <c r="P1049">
        <v>1</v>
      </c>
      <c r="Q1049">
        <v>1</v>
      </c>
      <c r="R1049">
        <v>1</v>
      </c>
      <c r="S1049">
        <v>3</v>
      </c>
      <c r="T1049">
        <v>5</v>
      </c>
      <c r="V1049" t="s">
        <v>4740</v>
      </c>
      <c r="W1049" t="s">
        <v>45</v>
      </c>
      <c r="X1049" t="s">
        <v>1515</v>
      </c>
    </row>
    <row r="1050" spans="1:24" x14ac:dyDescent="0.25">
      <c r="A1050" t="s">
        <v>4741</v>
      </c>
      <c r="B1050" t="s">
        <v>4742</v>
      </c>
      <c r="C1050" t="s">
        <v>81</v>
      </c>
      <c r="D1050">
        <v>25</v>
      </c>
      <c r="E1050" t="s">
        <v>103</v>
      </c>
      <c r="F1050" t="s">
        <v>123</v>
      </c>
      <c r="G1050" t="s">
        <v>4743</v>
      </c>
      <c r="H1050" t="s">
        <v>4744</v>
      </c>
      <c r="I1050" t="s">
        <v>42</v>
      </c>
      <c r="J1050" t="s">
        <v>97</v>
      </c>
      <c r="K1050" t="s">
        <v>200</v>
      </c>
      <c r="L1050" t="s">
        <v>43</v>
      </c>
      <c r="M1050">
        <v>32</v>
      </c>
      <c r="N1050" t="s">
        <v>34</v>
      </c>
      <c r="O1050">
        <v>3</v>
      </c>
      <c r="P1050">
        <v>3</v>
      </c>
      <c r="R1050">
        <v>2</v>
      </c>
      <c r="S1050">
        <v>5</v>
      </c>
      <c r="T1050">
        <v>7</v>
      </c>
      <c r="U1050">
        <v>24</v>
      </c>
      <c r="V1050" t="s">
        <v>4745</v>
      </c>
      <c r="W1050" t="s">
        <v>34</v>
      </c>
    </row>
    <row r="1051" spans="1:24" x14ac:dyDescent="0.25">
      <c r="A1051" t="s">
        <v>4746</v>
      </c>
      <c r="B1051" t="s">
        <v>4747</v>
      </c>
      <c r="C1051" t="s">
        <v>87</v>
      </c>
      <c r="D1051">
        <v>38</v>
      </c>
      <c r="E1051" t="s">
        <v>88</v>
      </c>
      <c r="F1051" t="s">
        <v>89</v>
      </c>
      <c r="G1051" t="s">
        <v>4748</v>
      </c>
      <c r="H1051">
        <v>70916</v>
      </c>
      <c r="I1051" t="s">
        <v>30</v>
      </c>
      <c r="J1051" t="s">
        <v>31</v>
      </c>
      <c r="K1051" t="s">
        <v>167</v>
      </c>
      <c r="L1051" t="s">
        <v>62</v>
      </c>
      <c r="M1051">
        <v>18</v>
      </c>
      <c r="O1051">
        <v>4</v>
      </c>
      <c r="P1051">
        <v>2</v>
      </c>
      <c r="Q1051">
        <v>2</v>
      </c>
      <c r="R1051">
        <v>2</v>
      </c>
      <c r="S1051">
        <v>3</v>
      </c>
      <c r="T1051">
        <v>3</v>
      </c>
      <c r="U1051">
        <v>20</v>
      </c>
      <c r="V1051" t="s">
        <v>4749</v>
      </c>
      <c r="W1051" t="s">
        <v>34</v>
      </c>
    </row>
    <row r="1052" spans="1:24" x14ac:dyDescent="0.25">
      <c r="A1052" t="s">
        <v>4750</v>
      </c>
      <c r="B1052" t="s">
        <v>4751</v>
      </c>
      <c r="C1052" t="s">
        <v>67</v>
      </c>
      <c r="D1052">
        <v>42</v>
      </c>
      <c r="E1052" t="s">
        <v>88</v>
      </c>
      <c r="F1052" t="s">
        <v>141</v>
      </c>
      <c r="G1052" t="s">
        <v>4752</v>
      </c>
      <c r="H1052">
        <v>69948</v>
      </c>
      <c r="I1052" t="s">
        <v>30</v>
      </c>
      <c r="J1052" t="s">
        <v>31</v>
      </c>
      <c r="K1052" t="s">
        <v>106</v>
      </c>
      <c r="L1052" t="s">
        <v>33</v>
      </c>
      <c r="M1052">
        <v>14</v>
      </c>
      <c r="N1052" t="s">
        <v>34</v>
      </c>
      <c r="O1052">
        <v>4</v>
      </c>
      <c r="P1052">
        <v>4</v>
      </c>
      <c r="Q1052">
        <v>4</v>
      </c>
      <c r="R1052">
        <v>4</v>
      </c>
      <c r="S1052">
        <v>6</v>
      </c>
      <c r="T1052">
        <v>1</v>
      </c>
      <c r="U1052">
        <v>22</v>
      </c>
      <c r="V1052" t="s">
        <v>4753</v>
      </c>
      <c r="W1052" t="s">
        <v>34</v>
      </c>
    </row>
    <row r="1053" spans="1:24" x14ac:dyDescent="0.25">
      <c r="A1053" t="s">
        <v>4754</v>
      </c>
      <c r="B1053" t="s">
        <v>4755</v>
      </c>
      <c r="C1053" t="s">
        <v>26</v>
      </c>
      <c r="D1053">
        <v>44</v>
      </c>
      <c r="E1053" t="s">
        <v>572</v>
      </c>
      <c r="F1053" t="s">
        <v>433</v>
      </c>
      <c r="G1053" t="s">
        <v>4756</v>
      </c>
      <c r="H1053">
        <v>51097</v>
      </c>
      <c r="I1053" t="s">
        <v>42</v>
      </c>
      <c r="J1053" t="s">
        <v>31</v>
      </c>
      <c r="K1053" t="s">
        <v>167</v>
      </c>
      <c r="L1053" t="s">
        <v>43</v>
      </c>
      <c r="M1053">
        <v>17</v>
      </c>
      <c r="N1053" t="s">
        <v>34</v>
      </c>
      <c r="O1053">
        <v>3</v>
      </c>
      <c r="Q1053">
        <v>2</v>
      </c>
      <c r="R1053">
        <v>4</v>
      </c>
      <c r="T1053">
        <v>0</v>
      </c>
      <c r="U1053">
        <v>24</v>
      </c>
      <c r="V1053" t="s">
        <v>2103</v>
      </c>
      <c r="W1053" t="s">
        <v>34</v>
      </c>
    </row>
    <row r="1054" spans="1:24" x14ac:dyDescent="0.25">
      <c r="A1054" t="s">
        <v>4757</v>
      </c>
      <c r="B1054" t="s">
        <v>4758</v>
      </c>
      <c r="C1054" t="s">
        <v>26</v>
      </c>
      <c r="D1054">
        <v>32</v>
      </c>
      <c r="E1054" t="s">
        <v>27</v>
      </c>
      <c r="F1054" t="s">
        <v>281</v>
      </c>
      <c r="G1054" t="s">
        <v>2090</v>
      </c>
      <c r="H1054" t="s">
        <v>4759</v>
      </c>
      <c r="I1054" t="s">
        <v>52</v>
      </c>
      <c r="J1054" t="s">
        <v>53</v>
      </c>
      <c r="K1054" t="s">
        <v>200</v>
      </c>
      <c r="L1054" t="s">
        <v>43</v>
      </c>
      <c r="M1054">
        <v>9</v>
      </c>
      <c r="N1054" t="s">
        <v>34</v>
      </c>
      <c r="O1054">
        <v>1</v>
      </c>
      <c r="P1054">
        <v>4</v>
      </c>
      <c r="Q1054">
        <v>2</v>
      </c>
      <c r="R1054">
        <v>2</v>
      </c>
      <c r="S1054">
        <v>1</v>
      </c>
      <c r="T1054">
        <v>7</v>
      </c>
      <c r="U1054">
        <v>12</v>
      </c>
      <c r="V1054" t="s">
        <v>4760</v>
      </c>
      <c r="W1054" t="s">
        <v>45</v>
      </c>
      <c r="X1054" t="s">
        <v>4761</v>
      </c>
    </row>
    <row r="1055" spans="1:24" x14ac:dyDescent="0.25">
      <c r="A1055" t="s">
        <v>4762</v>
      </c>
      <c r="B1055" t="s">
        <v>4763</v>
      </c>
      <c r="C1055" t="s">
        <v>49</v>
      </c>
      <c r="D1055">
        <v>42</v>
      </c>
      <c r="E1055" t="s">
        <v>88</v>
      </c>
      <c r="F1055" t="s">
        <v>483</v>
      </c>
      <c r="G1055" t="s">
        <v>4764</v>
      </c>
      <c r="H1055">
        <v>149269</v>
      </c>
      <c r="I1055" t="s">
        <v>30</v>
      </c>
      <c r="J1055" t="s">
        <v>31</v>
      </c>
      <c r="K1055" t="s">
        <v>77</v>
      </c>
      <c r="L1055" t="s">
        <v>62</v>
      </c>
      <c r="M1055">
        <v>41</v>
      </c>
      <c r="N1055" t="s">
        <v>34</v>
      </c>
      <c r="O1055">
        <v>1</v>
      </c>
      <c r="P1055">
        <v>4</v>
      </c>
      <c r="Q1055">
        <v>3</v>
      </c>
      <c r="S1055">
        <v>6</v>
      </c>
      <c r="T1055">
        <v>7</v>
      </c>
      <c r="U1055">
        <v>14</v>
      </c>
      <c r="V1055" t="s">
        <v>4765</v>
      </c>
      <c r="W1055" t="s">
        <v>34</v>
      </c>
    </row>
    <row r="1056" spans="1:24" x14ac:dyDescent="0.25">
      <c r="A1056" t="s">
        <v>4766</v>
      </c>
      <c r="B1056" t="s">
        <v>4767</v>
      </c>
      <c r="C1056" t="s">
        <v>87</v>
      </c>
      <c r="D1056">
        <v>35</v>
      </c>
      <c r="E1056" t="s">
        <v>629</v>
      </c>
      <c r="G1056" t="s">
        <v>4768</v>
      </c>
      <c r="H1056">
        <v>101374</v>
      </c>
      <c r="I1056" t="s">
        <v>42</v>
      </c>
      <c r="J1056" t="s">
        <v>143</v>
      </c>
      <c r="K1056" t="s">
        <v>167</v>
      </c>
      <c r="L1056" t="s">
        <v>43</v>
      </c>
      <c r="M1056">
        <v>43</v>
      </c>
      <c r="N1056" t="s">
        <v>45</v>
      </c>
      <c r="P1056">
        <v>2</v>
      </c>
      <c r="Q1056">
        <v>4</v>
      </c>
      <c r="R1056">
        <v>3</v>
      </c>
      <c r="S1056">
        <v>6</v>
      </c>
      <c r="T1056">
        <v>6</v>
      </c>
      <c r="U1056">
        <v>20</v>
      </c>
      <c r="V1056" t="s">
        <v>4769</v>
      </c>
      <c r="W1056" t="s">
        <v>45</v>
      </c>
      <c r="X1056" t="s">
        <v>4770</v>
      </c>
    </row>
    <row r="1057" spans="1:24" x14ac:dyDescent="0.25">
      <c r="A1057" t="s">
        <v>4771</v>
      </c>
      <c r="B1057" t="s">
        <v>4772</v>
      </c>
      <c r="C1057" t="s">
        <v>58</v>
      </c>
      <c r="D1057">
        <v>35</v>
      </c>
      <c r="E1057" t="s">
        <v>27</v>
      </c>
      <c r="F1057" t="s">
        <v>188</v>
      </c>
      <c r="G1057" t="s">
        <v>1656</v>
      </c>
      <c r="H1057">
        <v>59530</v>
      </c>
      <c r="J1057" t="s">
        <v>31</v>
      </c>
      <c r="K1057" t="s">
        <v>113</v>
      </c>
      <c r="L1057" t="s">
        <v>33</v>
      </c>
      <c r="M1057">
        <v>3</v>
      </c>
      <c r="N1057" t="s">
        <v>34</v>
      </c>
      <c r="O1057">
        <v>3</v>
      </c>
      <c r="P1057">
        <v>3</v>
      </c>
      <c r="Q1057">
        <v>2</v>
      </c>
      <c r="R1057">
        <v>4</v>
      </c>
      <c r="T1057">
        <v>7</v>
      </c>
      <c r="U1057">
        <v>16</v>
      </c>
      <c r="V1057" t="s">
        <v>4773</v>
      </c>
      <c r="W1057" t="s">
        <v>34</v>
      </c>
    </row>
    <row r="1058" spans="1:24" x14ac:dyDescent="0.25">
      <c r="A1058" t="s">
        <v>4774</v>
      </c>
      <c r="B1058" t="s">
        <v>4775</v>
      </c>
      <c r="C1058" t="s">
        <v>67</v>
      </c>
      <c r="D1058">
        <v>48</v>
      </c>
      <c r="E1058" t="s">
        <v>27</v>
      </c>
      <c r="F1058" t="s">
        <v>59</v>
      </c>
      <c r="G1058" t="s">
        <v>4776</v>
      </c>
      <c r="H1058">
        <v>53666</v>
      </c>
      <c r="I1058" t="s">
        <v>52</v>
      </c>
      <c r="J1058" t="s">
        <v>31</v>
      </c>
      <c r="K1058" t="s">
        <v>32</v>
      </c>
      <c r="L1058" t="s">
        <v>62</v>
      </c>
      <c r="M1058">
        <v>45</v>
      </c>
      <c r="N1058" t="s">
        <v>45</v>
      </c>
      <c r="O1058">
        <v>3</v>
      </c>
      <c r="P1058">
        <v>1</v>
      </c>
      <c r="Q1058">
        <v>4</v>
      </c>
      <c r="R1058">
        <v>2</v>
      </c>
      <c r="S1058">
        <v>4</v>
      </c>
      <c r="T1058">
        <v>3</v>
      </c>
      <c r="U1058">
        <v>13</v>
      </c>
      <c r="V1058" t="s">
        <v>4777</v>
      </c>
      <c r="W1058" t="s">
        <v>34</v>
      </c>
    </row>
    <row r="1059" spans="1:24" x14ac:dyDescent="0.25">
      <c r="A1059" t="s">
        <v>4778</v>
      </c>
      <c r="B1059" t="s">
        <v>4779</v>
      </c>
      <c r="C1059" t="s">
        <v>81</v>
      </c>
      <c r="D1059">
        <v>41</v>
      </c>
      <c r="E1059" t="s">
        <v>88</v>
      </c>
      <c r="F1059" t="s">
        <v>4780</v>
      </c>
      <c r="G1059" t="s">
        <v>4781</v>
      </c>
      <c r="H1059">
        <v>97572</v>
      </c>
      <c r="I1059" t="s">
        <v>52</v>
      </c>
      <c r="J1059" t="s">
        <v>61</v>
      </c>
      <c r="K1059" t="s">
        <v>98</v>
      </c>
      <c r="L1059" t="s">
        <v>43</v>
      </c>
      <c r="M1059">
        <v>24</v>
      </c>
      <c r="O1059">
        <v>1</v>
      </c>
      <c r="P1059">
        <v>2</v>
      </c>
      <c r="Q1059">
        <v>1</v>
      </c>
      <c r="R1059">
        <v>5</v>
      </c>
      <c r="S1059">
        <v>1</v>
      </c>
      <c r="T1059">
        <v>7</v>
      </c>
      <c r="U1059">
        <v>17</v>
      </c>
      <c r="V1059" t="s">
        <v>4782</v>
      </c>
      <c r="W1059" t="s">
        <v>45</v>
      </c>
      <c r="X1059" t="s">
        <v>4783</v>
      </c>
    </row>
    <row r="1060" spans="1:24" x14ac:dyDescent="0.25">
      <c r="A1060" t="s">
        <v>4784</v>
      </c>
      <c r="B1060" t="s">
        <v>4785</v>
      </c>
      <c r="C1060" t="s">
        <v>58</v>
      </c>
      <c r="D1060">
        <v>32</v>
      </c>
      <c r="E1060" t="s">
        <v>128</v>
      </c>
      <c r="F1060" t="s">
        <v>123</v>
      </c>
      <c r="G1060" t="s">
        <v>4786</v>
      </c>
      <c r="H1060" t="s">
        <v>4787</v>
      </c>
      <c r="I1060" t="s">
        <v>52</v>
      </c>
      <c r="J1060" t="s">
        <v>61</v>
      </c>
      <c r="K1060" t="s">
        <v>32</v>
      </c>
      <c r="L1060" t="s">
        <v>33</v>
      </c>
      <c r="M1060">
        <v>35</v>
      </c>
      <c r="O1060">
        <v>2</v>
      </c>
      <c r="P1060">
        <v>3</v>
      </c>
      <c r="Q1060">
        <v>2</v>
      </c>
      <c r="R1060">
        <v>3</v>
      </c>
      <c r="S1060">
        <v>0</v>
      </c>
      <c r="T1060">
        <v>2</v>
      </c>
      <c r="U1060">
        <v>23</v>
      </c>
      <c r="V1060" t="s">
        <v>4788</v>
      </c>
      <c r="W1060" t="s">
        <v>45</v>
      </c>
      <c r="X1060" t="s">
        <v>4789</v>
      </c>
    </row>
    <row r="1061" spans="1:24" x14ac:dyDescent="0.25">
      <c r="A1061" t="s">
        <v>4790</v>
      </c>
      <c r="B1061" t="s">
        <v>4791</v>
      </c>
      <c r="C1061" t="s">
        <v>73</v>
      </c>
      <c r="D1061">
        <v>42</v>
      </c>
      <c r="E1061" t="s">
        <v>88</v>
      </c>
      <c r="F1061" t="s">
        <v>89</v>
      </c>
      <c r="G1061" t="s">
        <v>4792</v>
      </c>
      <c r="H1061">
        <v>76092</v>
      </c>
      <c r="I1061" t="s">
        <v>52</v>
      </c>
      <c r="J1061" t="s">
        <v>61</v>
      </c>
      <c r="K1061" t="s">
        <v>167</v>
      </c>
      <c r="L1061" t="s">
        <v>62</v>
      </c>
      <c r="M1061">
        <v>25</v>
      </c>
      <c r="N1061" t="s">
        <v>34</v>
      </c>
      <c r="O1061">
        <v>3</v>
      </c>
      <c r="P1061">
        <v>2</v>
      </c>
      <c r="Q1061">
        <v>2</v>
      </c>
      <c r="R1061">
        <v>3</v>
      </c>
      <c r="S1061">
        <v>6</v>
      </c>
      <c r="T1061">
        <v>3</v>
      </c>
      <c r="V1061" t="s">
        <v>4793</v>
      </c>
      <c r="W1061" t="s">
        <v>34</v>
      </c>
    </row>
    <row r="1062" spans="1:24" x14ac:dyDescent="0.25">
      <c r="A1062" t="s">
        <v>4794</v>
      </c>
      <c r="B1062" t="s">
        <v>4795</v>
      </c>
      <c r="C1062" t="s">
        <v>102</v>
      </c>
      <c r="D1062">
        <v>28</v>
      </c>
      <c r="E1062" t="s">
        <v>38</v>
      </c>
      <c r="F1062" t="s">
        <v>148</v>
      </c>
      <c r="G1062" t="s">
        <v>4796</v>
      </c>
      <c r="H1062">
        <v>44475</v>
      </c>
      <c r="I1062" t="s">
        <v>42</v>
      </c>
      <c r="K1062" t="s">
        <v>54</v>
      </c>
      <c r="L1062" t="s">
        <v>43</v>
      </c>
      <c r="M1062">
        <v>8</v>
      </c>
      <c r="N1062" t="s">
        <v>34</v>
      </c>
      <c r="O1062">
        <v>1</v>
      </c>
      <c r="P1062">
        <v>2</v>
      </c>
      <c r="Q1062">
        <v>1</v>
      </c>
      <c r="R1062">
        <v>3</v>
      </c>
      <c r="S1062">
        <v>4</v>
      </c>
      <c r="T1062">
        <v>5</v>
      </c>
      <c r="U1062">
        <v>20</v>
      </c>
      <c r="V1062" t="s">
        <v>4797</v>
      </c>
      <c r="W1062" t="s">
        <v>34</v>
      </c>
    </row>
    <row r="1063" spans="1:24" x14ac:dyDescent="0.25">
      <c r="A1063" t="s">
        <v>4798</v>
      </c>
      <c r="B1063" t="s">
        <v>4799</v>
      </c>
      <c r="C1063" t="s">
        <v>58</v>
      </c>
      <c r="D1063">
        <v>33</v>
      </c>
      <c r="E1063" t="s">
        <v>88</v>
      </c>
      <c r="F1063" t="s">
        <v>483</v>
      </c>
      <c r="G1063" t="s">
        <v>4800</v>
      </c>
      <c r="H1063">
        <v>92139</v>
      </c>
      <c r="I1063" t="s">
        <v>42</v>
      </c>
      <c r="J1063" t="s">
        <v>61</v>
      </c>
      <c r="K1063" t="s">
        <v>106</v>
      </c>
      <c r="L1063" t="s">
        <v>33</v>
      </c>
      <c r="M1063">
        <v>4</v>
      </c>
      <c r="N1063" t="s">
        <v>34</v>
      </c>
      <c r="O1063">
        <v>3</v>
      </c>
      <c r="P1063">
        <v>1</v>
      </c>
      <c r="Q1063">
        <v>3</v>
      </c>
      <c r="R1063">
        <v>4</v>
      </c>
      <c r="S1063">
        <v>0</v>
      </c>
      <c r="T1063">
        <v>5</v>
      </c>
      <c r="U1063">
        <v>16</v>
      </c>
      <c r="V1063" t="s">
        <v>4801</v>
      </c>
      <c r="W1063" t="s">
        <v>34</v>
      </c>
    </row>
    <row r="1064" spans="1:24" x14ac:dyDescent="0.25">
      <c r="A1064" t="s">
        <v>4802</v>
      </c>
      <c r="B1064" t="s">
        <v>4803</v>
      </c>
      <c r="C1064" t="s">
        <v>73</v>
      </c>
      <c r="D1064">
        <v>29</v>
      </c>
      <c r="E1064" t="s">
        <v>197</v>
      </c>
      <c r="F1064" t="s">
        <v>323</v>
      </c>
      <c r="G1064" t="s">
        <v>4804</v>
      </c>
      <c r="H1064">
        <v>82086</v>
      </c>
      <c r="I1064" t="s">
        <v>42</v>
      </c>
      <c r="J1064" t="s">
        <v>31</v>
      </c>
      <c r="K1064" t="s">
        <v>113</v>
      </c>
      <c r="L1064" t="s">
        <v>33</v>
      </c>
      <c r="M1064">
        <v>21</v>
      </c>
      <c r="N1064" t="s">
        <v>45</v>
      </c>
      <c r="O1064">
        <v>2</v>
      </c>
      <c r="P1064">
        <v>4</v>
      </c>
      <c r="Q1064">
        <v>1</v>
      </c>
      <c r="S1064">
        <v>6</v>
      </c>
      <c r="T1064">
        <v>1</v>
      </c>
      <c r="U1064">
        <v>13</v>
      </c>
      <c r="V1064" t="s">
        <v>4805</v>
      </c>
      <c r="W1064" t="s">
        <v>45</v>
      </c>
      <c r="X1064" t="s">
        <v>4806</v>
      </c>
    </row>
    <row r="1065" spans="1:24" x14ac:dyDescent="0.25">
      <c r="A1065" t="s">
        <v>4807</v>
      </c>
      <c r="B1065" t="s">
        <v>2245</v>
      </c>
      <c r="D1065">
        <v>32</v>
      </c>
      <c r="E1065" t="s">
        <v>798</v>
      </c>
      <c r="F1065" t="s">
        <v>1590</v>
      </c>
      <c r="G1065" t="s">
        <v>4808</v>
      </c>
      <c r="I1065" t="s">
        <v>42</v>
      </c>
      <c r="J1065" t="s">
        <v>31</v>
      </c>
      <c r="K1065" t="s">
        <v>106</v>
      </c>
      <c r="L1065" t="s">
        <v>33</v>
      </c>
      <c r="M1065">
        <v>29</v>
      </c>
      <c r="O1065">
        <v>3</v>
      </c>
      <c r="P1065">
        <v>4</v>
      </c>
      <c r="R1065">
        <v>1</v>
      </c>
      <c r="S1065">
        <v>4</v>
      </c>
      <c r="T1065">
        <v>0</v>
      </c>
      <c r="U1065">
        <v>25</v>
      </c>
      <c r="V1065" t="s">
        <v>4809</v>
      </c>
      <c r="W1065" t="s">
        <v>45</v>
      </c>
      <c r="X1065" t="s">
        <v>4810</v>
      </c>
    </row>
    <row r="1066" spans="1:24" x14ac:dyDescent="0.25">
      <c r="A1066" t="s">
        <v>4811</v>
      </c>
      <c r="B1066" t="s">
        <v>4812</v>
      </c>
      <c r="C1066" t="s">
        <v>67</v>
      </c>
      <c r="D1066">
        <v>41</v>
      </c>
      <c r="E1066" t="s">
        <v>27</v>
      </c>
      <c r="F1066" t="s">
        <v>75</v>
      </c>
      <c r="G1066" t="s">
        <v>4813</v>
      </c>
      <c r="H1066" t="s">
        <v>4814</v>
      </c>
      <c r="I1066" t="s">
        <v>30</v>
      </c>
      <c r="J1066" t="s">
        <v>61</v>
      </c>
      <c r="K1066" t="s">
        <v>200</v>
      </c>
      <c r="L1066" t="s">
        <v>33</v>
      </c>
      <c r="M1066">
        <v>18</v>
      </c>
      <c r="N1066" t="s">
        <v>34</v>
      </c>
      <c r="O1066">
        <v>4</v>
      </c>
      <c r="P1066">
        <v>3</v>
      </c>
      <c r="Q1066">
        <v>3</v>
      </c>
      <c r="R1066">
        <v>3</v>
      </c>
      <c r="S1066">
        <v>5</v>
      </c>
      <c r="T1066">
        <v>2</v>
      </c>
      <c r="U1066">
        <v>25</v>
      </c>
      <c r="V1066" t="s">
        <v>4815</v>
      </c>
      <c r="W1066" t="s">
        <v>34</v>
      </c>
    </row>
    <row r="1067" spans="1:24" x14ac:dyDescent="0.25">
      <c r="A1067" t="s">
        <v>4816</v>
      </c>
      <c r="B1067" t="s">
        <v>4817</v>
      </c>
      <c r="C1067" t="s">
        <v>81</v>
      </c>
      <c r="D1067">
        <v>25</v>
      </c>
      <c r="F1067" t="s">
        <v>3201</v>
      </c>
      <c r="G1067" t="s">
        <v>4818</v>
      </c>
      <c r="H1067" t="s">
        <v>4819</v>
      </c>
      <c r="I1067" t="s">
        <v>52</v>
      </c>
      <c r="J1067" t="s">
        <v>31</v>
      </c>
      <c r="K1067" t="s">
        <v>98</v>
      </c>
      <c r="L1067" t="s">
        <v>62</v>
      </c>
      <c r="M1067">
        <v>2</v>
      </c>
      <c r="N1067" t="s">
        <v>34</v>
      </c>
      <c r="O1067">
        <v>4</v>
      </c>
      <c r="Q1067">
        <v>3</v>
      </c>
      <c r="R1067">
        <v>3</v>
      </c>
      <c r="S1067">
        <v>3</v>
      </c>
      <c r="T1067">
        <v>4</v>
      </c>
      <c r="U1067">
        <v>13</v>
      </c>
      <c r="V1067" t="s">
        <v>4820</v>
      </c>
      <c r="W1067" t="s">
        <v>34</v>
      </c>
    </row>
    <row r="1068" spans="1:24" x14ac:dyDescent="0.25">
      <c r="A1068" t="s">
        <v>4821</v>
      </c>
      <c r="B1068" t="s">
        <v>4822</v>
      </c>
      <c r="C1068" t="s">
        <v>87</v>
      </c>
      <c r="D1068">
        <v>40</v>
      </c>
      <c r="E1068" t="s">
        <v>94</v>
      </c>
      <c r="F1068" t="s">
        <v>3729</v>
      </c>
      <c r="G1068" t="s">
        <v>4823</v>
      </c>
      <c r="H1068" t="s">
        <v>4824</v>
      </c>
      <c r="I1068" t="s">
        <v>42</v>
      </c>
      <c r="J1068" t="s">
        <v>143</v>
      </c>
      <c r="K1068" t="s">
        <v>83</v>
      </c>
      <c r="L1068" t="s">
        <v>43</v>
      </c>
      <c r="M1068">
        <v>28</v>
      </c>
      <c r="N1068" t="s">
        <v>34</v>
      </c>
      <c r="O1068">
        <v>2</v>
      </c>
      <c r="P1068">
        <v>2</v>
      </c>
      <c r="Q1068">
        <v>3</v>
      </c>
      <c r="R1068">
        <v>4</v>
      </c>
      <c r="S1068">
        <v>5</v>
      </c>
      <c r="T1068">
        <v>5</v>
      </c>
      <c r="U1068">
        <v>12</v>
      </c>
      <c r="V1068" t="s">
        <v>4825</v>
      </c>
      <c r="W1068" t="s">
        <v>34</v>
      </c>
    </row>
    <row r="1069" spans="1:24" x14ac:dyDescent="0.25">
      <c r="A1069" t="s">
        <v>4826</v>
      </c>
      <c r="B1069" t="s">
        <v>4827</v>
      </c>
      <c r="C1069" t="s">
        <v>102</v>
      </c>
      <c r="D1069">
        <v>45</v>
      </c>
      <c r="E1069" t="s">
        <v>94</v>
      </c>
      <c r="F1069" t="s">
        <v>306</v>
      </c>
      <c r="G1069" t="s">
        <v>4828</v>
      </c>
      <c r="H1069">
        <v>92134</v>
      </c>
      <c r="I1069" t="s">
        <v>52</v>
      </c>
      <c r="J1069" t="s">
        <v>61</v>
      </c>
      <c r="K1069" t="s">
        <v>98</v>
      </c>
      <c r="L1069" t="s">
        <v>33</v>
      </c>
      <c r="M1069">
        <v>24</v>
      </c>
      <c r="N1069" t="s">
        <v>45</v>
      </c>
      <c r="O1069">
        <v>3</v>
      </c>
      <c r="P1069">
        <v>2</v>
      </c>
      <c r="Q1069">
        <v>1</v>
      </c>
      <c r="S1069">
        <v>3</v>
      </c>
      <c r="T1069">
        <v>2</v>
      </c>
      <c r="U1069">
        <v>17</v>
      </c>
      <c r="V1069" t="s">
        <v>4829</v>
      </c>
      <c r="W1069" t="s">
        <v>45</v>
      </c>
      <c r="X1069" t="s">
        <v>4830</v>
      </c>
    </row>
    <row r="1070" spans="1:24" x14ac:dyDescent="0.25">
      <c r="A1070" t="s">
        <v>4831</v>
      </c>
      <c r="B1070" t="s">
        <v>4832</v>
      </c>
      <c r="C1070" t="s">
        <v>58</v>
      </c>
      <c r="D1070">
        <v>33</v>
      </c>
      <c r="E1070" t="s">
        <v>332</v>
      </c>
      <c r="F1070" t="s">
        <v>136</v>
      </c>
      <c r="G1070" t="s">
        <v>543</v>
      </c>
      <c r="H1070" t="s">
        <v>4833</v>
      </c>
      <c r="I1070" t="s">
        <v>52</v>
      </c>
      <c r="J1070" t="s">
        <v>31</v>
      </c>
      <c r="K1070" t="s">
        <v>113</v>
      </c>
      <c r="L1070" t="s">
        <v>62</v>
      </c>
      <c r="M1070">
        <v>2</v>
      </c>
      <c r="N1070" t="s">
        <v>34</v>
      </c>
      <c r="O1070">
        <v>2</v>
      </c>
      <c r="P1070">
        <v>4</v>
      </c>
      <c r="Q1070">
        <v>4</v>
      </c>
      <c r="R1070">
        <v>4</v>
      </c>
      <c r="S1070">
        <v>6</v>
      </c>
      <c r="T1070">
        <v>4</v>
      </c>
      <c r="U1070">
        <v>20</v>
      </c>
      <c r="V1070" t="s">
        <v>4834</v>
      </c>
      <c r="W1070" t="s">
        <v>34</v>
      </c>
    </row>
    <row r="1071" spans="1:24" x14ac:dyDescent="0.25">
      <c r="A1071" t="s">
        <v>4835</v>
      </c>
      <c r="B1071" t="s">
        <v>4836</v>
      </c>
      <c r="C1071" t="s">
        <v>73</v>
      </c>
      <c r="D1071">
        <v>20</v>
      </c>
      <c r="E1071" t="s">
        <v>94</v>
      </c>
      <c r="F1071" t="s">
        <v>1112</v>
      </c>
      <c r="G1071" t="s">
        <v>4837</v>
      </c>
      <c r="H1071" t="s">
        <v>4838</v>
      </c>
      <c r="I1071" t="s">
        <v>42</v>
      </c>
      <c r="K1071" t="s">
        <v>77</v>
      </c>
      <c r="L1071" t="s">
        <v>43</v>
      </c>
      <c r="M1071">
        <v>24</v>
      </c>
      <c r="N1071" t="s">
        <v>34</v>
      </c>
      <c r="O1071">
        <v>2</v>
      </c>
      <c r="P1071">
        <v>4</v>
      </c>
      <c r="Q1071">
        <v>1</v>
      </c>
      <c r="R1071">
        <v>5</v>
      </c>
      <c r="S1071">
        <v>3</v>
      </c>
      <c r="T1071">
        <v>7</v>
      </c>
      <c r="U1071">
        <v>13</v>
      </c>
      <c r="V1071" t="s">
        <v>4839</v>
      </c>
      <c r="W1071" t="s">
        <v>34</v>
      </c>
    </row>
    <row r="1072" spans="1:24" x14ac:dyDescent="0.25">
      <c r="A1072" t="s">
        <v>4840</v>
      </c>
      <c r="B1072" t="s">
        <v>4841</v>
      </c>
      <c r="C1072" t="s">
        <v>87</v>
      </c>
      <c r="D1072">
        <v>19</v>
      </c>
      <c r="E1072" t="s">
        <v>94</v>
      </c>
      <c r="F1072" t="s">
        <v>266</v>
      </c>
      <c r="G1072" t="s">
        <v>4842</v>
      </c>
      <c r="H1072">
        <v>62692</v>
      </c>
      <c r="I1072" t="s">
        <v>30</v>
      </c>
      <c r="J1072" t="s">
        <v>53</v>
      </c>
      <c r="K1072" t="s">
        <v>54</v>
      </c>
      <c r="L1072" t="s">
        <v>43</v>
      </c>
      <c r="M1072">
        <v>34</v>
      </c>
      <c r="N1072" t="s">
        <v>45</v>
      </c>
      <c r="O1072">
        <v>3</v>
      </c>
      <c r="P1072">
        <v>3</v>
      </c>
      <c r="Q1072">
        <v>4</v>
      </c>
      <c r="R1072">
        <v>4</v>
      </c>
      <c r="T1072">
        <v>6</v>
      </c>
      <c r="U1072">
        <v>22</v>
      </c>
      <c r="V1072" t="s">
        <v>4843</v>
      </c>
      <c r="W1072" t="s">
        <v>34</v>
      </c>
    </row>
    <row r="1073" spans="1:24" x14ac:dyDescent="0.25">
      <c r="A1073" t="s">
        <v>4844</v>
      </c>
      <c r="B1073" t="s">
        <v>4845</v>
      </c>
      <c r="C1073" t="s">
        <v>67</v>
      </c>
      <c r="D1073">
        <v>33</v>
      </c>
      <c r="E1073" t="s">
        <v>332</v>
      </c>
      <c r="F1073" t="s">
        <v>148</v>
      </c>
      <c r="G1073" t="s">
        <v>4846</v>
      </c>
      <c r="H1073">
        <v>43331</v>
      </c>
      <c r="I1073" t="s">
        <v>30</v>
      </c>
      <c r="J1073" t="s">
        <v>61</v>
      </c>
      <c r="K1073" t="s">
        <v>113</v>
      </c>
      <c r="L1073" t="s">
        <v>62</v>
      </c>
      <c r="M1073">
        <v>7</v>
      </c>
      <c r="N1073" t="s">
        <v>45</v>
      </c>
      <c r="O1073">
        <v>2</v>
      </c>
      <c r="P1073">
        <v>1</v>
      </c>
      <c r="Q1073">
        <v>2</v>
      </c>
      <c r="R1073">
        <v>4</v>
      </c>
      <c r="S1073">
        <v>2</v>
      </c>
      <c r="T1073">
        <v>5</v>
      </c>
      <c r="U1073">
        <v>14</v>
      </c>
      <c r="V1073" t="s">
        <v>4847</v>
      </c>
      <c r="W1073" t="s">
        <v>45</v>
      </c>
      <c r="X1073" t="s">
        <v>4848</v>
      </c>
    </row>
    <row r="1074" spans="1:24" x14ac:dyDescent="0.25">
      <c r="A1074" t="s">
        <v>4849</v>
      </c>
      <c r="B1074" t="s">
        <v>4850</v>
      </c>
      <c r="C1074" t="s">
        <v>49</v>
      </c>
      <c r="D1074">
        <v>38</v>
      </c>
      <c r="E1074" t="s">
        <v>94</v>
      </c>
      <c r="F1074" t="s">
        <v>639</v>
      </c>
      <c r="G1074" t="s">
        <v>4851</v>
      </c>
      <c r="H1074">
        <v>110301</v>
      </c>
      <c r="J1074" t="s">
        <v>97</v>
      </c>
      <c r="K1074" t="s">
        <v>83</v>
      </c>
      <c r="L1074" t="s">
        <v>62</v>
      </c>
      <c r="M1074">
        <v>23</v>
      </c>
      <c r="N1074" t="s">
        <v>45</v>
      </c>
      <c r="O1074">
        <v>2</v>
      </c>
      <c r="P1074">
        <v>4</v>
      </c>
      <c r="Q1074">
        <v>3</v>
      </c>
      <c r="R1074">
        <v>3</v>
      </c>
      <c r="S1074">
        <v>3</v>
      </c>
      <c r="T1074">
        <v>6</v>
      </c>
      <c r="U1074">
        <v>21</v>
      </c>
      <c r="V1074" t="s">
        <v>4852</v>
      </c>
      <c r="W1074" t="s">
        <v>34</v>
      </c>
    </row>
    <row r="1075" spans="1:24" x14ac:dyDescent="0.25">
      <c r="A1075" t="s">
        <v>4853</v>
      </c>
      <c r="B1075" t="s">
        <v>4854</v>
      </c>
      <c r="C1075" t="s">
        <v>102</v>
      </c>
      <c r="D1075">
        <v>46</v>
      </c>
      <c r="E1075" t="s">
        <v>128</v>
      </c>
      <c r="F1075" t="s">
        <v>123</v>
      </c>
      <c r="G1075" t="s">
        <v>4855</v>
      </c>
      <c r="H1075">
        <v>54967</v>
      </c>
      <c r="I1075" t="s">
        <v>52</v>
      </c>
      <c r="J1075" t="s">
        <v>61</v>
      </c>
      <c r="K1075" t="s">
        <v>54</v>
      </c>
      <c r="L1075" t="s">
        <v>62</v>
      </c>
      <c r="M1075">
        <v>40</v>
      </c>
      <c r="N1075" t="s">
        <v>34</v>
      </c>
      <c r="O1075">
        <v>3</v>
      </c>
      <c r="P1075">
        <v>1</v>
      </c>
      <c r="Q1075">
        <v>4</v>
      </c>
      <c r="S1075">
        <v>1</v>
      </c>
      <c r="T1075">
        <v>1</v>
      </c>
      <c r="U1075">
        <v>19</v>
      </c>
      <c r="V1075" t="s">
        <v>4856</v>
      </c>
      <c r="W1075" t="s">
        <v>34</v>
      </c>
    </row>
    <row r="1076" spans="1:24" x14ac:dyDescent="0.25">
      <c r="A1076" t="s">
        <v>4857</v>
      </c>
      <c r="B1076" t="s">
        <v>1960</v>
      </c>
      <c r="C1076" t="s">
        <v>49</v>
      </c>
      <c r="D1076">
        <v>45</v>
      </c>
      <c r="E1076" t="s">
        <v>27</v>
      </c>
      <c r="F1076" t="s">
        <v>50</v>
      </c>
      <c r="G1076" t="s">
        <v>4858</v>
      </c>
      <c r="H1076" t="s">
        <v>4859</v>
      </c>
      <c r="I1076" t="s">
        <v>52</v>
      </c>
      <c r="J1076" t="s">
        <v>61</v>
      </c>
      <c r="K1076" t="s">
        <v>167</v>
      </c>
      <c r="L1076" t="s">
        <v>43</v>
      </c>
      <c r="M1076">
        <v>17</v>
      </c>
      <c r="N1076" t="s">
        <v>34</v>
      </c>
      <c r="O1076">
        <v>3</v>
      </c>
      <c r="P1076">
        <v>2</v>
      </c>
      <c r="Q1076">
        <v>2</v>
      </c>
      <c r="R1076">
        <v>3</v>
      </c>
      <c r="S1076">
        <v>3</v>
      </c>
      <c r="T1076">
        <v>1</v>
      </c>
      <c r="U1076">
        <v>11</v>
      </c>
      <c r="V1076" t="s">
        <v>4860</v>
      </c>
      <c r="W1076" t="s">
        <v>34</v>
      </c>
    </row>
    <row r="1077" spans="1:24" x14ac:dyDescent="0.25">
      <c r="A1077" t="s">
        <v>4861</v>
      </c>
      <c r="B1077" t="s">
        <v>4862</v>
      </c>
      <c r="C1077" t="s">
        <v>26</v>
      </c>
      <c r="D1077">
        <v>30</v>
      </c>
      <c r="E1077" t="s">
        <v>128</v>
      </c>
      <c r="F1077" t="s">
        <v>271</v>
      </c>
      <c r="G1077" t="s">
        <v>4863</v>
      </c>
      <c r="H1077">
        <v>56696</v>
      </c>
      <c r="I1077" t="s">
        <v>52</v>
      </c>
      <c r="J1077" t="s">
        <v>31</v>
      </c>
      <c r="K1077" t="s">
        <v>54</v>
      </c>
      <c r="L1077" t="s">
        <v>43</v>
      </c>
      <c r="M1077">
        <v>12</v>
      </c>
      <c r="N1077" t="s">
        <v>45</v>
      </c>
      <c r="O1077">
        <v>4</v>
      </c>
      <c r="P1077">
        <v>3</v>
      </c>
      <c r="Q1077">
        <v>4</v>
      </c>
      <c r="R1077">
        <v>3</v>
      </c>
      <c r="S1077">
        <v>5</v>
      </c>
      <c r="T1077">
        <v>7</v>
      </c>
      <c r="U1077">
        <v>13</v>
      </c>
      <c r="V1077" t="s">
        <v>4864</v>
      </c>
      <c r="W1077" t="s">
        <v>34</v>
      </c>
    </row>
    <row r="1078" spans="1:24" x14ac:dyDescent="0.25">
      <c r="A1078" t="s">
        <v>4865</v>
      </c>
      <c r="B1078" t="s">
        <v>4866</v>
      </c>
      <c r="C1078" t="s">
        <v>87</v>
      </c>
      <c r="D1078">
        <v>31</v>
      </c>
      <c r="E1078" t="s">
        <v>27</v>
      </c>
      <c r="F1078" t="s">
        <v>75</v>
      </c>
      <c r="G1078" t="s">
        <v>4867</v>
      </c>
      <c r="H1078" t="s">
        <v>4868</v>
      </c>
      <c r="I1078" t="s">
        <v>52</v>
      </c>
      <c r="J1078" t="s">
        <v>31</v>
      </c>
      <c r="K1078" t="s">
        <v>77</v>
      </c>
      <c r="L1078" t="s">
        <v>62</v>
      </c>
      <c r="M1078">
        <v>23</v>
      </c>
      <c r="N1078" t="s">
        <v>45</v>
      </c>
      <c r="O1078">
        <v>4</v>
      </c>
      <c r="P1078">
        <v>4</v>
      </c>
      <c r="Q1078">
        <v>4</v>
      </c>
      <c r="R1078">
        <v>4</v>
      </c>
      <c r="S1078">
        <v>5</v>
      </c>
      <c r="T1078">
        <v>3</v>
      </c>
      <c r="U1078">
        <v>13</v>
      </c>
      <c r="V1078" t="s">
        <v>4869</v>
      </c>
      <c r="W1078" t="s">
        <v>34</v>
      </c>
    </row>
    <row r="1079" spans="1:24" x14ac:dyDescent="0.25">
      <c r="A1079" t="s">
        <v>4870</v>
      </c>
      <c r="B1079" t="s">
        <v>4871</v>
      </c>
      <c r="C1079" t="s">
        <v>67</v>
      </c>
      <c r="D1079">
        <v>34</v>
      </c>
      <c r="E1079" t="s">
        <v>88</v>
      </c>
      <c r="F1079" t="s">
        <v>141</v>
      </c>
      <c r="G1079" t="s">
        <v>4872</v>
      </c>
      <c r="H1079">
        <v>99137</v>
      </c>
      <c r="I1079" t="s">
        <v>30</v>
      </c>
      <c r="J1079" t="s">
        <v>61</v>
      </c>
      <c r="K1079" t="s">
        <v>113</v>
      </c>
      <c r="L1079" t="s">
        <v>43</v>
      </c>
      <c r="M1079">
        <v>39</v>
      </c>
      <c r="N1079" t="s">
        <v>34</v>
      </c>
      <c r="O1079">
        <v>3</v>
      </c>
      <c r="P1079">
        <v>3</v>
      </c>
      <c r="Q1079">
        <v>2</v>
      </c>
      <c r="R1079">
        <v>1</v>
      </c>
      <c r="S1079">
        <v>1</v>
      </c>
      <c r="T1079">
        <v>6</v>
      </c>
      <c r="U1079">
        <v>21</v>
      </c>
      <c r="V1079" t="s">
        <v>4873</v>
      </c>
      <c r="W1079" t="s">
        <v>34</v>
      </c>
    </row>
    <row r="1080" spans="1:24" x14ac:dyDescent="0.25">
      <c r="A1080" t="s">
        <v>4874</v>
      </c>
      <c r="B1080" t="s">
        <v>4875</v>
      </c>
      <c r="C1080" t="s">
        <v>49</v>
      </c>
      <c r="D1080">
        <v>47</v>
      </c>
      <c r="E1080" t="s">
        <v>412</v>
      </c>
      <c r="F1080" t="s">
        <v>4876</v>
      </c>
      <c r="G1080" t="s">
        <v>4877</v>
      </c>
      <c r="H1080">
        <v>97171</v>
      </c>
      <c r="I1080" t="s">
        <v>42</v>
      </c>
      <c r="J1080" t="s">
        <v>31</v>
      </c>
      <c r="K1080" t="s">
        <v>200</v>
      </c>
      <c r="L1080" t="s">
        <v>43</v>
      </c>
      <c r="M1080">
        <v>43</v>
      </c>
      <c r="N1080" t="s">
        <v>34</v>
      </c>
      <c r="O1080">
        <v>3</v>
      </c>
      <c r="P1080">
        <v>2</v>
      </c>
      <c r="Q1080">
        <v>2</v>
      </c>
      <c r="R1080">
        <v>4</v>
      </c>
      <c r="S1080">
        <v>6</v>
      </c>
      <c r="T1080">
        <v>1</v>
      </c>
      <c r="U1080">
        <v>23</v>
      </c>
      <c r="V1080" t="s">
        <v>4878</v>
      </c>
      <c r="W1080" t="s">
        <v>34</v>
      </c>
    </row>
    <row r="1081" spans="1:24" x14ac:dyDescent="0.25">
      <c r="A1081" t="s">
        <v>4879</v>
      </c>
      <c r="B1081" t="s">
        <v>4880</v>
      </c>
      <c r="C1081" t="s">
        <v>67</v>
      </c>
      <c r="D1081">
        <v>36</v>
      </c>
      <c r="E1081" t="s">
        <v>88</v>
      </c>
      <c r="F1081" t="s">
        <v>141</v>
      </c>
      <c r="G1081" t="s">
        <v>4881</v>
      </c>
      <c r="H1081">
        <v>141290</v>
      </c>
      <c r="I1081" t="s">
        <v>42</v>
      </c>
      <c r="J1081" t="s">
        <v>53</v>
      </c>
      <c r="K1081" t="s">
        <v>113</v>
      </c>
      <c r="L1081" t="s">
        <v>62</v>
      </c>
      <c r="M1081">
        <v>17</v>
      </c>
      <c r="N1081" t="s">
        <v>45</v>
      </c>
      <c r="O1081">
        <v>1</v>
      </c>
      <c r="P1081">
        <v>1</v>
      </c>
      <c r="Q1081">
        <v>4</v>
      </c>
      <c r="R1081">
        <v>5</v>
      </c>
      <c r="S1081">
        <v>2</v>
      </c>
      <c r="T1081">
        <v>6</v>
      </c>
      <c r="U1081">
        <v>20</v>
      </c>
      <c r="V1081" t="s">
        <v>4882</v>
      </c>
      <c r="W1081" t="s">
        <v>45</v>
      </c>
      <c r="X1081" t="s">
        <v>4883</v>
      </c>
    </row>
    <row r="1082" spans="1:24" x14ac:dyDescent="0.25">
      <c r="A1082" t="s">
        <v>4884</v>
      </c>
      <c r="B1082" t="s">
        <v>4885</v>
      </c>
      <c r="C1082" t="s">
        <v>102</v>
      </c>
      <c r="D1082">
        <v>35</v>
      </c>
      <c r="E1082" t="s">
        <v>798</v>
      </c>
      <c r="F1082" t="s">
        <v>59</v>
      </c>
      <c r="G1082" t="s">
        <v>3900</v>
      </c>
      <c r="H1082">
        <v>118855</v>
      </c>
      <c r="I1082" t="s">
        <v>52</v>
      </c>
      <c r="J1082" t="s">
        <v>61</v>
      </c>
      <c r="K1082" t="s">
        <v>83</v>
      </c>
      <c r="L1082" t="s">
        <v>62</v>
      </c>
      <c r="M1082">
        <v>3</v>
      </c>
      <c r="N1082" t="s">
        <v>45</v>
      </c>
      <c r="O1082">
        <v>3</v>
      </c>
      <c r="P1082">
        <v>4</v>
      </c>
      <c r="Q1082">
        <v>4</v>
      </c>
      <c r="R1082">
        <v>2</v>
      </c>
      <c r="S1082">
        <v>5</v>
      </c>
      <c r="T1082">
        <v>8</v>
      </c>
      <c r="U1082">
        <v>12</v>
      </c>
      <c r="V1082" t="s">
        <v>4886</v>
      </c>
      <c r="W1082" t="s">
        <v>34</v>
      </c>
    </row>
    <row r="1083" spans="1:24" x14ac:dyDescent="0.25">
      <c r="A1083" t="s">
        <v>4887</v>
      </c>
      <c r="B1083" t="s">
        <v>4888</v>
      </c>
      <c r="C1083" t="s">
        <v>102</v>
      </c>
      <c r="D1083">
        <v>34</v>
      </c>
      <c r="E1083" t="s">
        <v>197</v>
      </c>
      <c r="F1083" t="s">
        <v>323</v>
      </c>
      <c r="G1083" t="s">
        <v>4889</v>
      </c>
      <c r="H1083">
        <v>65392</v>
      </c>
      <c r="I1083" t="s">
        <v>42</v>
      </c>
      <c r="J1083" t="s">
        <v>53</v>
      </c>
      <c r="K1083" t="s">
        <v>54</v>
      </c>
      <c r="L1083" t="s">
        <v>33</v>
      </c>
      <c r="M1083">
        <v>15</v>
      </c>
      <c r="N1083" t="s">
        <v>34</v>
      </c>
      <c r="O1083">
        <v>4</v>
      </c>
      <c r="P1083">
        <v>3</v>
      </c>
      <c r="Q1083">
        <v>3</v>
      </c>
      <c r="R1083">
        <v>5</v>
      </c>
      <c r="S1083">
        <v>3</v>
      </c>
      <c r="T1083">
        <v>3</v>
      </c>
      <c r="U1083">
        <v>12</v>
      </c>
      <c r="V1083" t="s">
        <v>4890</v>
      </c>
      <c r="W1083" t="s">
        <v>34</v>
      </c>
    </row>
    <row r="1084" spans="1:24" x14ac:dyDescent="0.25">
      <c r="A1084" t="s">
        <v>4891</v>
      </c>
      <c r="B1084" t="s">
        <v>4892</v>
      </c>
      <c r="C1084" t="s">
        <v>26</v>
      </c>
      <c r="D1084">
        <v>46</v>
      </c>
      <c r="E1084" t="s">
        <v>197</v>
      </c>
      <c r="F1084" t="s">
        <v>323</v>
      </c>
      <c r="G1084" t="s">
        <v>4893</v>
      </c>
      <c r="H1084">
        <v>68775</v>
      </c>
      <c r="I1084" t="s">
        <v>30</v>
      </c>
      <c r="J1084" t="s">
        <v>53</v>
      </c>
      <c r="K1084" t="s">
        <v>83</v>
      </c>
      <c r="L1084" t="s">
        <v>33</v>
      </c>
      <c r="M1084">
        <v>41</v>
      </c>
      <c r="N1084" t="s">
        <v>45</v>
      </c>
      <c r="O1084">
        <v>1</v>
      </c>
      <c r="P1084">
        <v>1</v>
      </c>
      <c r="Q1084">
        <v>3</v>
      </c>
      <c r="R1084">
        <v>4</v>
      </c>
      <c r="S1084">
        <v>3</v>
      </c>
      <c r="T1084">
        <v>7</v>
      </c>
      <c r="U1084">
        <v>25</v>
      </c>
      <c r="V1084" t="s">
        <v>4894</v>
      </c>
      <c r="W1084" t="s">
        <v>45</v>
      </c>
      <c r="X1084" t="s">
        <v>4895</v>
      </c>
    </row>
    <row r="1085" spans="1:24" x14ac:dyDescent="0.25">
      <c r="A1085" t="s">
        <v>4896</v>
      </c>
      <c r="B1085" t="s">
        <v>4897</v>
      </c>
      <c r="C1085" t="s">
        <v>49</v>
      </c>
      <c r="D1085">
        <v>45</v>
      </c>
      <c r="E1085" t="s">
        <v>27</v>
      </c>
      <c r="F1085" t="s">
        <v>50</v>
      </c>
      <c r="G1085" t="s">
        <v>4898</v>
      </c>
      <c r="H1085">
        <v>68914</v>
      </c>
      <c r="I1085" t="s">
        <v>52</v>
      </c>
      <c r="J1085" t="s">
        <v>61</v>
      </c>
      <c r="K1085" t="s">
        <v>113</v>
      </c>
      <c r="L1085" t="s">
        <v>62</v>
      </c>
      <c r="M1085">
        <v>37</v>
      </c>
      <c r="N1085" t="s">
        <v>34</v>
      </c>
      <c r="O1085">
        <v>1</v>
      </c>
      <c r="P1085">
        <v>2</v>
      </c>
      <c r="Q1085">
        <v>3</v>
      </c>
      <c r="R1085">
        <v>3</v>
      </c>
      <c r="S1085">
        <v>1</v>
      </c>
      <c r="T1085">
        <v>0</v>
      </c>
      <c r="U1085">
        <v>14</v>
      </c>
      <c r="V1085" t="s">
        <v>4899</v>
      </c>
      <c r="W1085" t="s">
        <v>45</v>
      </c>
      <c r="X1085" t="s">
        <v>4900</v>
      </c>
    </row>
    <row r="1086" spans="1:24" x14ac:dyDescent="0.25">
      <c r="A1086" t="s">
        <v>4901</v>
      </c>
      <c r="B1086" t="s">
        <v>4902</v>
      </c>
      <c r="C1086" t="s">
        <v>73</v>
      </c>
      <c r="D1086">
        <v>41</v>
      </c>
      <c r="E1086" t="s">
        <v>27</v>
      </c>
      <c r="F1086" t="s">
        <v>562</v>
      </c>
      <c r="G1086" t="s">
        <v>4903</v>
      </c>
      <c r="H1086">
        <v>70596</v>
      </c>
      <c r="I1086" t="s">
        <v>42</v>
      </c>
      <c r="J1086" t="s">
        <v>61</v>
      </c>
      <c r="K1086" t="s">
        <v>98</v>
      </c>
      <c r="L1086" t="s">
        <v>33</v>
      </c>
      <c r="M1086">
        <v>4</v>
      </c>
      <c r="N1086" t="s">
        <v>34</v>
      </c>
      <c r="O1086">
        <v>4</v>
      </c>
      <c r="P1086">
        <v>2</v>
      </c>
      <c r="Q1086">
        <v>3</v>
      </c>
      <c r="R1086">
        <v>5</v>
      </c>
      <c r="S1086">
        <v>5</v>
      </c>
      <c r="T1086">
        <v>7</v>
      </c>
      <c r="U1086">
        <v>15</v>
      </c>
      <c r="V1086" t="s">
        <v>4904</v>
      </c>
      <c r="W1086" t="s">
        <v>34</v>
      </c>
    </row>
    <row r="1087" spans="1:24" x14ac:dyDescent="0.25">
      <c r="A1087" t="s">
        <v>4905</v>
      </c>
      <c r="B1087" t="s">
        <v>4906</v>
      </c>
      <c r="C1087" t="s">
        <v>67</v>
      </c>
      <c r="D1087">
        <v>33</v>
      </c>
      <c r="E1087" t="s">
        <v>128</v>
      </c>
      <c r="F1087" t="s">
        <v>226</v>
      </c>
      <c r="G1087" t="s">
        <v>4907</v>
      </c>
      <c r="H1087">
        <v>57882</v>
      </c>
      <c r="I1087" t="s">
        <v>52</v>
      </c>
      <c r="J1087" t="s">
        <v>61</v>
      </c>
      <c r="K1087" t="s">
        <v>98</v>
      </c>
      <c r="L1087" t="s">
        <v>62</v>
      </c>
      <c r="M1087">
        <v>12</v>
      </c>
      <c r="N1087" t="s">
        <v>45</v>
      </c>
      <c r="O1087">
        <v>4</v>
      </c>
      <c r="P1087">
        <v>3</v>
      </c>
      <c r="Q1087">
        <v>4</v>
      </c>
      <c r="R1087">
        <v>3</v>
      </c>
      <c r="S1087">
        <v>1</v>
      </c>
      <c r="U1087">
        <v>24</v>
      </c>
      <c r="V1087" t="s">
        <v>4908</v>
      </c>
      <c r="W1087" t="s">
        <v>34</v>
      </c>
    </row>
    <row r="1088" spans="1:24" x14ac:dyDescent="0.25">
      <c r="A1088" t="s">
        <v>4909</v>
      </c>
      <c r="B1088" t="s">
        <v>4910</v>
      </c>
      <c r="D1088">
        <v>35</v>
      </c>
      <c r="F1088" t="s">
        <v>188</v>
      </c>
      <c r="G1088" t="s">
        <v>4911</v>
      </c>
      <c r="H1088">
        <v>91589</v>
      </c>
      <c r="I1088" t="s">
        <v>52</v>
      </c>
      <c r="J1088" t="s">
        <v>31</v>
      </c>
      <c r="K1088" t="s">
        <v>200</v>
      </c>
      <c r="L1088" t="s">
        <v>33</v>
      </c>
      <c r="M1088">
        <v>17</v>
      </c>
      <c r="N1088" t="s">
        <v>45</v>
      </c>
      <c r="O1088">
        <v>4</v>
      </c>
      <c r="P1088">
        <v>3</v>
      </c>
      <c r="Q1088">
        <v>1</v>
      </c>
      <c r="R1088">
        <v>3</v>
      </c>
      <c r="S1088">
        <v>5</v>
      </c>
      <c r="T1088">
        <v>6</v>
      </c>
      <c r="U1088">
        <v>18</v>
      </c>
      <c r="V1088" t="s">
        <v>1663</v>
      </c>
      <c r="W1088" t="s">
        <v>34</v>
      </c>
    </row>
    <row r="1089" spans="1:24" x14ac:dyDescent="0.25">
      <c r="A1089" t="s">
        <v>4912</v>
      </c>
      <c r="B1089" t="s">
        <v>4913</v>
      </c>
      <c r="C1089" t="s">
        <v>26</v>
      </c>
      <c r="D1089">
        <v>42</v>
      </c>
      <c r="E1089" t="s">
        <v>88</v>
      </c>
      <c r="F1089" t="s">
        <v>286</v>
      </c>
      <c r="G1089" t="s">
        <v>4914</v>
      </c>
      <c r="H1089">
        <v>112804</v>
      </c>
      <c r="I1089" t="s">
        <v>52</v>
      </c>
      <c r="J1089" t="s">
        <v>61</v>
      </c>
      <c r="K1089" t="s">
        <v>83</v>
      </c>
      <c r="L1089" t="s">
        <v>43</v>
      </c>
      <c r="M1089">
        <v>7</v>
      </c>
      <c r="N1089" t="s">
        <v>45</v>
      </c>
      <c r="O1089">
        <v>1</v>
      </c>
      <c r="P1089">
        <v>3</v>
      </c>
      <c r="Q1089">
        <v>4</v>
      </c>
      <c r="R1089">
        <v>2</v>
      </c>
      <c r="S1089">
        <v>6</v>
      </c>
      <c r="U1089">
        <v>19</v>
      </c>
      <c r="V1089" t="s">
        <v>4915</v>
      </c>
      <c r="W1089" t="s">
        <v>45</v>
      </c>
      <c r="X1089" t="s">
        <v>4916</v>
      </c>
    </row>
    <row r="1090" spans="1:24" x14ac:dyDescent="0.25">
      <c r="A1090" t="s">
        <v>4917</v>
      </c>
      <c r="B1090" t="s">
        <v>1701</v>
      </c>
      <c r="C1090" t="s">
        <v>49</v>
      </c>
      <c r="D1090">
        <v>34</v>
      </c>
      <c r="E1090" t="s">
        <v>88</v>
      </c>
      <c r="F1090" t="s">
        <v>483</v>
      </c>
      <c r="G1090" t="s">
        <v>4918</v>
      </c>
      <c r="H1090">
        <v>60965</v>
      </c>
      <c r="I1090" t="s">
        <v>42</v>
      </c>
      <c r="K1090" t="s">
        <v>106</v>
      </c>
      <c r="L1090" t="s">
        <v>33</v>
      </c>
      <c r="M1090">
        <v>40</v>
      </c>
      <c r="N1090" t="s">
        <v>45</v>
      </c>
      <c r="O1090">
        <v>3</v>
      </c>
      <c r="P1090">
        <v>4</v>
      </c>
      <c r="Q1090">
        <v>4</v>
      </c>
      <c r="R1090">
        <v>3</v>
      </c>
      <c r="S1090">
        <v>5</v>
      </c>
      <c r="T1090">
        <v>4</v>
      </c>
      <c r="U1090">
        <v>12</v>
      </c>
      <c r="V1090" t="s">
        <v>4919</v>
      </c>
      <c r="W1090" t="s">
        <v>34</v>
      </c>
    </row>
    <row r="1091" spans="1:24" x14ac:dyDescent="0.25">
      <c r="A1091" t="s">
        <v>4920</v>
      </c>
      <c r="B1091" t="s">
        <v>4921</v>
      </c>
      <c r="C1091" t="s">
        <v>102</v>
      </c>
      <c r="D1091">
        <v>19</v>
      </c>
      <c r="E1091" t="s">
        <v>128</v>
      </c>
      <c r="F1091" t="s">
        <v>1274</v>
      </c>
      <c r="G1091" t="s">
        <v>4922</v>
      </c>
      <c r="H1091">
        <v>71785</v>
      </c>
      <c r="I1091" t="s">
        <v>30</v>
      </c>
      <c r="J1091" t="s">
        <v>31</v>
      </c>
      <c r="K1091" t="s">
        <v>113</v>
      </c>
      <c r="L1091" t="s">
        <v>33</v>
      </c>
      <c r="M1091">
        <v>34</v>
      </c>
      <c r="N1091" t="s">
        <v>34</v>
      </c>
      <c r="P1091">
        <v>3</v>
      </c>
      <c r="Q1091">
        <v>3</v>
      </c>
      <c r="R1091">
        <v>2</v>
      </c>
      <c r="S1091">
        <v>5</v>
      </c>
      <c r="T1091">
        <v>2</v>
      </c>
      <c r="U1091">
        <v>13</v>
      </c>
      <c r="V1091" t="s">
        <v>4923</v>
      </c>
      <c r="W1091" t="s">
        <v>34</v>
      </c>
    </row>
    <row r="1092" spans="1:24" x14ac:dyDescent="0.25">
      <c r="A1092" t="s">
        <v>4924</v>
      </c>
      <c r="B1092" t="s">
        <v>4925</v>
      </c>
      <c r="C1092" t="s">
        <v>81</v>
      </c>
      <c r="D1092">
        <v>27</v>
      </c>
      <c r="E1092" t="s">
        <v>27</v>
      </c>
      <c r="F1092" t="s">
        <v>562</v>
      </c>
      <c r="G1092" t="s">
        <v>4926</v>
      </c>
      <c r="H1092">
        <v>112186</v>
      </c>
      <c r="I1092" t="s">
        <v>42</v>
      </c>
      <c r="J1092" t="s">
        <v>143</v>
      </c>
      <c r="K1092" t="s">
        <v>77</v>
      </c>
      <c r="L1092" t="s">
        <v>62</v>
      </c>
      <c r="M1092">
        <v>42</v>
      </c>
      <c r="N1092" t="s">
        <v>34</v>
      </c>
      <c r="O1092">
        <v>4</v>
      </c>
      <c r="Q1092">
        <v>4</v>
      </c>
      <c r="R1092">
        <v>4</v>
      </c>
      <c r="S1092">
        <v>2</v>
      </c>
      <c r="T1092">
        <v>3</v>
      </c>
      <c r="U1092">
        <v>17</v>
      </c>
      <c r="V1092" t="s">
        <v>4927</v>
      </c>
      <c r="W1092" t="s">
        <v>34</v>
      </c>
    </row>
    <row r="1093" spans="1:24" x14ac:dyDescent="0.25">
      <c r="A1093" t="s">
        <v>4928</v>
      </c>
      <c r="B1093" t="s">
        <v>4929</v>
      </c>
      <c r="C1093" t="s">
        <v>81</v>
      </c>
      <c r="D1093">
        <v>34</v>
      </c>
      <c r="E1093" t="s">
        <v>412</v>
      </c>
      <c r="F1093" t="s">
        <v>1355</v>
      </c>
      <c r="G1093" t="s">
        <v>4930</v>
      </c>
      <c r="H1093">
        <v>45711</v>
      </c>
      <c r="I1093" t="s">
        <v>30</v>
      </c>
      <c r="J1093" t="s">
        <v>61</v>
      </c>
      <c r="K1093" t="s">
        <v>131</v>
      </c>
      <c r="L1093" t="s">
        <v>33</v>
      </c>
      <c r="M1093">
        <v>13</v>
      </c>
      <c r="N1093" t="s">
        <v>34</v>
      </c>
      <c r="O1093">
        <v>3</v>
      </c>
      <c r="P1093">
        <v>1</v>
      </c>
      <c r="Q1093">
        <v>3</v>
      </c>
      <c r="R1093">
        <v>3</v>
      </c>
      <c r="S1093">
        <v>6</v>
      </c>
      <c r="T1093">
        <v>1</v>
      </c>
      <c r="U1093">
        <v>16</v>
      </c>
      <c r="V1093" t="s">
        <v>4931</v>
      </c>
      <c r="W1093" t="s">
        <v>34</v>
      </c>
    </row>
    <row r="1094" spans="1:24" x14ac:dyDescent="0.25">
      <c r="A1094" t="s">
        <v>4932</v>
      </c>
      <c r="B1094" t="s">
        <v>4933</v>
      </c>
      <c r="C1094" t="s">
        <v>87</v>
      </c>
      <c r="D1094">
        <v>40</v>
      </c>
      <c r="E1094" t="s">
        <v>74</v>
      </c>
      <c r="F1094" t="s">
        <v>75</v>
      </c>
      <c r="G1094" t="s">
        <v>4324</v>
      </c>
      <c r="H1094" t="s">
        <v>4934</v>
      </c>
      <c r="I1094" t="s">
        <v>52</v>
      </c>
      <c r="J1094" t="s">
        <v>31</v>
      </c>
      <c r="K1094" t="s">
        <v>77</v>
      </c>
      <c r="L1094" t="s">
        <v>33</v>
      </c>
      <c r="M1094">
        <v>39</v>
      </c>
      <c r="N1094" t="s">
        <v>34</v>
      </c>
      <c r="O1094">
        <v>1</v>
      </c>
      <c r="P1094">
        <v>1</v>
      </c>
      <c r="Q1094">
        <v>1</v>
      </c>
      <c r="R1094">
        <v>3</v>
      </c>
      <c r="S1094">
        <v>6</v>
      </c>
      <c r="T1094">
        <v>4</v>
      </c>
      <c r="U1094">
        <v>24</v>
      </c>
      <c r="V1094" t="s">
        <v>4935</v>
      </c>
      <c r="W1094" t="s">
        <v>34</v>
      </c>
    </row>
    <row r="1095" spans="1:24" x14ac:dyDescent="0.25">
      <c r="A1095" t="s">
        <v>4936</v>
      </c>
      <c r="B1095" t="s">
        <v>4937</v>
      </c>
      <c r="C1095" t="s">
        <v>67</v>
      </c>
      <c r="D1095">
        <v>20</v>
      </c>
      <c r="E1095" t="s">
        <v>27</v>
      </c>
      <c r="F1095" t="s">
        <v>28</v>
      </c>
      <c r="G1095" t="s">
        <v>4938</v>
      </c>
      <c r="H1095">
        <v>76479</v>
      </c>
      <c r="I1095" t="s">
        <v>30</v>
      </c>
      <c r="J1095" t="s">
        <v>143</v>
      </c>
      <c r="K1095" t="s">
        <v>83</v>
      </c>
      <c r="L1095" t="s">
        <v>43</v>
      </c>
      <c r="M1095">
        <v>9</v>
      </c>
      <c r="N1095" t="s">
        <v>34</v>
      </c>
      <c r="O1095">
        <v>4</v>
      </c>
      <c r="P1095">
        <v>1</v>
      </c>
      <c r="Q1095">
        <v>3</v>
      </c>
      <c r="R1095">
        <v>3</v>
      </c>
      <c r="S1095">
        <v>4</v>
      </c>
      <c r="T1095">
        <v>6</v>
      </c>
      <c r="U1095">
        <v>12</v>
      </c>
      <c r="V1095" t="s">
        <v>4939</v>
      </c>
      <c r="W1095" t="s">
        <v>34</v>
      </c>
    </row>
    <row r="1096" spans="1:24" x14ac:dyDescent="0.25">
      <c r="A1096" t="s">
        <v>4940</v>
      </c>
      <c r="B1096" t="s">
        <v>4941</v>
      </c>
      <c r="C1096" t="s">
        <v>58</v>
      </c>
      <c r="D1096">
        <v>44</v>
      </c>
      <c r="E1096" t="s">
        <v>88</v>
      </c>
      <c r="F1096" t="s">
        <v>89</v>
      </c>
      <c r="G1096" t="s">
        <v>4942</v>
      </c>
      <c r="H1096">
        <v>62433</v>
      </c>
      <c r="I1096" t="s">
        <v>52</v>
      </c>
      <c r="J1096" t="s">
        <v>61</v>
      </c>
      <c r="K1096" t="s">
        <v>200</v>
      </c>
      <c r="L1096" t="s">
        <v>33</v>
      </c>
      <c r="M1096">
        <v>34</v>
      </c>
      <c r="N1096" t="s">
        <v>34</v>
      </c>
      <c r="O1096">
        <v>2</v>
      </c>
      <c r="P1096">
        <v>4</v>
      </c>
      <c r="Q1096">
        <v>3</v>
      </c>
      <c r="R1096">
        <v>2</v>
      </c>
      <c r="S1096">
        <v>1</v>
      </c>
      <c r="T1096">
        <v>2</v>
      </c>
      <c r="U1096">
        <v>25</v>
      </c>
      <c r="V1096" t="s">
        <v>4943</v>
      </c>
      <c r="W1096" t="s">
        <v>45</v>
      </c>
      <c r="X1096" t="s">
        <v>4944</v>
      </c>
    </row>
    <row r="1097" spans="1:24" x14ac:dyDescent="0.25">
      <c r="A1097" t="s">
        <v>779</v>
      </c>
      <c r="B1097" t="s">
        <v>780</v>
      </c>
      <c r="C1097" t="s">
        <v>67</v>
      </c>
      <c r="D1097">
        <v>33</v>
      </c>
      <c r="E1097" t="s">
        <v>197</v>
      </c>
      <c r="F1097" t="s">
        <v>235</v>
      </c>
      <c r="G1097" t="s">
        <v>782</v>
      </c>
      <c r="H1097" t="s">
        <v>783</v>
      </c>
      <c r="I1097" t="s">
        <v>42</v>
      </c>
      <c r="J1097" t="s">
        <v>61</v>
      </c>
      <c r="K1097" t="s">
        <v>98</v>
      </c>
      <c r="L1097" t="s">
        <v>62</v>
      </c>
      <c r="M1097">
        <v>24</v>
      </c>
      <c r="N1097" t="s">
        <v>34</v>
      </c>
      <c r="O1097">
        <v>1</v>
      </c>
      <c r="P1097">
        <v>1</v>
      </c>
      <c r="Q1097">
        <v>3</v>
      </c>
      <c r="R1097">
        <v>2</v>
      </c>
      <c r="S1097">
        <v>2</v>
      </c>
      <c r="T1097">
        <v>2</v>
      </c>
      <c r="U1097">
        <v>14</v>
      </c>
      <c r="V1097" t="s">
        <v>784</v>
      </c>
      <c r="W1097" t="s">
        <v>45</v>
      </c>
      <c r="X1097" t="s">
        <v>785</v>
      </c>
    </row>
    <row r="1098" spans="1:24" x14ac:dyDescent="0.25">
      <c r="A1098" t="s">
        <v>4945</v>
      </c>
      <c r="B1098" t="s">
        <v>4946</v>
      </c>
      <c r="C1098" t="s">
        <v>81</v>
      </c>
      <c r="D1098">
        <v>30</v>
      </c>
      <c r="E1098" t="s">
        <v>88</v>
      </c>
      <c r="F1098" t="s">
        <v>483</v>
      </c>
      <c r="G1098" t="s">
        <v>4947</v>
      </c>
      <c r="H1098">
        <v>110668</v>
      </c>
      <c r="I1098" t="s">
        <v>30</v>
      </c>
      <c r="J1098" t="s">
        <v>31</v>
      </c>
      <c r="K1098" t="s">
        <v>32</v>
      </c>
      <c r="L1098" t="s">
        <v>62</v>
      </c>
      <c r="M1098">
        <v>25</v>
      </c>
      <c r="N1098" t="s">
        <v>45</v>
      </c>
      <c r="O1098">
        <v>3</v>
      </c>
      <c r="P1098">
        <v>2</v>
      </c>
      <c r="Q1098">
        <v>2</v>
      </c>
      <c r="R1098">
        <v>2</v>
      </c>
      <c r="S1098">
        <v>4</v>
      </c>
      <c r="T1098">
        <v>0</v>
      </c>
      <c r="U1098">
        <v>25</v>
      </c>
      <c r="V1098" t="s">
        <v>4948</v>
      </c>
      <c r="W1098" t="s">
        <v>34</v>
      </c>
    </row>
    <row r="1099" spans="1:24" x14ac:dyDescent="0.25">
      <c r="A1099" t="s">
        <v>4949</v>
      </c>
      <c r="B1099" t="s">
        <v>4950</v>
      </c>
      <c r="C1099" t="s">
        <v>102</v>
      </c>
      <c r="D1099">
        <v>44</v>
      </c>
      <c r="E1099" t="s">
        <v>38</v>
      </c>
      <c r="F1099" t="s">
        <v>136</v>
      </c>
      <c r="G1099" t="s">
        <v>4951</v>
      </c>
      <c r="H1099" t="s">
        <v>4952</v>
      </c>
      <c r="I1099" t="s">
        <v>52</v>
      </c>
      <c r="J1099" t="s">
        <v>61</v>
      </c>
      <c r="K1099" t="s">
        <v>98</v>
      </c>
      <c r="L1099" t="s">
        <v>33</v>
      </c>
      <c r="M1099">
        <v>36</v>
      </c>
      <c r="N1099" t="s">
        <v>34</v>
      </c>
      <c r="O1099">
        <v>4</v>
      </c>
      <c r="P1099">
        <v>4</v>
      </c>
      <c r="R1099">
        <v>3</v>
      </c>
      <c r="S1099">
        <v>1</v>
      </c>
      <c r="T1099">
        <v>5</v>
      </c>
      <c r="U1099">
        <v>21</v>
      </c>
      <c r="V1099" t="s">
        <v>4953</v>
      </c>
      <c r="W1099" t="s">
        <v>34</v>
      </c>
    </row>
    <row r="1100" spans="1:24" x14ac:dyDescent="0.25">
      <c r="A1100" t="s">
        <v>4954</v>
      </c>
      <c r="B1100" t="s">
        <v>4955</v>
      </c>
      <c r="C1100" t="s">
        <v>49</v>
      </c>
      <c r="D1100">
        <v>40</v>
      </c>
      <c r="E1100" t="s">
        <v>27</v>
      </c>
      <c r="F1100" t="s">
        <v>59</v>
      </c>
      <c r="G1100" t="s">
        <v>4956</v>
      </c>
      <c r="H1100">
        <v>60540</v>
      </c>
      <c r="I1100" t="s">
        <v>52</v>
      </c>
      <c r="J1100" t="s">
        <v>31</v>
      </c>
      <c r="K1100" t="s">
        <v>54</v>
      </c>
      <c r="L1100" t="s">
        <v>43</v>
      </c>
      <c r="M1100">
        <v>14</v>
      </c>
      <c r="N1100" t="s">
        <v>45</v>
      </c>
      <c r="O1100">
        <v>1</v>
      </c>
      <c r="P1100">
        <v>2</v>
      </c>
      <c r="Q1100">
        <v>1</v>
      </c>
      <c r="R1100">
        <v>3</v>
      </c>
      <c r="S1100">
        <v>1</v>
      </c>
      <c r="T1100">
        <v>0</v>
      </c>
      <c r="U1100">
        <v>14</v>
      </c>
      <c r="V1100" t="s">
        <v>4957</v>
      </c>
      <c r="W1100" t="s">
        <v>45</v>
      </c>
      <c r="X1100" t="s">
        <v>4958</v>
      </c>
    </row>
    <row r="1101" spans="1:24" x14ac:dyDescent="0.25">
      <c r="A1101" t="s">
        <v>4959</v>
      </c>
      <c r="B1101" t="s">
        <v>4960</v>
      </c>
      <c r="C1101" t="s">
        <v>87</v>
      </c>
      <c r="D1101">
        <v>32</v>
      </c>
      <c r="E1101" t="s">
        <v>27</v>
      </c>
      <c r="F1101" t="s">
        <v>2419</v>
      </c>
      <c r="G1101" t="s">
        <v>4961</v>
      </c>
      <c r="H1101" t="s">
        <v>4962</v>
      </c>
      <c r="I1101" t="s">
        <v>52</v>
      </c>
      <c r="J1101" t="s">
        <v>31</v>
      </c>
      <c r="K1101" t="s">
        <v>167</v>
      </c>
      <c r="L1101" t="s">
        <v>62</v>
      </c>
      <c r="M1101">
        <v>10</v>
      </c>
      <c r="N1101" t="s">
        <v>34</v>
      </c>
      <c r="O1101">
        <v>4</v>
      </c>
      <c r="P1101">
        <v>3</v>
      </c>
      <c r="Q1101">
        <v>4</v>
      </c>
      <c r="R1101">
        <v>1</v>
      </c>
      <c r="S1101">
        <v>3</v>
      </c>
      <c r="T1101">
        <v>5</v>
      </c>
      <c r="U1101">
        <v>22</v>
      </c>
      <c r="V1101" t="s">
        <v>4963</v>
      </c>
      <c r="W1101" t="s">
        <v>34</v>
      </c>
    </row>
    <row r="1102" spans="1:24" x14ac:dyDescent="0.25">
      <c r="A1102" t="s">
        <v>4964</v>
      </c>
      <c r="B1102" t="s">
        <v>4965</v>
      </c>
      <c r="C1102" t="s">
        <v>73</v>
      </c>
      <c r="D1102">
        <v>47</v>
      </c>
      <c r="F1102" t="s">
        <v>50</v>
      </c>
      <c r="G1102" t="s">
        <v>4966</v>
      </c>
      <c r="H1102" t="s">
        <v>4967</v>
      </c>
      <c r="I1102" t="s">
        <v>30</v>
      </c>
      <c r="J1102" t="s">
        <v>61</v>
      </c>
      <c r="K1102" t="s">
        <v>77</v>
      </c>
      <c r="L1102" t="s">
        <v>43</v>
      </c>
      <c r="M1102">
        <v>2</v>
      </c>
      <c r="N1102" t="s">
        <v>34</v>
      </c>
      <c r="O1102">
        <v>2</v>
      </c>
      <c r="Q1102">
        <v>1</v>
      </c>
      <c r="R1102">
        <v>3</v>
      </c>
      <c r="S1102">
        <v>0</v>
      </c>
      <c r="T1102">
        <v>6</v>
      </c>
      <c r="U1102">
        <v>17</v>
      </c>
      <c r="V1102" t="s">
        <v>4968</v>
      </c>
      <c r="W1102" t="s">
        <v>34</v>
      </c>
    </row>
    <row r="1103" spans="1:24" x14ac:dyDescent="0.25">
      <c r="A1103" t="s">
        <v>4969</v>
      </c>
      <c r="B1103" t="s">
        <v>4970</v>
      </c>
      <c r="C1103" t="s">
        <v>81</v>
      </c>
      <c r="D1103">
        <v>50</v>
      </c>
      <c r="E1103" t="s">
        <v>94</v>
      </c>
      <c r="F1103" t="s">
        <v>356</v>
      </c>
      <c r="G1103" t="s">
        <v>4971</v>
      </c>
      <c r="H1103">
        <v>79434</v>
      </c>
      <c r="I1103" t="s">
        <v>42</v>
      </c>
      <c r="J1103" t="s">
        <v>31</v>
      </c>
      <c r="K1103" t="s">
        <v>32</v>
      </c>
      <c r="L1103" t="s">
        <v>62</v>
      </c>
      <c r="M1103">
        <v>39</v>
      </c>
      <c r="N1103" t="s">
        <v>45</v>
      </c>
      <c r="O1103">
        <v>2</v>
      </c>
      <c r="P1103">
        <v>2</v>
      </c>
      <c r="Q1103">
        <v>2</v>
      </c>
      <c r="R1103">
        <v>2</v>
      </c>
      <c r="S1103">
        <v>5</v>
      </c>
      <c r="T1103">
        <v>6</v>
      </c>
      <c r="U1103">
        <v>12</v>
      </c>
      <c r="V1103" t="s">
        <v>4972</v>
      </c>
      <c r="W1103" t="s">
        <v>45</v>
      </c>
      <c r="X1103" t="s">
        <v>4973</v>
      </c>
    </row>
    <row r="1104" spans="1:24" x14ac:dyDescent="0.25">
      <c r="A1104" t="s">
        <v>4974</v>
      </c>
      <c r="B1104" t="s">
        <v>4975</v>
      </c>
      <c r="C1104" t="s">
        <v>49</v>
      </c>
      <c r="D1104">
        <v>38</v>
      </c>
      <c r="E1104" t="s">
        <v>332</v>
      </c>
      <c r="F1104" t="s">
        <v>209</v>
      </c>
      <c r="G1104" t="s">
        <v>4976</v>
      </c>
      <c r="H1104">
        <v>39917</v>
      </c>
      <c r="I1104" t="s">
        <v>52</v>
      </c>
      <c r="J1104" t="s">
        <v>97</v>
      </c>
      <c r="K1104" t="s">
        <v>113</v>
      </c>
      <c r="L1104" t="s">
        <v>33</v>
      </c>
      <c r="M1104">
        <v>21</v>
      </c>
      <c r="N1104" t="s">
        <v>34</v>
      </c>
      <c r="O1104">
        <v>1</v>
      </c>
      <c r="P1104">
        <v>4</v>
      </c>
      <c r="R1104">
        <v>5</v>
      </c>
      <c r="S1104">
        <v>6</v>
      </c>
      <c r="T1104">
        <v>8</v>
      </c>
      <c r="U1104">
        <v>16</v>
      </c>
      <c r="V1104" t="s">
        <v>4977</v>
      </c>
      <c r="W1104" t="s">
        <v>34</v>
      </c>
    </row>
    <row r="1105" spans="1:24" x14ac:dyDescent="0.25">
      <c r="A1105" t="s">
        <v>4978</v>
      </c>
      <c r="B1105" t="s">
        <v>4979</v>
      </c>
      <c r="C1105" t="s">
        <v>87</v>
      </c>
      <c r="D1105">
        <v>39</v>
      </c>
      <c r="E1105" t="s">
        <v>88</v>
      </c>
      <c r="G1105" t="s">
        <v>4980</v>
      </c>
      <c r="H1105" t="s">
        <v>4981</v>
      </c>
      <c r="J1105" t="s">
        <v>61</v>
      </c>
      <c r="K1105" t="s">
        <v>54</v>
      </c>
      <c r="L1105" t="s">
        <v>33</v>
      </c>
      <c r="M1105">
        <v>42</v>
      </c>
      <c r="N1105" t="s">
        <v>45</v>
      </c>
      <c r="O1105">
        <v>3</v>
      </c>
      <c r="P1105">
        <v>2</v>
      </c>
      <c r="Q1105">
        <v>3</v>
      </c>
      <c r="R1105">
        <v>3</v>
      </c>
      <c r="S1105">
        <v>2</v>
      </c>
      <c r="T1105">
        <v>0</v>
      </c>
      <c r="U1105">
        <v>25</v>
      </c>
      <c r="V1105" t="s">
        <v>960</v>
      </c>
      <c r="W1105" t="s">
        <v>45</v>
      </c>
      <c r="X1105" t="s">
        <v>636</v>
      </c>
    </row>
    <row r="1106" spans="1:24" x14ac:dyDescent="0.25">
      <c r="A1106" t="s">
        <v>4982</v>
      </c>
      <c r="B1106" t="s">
        <v>4983</v>
      </c>
      <c r="C1106" t="s">
        <v>49</v>
      </c>
      <c r="D1106">
        <v>38</v>
      </c>
      <c r="E1106" t="s">
        <v>27</v>
      </c>
      <c r="F1106" t="s">
        <v>188</v>
      </c>
      <c r="G1106" t="s">
        <v>4984</v>
      </c>
      <c r="H1106">
        <v>51503</v>
      </c>
      <c r="I1106" t="s">
        <v>30</v>
      </c>
      <c r="J1106" t="s">
        <v>143</v>
      </c>
      <c r="K1106" t="s">
        <v>54</v>
      </c>
      <c r="L1106" t="s">
        <v>62</v>
      </c>
      <c r="M1106">
        <v>38</v>
      </c>
      <c r="N1106" t="s">
        <v>34</v>
      </c>
      <c r="O1106">
        <v>3</v>
      </c>
      <c r="P1106">
        <v>3</v>
      </c>
      <c r="Q1106">
        <v>2</v>
      </c>
      <c r="R1106">
        <v>3</v>
      </c>
      <c r="S1106">
        <v>5</v>
      </c>
      <c r="T1106">
        <v>1</v>
      </c>
      <c r="U1106">
        <v>11</v>
      </c>
      <c r="V1106" t="s">
        <v>4985</v>
      </c>
      <c r="W1106" t="s">
        <v>34</v>
      </c>
    </row>
    <row r="1107" spans="1:24" x14ac:dyDescent="0.25">
      <c r="A1107" t="s">
        <v>4986</v>
      </c>
      <c r="B1107" t="s">
        <v>4987</v>
      </c>
      <c r="D1107">
        <v>24</v>
      </c>
      <c r="E1107" t="s">
        <v>38</v>
      </c>
      <c r="F1107" t="s">
        <v>792</v>
      </c>
      <c r="G1107" t="s">
        <v>4988</v>
      </c>
      <c r="H1107">
        <v>56934</v>
      </c>
      <c r="I1107" t="s">
        <v>52</v>
      </c>
      <c r="J1107" t="s">
        <v>61</v>
      </c>
      <c r="K1107" t="s">
        <v>167</v>
      </c>
      <c r="L1107" t="s">
        <v>33</v>
      </c>
      <c r="M1107">
        <v>2</v>
      </c>
      <c r="N1107" t="s">
        <v>34</v>
      </c>
      <c r="O1107">
        <v>4</v>
      </c>
      <c r="P1107">
        <v>3</v>
      </c>
      <c r="Q1107">
        <v>4</v>
      </c>
      <c r="R1107">
        <v>4</v>
      </c>
      <c r="S1107">
        <v>3</v>
      </c>
      <c r="T1107">
        <v>4</v>
      </c>
      <c r="U1107">
        <v>20</v>
      </c>
      <c r="V1107" t="s">
        <v>4989</v>
      </c>
      <c r="W1107" t="s">
        <v>34</v>
      </c>
    </row>
    <row r="1108" spans="1:24" x14ac:dyDescent="0.25">
      <c r="A1108" t="s">
        <v>4990</v>
      </c>
      <c r="B1108" t="s">
        <v>4991</v>
      </c>
      <c r="C1108" t="s">
        <v>49</v>
      </c>
      <c r="D1108">
        <v>37</v>
      </c>
      <c r="E1108" t="s">
        <v>88</v>
      </c>
      <c r="F1108" t="s">
        <v>483</v>
      </c>
      <c r="G1108" t="s">
        <v>1563</v>
      </c>
      <c r="H1108" t="s">
        <v>4992</v>
      </c>
      <c r="I1108" t="s">
        <v>30</v>
      </c>
      <c r="J1108" t="s">
        <v>61</v>
      </c>
      <c r="K1108" t="s">
        <v>98</v>
      </c>
      <c r="M1108">
        <v>29</v>
      </c>
      <c r="N1108" t="s">
        <v>34</v>
      </c>
      <c r="O1108">
        <v>4</v>
      </c>
      <c r="P1108">
        <v>2</v>
      </c>
      <c r="R1108">
        <v>4</v>
      </c>
      <c r="S1108">
        <v>3</v>
      </c>
      <c r="T1108">
        <v>5</v>
      </c>
      <c r="U1108">
        <v>17</v>
      </c>
      <c r="V1108" t="s">
        <v>4993</v>
      </c>
      <c r="W1108" t="s">
        <v>34</v>
      </c>
    </row>
    <row r="1109" spans="1:24" x14ac:dyDescent="0.25">
      <c r="A1109" t="s">
        <v>4994</v>
      </c>
      <c r="B1109" t="s">
        <v>4995</v>
      </c>
      <c r="C1109" t="s">
        <v>87</v>
      </c>
      <c r="D1109">
        <v>30</v>
      </c>
      <c r="E1109" t="s">
        <v>197</v>
      </c>
      <c r="F1109" t="s">
        <v>235</v>
      </c>
      <c r="G1109" t="s">
        <v>4996</v>
      </c>
      <c r="H1109">
        <v>53864</v>
      </c>
      <c r="I1109" t="s">
        <v>30</v>
      </c>
      <c r="J1109" t="s">
        <v>31</v>
      </c>
      <c r="K1109" t="s">
        <v>131</v>
      </c>
      <c r="L1109" t="s">
        <v>62</v>
      </c>
      <c r="M1109">
        <v>14</v>
      </c>
      <c r="N1109" t="s">
        <v>45</v>
      </c>
      <c r="O1109">
        <v>2</v>
      </c>
      <c r="P1109">
        <v>3</v>
      </c>
      <c r="Q1109">
        <v>4</v>
      </c>
      <c r="R1109">
        <v>5</v>
      </c>
      <c r="S1109">
        <v>2</v>
      </c>
      <c r="T1109">
        <v>7</v>
      </c>
      <c r="U1109">
        <v>16</v>
      </c>
      <c r="V1109" t="s">
        <v>4997</v>
      </c>
      <c r="W1109" t="s">
        <v>34</v>
      </c>
    </row>
    <row r="1110" spans="1:24" x14ac:dyDescent="0.25">
      <c r="A1110" t="s">
        <v>4998</v>
      </c>
      <c r="B1110" t="s">
        <v>4999</v>
      </c>
      <c r="C1110" t="s">
        <v>81</v>
      </c>
      <c r="D1110">
        <v>45</v>
      </c>
      <c r="E1110" t="s">
        <v>128</v>
      </c>
      <c r="F1110" t="s">
        <v>129</v>
      </c>
      <c r="G1110" t="s">
        <v>2179</v>
      </c>
      <c r="H1110" t="s">
        <v>5000</v>
      </c>
      <c r="I1110" t="s">
        <v>30</v>
      </c>
      <c r="J1110" t="s">
        <v>61</v>
      </c>
      <c r="K1110" t="s">
        <v>77</v>
      </c>
      <c r="L1110" t="s">
        <v>33</v>
      </c>
      <c r="M1110">
        <v>44</v>
      </c>
      <c r="N1110" t="s">
        <v>34</v>
      </c>
      <c r="O1110">
        <v>1</v>
      </c>
      <c r="P1110">
        <v>4</v>
      </c>
      <c r="Q1110">
        <v>2</v>
      </c>
      <c r="R1110">
        <v>3</v>
      </c>
      <c r="S1110">
        <v>4</v>
      </c>
      <c r="T1110">
        <v>6</v>
      </c>
      <c r="U1110">
        <v>17</v>
      </c>
      <c r="V1110" t="s">
        <v>5001</v>
      </c>
      <c r="W1110" t="s">
        <v>45</v>
      </c>
      <c r="X1110" t="s">
        <v>5002</v>
      </c>
    </row>
    <row r="1111" spans="1:24" x14ac:dyDescent="0.25">
      <c r="A1111" t="s">
        <v>5003</v>
      </c>
      <c r="B1111" t="s">
        <v>5004</v>
      </c>
      <c r="C1111" t="s">
        <v>102</v>
      </c>
      <c r="D1111">
        <v>28</v>
      </c>
      <c r="E1111" t="s">
        <v>94</v>
      </c>
      <c r="F1111" t="s">
        <v>306</v>
      </c>
      <c r="G1111" t="s">
        <v>5005</v>
      </c>
      <c r="H1111">
        <v>126327</v>
      </c>
      <c r="I1111" t="s">
        <v>42</v>
      </c>
      <c r="J1111" t="s">
        <v>61</v>
      </c>
      <c r="K1111" t="s">
        <v>200</v>
      </c>
      <c r="L1111" t="s">
        <v>62</v>
      </c>
      <c r="M1111">
        <v>44</v>
      </c>
      <c r="N1111" t="s">
        <v>34</v>
      </c>
      <c r="O1111">
        <v>2</v>
      </c>
      <c r="P1111">
        <v>1</v>
      </c>
      <c r="Q1111">
        <v>3</v>
      </c>
      <c r="R1111">
        <v>3</v>
      </c>
      <c r="S1111">
        <v>3</v>
      </c>
      <c r="U1111">
        <v>11</v>
      </c>
      <c r="V1111" t="s">
        <v>5006</v>
      </c>
      <c r="W1111" t="s">
        <v>34</v>
      </c>
    </row>
    <row r="1112" spans="1:24" x14ac:dyDescent="0.25">
      <c r="A1112" t="s">
        <v>5007</v>
      </c>
      <c r="B1112" t="s">
        <v>5008</v>
      </c>
      <c r="C1112" t="s">
        <v>67</v>
      </c>
      <c r="E1112" t="s">
        <v>128</v>
      </c>
      <c r="F1112" t="s">
        <v>255</v>
      </c>
      <c r="G1112" t="s">
        <v>5009</v>
      </c>
      <c r="H1112">
        <v>74656</v>
      </c>
      <c r="I1112" t="s">
        <v>52</v>
      </c>
      <c r="J1112" t="s">
        <v>61</v>
      </c>
      <c r="K1112" t="s">
        <v>77</v>
      </c>
      <c r="L1112" t="s">
        <v>62</v>
      </c>
      <c r="M1112">
        <v>15</v>
      </c>
      <c r="N1112" t="s">
        <v>34</v>
      </c>
      <c r="O1112">
        <v>3</v>
      </c>
      <c r="P1112">
        <v>4</v>
      </c>
      <c r="Q1112">
        <v>1</v>
      </c>
      <c r="R1112">
        <v>3</v>
      </c>
      <c r="S1112">
        <v>4</v>
      </c>
      <c r="T1112">
        <v>6</v>
      </c>
      <c r="U1112">
        <v>22</v>
      </c>
      <c r="V1112" t="s">
        <v>5010</v>
      </c>
      <c r="W1112" t="s">
        <v>34</v>
      </c>
    </row>
    <row r="1113" spans="1:24" x14ac:dyDescent="0.25">
      <c r="A1113" t="s">
        <v>5011</v>
      </c>
      <c r="B1113" t="s">
        <v>5012</v>
      </c>
      <c r="C1113" t="s">
        <v>58</v>
      </c>
      <c r="D1113">
        <v>44</v>
      </c>
      <c r="E1113" t="s">
        <v>27</v>
      </c>
      <c r="F1113" t="s">
        <v>75</v>
      </c>
      <c r="G1113" t="s">
        <v>5013</v>
      </c>
      <c r="H1113">
        <v>84050</v>
      </c>
      <c r="I1113" t="s">
        <v>42</v>
      </c>
      <c r="J1113" t="s">
        <v>61</v>
      </c>
      <c r="K1113" t="s">
        <v>167</v>
      </c>
      <c r="M1113">
        <v>37</v>
      </c>
      <c r="O1113">
        <v>4</v>
      </c>
      <c r="P1113">
        <v>2</v>
      </c>
      <c r="R1113">
        <v>5</v>
      </c>
      <c r="S1113">
        <v>4</v>
      </c>
      <c r="T1113">
        <v>1</v>
      </c>
      <c r="U1113">
        <v>20</v>
      </c>
      <c r="V1113" t="s">
        <v>5014</v>
      </c>
      <c r="W1113" t="s">
        <v>34</v>
      </c>
    </row>
    <row r="1114" spans="1:24" x14ac:dyDescent="0.25">
      <c r="A1114" t="s">
        <v>5015</v>
      </c>
      <c r="B1114" t="s">
        <v>5016</v>
      </c>
      <c r="C1114" t="s">
        <v>26</v>
      </c>
      <c r="D1114">
        <v>30</v>
      </c>
      <c r="E1114" t="s">
        <v>94</v>
      </c>
      <c r="F1114" t="s">
        <v>266</v>
      </c>
      <c r="G1114" t="s">
        <v>5017</v>
      </c>
      <c r="H1114">
        <v>95493</v>
      </c>
      <c r="I1114" t="s">
        <v>52</v>
      </c>
      <c r="J1114" t="s">
        <v>31</v>
      </c>
      <c r="K1114" t="s">
        <v>200</v>
      </c>
      <c r="L1114" t="s">
        <v>33</v>
      </c>
      <c r="M1114">
        <v>7</v>
      </c>
      <c r="N1114" t="s">
        <v>34</v>
      </c>
      <c r="O1114">
        <v>1</v>
      </c>
      <c r="P1114">
        <v>3</v>
      </c>
      <c r="Q1114">
        <v>4</v>
      </c>
      <c r="R1114">
        <v>2</v>
      </c>
      <c r="S1114">
        <v>1</v>
      </c>
      <c r="T1114">
        <v>6</v>
      </c>
      <c r="U1114">
        <v>21</v>
      </c>
      <c r="V1114" t="s">
        <v>5018</v>
      </c>
      <c r="W1114" t="s">
        <v>34</v>
      </c>
    </row>
    <row r="1115" spans="1:24" x14ac:dyDescent="0.25">
      <c r="A1115" t="s">
        <v>5019</v>
      </c>
      <c r="B1115" t="s">
        <v>5020</v>
      </c>
      <c r="C1115" t="s">
        <v>73</v>
      </c>
      <c r="D1115">
        <v>20</v>
      </c>
      <c r="E1115" t="s">
        <v>609</v>
      </c>
      <c r="F1115" t="s">
        <v>266</v>
      </c>
      <c r="G1115" t="s">
        <v>5021</v>
      </c>
      <c r="H1115">
        <v>81933</v>
      </c>
      <c r="I1115" t="s">
        <v>30</v>
      </c>
      <c r="J1115" t="s">
        <v>31</v>
      </c>
      <c r="K1115" t="s">
        <v>113</v>
      </c>
      <c r="L1115" t="s">
        <v>33</v>
      </c>
      <c r="M1115">
        <v>22</v>
      </c>
      <c r="N1115" t="s">
        <v>34</v>
      </c>
      <c r="O1115">
        <v>2</v>
      </c>
      <c r="P1115">
        <v>2</v>
      </c>
      <c r="Q1115">
        <v>1</v>
      </c>
      <c r="R1115">
        <v>4</v>
      </c>
      <c r="S1115">
        <v>2</v>
      </c>
      <c r="T1115">
        <v>6</v>
      </c>
      <c r="U1115">
        <v>24</v>
      </c>
      <c r="V1115" t="s">
        <v>5022</v>
      </c>
      <c r="W1115" t="s">
        <v>45</v>
      </c>
      <c r="X1115" t="s">
        <v>5023</v>
      </c>
    </row>
    <row r="1116" spans="1:24" x14ac:dyDescent="0.25">
      <c r="A1116" t="s">
        <v>5024</v>
      </c>
      <c r="B1116" t="s">
        <v>5025</v>
      </c>
      <c r="C1116" t="s">
        <v>58</v>
      </c>
      <c r="D1116">
        <v>39</v>
      </c>
      <c r="E1116" t="s">
        <v>128</v>
      </c>
      <c r="F1116" t="s">
        <v>226</v>
      </c>
      <c r="G1116" t="s">
        <v>5026</v>
      </c>
      <c r="H1116">
        <v>45020</v>
      </c>
      <c r="I1116" t="s">
        <v>30</v>
      </c>
      <c r="J1116" t="s">
        <v>31</v>
      </c>
      <c r="K1116" t="s">
        <v>32</v>
      </c>
      <c r="L1116" t="s">
        <v>62</v>
      </c>
      <c r="M1116">
        <v>28</v>
      </c>
      <c r="N1116" t="s">
        <v>34</v>
      </c>
      <c r="O1116">
        <v>3</v>
      </c>
      <c r="P1116">
        <v>3</v>
      </c>
      <c r="Q1116">
        <v>1</v>
      </c>
      <c r="R1116">
        <v>3</v>
      </c>
      <c r="S1116">
        <v>0</v>
      </c>
      <c r="T1116">
        <v>3</v>
      </c>
      <c r="U1116">
        <v>18</v>
      </c>
      <c r="V1116" t="s">
        <v>5027</v>
      </c>
      <c r="W1116" t="s">
        <v>45</v>
      </c>
      <c r="X1116" t="s">
        <v>70</v>
      </c>
    </row>
    <row r="1117" spans="1:24" x14ac:dyDescent="0.25">
      <c r="A1117" t="s">
        <v>5028</v>
      </c>
      <c r="B1117" t="s">
        <v>5029</v>
      </c>
      <c r="C1117" t="s">
        <v>67</v>
      </c>
      <c r="D1117">
        <v>36</v>
      </c>
      <c r="E1117" t="s">
        <v>128</v>
      </c>
      <c r="F1117" t="s">
        <v>255</v>
      </c>
      <c r="G1117" t="s">
        <v>5030</v>
      </c>
      <c r="H1117">
        <v>99401</v>
      </c>
      <c r="I1117" t="s">
        <v>42</v>
      </c>
      <c r="J1117" t="s">
        <v>61</v>
      </c>
      <c r="K1117" t="s">
        <v>167</v>
      </c>
      <c r="L1117" t="s">
        <v>62</v>
      </c>
      <c r="M1117">
        <v>37</v>
      </c>
      <c r="N1117" t="s">
        <v>34</v>
      </c>
      <c r="O1117">
        <v>1</v>
      </c>
      <c r="P1117">
        <v>3</v>
      </c>
      <c r="Q1117">
        <v>3</v>
      </c>
      <c r="R1117">
        <v>3</v>
      </c>
      <c r="T1117">
        <v>0</v>
      </c>
      <c r="U1117">
        <v>18</v>
      </c>
      <c r="V1117" t="s">
        <v>5031</v>
      </c>
      <c r="W1117" t="s">
        <v>34</v>
      </c>
    </row>
    <row r="1118" spans="1:24" x14ac:dyDescent="0.25">
      <c r="A1118" t="s">
        <v>5032</v>
      </c>
      <c r="B1118" t="s">
        <v>5033</v>
      </c>
      <c r="C1118" t="s">
        <v>73</v>
      </c>
      <c r="D1118">
        <v>37</v>
      </c>
      <c r="E1118" t="s">
        <v>197</v>
      </c>
      <c r="F1118" t="s">
        <v>1222</v>
      </c>
      <c r="G1118" t="s">
        <v>5034</v>
      </c>
      <c r="H1118">
        <v>101208</v>
      </c>
      <c r="J1118" t="s">
        <v>31</v>
      </c>
      <c r="K1118" t="s">
        <v>83</v>
      </c>
      <c r="L1118" t="s">
        <v>62</v>
      </c>
      <c r="M1118">
        <v>22</v>
      </c>
      <c r="N1118" t="s">
        <v>34</v>
      </c>
      <c r="O1118">
        <v>3</v>
      </c>
      <c r="P1118">
        <v>4</v>
      </c>
      <c r="Q1118">
        <v>3</v>
      </c>
      <c r="R1118">
        <v>3</v>
      </c>
      <c r="S1118">
        <v>0</v>
      </c>
      <c r="T1118">
        <v>3</v>
      </c>
      <c r="U1118">
        <v>11</v>
      </c>
      <c r="V1118" t="s">
        <v>5035</v>
      </c>
      <c r="W1118" t="s">
        <v>34</v>
      </c>
    </row>
    <row r="1119" spans="1:24" x14ac:dyDescent="0.25">
      <c r="A1119" t="s">
        <v>5036</v>
      </c>
      <c r="B1119" t="s">
        <v>5037</v>
      </c>
      <c r="D1119">
        <v>36</v>
      </c>
      <c r="E1119" t="s">
        <v>94</v>
      </c>
      <c r="F1119" t="s">
        <v>306</v>
      </c>
      <c r="G1119" t="s">
        <v>5038</v>
      </c>
      <c r="H1119">
        <v>61415</v>
      </c>
      <c r="I1119" t="s">
        <v>42</v>
      </c>
      <c r="J1119" t="s">
        <v>61</v>
      </c>
      <c r="K1119" t="s">
        <v>83</v>
      </c>
      <c r="L1119" t="s">
        <v>62</v>
      </c>
      <c r="M1119">
        <v>9</v>
      </c>
      <c r="N1119" t="s">
        <v>34</v>
      </c>
      <c r="O1119">
        <v>4</v>
      </c>
      <c r="P1119">
        <v>1</v>
      </c>
      <c r="Q1119">
        <v>4</v>
      </c>
      <c r="R1119">
        <v>4</v>
      </c>
      <c r="S1119">
        <v>4</v>
      </c>
      <c r="T1119">
        <v>2</v>
      </c>
      <c r="U1119">
        <v>22</v>
      </c>
      <c r="V1119" t="s">
        <v>5039</v>
      </c>
      <c r="W1119" t="s">
        <v>34</v>
      </c>
    </row>
    <row r="1120" spans="1:24" x14ac:dyDescent="0.25">
      <c r="A1120" t="s">
        <v>5040</v>
      </c>
      <c r="B1120" t="s">
        <v>5041</v>
      </c>
      <c r="C1120" t="s">
        <v>58</v>
      </c>
      <c r="D1120">
        <v>36</v>
      </c>
      <c r="E1120" t="s">
        <v>38</v>
      </c>
      <c r="F1120" t="s">
        <v>792</v>
      </c>
      <c r="G1120" t="s">
        <v>5042</v>
      </c>
      <c r="H1120">
        <v>30589</v>
      </c>
      <c r="I1120" t="s">
        <v>52</v>
      </c>
      <c r="J1120" t="s">
        <v>53</v>
      </c>
      <c r="K1120" t="s">
        <v>32</v>
      </c>
      <c r="L1120" t="s">
        <v>33</v>
      </c>
      <c r="M1120">
        <v>7</v>
      </c>
      <c r="O1120">
        <v>4</v>
      </c>
      <c r="P1120">
        <v>1</v>
      </c>
      <c r="Q1120">
        <v>3</v>
      </c>
      <c r="R1120">
        <v>4</v>
      </c>
      <c r="S1120">
        <v>2</v>
      </c>
      <c r="T1120">
        <v>8</v>
      </c>
      <c r="U1120">
        <v>20</v>
      </c>
      <c r="V1120" t="s">
        <v>5043</v>
      </c>
      <c r="W1120" t="s">
        <v>34</v>
      </c>
    </row>
    <row r="1121" spans="1:24" x14ac:dyDescent="0.25">
      <c r="A1121" t="s">
        <v>5044</v>
      </c>
      <c r="B1121" t="s">
        <v>5045</v>
      </c>
      <c r="C1121" t="s">
        <v>87</v>
      </c>
      <c r="D1121">
        <v>28</v>
      </c>
      <c r="E1121" t="s">
        <v>27</v>
      </c>
      <c r="F1121" t="s">
        <v>75</v>
      </c>
      <c r="G1121" t="s">
        <v>5046</v>
      </c>
      <c r="I1121" t="s">
        <v>30</v>
      </c>
      <c r="J1121" t="s">
        <v>97</v>
      </c>
      <c r="K1121" t="s">
        <v>106</v>
      </c>
      <c r="L1121" t="s">
        <v>43</v>
      </c>
      <c r="M1121">
        <v>21</v>
      </c>
      <c r="N1121" t="s">
        <v>45</v>
      </c>
      <c r="O1121">
        <v>4</v>
      </c>
      <c r="P1121">
        <v>1</v>
      </c>
      <c r="Q1121">
        <v>3</v>
      </c>
      <c r="R1121">
        <v>3</v>
      </c>
      <c r="S1121">
        <v>2</v>
      </c>
      <c r="T1121">
        <v>8</v>
      </c>
      <c r="U1121">
        <v>25</v>
      </c>
      <c r="V1121" t="s">
        <v>5047</v>
      </c>
      <c r="W1121" t="s">
        <v>34</v>
      </c>
    </row>
    <row r="1122" spans="1:24" x14ac:dyDescent="0.25">
      <c r="A1122" t="s">
        <v>5048</v>
      </c>
      <c r="B1122" t="s">
        <v>5049</v>
      </c>
      <c r="C1122" t="s">
        <v>49</v>
      </c>
      <c r="D1122">
        <v>36</v>
      </c>
      <c r="E1122" t="s">
        <v>27</v>
      </c>
      <c r="F1122" t="s">
        <v>75</v>
      </c>
      <c r="G1122" t="s">
        <v>5050</v>
      </c>
      <c r="H1122">
        <v>107441</v>
      </c>
      <c r="I1122" t="s">
        <v>30</v>
      </c>
      <c r="J1122" t="s">
        <v>143</v>
      </c>
      <c r="K1122" t="s">
        <v>167</v>
      </c>
      <c r="L1122" t="s">
        <v>43</v>
      </c>
      <c r="M1122">
        <v>42</v>
      </c>
      <c r="N1122" t="s">
        <v>34</v>
      </c>
      <c r="O1122">
        <v>1</v>
      </c>
      <c r="P1122">
        <v>2</v>
      </c>
      <c r="Q1122">
        <v>4</v>
      </c>
      <c r="R1122">
        <v>3</v>
      </c>
      <c r="U1122">
        <v>19</v>
      </c>
      <c r="V1122" t="s">
        <v>5051</v>
      </c>
      <c r="W1122" t="s">
        <v>34</v>
      </c>
    </row>
    <row r="1123" spans="1:24" x14ac:dyDescent="0.25">
      <c r="A1123" t="s">
        <v>5052</v>
      </c>
      <c r="B1123" t="s">
        <v>5053</v>
      </c>
      <c r="C1123" t="s">
        <v>26</v>
      </c>
      <c r="D1123">
        <v>32</v>
      </c>
      <c r="E1123" t="s">
        <v>38</v>
      </c>
      <c r="F1123" t="s">
        <v>136</v>
      </c>
      <c r="G1123" t="s">
        <v>5054</v>
      </c>
      <c r="H1123">
        <v>92356</v>
      </c>
      <c r="I1123" t="s">
        <v>52</v>
      </c>
      <c r="J1123" t="s">
        <v>61</v>
      </c>
      <c r="K1123" t="s">
        <v>98</v>
      </c>
      <c r="L1123" t="s">
        <v>33</v>
      </c>
      <c r="M1123">
        <v>29</v>
      </c>
      <c r="N1123" t="s">
        <v>34</v>
      </c>
      <c r="O1123">
        <v>3</v>
      </c>
      <c r="Q1123">
        <v>1</v>
      </c>
      <c r="R1123">
        <v>2</v>
      </c>
      <c r="T1123">
        <v>3</v>
      </c>
      <c r="U1123">
        <v>19</v>
      </c>
      <c r="V1123" t="s">
        <v>5055</v>
      </c>
      <c r="W1123" t="s">
        <v>34</v>
      </c>
    </row>
    <row r="1124" spans="1:24" x14ac:dyDescent="0.25">
      <c r="A1124" t="s">
        <v>5056</v>
      </c>
      <c r="B1124" t="s">
        <v>5057</v>
      </c>
      <c r="C1124" t="s">
        <v>87</v>
      </c>
      <c r="D1124">
        <v>32</v>
      </c>
      <c r="F1124" t="s">
        <v>261</v>
      </c>
      <c r="G1124" t="s">
        <v>5058</v>
      </c>
      <c r="H1124">
        <v>60702</v>
      </c>
      <c r="I1124" t="s">
        <v>42</v>
      </c>
      <c r="J1124" t="s">
        <v>31</v>
      </c>
      <c r="K1124" t="s">
        <v>83</v>
      </c>
      <c r="L1124" t="s">
        <v>62</v>
      </c>
      <c r="M1124">
        <v>2</v>
      </c>
      <c r="N1124" t="s">
        <v>34</v>
      </c>
      <c r="O1124">
        <v>2</v>
      </c>
      <c r="P1124">
        <v>4</v>
      </c>
      <c r="Q1124">
        <v>2</v>
      </c>
      <c r="R1124">
        <v>5</v>
      </c>
      <c r="S1124">
        <v>5</v>
      </c>
      <c r="T1124">
        <v>8</v>
      </c>
      <c r="U1124">
        <v>21</v>
      </c>
      <c r="V1124" t="s">
        <v>5059</v>
      </c>
      <c r="W1124" t="s">
        <v>45</v>
      </c>
      <c r="X1124" t="s">
        <v>303</v>
      </c>
    </row>
    <row r="1125" spans="1:24" x14ac:dyDescent="0.25">
      <c r="A1125" t="s">
        <v>1620</v>
      </c>
      <c r="B1125" t="s">
        <v>1621</v>
      </c>
      <c r="C1125" t="s">
        <v>49</v>
      </c>
      <c r="D1125">
        <v>20</v>
      </c>
      <c r="E1125" t="s">
        <v>74</v>
      </c>
      <c r="F1125" t="s">
        <v>75</v>
      </c>
      <c r="G1125" t="s">
        <v>1622</v>
      </c>
      <c r="I1125" t="s">
        <v>42</v>
      </c>
      <c r="J1125" t="s">
        <v>53</v>
      </c>
      <c r="K1125" t="s">
        <v>113</v>
      </c>
      <c r="L1125" t="s">
        <v>62</v>
      </c>
      <c r="M1125">
        <v>3</v>
      </c>
      <c r="N1125" t="s">
        <v>45</v>
      </c>
      <c r="O1125">
        <v>1</v>
      </c>
      <c r="P1125">
        <v>4</v>
      </c>
      <c r="R1125">
        <v>4</v>
      </c>
      <c r="S1125">
        <v>4</v>
      </c>
      <c r="T1125">
        <v>6</v>
      </c>
      <c r="U1125">
        <v>12</v>
      </c>
      <c r="V1125" t="s">
        <v>1623</v>
      </c>
      <c r="W1125" t="s">
        <v>45</v>
      </c>
      <c r="X1125" t="s">
        <v>1624</v>
      </c>
    </row>
    <row r="1126" spans="1:24" x14ac:dyDescent="0.25">
      <c r="A1126" t="s">
        <v>5060</v>
      </c>
      <c r="B1126" t="s">
        <v>5061</v>
      </c>
      <c r="C1126" t="s">
        <v>58</v>
      </c>
      <c r="D1126">
        <v>35</v>
      </c>
      <c r="F1126" t="s">
        <v>249</v>
      </c>
      <c r="G1126" t="s">
        <v>5062</v>
      </c>
      <c r="H1126">
        <v>64753</v>
      </c>
      <c r="I1126" t="s">
        <v>30</v>
      </c>
      <c r="J1126" t="s">
        <v>61</v>
      </c>
      <c r="K1126" t="s">
        <v>106</v>
      </c>
      <c r="L1126" t="s">
        <v>62</v>
      </c>
      <c r="M1126">
        <v>44</v>
      </c>
      <c r="N1126" t="s">
        <v>34</v>
      </c>
      <c r="O1126">
        <v>1</v>
      </c>
      <c r="P1126">
        <v>4</v>
      </c>
      <c r="Q1126">
        <v>2</v>
      </c>
      <c r="R1126">
        <v>3</v>
      </c>
      <c r="S1126">
        <v>5</v>
      </c>
      <c r="T1126">
        <v>7</v>
      </c>
      <c r="U1126">
        <v>15</v>
      </c>
      <c r="V1126" t="s">
        <v>5063</v>
      </c>
      <c r="W1126" t="s">
        <v>45</v>
      </c>
      <c r="X1126" t="s">
        <v>5064</v>
      </c>
    </row>
    <row r="1127" spans="1:24" x14ac:dyDescent="0.25">
      <c r="A1127" t="s">
        <v>5065</v>
      </c>
      <c r="B1127" t="s">
        <v>5066</v>
      </c>
      <c r="C1127" t="s">
        <v>81</v>
      </c>
      <c r="D1127">
        <v>32</v>
      </c>
      <c r="E1127" t="s">
        <v>128</v>
      </c>
      <c r="F1127" t="s">
        <v>271</v>
      </c>
      <c r="G1127" t="s">
        <v>5067</v>
      </c>
      <c r="H1127">
        <v>98129</v>
      </c>
      <c r="I1127" t="s">
        <v>42</v>
      </c>
      <c r="J1127" t="s">
        <v>97</v>
      </c>
      <c r="K1127" t="s">
        <v>77</v>
      </c>
      <c r="L1127" t="s">
        <v>33</v>
      </c>
      <c r="M1127">
        <v>45</v>
      </c>
      <c r="N1127" t="s">
        <v>34</v>
      </c>
      <c r="O1127">
        <v>3</v>
      </c>
      <c r="P1127">
        <v>4</v>
      </c>
      <c r="Q1127">
        <v>1</v>
      </c>
      <c r="R1127">
        <v>3</v>
      </c>
      <c r="S1127">
        <v>6</v>
      </c>
      <c r="T1127">
        <v>3</v>
      </c>
      <c r="U1127">
        <v>17</v>
      </c>
      <c r="V1127" t="s">
        <v>5068</v>
      </c>
      <c r="W1127" t="s">
        <v>34</v>
      </c>
    </row>
    <row r="1128" spans="1:24" x14ac:dyDescent="0.25">
      <c r="A1128" t="s">
        <v>5069</v>
      </c>
      <c r="B1128" t="s">
        <v>5070</v>
      </c>
      <c r="C1128" t="s">
        <v>26</v>
      </c>
      <c r="E1128" t="s">
        <v>88</v>
      </c>
      <c r="F1128" t="s">
        <v>141</v>
      </c>
      <c r="G1128" t="s">
        <v>5071</v>
      </c>
      <c r="H1128" t="s">
        <v>5072</v>
      </c>
      <c r="I1128" t="s">
        <v>42</v>
      </c>
      <c r="J1128" t="s">
        <v>31</v>
      </c>
      <c r="K1128" t="s">
        <v>131</v>
      </c>
      <c r="L1128" t="s">
        <v>62</v>
      </c>
      <c r="M1128">
        <v>23</v>
      </c>
      <c r="N1128" t="s">
        <v>34</v>
      </c>
      <c r="O1128">
        <v>4</v>
      </c>
      <c r="P1128">
        <v>3</v>
      </c>
      <c r="Q1128">
        <v>4</v>
      </c>
      <c r="R1128">
        <v>3</v>
      </c>
      <c r="S1128">
        <v>5</v>
      </c>
      <c r="T1128">
        <v>4</v>
      </c>
      <c r="U1128">
        <v>20</v>
      </c>
      <c r="V1128" t="s">
        <v>5073</v>
      </c>
      <c r="W1128" t="s">
        <v>34</v>
      </c>
    </row>
    <row r="1129" spans="1:24" x14ac:dyDescent="0.25">
      <c r="A1129" t="s">
        <v>5074</v>
      </c>
      <c r="B1129" t="s">
        <v>5075</v>
      </c>
      <c r="C1129" t="s">
        <v>67</v>
      </c>
      <c r="D1129">
        <v>29</v>
      </c>
      <c r="E1129" t="s">
        <v>197</v>
      </c>
      <c r="F1129" t="s">
        <v>771</v>
      </c>
      <c r="G1129" t="s">
        <v>5076</v>
      </c>
      <c r="H1129">
        <v>101106</v>
      </c>
      <c r="I1129" t="s">
        <v>52</v>
      </c>
      <c r="J1129" t="s">
        <v>143</v>
      </c>
      <c r="K1129" t="s">
        <v>32</v>
      </c>
      <c r="L1129" t="s">
        <v>43</v>
      </c>
      <c r="M1129">
        <v>39</v>
      </c>
      <c r="N1129" t="s">
        <v>34</v>
      </c>
      <c r="O1129">
        <v>4</v>
      </c>
      <c r="P1129">
        <v>3</v>
      </c>
      <c r="Q1129">
        <v>1</v>
      </c>
      <c r="R1129">
        <v>3</v>
      </c>
      <c r="S1129">
        <v>5</v>
      </c>
      <c r="T1129">
        <v>3</v>
      </c>
      <c r="U1129">
        <v>17</v>
      </c>
      <c r="V1129" t="s">
        <v>5077</v>
      </c>
      <c r="W1129" t="s">
        <v>34</v>
      </c>
    </row>
    <row r="1130" spans="1:24" x14ac:dyDescent="0.25">
      <c r="A1130" t="s">
        <v>5078</v>
      </c>
      <c r="B1130" t="s">
        <v>2675</v>
      </c>
      <c r="C1130" t="s">
        <v>49</v>
      </c>
      <c r="D1130">
        <v>38</v>
      </c>
      <c r="E1130" t="s">
        <v>128</v>
      </c>
      <c r="F1130" t="s">
        <v>271</v>
      </c>
      <c r="G1130" t="s">
        <v>5079</v>
      </c>
      <c r="H1130">
        <v>67230</v>
      </c>
      <c r="I1130" t="s">
        <v>52</v>
      </c>
      <c r="J1130" t="s">
        <v>61</v>
      </c>
      <c r="K1130" t="s">
        <v>83</v>
      </c>
      <c r="L1130" t="s">
        <v>33</v>
      </c>
      <c r="M1130">
        <v>21</v>
      </c>
      <c r="N1130" t="s">
        <v>34</v>
      </c>
      <c r="O1130">
        <v>3</v>
      </c>
      <c r="P1130">
        <v>3</v>
      </c>
      <c r="Q1130">
        <v>1</v>
      </c>
      <c r="R1130">
        <v>3</v>
      </c>
      <c r="S1130">
        <v>0</v>
      </c>
      <c r="U1130">
        <v>13</v>
      </c>
      <c r="V1130" t="s">
        <v>5080</v>
      </c>
      <c r="W1130" t="s">
        <v>34</v>
      </c>
    </row>
    <row r="1131" spans="1:24" x14ac:dyDescent="0.25">
      <c r="A1131" t="s">
        <v>5081</v>
      </c>
      <c r="B1131" t="s">
        <v>5082</v>
      </c>
      <c r="C1131" t="s">
        <v>73</v>
      </c>
      <c r="D1131">
        <v>33</v>
      </c>
      <c r="F1131" t="s">
        <v>639</v>
      </c>
      <c r="G1131" t="s">
        <v>5083</v>
      </c>
      <c r="H1131">
        <v>101801</v>
      </c>
      <c r="I1131" t="s">
        <v>30</v>
      </c>
      <c r="K1131" t="s">
        <v>77</v>
      </c>
      <c r="L1131" t="s">
        <v>43</v>
      </c>
      <c r="M1131">
        <v>28</v>
      </c>
      <c r="N1131" t="s">
        <v>45</v>
      </c>
      <c r="O1131">
        <v>4</v>
      </c>
      <c r="P1131">
        <v>1</v>
      </c>
      <c r="Q1131">
        <v>3</v>
      </c>
      <c r="R1131">
        <v>3</v>
      </c>
      <c r="S1131">
        <v>3</v>
      </c>
      <c r="T1131">
        <v>5</v>
      </c>
      <c r="U1131">
        <v>19</v>
      </c>
      <c r="V1131" t="s">
        <v>5084</v>
      </c>
      <c r="W1131" t="s">
        <v>34</v>
      </c>
    </row>
    <row r="1132" spans="1:24" x14ac:dyDescent="0.25">
      <c r="A1132" t="s">
        <v>5085</v>
      </c>
      <c r="B1132" t="s">
        <v>5086</v>
      </c>
      <c r="C1132" t="s">
        <v>87</v>
      </c>
      <c r="D1132">
        <v>40</v>
      </c>
      <c r="E1132" t="s">
        <v>128</v>
      </c>
      <c r="F1132" t="s">
        <v>123</v>
      </c>
      <c r="G1132" t="s">
        <v>5087</v>
      </c>
      <c r="H1132">
        <v>68224</v>
      </c>
      <c r="I1132" t="s">
        <v>42</v>
      </c>
      <c r="J1132" t="s">
        <v>61</v>
      </c>
      <c r="K1132" t="s">
        <v>83</v>
      </c>
      <c r="L1132" t="s">
        <v>33</v>
      </c>
      <c r="M1132">
        <v>28</v>
      </c>
      <c r="N1132" t="s">
        <v>34</v>
      </c>
      <c r="P1132">
        <v>4</v>
      </c>
      <c r="Q1132">
        <v>2</v>
      </c>
      <c r="R1132">
        <v>4</v>
      </c>
      <c r="S1132">
        <v>3</v>
      </c>
      <c r="T1132">
        <v>2</v>
      </c>
      <c r="U1132">
        <v>24</v>
      </c>
      <c r="V1132" t="s">
        <v>5088</v>
      </c>
      <c r="W1132" t="s">
        <v>34</v>
      </c>
    </row>
    <row r="1133" spans="1:24" x14ac:dyDescent="0.25">
      <c r="A1133" t="s">
        <v>5089</v>
      </c>
      <c r="B1133" t="s">
        <v>5090</v>
      </c>
      <c r="C1133" t="s">
        <v>73</v>
      </c>
      <c r="D1133">
        <v>46</v>
      </c>
      <c r="E1133" t="s">
        <v>128</v>
      </c>
      <c r="F1133" t="s">
        <v>1107</v>
      </c>
      <c r="G1133" t="s">
        <v>5091</v>
      </c>
      <c r="I1133" t="s">
        <v>30</v>
      </c>
      <c r="J1133" t="s">
        <v>97</v>
      </c>
      <c r="K1133" t="s">
        <v>113</v>
      </c>
      <c r="L1133" t="s">
        <v>62</v>
      </c>
      <c r="M1133">
        <v>9</v>
      </c>
      <c r="N1133" t="s">
        <v>45</v>
      </c>
      <c r="O1133">
        <v>4</v>
      </c>
      <c r="P1133">
        <v>2</v>
      </c>
      <c r="Q1133">
        <v>1</v>
      </c>
      <c r="R1133">
        <v>3</v>
      </c>
      <c r="S1133">
        <v>4</v>
      </c>
      <c r="T1133">
        <v>8</v>
      </c>
      <c r="U1133">
        <v>18</v>
      </c>
      <c r="V1133" t="s">
        <v>5092</v>
      </c>
      <c r="W1133" t="s">
        <v>45</v>
      </c>
      <c r="X1133" t="s">
        <v>5093</v>
      </c>
    </row>
    <row r="1134" spans="1:24" x14ac:dyDescent="0.25">
      <c r="A1134" t="s">
        <v>5094</v>
      </c>
      <c r="B1134" t="s">
        <v>5095</v>
      </c>
      <c r="C1134" t="s">
        <v>81</v>
      </c>
      <c r="D1134">
        <v>29</v>
      </c>
      <c r="E1134" t="s">
        <v>706</v>
      </c>
      <c r="F1134" t="s">
        <v>356</v>
      </c>
      <c r="G1134" t="s">
        <v>5096</v>
      </c>
      <c r="H1134">
        <v>101350</v>
      </c>
      <c r="I1134" t="s">
        <v>30</v>
      </c>
      <c r="J1134" t="s">
        <v>143</v>
      </c>
      <c r="K1134" t="s">
        <v>54</v>
      </c>
      <c r="L1134" t="s">
        <v>33</v>
      </c>
      <c r="M1134">
        <v>36</v>
      </c>
      <c r="N1134" t="s">
        <v>45</v>
      </c>
      <c r="O1134">
        <v>2</v>
      </c>
      <c r="P1134">
        <v>2</v>
      </c>
      <c r="Q1134">
        <v>4</v>
      </c>
      <c r="R1134">
        <v>3</v>
      </c>
      <c r="S1134">
        <v>4</v>
      </c>
      <c r="T1134">
        <v>7</v>
      </c>
      <c r="U1134">
        <v>18</v>
      </c>
      <c r="V1134" t="s">
        <v>5097</v>
      </c>
      <c r="W1134" t="s">
        <v>45</v>
      </c>
      <c r="X1134" t="s">
        <v>5098</v>
      </c>
    </row>
    <row r="1135" spans="1:24" x14ac:dyDescent="0.25">
      <c r="A1135" t="s">
        <v>5099</v>
      </c>
      <c r="B1135" t="s">
        <v>5100</v>
      </c>
      <c r="C1135" t="s">
        <v>102</v>
      </c>
      <c r="D1135">
        <v>45</v>
      </c>
      <c r="E1135" t="s">
        <v>457</v>
      </c>
      <c r="F1135" t="s">
        <v>281</v>
      </c>
      <c r="G1135" t="s">
        <v>3212</v>
      </c>
      <c r="H1135">
        <v>58996</v>
      </c>
      <c r="I1135" t="s">
        <v>30</v>
      </c>
      <c r="J1135" t="s">
        <v>61</v>
      </c>
      <c r="K1135" t="s">
        <v>98</v>
      </c>
      <c r="L1135" t="s">
        <v>62</v>
      </c>
      <c r="M1135">
        <v>27</v>
      </c>
      <c r="N1135" t="s">
        <v>45</v>
      </c>
      <c r="O1135">
        <v>1</v>
      </c>
      <c r="P1135">
        <v>2</v>
      </c>
      <c r="Q1135">
        <v>4</v>
      </c>
      <c r="R1135">
        <v>4</v>
      </c>
      <c r="S1135">
        <v>2</v>
      </c>
      <c r="T1135">
        <v>5</v>
      </c>
      <c r="U1135">
        <v>22</v>
      </c>
      <c r="V1135" t="s">
        <v>5101</v>
      </c>
      <c r="W1135" t="s">
        <v>45</v>
      </c>
      <c r="X1135" t="s">
        <v>5102</v>
      </c>
    </row>
    <row r="1136" spans="1:24" x14ac:dyDescent="0.25">
      <c r="A1136" t="s">
        <v>5103</v>
      </c>
      <c r="B1136" t="s">
        <v>5104</v>
      </c>
      <c r="C1136" t="s">
        <v>102</v>
      </c>
      <c r="D1136">
        <v>25</v>
      </c>
      <c r="E1136" t="s">
        <v>88</v>
      </c>
      <c r="F1136" t="s">
        <v>261</v>
      </c>
      <c r="G1136" t="s">
        <v>5105</v>
      </c>
      <c r="H1136">
        <v>105050</v>
      </c>
      <c r="I1136" t="s">
        <v>30</v>
      </c>
      <c r="J1136" t="s">
        <v>61</v>
      </c>
      <c r="K1136" t="s">
        <v>200</v>
      </c>
      <c r="L1136" t="s">
        <v>43</v>
      </c>
      <c r="M1136">
        <v>22</v>
      </c>
      <c r="N1136" t="s">
        <v>34</v>
      </c>
      <c r="O1136">
        <v>1</v>
      </c>
      <c r="P1136">
        <v>4</v>
      </c>
      <c r="Q1136">
        <v>1</v>
      </c>
      <c r="R1136">
        <v>5</v>
      </c>
      <c r="S1136">
        <v>4</v>
      </c>
      <c r="T1136">
        <v>5</v>
      </c>
      <c r="U1136">
        <v>24</v>
      </c>
      <c r="V1136" t="s">
        <v>5106</v>
      </c>
      <c r="W1136" t="s">
        <v>34</v>
      </c>
    </row>
    <row r="1137" spans="1:24" x14ac:dyDescent="0.25">
      <c r="A1137" t="s">
        <v>5107</v>
      </c>
      <c r="B1137" t="s">
        <v>5108</v>
      </c>
      <c r="C1137" t="s">
        <v>67</v>
      </c>
      <c r="D1137">
        <v>37</v>
      </c>
      <c r="E1137" t="s">
        <v>128</v>
      </c>
      <c r="F1137" t="s">
        <v>123</v>
      </c>
      <c r="G1137" t="s">
        <v>5109</v>
      </c>
      <c r="H1137">
        <v>51682</v>
      </c>
      <c r="I1137" t="s">
        <v>42</v>
      </c>
      <c r="J1137" t="s">
        <v>31</v>
      </c>
      <c r="K1137" t="s">
        <v>113</v>
      </c>
      <c r="L1137" t="s">
        <v>62</v>
      </c>
      <c r="M1137">
        <v>2</v>
      </c>
      <c r="N1137" t="s">
        <v>45</v>
      </c>
      <c r="O1137">
        <v>1</v>
      </c>
      <c r="P1137">
        <v>3</v>
      </c>
      <c r="Q1137">
        <v>1</v>
      </c>
      <c r="R1137">
        <v>2</v>
      </c>
      <c r="S1137">
        <v>3</v>
      </c>
      <c r="T1137">
        <v>6</v>
      </c>
      <c r="U1137">
        <v>16</v>
      </c>
      <c r="V1137" t="s">
        <v>5110</v>
      </c>
      <c r="W1137" t="s">
        <v>45</v>
      </c>
      <c r="X1137" t="s">
        <v>5111</v>
      </c>
    </row>
    <row r="1138" spans="1:24" x14ac:dyDescent="0.25">
      <c r="A1138" t="s">
        <v>5112</v>
      </c>
      <c r="B1138" t="s">
        <v>5113</v>
      </c>
      <c r="C1138" t="s">
        <v>26</v>
      </c>
      <c r="D1138">
        <v>35</v>
      </c>
      <c r="E1138" t="s">
        <v>827</v>
      </c>
      <c r="F1138" t="s">
        <v>945</v>
      </c>
      <c r="G1138" t="s">
        <v>5114</v>
      </c>
      <c r="H1138">
        <v>45337</v>
      </c>
      <c r="I1138" t="s">
        <v>30</v>
      </c>
      <c r="J1138" t="s">
        <v>97</v>
      </c>
      <c r="K1138" t="s">
        <v>200</v>
      </c>
      <c r="L1138" t="s">
        <v>43</v>
      </c>
      <c r="M1138">
        <v>2</v>
      </c>
      <c r="N1138" t="s">
        <v>34</v>
      </c>
      <c r="O1138">
        <v>4</v>
      </c>
      <c r="P1138">
        <v>4</v>
      </c>
      <c r="Q1138">
        <v>3</v>
      </c>
      <c r="R1138">
        <v>3</v>
      </c>
      <c r="S1138">
        <v>3</v>
      </c>
      <c r="T1138">
        <v>7</v>
      </c>
      <c r="U1138">
        <v>16</v>
      </c>
      <c r="V1138" t="s">
        <v>5115</v>
      </c>
      <c r="W1138" t="s">
        <v>34</v>
      </c>
    </row>
    <row r="1139" spans="1:24" x14ac:dyDescent="0.25">
      <c r="A1139" t="s">
        <v>5116</v>
      </c>
      <c r="B1139" t="s">
        <v>2144</v>
      </c>
      <c r="C1139" t="s">
        <v>49</v>
      </c>
      <c r="D1139">
        <v>37</v>
      </c>
      <c r="E1139" t="s">
        <v>88</v>
      </c>
      <c r="F1139" t="s">
        <v>760</v>
      </c>
      <c r="G1139" t="s">
        <v>5117</v>
      </c>
      <c r="H1139">
        <v>103407</v>
      </c>
      <c r="I1139" t="s">
        <v>52</v>
      </c>
      <c r="J1139" t="s">
        <v>31</v>
      </c>
      <c r="K1139" t="s">
        <v>106</v>
      </c>
      <c r="L1139" t="s">
        <v>43</v>
      </c>
      <c r="M1139">
        <v>33</v>
      </c>
      <c r="N1139" t="s">
        <v>45</v>
      </c>
      <c r="O1139">
        <v>3</v>
      </c>
      <c r="P1139">
        <v>4</v>
      </c>
      <c r="Q1139">
        <v>3</v>
      </c>
      <c r="R1139">
        <v>3</v>
      </c>
      <c r="T1139">
        <v>4</v>
      </c>
      <c r="U1139">
        <v>21</v>
      </c>
      <c r="V1139" t="s">
        <v>446</v>
      </c>
      <c r="W1139" t="s">
        <v>45</v>
      </c>
      <c r="X1139" t="s">
        <v>5118</v>
      </c>
    </row>
    <row r="1140" spans="1:24" x14ac:dyDescent="0.25">
      <c r="A1140" t="s">
        <v>5119</v>
      </c>
      <c r="B1140" t="s">
        <v>5120</v>
      </c>
      <c r="C1140" t="s">
        <v>49</v>
      </c>
      <c r="D1140">
        <v>48</v>
      </c>
      <c r="E1140" t="s">
        <v>27</v>
      </c>
      <c r="F1140" t="s">
        <v>75</v>
      </c>
      <c r="G1140" t="s">
        <v>5121</v>
      </c>
      <c r="H1140">
        <v>77611</v>
      </c>
      <c r="I1140" t="s">
        <v>52</v>
      </c>
      <c r="J1140" t="s">
        <v>31</v>
      </c>
      <c r="K1140" t="s">
        <v>200</v>
      </c>
      <c r="L1140" t="s">
        <v>43</v>
      </c>
      <c r="M1140">
        <v>32</v>
      </c>
      <c r="N1140" t="s">
        <v>45</v>
      </c>
      <c r="O1140">
        <v>1</v>
      </c>
      <c r="P1140">
        <v>2</v>
      </c>
      <c r="Q1140">
        <v>2</v>
      </c>
      <c r="R1140">
        <v>3</v>
      </c>
      <c r="S1140">
        <v>5</v>
      </c>
      <c r="T1140">
        <v>1</v>
      </c>
      <c r="U1140">
        <v>14</v>
      </c>
      <c r="V1140" t="s">
        <v>5122</v>
      </c>
      <c r="W1140" t="s">
        <v>45</v>
      </c>
      <c r="X1140" t="s">
        <v>5123</v>
      </c>
    </row>
    <row r="1141" spans="1:24" x14ac:dyDescent="0.25">
      <c r="A1141" t="s">
        <v>5124</v>
      </c>
      <c r="B1141" t="s">
        <v>5125</v>
      </c>
      <c r="C1141" t="s">
        <v>73</v>
      </c>
      <c r="D1141">
        <v>28</v>
      </c>
      <c r="E1141" t="s">
        <v>88</v>
      </c>
      <c r="F1141" t="s">
        <v>89</v>
      </c>
      <c r="G1141" t="s">
        <v>5126</v>
      </c>
      <c r="H1141">
        <v>96238</v>
      </c>
      <c r="I1141" t="s">
        <v>30</v>
      </c>
      <c r="J1141" t="s">
        <v>31</v>
      </c>
      <c r="L1141" t="s">
        <v>62</v>
      </c>
      <c r="M1141">
        <v>41</v>
      </c>
      <c r="N1141" t="s">
        <v>34</v>
      </c>
      <c r="O1141">
        <v>1</v>
      </c>
      <c r="P1141">
        <v>2</v>
      </c>
      <c r="Q1141">
        <v>2</v>
      </c>
      <c r="R1141">
        <v>4</v>
      </c>
      <c r="S1141">
        <v>2</v>
      </c>
      <c r="T1141">
        <v>4</v>
      </c>
      <c r="U1141">
        <v>22</v>
      </c>
      <c r="V1141" t="s">
        <v>5127</v>
      </c>
      <c r="W1141" t="s">
        <v>45</v>
      </c>
      <c r="X1141" t="s">
        <v>5128</v>
      </c>
    </row>
    <row r="1142" spans="1:24" x14ac:dyDescent="0.25">
      <c r="A1142" t="s">
        <v>5129</v>
      </c>
      <c r="B1142" t="s">
        <v>5130</v>
      </c>
      <c r="C1142" t="s">
        <v>67</v>
      </c>
      <c r="D1142">
        <v>38</v>
      </c>
      <c r="E1142" t="s">
        <v>128</v>
      </c>
      <c r="F1142" t="s">
        <v>271</v>
      </c>
      <c r="G1142" t="s">
        <v>51</v>
      </c>
      <c r="H1142">
        <v>58844</v>
      </c>
      <c r="I1142" t="s">
        <v>42</v>
      </c>
      <c r="J1142" t="s">
        <v>31</v>
      </c>
      <c r="K1142" t="s">
        <v>54</v>
      </c>
      <c r="L1142" t="s">
        <v>33</v>
      </c>
      <c r="M1142">
        <v>41</v>
      </c>
      <c r="N1142" t="s">
        <v>34</v>
      </c>
      <c r="O1142">
        <v>2</v>
      </c>
      <c r="P1142">
        <v>4</v>
      </c>
      <c r="Q1142">
        <v>4</v>
      </c>
      <c r="R1142">
        <v>4</v>
      </c>
      <c r="S1142">
        <v>6</v>
      </c>
      <c r="T1142">
        <v>7</v>
      </c>
      <c r="U1142">
        <v>11</v>
      </c>
      <c r="V1142" t="s">
        <v>5131</v>
      </c>
      <c r="W1142" t="s">
        <v>34</v>
      </c>
    </row>
    <row r="1143" spans="1:24" x14ac:dyDescent="0.25">
      <c r="A1143" t="s">
        <v>5132</v>
      </c>
      <c r="B1143" t="s">
        <v>5133</v>
      </c>
      <c r="C1143" t="s">
        <v>81</v>
      </c>
      <c r="D1143">
        <v>44</v>
      </c>
      <c r="E1143" t="s">
        <v>27</v>
      </c>
      <c r="F1143" t="s">
        <v>59</v>
      </c>
      <c r="G1143" t="s">
        <v>5134</v>
      </c>
      <c r="H1143">
        <v>57316</v>
      </c>
      <c r="I1143" t="s">
        <v>52</v>
      </c>
      <c r="J1143" t="s">
        <v>53</v>
      </c>
      <c r="K1143" t="s">
        <v>131</v>
      </c>
      <c r="L1143" t="s">
        <v>33</v>
      </c>
      <c r="M1143">
        <v>26</v>
      </c>
      <c r="N1143" t="s">
        <v>45</v>
      </c>
      <c r="O1143">
        <v>1</v>
      </c>
      <c r="P1143">
        <v>3</v>
      </c>
      <c r="Q1143">
        <v>4</v>
      </c>
      <c r="R1143">
        <v>4</v>
      </c>
      <c r="S1143">
        <v>0</v>
      </c>
      <c r="T1143">
        <v>3</v>
      </c>
      <c r="U1143">
        <v>18</v>
      </c>
      <c r="V1143" t="s">
        <v>5135</v>
      </c>
      <c r="W1143" t="s">
        <v>45</v>
      </c>
      <c r="X1143" t="s">
        <v>5136</v>
      </c>
    </row>
    <row r="1144" spans="1:24" x14ac:dyDescent="0.25">
      <c r="A1144" t="s">
        <v>5137</v>
      </c>
      <c r="C1144" t="s">
        <v>102</v>
      </c>
      <c r="D1144">
        <v>39</v>
      </c>
      <c r="E1144" t="s">
        <v>197</v>
      </c>
      <c r="F1144" t="s">
        <v>235</v>
      </c>
      <c r="G1144" t="s">
        <v>5138</v>
      </c>
      <c r="H1144">
        <v>113662</v>
      </c>
      <c r="I1144" t="s">
        <v>30</v>
      </c>
      <c r="J1144" t="s">
        <v>31</v>
      </c>
      <c r="K1144" t="s">
        <v>167</v>
      </c>
      <c r="L1144" t="s">
        <v>33</v>
      </c>
      <c r="M1144">
        <v>2</v>
      </c>
      <c r="N1144" t="s">
        <v>45</v>
      </c>
      <c r="O1144">
        <v>3</v>
      </c>
      <c r="P1144">
        <v>4</v>
      </c>
      <c r="Q1144">
        <v>4</v>
      </c>
      <c r="R1144">
        <v>3</v>
      </c>
      <c r="S1144">
        <v>6</v>
      </c>
      <c r="T1144">
        <v>4</v>
      </c>
      <c r="U1144">
        <v>15</v>
      </c>
      <c r="V1144" t="s">
        <v>5139</v>
      </c>
      <c r="W1144" t="s">
        <v>34</v>
      </c>
    </row>
    <row r="1145" spans="1:24" x14ac:dyDescent="0.25">
      <c r="A1145" t="s">
        <v>5140</v>
      </c>
      <c r="B1145" t="s">
        <v>5141</v>
      </c>
      <c r="C1145" t="s">
        <v>58</v>
      </c>
      <c r="D1145">
        <v>30</v>
      </c>
      <c r="E1145" t="s">
        <v>27</v>
      </c>
      <c r="F1145" t="s">
        <v>59</v>
      </c>
      <c r="G1145" t="s">
        <v>5142</v>
      </c>
      <c r="H1145" t="s">
        <v>5143</v>
      </c>
      <c r="I1145" t="s">
        <v>42</v>
      </c>
      <c r="J1145" t="s">
        <v>143</v>
      </c>
      <c r="K1145" t="s">
        <v>167</v>
      </c>
      <c r="L1145" t="s">
        <v>33</v>
      </c>
      <c r="M1145">
        <v>7</v>
      </c>
      <c r="N1145" t="s">
        <v>45</v>
      </c>
      <c r="O1145">
        <v>2</v>
      </c>
      <c r="P1145">
        <v>2</v>
      </c>
      <c r="Q1145">
        <v>4</v>
      </c>
      <c r="R1145">
        <v>3</v>
      </c>
      <c r="S1145">
        <v>1</v>
      </c>
      <c r="T1145">
        <v>0</v>
      </c>
      <c r="U1145">
        <v>24</v>
      </c>
      <c r="V1145" t="s">
        <v>5144</v>
      </c>
      <c r="W1145" t="s">
        <v>45</v>
      </c>
      <c r="X1145" t="s">
        <v>5145</v>
      </c>
    </row>
    <row r="1146" spans="1:24" x14ac:dyDescent="0.25">
      <c r="A1146" t="s">
        <v>5146</v>
      </c>
      <c r="B1146" t="s">
        <v>5147</v>
      </c>
      <c r="C1146" t="s">
        <v>49</v>
      </c>
      <c r="D1146">
        <v>44</v>
      </c>
      <c r="E1146" t="s">
        <v>827</v>
      </c>
      <c r="F1146" t="s">
        <v>4876</v>
      </c>
      <c r="G1146" t="s">
        <v>5148</v>
      </c>
      <c r="H1146">
        <v>72470</v>
      </c>
      <c r="I1146" t="s">
        <v>52</v>
      </c>
      <c r="J1146" t="s">
        <v>31</v>
      </c>
      <c r="K1146" t="s">
        <v>200</v>
      </c>
      <c r="L1146" t="s">
        <v>62</v>
      </c>
      <c r="M1146">
        <v>23</v>
      </c>
      <c r="N1146" t="s">
        <v>34</v>
      </c>
      <c r="O1146">
        <v>3</v>
      </c>
      <c r="Q1146">
        <v>1</v>
      </c>
      <c r="R1146">
        <v>1</v>
      </c>
      <c r="S1146">
        <v>0</v>
      </c>
      <c r="U1146">
        <v>11</v>
      </c>
      <c r="V1146" t="s">
        <v>5149</v>
      </c>
      <c r="W1146" t="s">
        <v>34</v>
      </c>
    </row>
    <row r="1147" spans="1:24" x14ac:dyDescent="0.25">
      <c r="A1147" t="s">
        <v>5150</v>
      </c>
      <c r="B1147" t="s">
        <v>5151</v>
      </c>
      <c r="C1147" t="s">
        <v>73</v>
      </c>
      <c r="D1147">
        <v>19</v>
      </c>
      <c r="E1147" t="s">
        <v>197</v>
      </c>
      <c r="F1147" t="s">
        <v>235</v>
      </c>
      <c r="G1147" t="s">
        <v>5152</v>
      </c>
      <c r="H1147">
        <v>67553</v>
      </c>
      <c r="I1147" t="s">
        <v>30</v>
      </c>
      <c r="J1147" t="s">
        <v>61</v>
      </c>
      <c r="K1147" t="s">
        <v>200</v>
      </c>
      <c r="L1147" t="s">
        <v>33</v>
      </c>
      <c r="N1147" t="s">
        <v>34</v>
      </c>
      <c r="O1147">
        <v>1</v>
      </c>
      <c r="P1147">
        <v>4</v>
      </c>
      <c r="Q1147">
        <v>1</v>
      </c>
      <c r="R1147">
        <v>3</v>
      </c>
      <c r="S1147">
        <v>5</v>
      </c>
      <c r="T1147">
        <v>4</v>
      </c>
      <c r="U1147">
        <v>24</v>
      </c>
      <c r="V1147" t="s">
        <v>5153</v>
      </c>
      <c r="W1147" t="s">
        <v>45</v>
      </c>
      <c r="X1147" t="s">
        <v>5154</v>
      </c>
    </row>
    <row r="1148" spans="1:24" x14ac:dyDescent="0.25">
      <c r="A1148" t="s">
        <v>5155</v>
      </c>
      <c r="B1148" t="s">
        <v>5156</v>
      </c>
      <c r="C1148" t="s">
        <v>81</v>
      </c>
      <c r="D1148">
        <v>32</v>
      </c>
      <c r="E1148" t="s">
        <v>94</v>
      </c>
      <c r="F1148" t="s">
        <v>1436</v>
      </c>
      <c r="G1148" t="s">
        <v>5157</v>
      </c>
      <c r="H1148">
        <v>116484</v>
      </c>
      <c r="I1148" t="s">
        <v>42</v>
      </c>
      <c r="J1148" t="s">
        <v>61</v>
      </c>
      <c r="K1148" t="s">
        <v>167</v>
      </c>
      <c r="L1148" t="s">
        <v>33</v>
      </c>
      <c r="M1148">
        <v>39</v>
      </c>
      <c r="N1148" t="s">
        <v>34</v>
      </c>
      <c r="O1148">
        <v>3</v>
      </c>
      <c r="P1148">
        <v>4</v>
      </c>
      <c r="Q1148">
        <v>2</v>
      </c>
      <c r="R1148">
        <v>5</v>
      </c>
      <c r="S1148">
        <v>6</v>
      </c>
      <c r="T1148">
        <v>5</v>
      </c>
      <c r="U1148">
        <v>24</v>
      </c>
      <c r="W1148" t="s">
        <v>45</v>
      </c>
      <c r="X1148" t="s">
        <v>5158</v>
      </c>
    </row>
    <row r="1149" spans="1:24" x14ac:dyDescent="0.25">
      <c r="A1149" t="s">
        <v>5159</v>
      </c>
      <c r="B1149" t="s">
        <v>5160</v>
      </c>
      <c r="C1149" t="s">
        <v>73</v>
      </c>
      <c r="D1149">
        <v>48</v>
      </c>
      <c r="E1149" t="s">
        <v>27</v>
      </c>
      <c r="F1149" t="s">
        <v>59</v>
      </c>
      <c r="G1149" t="s">
        <v>5161</v>
      </c>
      <c r="H1149" t="s">
        <v>5162</v>
      </c>
      <c r="I1149" t="s">
        <v>52</v>
      </c>
      <c r="J1149" t="s">
        <v>53</v>
      </c>
      <c r="K1149" t="s">
        <v>54</v>
      </c>
      <c r="L1149" t="s">
        <v>43</v>
      </c>
      <c r="M1149">
        <v>1</v>
      </c>
      <c r="N1149" t="s">
        <v>34</v>
      </c>
      <c r="O1149">
        <v>3</v>
      </c>
      <c r="P1149">
        <v>1</v>
      </c>
      <c r="Q1149">
        <v>1</v>
      </c>
      <c r="R1149">
        <v>5</v>
      </c>
      <c r="S1149">
        <v>6</v>
      </c>
      <c r="T1149">
        <v>4</v>
      </c>
      <c r="U1149">
        <v>24</v>
      </c>
      <c r="V1149" t="s">
        <v>5163</v>
      </c>
      <c r="W1149" t="s">
        <v>45</v>
      </c>
      <c r="X1149" t="s">
        <v>5164</v>
      </c>
    </row>
    <row r="1150" spans="1:24" x14ac:dyDescent="0.25">
      <c r="A1150" t="s">
        <v>5165</v>
      </c>
      <c r="B1150" t="s">
        <v>5166</v>
      </c>
      <c r="C1150" t="s">
        <v>81</v>
      </c>
      <c r="D1150">
        <v>44</v>
      </c>
      <c r="E1150" t="s">
        <v>1092</v>
      </c>
      <c r="F1150" t="s">
        <v>945</v>
      </c>
      <c r="G1150" t="s">
        <v>5167</v>
      </c>
      <c r="H1150" t="s">
        <v>5168</v>
      </c>
      <c r="I1150" t="s">
        <v>52</v>
      </c>
      <c r="J1150" t="s">
        <v>31</v>
      </c>
      <c r="K1150" t="s">
        <v>83</v>
      </c>
      <c r="L1150" t="s">
        <v>62</v>
      </c>
      <c r="M1150">
        <v>15</v>
      </c>
      <c r="N1150" t="s">
        <v>34</v>
      </c>
      <c r="O1150">
        <v>2</v>
      </c>
      <c r="P1150">
        <v>2</v>
      </c>
      <c r="Q1150">
        <v>2</v>
      </c>
      <c r="R1150">
        <v>3</v>
      </c>
      <c r="S1150">
        <v>4</v>
      </c>
      <c r="T1150">
        <v>4</v>
      </c>
      <c r="U1150">
        <v>19</v>
      </c>
      <c r="V1150" t="s">
        <v>5169</v>
      </c>
      <c r="W1150" t="s">
        <v>34</v>
      </c>
    </row>
    <row r="1151" spans="1:24" x14ac:dyDescent="0.25">
      <c r="A1151" t="s">
        <v>5170</v>
      </c>
      <c r="B1151" t="s">
        <v>5171</v>
      </c>
      <c r="C1151" t="s">
        <v>67</v>
      </c>
      <c r="D1151">
        <v>19</v>
      </c>
      <c r="E1151" t="s">
        <v>38</v>
      </c>
      <c r="F1151" t="s">
        <v>39</v>
      </c>
      <c r="G1151" t="s">
        <v>5172</v>
      </c>
      <c r="H1151">
        <v>46248</v>
      </c>
      <c r="I1151" t="s">
        <v>42</v>
      </c>
      <c r="J1151" t="s">
        <v>61</v>
      </c>
      <c r="K1151" t="s">
        <v>98</v>
      </c>
      <c r="L1151" t="s">
        <v>43</v>
      </c>
      <c r="M1151">
        <v>33</v>
      </c>
      <c r="N1151" t="s">
        <v>34</v>
      </c>
      <c r="P1151">
        <v>4</v>
      </c>
      <c r="Q1151">
        <v>1</v>
      </c>
      <c r="R1151">
        <v>2</v>
      </c>
      <c r="S1151">
        <v>6</v>
      </c>
      <c r="T1151">
        <v>6</v>
      </c>
      <c r="U1151">
        <v>12</v>
      </c>
      <c r="V1151" t="s">
        <v>5173</v>
      </c>
      <c r="W1151" t="s">
        <v>45</v>
      </c>
      <c r="X1151" t="s">
        <v>3843</v>
      </c>
    </row>
    <row r="1152" spans="1:24" x14ac:dyDescent="0.25">
      <c r="A1152" t="s">
        <v>4865</v>
      </c>
      <c r="B1152" t="s">
        <v>4866</v>
      </c>
      <c r="C1152" t="s">
        <v>87</v>
      </c>
      <c r="D1152">
        <v>31</v>
      </c>
      <c r="E1152" t="s">
        <v>27</v>
      </c>
      <c r="F1152" t="s">
        <v>75</v>
      </c>
      <c r="G1152" t="s">
        <v>4867</v>
      </c>
      <c r="H1152" t="s">
        <v>4868</v>
      </c>
      <c r="I1152" t="s">
        <v>52</v>
      </c>
      <c r="J1152" t="s">
        <v>31</v>
      </c>
      <c r="K1152" t="s">
        <v>77</v>
      </c>
      <c r="L1152" t="s">
        <v>62</v>
      </c>
      <c r="M1152">
        <v>23</v>
      </c>
      <c r="N1152" t="s">
        <v>45</v>
      </c>
      <c r="O1152">
        <v>4</v>
      </c>
      <c r="P1152">
        <v>4</v>
      </c>
      <c r="Q1152">
        <v>4</v>
      </c>
      <c r="R1152">
        <v>4</v>
      </c>
      <c r="S1152">
        <v>5</v>
      </c>
      <c r="T1152">
        <v>3</v>
      </c>
      <c r="U1152">
        <v>13</v>
      </c>
      <c r="V1152" t="s">
        <v>4869</v>
      </c>
      <c r="W1152" t="s">
        <v>34</v>
      </c>
    </row>
    <row r="1153" spans="1:24" x14ac:dyDescent="0.25">
      <c r="A1153" t="s">
        <v>5174</v>
      </c>
      <c r="B1153" t="s">
        <v>5175</v>
      </c>
      <c r="C1153" t="s">
        <v>67</v>
      </c>
      <c r="D1153">
        <v>38</v>
      </c>
      <c r="E1153" t="s">
        <v>88</v>
      </c>
      <c r="F1153" t="s">
        <v>141</v>
      </c>
      <c r="G1153" t="s">
        <v>1381</v>
      </c>
      <c r="H1153" t="s">
        <v>5176</v>
      </c>
      <c r="I1153" t="s">
        <v>30</v>
      </c>
      <c r="J1153" t="s">
        <v>143</v>
      </c>
      <c r="K1153" t="s">
        <v>32</v>
      </c>
      <c r="L1153" t="s">
        <v>33</v>
      </c>
      <c r="M1153">
        <v>12</v>
      </c>
      <c r="N1153" t="s">
        <v>34</v>
      </c>
      <c r="O1153">
        <v>2</v>
      </c>
      <c r="P1153">
        <v>3</v>
      </c>
      <c r="R1153">
        <v>4</v>
      </c>
      <c r="S1153">
        <v>0</v>
      </c>
      <c r="T1153">
        <v>8</v>
      </c>
      <c r="U1153">
        <v>23</v>
      </c>
      <c r="V1153" t="s">
        <v>5177</v>
      </c>
      <c r="W1153" t="s">
        <v>34</v>
      </c>
    </row>
    <row r="1154" spans="1:24" x14ac:dyDescent="0.25">
      <c r="A1154" t="s">
        <v>5178</v>
      </c>
      <c r="B1154" t="s">
        <v>5179</v>
      </c>
      <c r="C1154" t="s">
        <v>67</v>
      </c>
      <c r="D1154">
        <v>35</v>
      </c>
      <c r="F1154" t="s">
        <v>433</v>
      </c>
      <c r="G1154" t="s">
        <v>5180</v>
      </c>
      <c r="H1154">
        <v>99281</v>
      </c>
      <c r="I1154" t="s">
        <v>52</v>
      </c>
      <c r="J1154" t="s">
        <v>97</v>
      </c>
      <c r="K1154" t="s">
        <v>200</v>
      </c>
      <c r="L1154" t="s">
        <v>43</v>
      </c>
      <c r="M1154">
        <v>12</v>
      </c>
      <c r="N1154" t="s">
        <v>34</v>
      </c>
      <c r="O1154">
        <v>3</v>
      </c>
      <c r="P1154">
        <v>1</v>
      </c>
      <c r="Q1154">
        <v>3</v>
      </c>
      <c r="R1154">
        <v>4</v>
      </c>
      <c r="S1154">
        <v>4</v>
      </c>
      <c r="T1154">
        <v>6</v>
      </c>
      <c r="U1154">
        <v>20</v>
      </c>
      <c r="V1154" t="s">
        <v>5181</v>
      </c>
      <c r="W1154" t="s">
        <v>34</v>
      </c>
    </row>
    <row r="1155" spans="1:24" x14ac:dyDescent="0.25">
      <c r="A1155" t="s">
        <v>5182</v>
      </c>
      <c r="B1155" t="s">
        <v>5183</v>
      </c>
      <c r="C1155" t="s">
        <v>58</v>
      </c>
      <c r="D1155">
        <v>53</v>
      </c>
      <c r="E1155" t="s">
        <v>128</v>
      </c>
      <c r="F1155" t="s">
        <v>123</v>
      </c>
      <c r="G1155" t="s">
        <v>5184</v>
      </c>
      <c r="H1155">
        <v>44382</v>
      </c>
      <c r="I1155" t="s">
        <v>52</v>
      </c>
      <c r="J1155" t="s">
        <v>61</v>
      </c>
      <c r="K1155" t="s">
        <v>106</v>
      </c>
      <c r="L1155" t="s">
        <v>33</v>
      </c>
      <c r="M1155">
        <v>14</v>
      </c>
      <c r="N1155" t="s">
        <v>34</v>
      </c>
      <c r="O1155">
        <v>1</v>
      </c>
      <c r="P1155">
        <v>2</v>
      </c>
      <c r="Q1155">
        <v>2</v>
      </c>
      <c r="R1155">
        <v>1</v>
      </c>
      <c r="S1155">
        <v>0</v>
      </c>
      <c r="T1155">
        <v>2</v>
      </c>
      <c r="U1155">
        <v>25</v>
      </c>
      <c r="V1155" t="s">
        <v>5185</v>
      </c>
      <c r="W1155" t="s">
        <v>34</v>
      </c>
    </row>
    <row r="1156" spans="1:24" x14ac:dyDescent="0.25">
      <c r="A1156" t="s">
        <v>5186</v>
      </c>
      <c r="B1156" t="s">
        <v>5187</v>
      </c>
      <c r="C1156" t="s">
        <v>73</v>
      </c>
      <c r="D1156">
        <v>40</v>
      </c>
      <c r="E1156" t="s">
        <v>27</v>
      </c>
      <c r="F1156" t="s">
        <v>75</v>
      </c>
      <c r="G1156" t="s">
        <v>5188</v>
      </c>
      <c r="H1156">
        <v>53797</v>
      </c>
      <c r="I1156" t="s">
        <v>52</v>
      </c>
      <c r="J1156" t="s">
        <v>61</v>
      </c>
      <c r="K1156" t="s">
        <v>54</v>
      </c>
      <c r="L1156" t="s">
        <v>62</v>
      </c>
      <c r="M1156">
        <v>41</v>
      </c>
      <c r="N1156" t="s">
        <v>45</v>
      </c>
      <c r="O1156">
        <v>2</v>
      </c>
      <c r="P1156">
        <v>2</v>
      </c>
      <c r="Q1156">
        <v>3</v>
      </c>
      <c r="R1156">
        <v>1</v>
      </c>
      <c r="S1156">
        <v>3</v>
      </c>
      <c r="T1156">
        <v>6</v>
      </c>
      <c r="U1156">
        <v>11</v>
      </c>
      <c r="V1156" t="s">
        <v>5189</v>
      </c>
      <c r="W1156" t="s">
        <v>45</v>
      </c>
      <c r="X1156" t="s">
        <v>644</v>
      </c>
    </row>
    <row r="1157" spans="1:24" x14ac:dyDescent="0.25">
      <c r="A1157" t="s">
        <v>5190</v>
      </c>
      <c r="B1157" t="s">
        <v>5191</v>
      </c>
      <c r="C1157" t="s">
        <v>81</v>
      </c>
      <c r="D1157">
        <v>29</v>
      </c>
      <c r="E1157" t="s">
        <v>94</v>
      </c>
      <c r="F1157" t="s">
        <v>2568</v>
      </c>
      <c r="G1157" t="s">
        <v>5192</v>
      </c>
      <c r="H1157" t="s">
        <v>5193</v>
      </c>
      <c r="I1157" t="s">
        <v>42</v>
      </c>
      <c r="J1157" t="s">
        <v>31</v>
      </c>
      <c r="K1157" t="s">
        <v>167</v>
      </c>
      <c r="L1157" t="s">
        <v>62</v>
      </c>
      <c r="M1157">
        <v>14</v>
      </c>
      <c r="N1157" t="s">
        <v>34</v>
      </c>
      <c r="O1157">
        <v>1</v>
      </c>
      <c r="P1157">
        <v>4</v>
      </c>
      <c r="Q1157">
        <v>4</v>
      </c>
      <c r="R1157">
        <v>3</v>
      </c>
      <c r="S1157">
        <v>1</v>
      </c>
      <c r="T1157">
        <v>0</v>
      </c>
      <c r="U1157">
        <v>13</v>
      </c>
      <c r="V1157" t="s">
        <v>5194</v>
      </c>
      <c r="W1157" t="s">
        <v>45</v>
      </c>
      <c r="X1157" t="s">
        <v>5195</v>
      </c>
    </row>
    <row r="1158" spans="1:24" x14ac:dyDescent="0.25">
      <c r="A1158" t="s">
        <v>5196</v>
      </c>
      <c r="B1158" t="s">
        <v>5197</v>
      </c>
      <c r="C1158" t="s">
        <v>67</v>
      </c>
      <c r="D1158">
        <v>39</v>
      </c>
      <c r="E1158" t="s">
        <v>128</v>
      </c>
      <c r="F1158" t="s">
        <v>226</v>
      </c>
      <c r="G1158" t="s">
        <v>5198</v>
      </c>
      <c r="H1158">
        <v>77761</v>
      </c>
      <c r="I1158" t="s">
        <v>52</v>
      </c>
      <c r="J1158" t="s">
        <v>61</v>
      </c>
      <c r="K1158" t="s">
        <v>200</v>
      </c>
      <c r="L1158" t="s">
        <v>43</v>
      </c>
      <c r="M1158">
        <v>18</v>
      </c>
      <c r="N1158" t="s">
        <v>34</v>
      </c>
      <c r="O1158">
        <v>3</v>
      </c>
      <c r="P1158">
        <v>4</v>
      </c>
      <c r="Q1158">
        <v>2</v>
      </c>
      <c r="R1158">
        <v>2</v>
      </c>
      <c r="S1158">
        <v>1</v>
      </c>
      <c r="T1158">
        <v>3</v>
      </c>
      <c r="U1158">
        <v>21</v>
      </c>
      <c r="V1158" t="s">
        <v>5199</v>
      </c>
      <c r="W1158" t="s">
        <v>34</v>
      </c>
    </row>
    <row r="1159" spans="1:24" x14ac:dyDescent="0.25">
      <c r="A1159" t="s">
        <v>5200</v>
      </c>
      <c r="B1159" t="s">
        <v>5201</v>
      </c>
      <c r="C1159" t="s">
        <v>87</v>
      </c>
      <c r="D1159">
        <v>22</v>
      </c>
      <c r="E1159" t="s">
        <v>128</v>
      </c>
      <c r="F1159" t="s">
        <v>226</v>
      </c>
      <c r="G1159" t="s">
        <v>5202</v>
      </c>
      <c r="H1159">
        <v>62331</v>
      </c>
      <c r="I1159" t="s">
        <v>30</v>
      </c>
      <c r="J1159" t="s">
        <v>143</v>
      </c>
      <c r="K1159" t="s">
        <v>131</v>
      </c>
      <c r="L1159" t="s">
        <v>43</v>
      </c>
      <c r="M1159">
        <v>30</v>
      </c>
      <c r="N1159" t="s">
        <v>34</v>
      </c>
      <c r="O1159">
        <v>1</v>
      </c>
      <c r="P1159">
        <v>3</v>
      </c>
      <c r="Q1159">
        <v>3</v>
      </c>
      <c r="R1159">
        <v>5</v>
      </c>
      <c r="S1159">
        <v>6</v>
      </c>
      <c r="T1159">
        <v>8</v>
      </c>
      <c r="U1159">
        <v>12</v>
      </c>
      <c r="V1159" t="s">
        <v>5203</v>
      </c>
      <c r="W1159" t="s">
        <v>34</v>
      </c>
    </row>
    <row r="1160" spans="1:24" x14ac:dyDescent="0.25">
      <c r="A1160" t="s">
        <v>5204</v>
      </c>
      <c r="B1160" t="s">
        <v>5205</v>
      </c>
      <c r="C1160" t="s">
        <v>81</v>
      </c>
      <c r="D1160">
        <v>35</v>
      </c>
      <c r="E1160" t="s">
        <v>332</v>
      </c>
      <c r="F1160" t="s">
        <v>3640</v>
      </c>
      <c r="G1160" t="s">
        <v>202</v>
      </c>
      <c r="H1160">
        <v>54059</v>
      </c>
      <c r="I1160" t="s">
        <v>52</v>
      </c>
      <c r="J1160" t="s">
        <v>97</v>
      </c>
      <c r="K1160" t="s">
        <v>200</v>
      </c>
      <c r="L1160" t="s">
        <v>33</v>
      </c>
      <c r="M1160">
        <v>44</v>
      </c>
      <c r="N1160" t="s">
        <v>34</v>
      </c>
      <c r="O1160">
        <v>3</v>
      </c>
      <c r="P1160">
        <v>1</v>
      </c>
      <c r="Q1160">
        <v>1</v>
      </c>
      <c r="S1160">
        <v>1</v>
      </c>
      <c r="T1160">
        <v>1</v>
      </c>
      <c r="U1160">
        <v>21</v>
      </c>
      <c r="V1160" t="s">
        <v>5206</v>
      </c>
      <c r="W1160" t="s">
        <v>34</v>
      </c>
    </row>
    <row r="1161" spans="1:24" x14ac:dyDescent="0.25">
      <c r="A1161" t="s">
        <v>5207</v>
      </c>
      <c r="B1161" t="s">
        <v>5208</v>
      </c>
      <c r="C1161" t="s">
        <v>26</v>
      </c>
      <c r="D1161">
        <v>54</v>
      </c>
      <c r="E1161" t="s">
        <v>94</v>
      </c>
      <c r="F1161" t="s">
        <v>266</v>
      </c>
      <c r="G1161" t="s">
        <v>5209</v>
      </c>
      <c r="H1161">
        <v>78102</v>
      </c>
      <c r="I1161" t="s">
        <v>52</v>
      </c>
      <c r="J1161" t="s">
        <v>61</v>
      </c>
      <c r="K1161" t="s">
        <v>200</v>
      </c>
      <c r="L1161" t="s">
        <v>43</v>
      </c>
      <c r="M1161">
        <v>37</v>
      </c>
      <c r="N1161" t="s">
        <v>34</v>
      </c>
      <c r="O1161">
        <v>4</v>
      </c>
      <c r="P1161">
        <v>2</v>
      </c>
      <c r="Q1161">
        <v>1</v>
      </c>
      <c r="R1161">
        <v>2</v>
      </c>
      <c r="S1161">
        <v>2</v>
      </c>
      <c r="T1161">
        <v>6</v>
      </c>
      <c r="U1161">
        <v>13</v>
      </c>
      <c r="V1161" t="s">
        <v>5210</v>
      </c>
      <c r="W1161" t="s">
        <v>34</v>
      </c>
    </row>
    <row r="1162" spans="1:24" x14ac:dyDescent="0.25">
      <c r="A1162" t="s">
        <v>5211</v>
      </c>
      <c r="B1162" t="s">
        <v>5212</v>
      </c>
      <c r="C1162" t="s">
        <v>102</v>
      </c>
      <c r="D1162">
        <v>34</v>
      </c>
      <c r="E1162" t="s">
        <v>27</v>
      </c>
      <c r="F1162" t="s">
        <v>75</v>
      </c>
      <c r="G1162" t="s">
        <v>2123</v>
      </c>
      <c r="H1162" t="s">
        <v>5213</v>
      </c>
      <c r="I1162" t="s">
        <v>30</v>
      </c>
      <c r="J1162" t="s">
        <v>61</v>
      </c>
      <c r="K1162" t="s">
        <v>167</v>
      </c>
      <c r="L1162" t="s">
        <v>43</v>
      </c>
      <c r="M1162">
        <v>16</v>
      </c>
      <c r="N1162" t="s">
        <v>34</v>
      </c>
      <c r="P1162">
        <v>2</v>
      </c>
      <c r="Q1162">
        <v>4</v>
      </c>
      <c r="R1162">
        <v>3</v>
      </c>
      <c r="S1162">
        <v>4</v>
      </c>
      <c r="T1162">
        <v>2</v>
      </c>
      <c r="U1162">
        <v>25</v>
      </c>
      <c r="V1162" t="s">
        <v>5214</v>
      </c>
      <c r="W1162" t="s">
        <v>34</v>
      </c>
    </row>
    <row r="1163" spans="1:24" x14ac:dyDescent="0.25">
      <c r="A1163" t="s">
        <v>5215</v>
      </c>
      <c r="B1163" t="s">
        <v>5216</v>
      </c>
      <c r="C1163" t="s">
        <v>58</v>
      </c>
      <c r="D1163">
        <v>43</v>
      </c>
      <c r="E1163" t="s">
        <v>88</v>
      </c>
      <c r="F1163" t="s">
        <v>141</v>
      </c>
      <c r="G1163" t="s">
        <v>5217</v>
      </c>
      <c r="H1163">
        <v>89706</v>
      </c>
      <c r="I1163" t="s">
        <v>52</v>
      </c>
      <c r="J1163" t="s">
        <v>31</v>
      </c>
      <c r="K1163" t="s">
        <v>106</v>
      </c>
      <c r="L1163" t="s">
        <v>33</v>
      </c>
      <c r="M1163">
        <v>8</v>
      </c>
      <c r="N1163" t="s">
        <v>34</v>
      </c>
      <c r="O1163">
        <v>4</v>
      </c>
      <c r="Q1163">
        <v>4</v>
      </c>
      <c r="R1163">
        <v>2</v>
      </c>
      <c r="S1163">
        <v>2</v>
      </c>
      <c r="T1163">
        <v>8</v>
      </c>
      <c r="U1163">
        <v>22</v>
      </c>
      <c r="V1163" t="s">
        <v>5218</v>
      </c>
      <c r="W1163" t="s">
        <v>34</v>
      </c>
    </row>
    <row r="1164" spans="1:24" x14ac:dyDescent="0.25">
      <c r="A1164" t="s">
        <v>5219</v>
      </c>
      <c r="B1164" t="s">
        <v>5220</v>
      </c>
      <c r="C1164" t="s">
        <v>87</v>
      </c>
      <c r="D1164">
        <v>39</v>
      </c>
      <c r="E1164" t="s">
        <v>197</v>
      </c>
      <c r="F1164" t="s">
        <v>573</v>
      </c>
      <c r="G1164" t="s">
        <v>5221</v>
      </c>
      <c r="H1164" t="s">
        <v>5222</v>
      </c>
      <c r="I1164" t="s">
        <v>42</v>
      </c>
      <c r="J1164" t="s">
        <v>61</v>
      </c>
      <c r="K1164" t="s">
        <v>54</v>
      </c>
      <c r="L1164" t="s">
        <v>62</v>
      </c>
      <c r="M1164">
        <v>4</v>
      </c>
      <c r="N1164" t="s">
        <v>34</v>
      </c>
      <c r="O1164">
        <v>4</v>
      </c>
      <c r="P1164">
        <v>3</v>
      </c>
      <c r="Q1164">
        <v>2</v>
      </c>
      <c r="R1164">
        <v>3</v>
      </c>
      <c r="S1164">
        <v>6</v>
      </c>
      <c r="T1164">
        <v>8</v>
      </c>
      <c r="V1164" t="s">
        <v>5223</v>
      </c>
      <c r="W1164" t="s">
        <v>34</v>
      </c>
    </row>
    <row r="1165" spans="1:24" x14ac:dyDescent="0.25">
      <c r="A1165" t="s">
        <v>5224</v>
      </c>
      <c r="B1165" t="s">
        <v>5225</v>
      </c>
      <c r="C1165" t="s">
        <v>26</v>
      </c>
      <c r="D1165">
        <v>30</v>
      </c>
      <c r="E1165" t="s">
        <v>27</v>
      </c>
      <c r="F1165" t="s">
        <v>1195</v>
      </c>
      <c r="G1165" t="s">
        <v>5226</v>
      </c>
      <c r="H1165" t="s">
        <v>5227</v>
      </c>
      <c r="J1165" t="s">
        <v>61</v>
      </c>
      <c r="K1165" t="s">
        <v>83</v>
      </c>
      <c r="L1165" t="s">
        <v>62</v>
      </c>
      <c r="M1165">
        <v>25</v>
      </c>
      <c r="N1165" t="s">
        <v>34</v>
      </c>
      <c r="O1165">
        <v>3</v>
      </c>
      <c r="P1165">
        <v>3</v>
      </c>
      <c r="Q1165">
        <v>3</v>
      </c>
      <c r="R1165">
        <v>4</v>
      </c>
      <c r="S1165">
        <v>0</v>
      </c>
      <c r="T1165">
        <v>8</v>
      </c>
      <c r="U1165">
        <v>12</v>
      </c>
      <c r="V1165" t="s">
        <v>5228</v>
      </c>
      <c r="W1165" t="s">
        <v>34</v>
      </c>
    </row>
    <row r="1166" spans="1:24" x14ac:dyDescent="0.25">
      <c r="A1166" t="s">
        <v>5229</v>
      </c>
      <c r="B1166" t="s">
        <v>5230</v>
      </c>
      <c r="C1166" t="s">
        <v>102</v>
      </c>
      <c r="E1166" t="s">
        <v>412</v>
      </c>
      <c r="G1166" t="s">
        <v>5231</v>
      </c>
      <c r="H1166">
        <v>61157</v>
      </c>
      <c r="I1166" t="s">
        <v>30</v>
      </c>
      <c r="J1166" t="s">
        <v>143</v>
      </c>
      <c r="K1166" t="s">
        <v>200</v>
      </c>
      <c r="L1166" t="s">
        <v>33</v>
      </c>
      <c r="M1166">
        <v>27</v>
      </c>
      <c r="N1166" t="s">
        <v>45</v>
      </c>
      <c r="O1166">
        <v>2</v>
      </c>
      <c r="P1166">
        <v>4</v>
      </c>
      <c r="Q1166">
        <v>3</v>
      </c>
      <c r="R1166">
        <v>3</v>
      </c>
      <c r="S1166">
        <v>0</v>
      </c>
      <c r="T1166">
        <v>5</v>
      </c>
      <c r="V1166" t="s">
        <v>5232</v>
      </c>
      <c r="W1166" t="s">
        <v>45</v>
      </c>
      <c r="X1166" t="s">
        <v>5233</v>
      </c>
    </row>
    <row r="1167" spans="1:24" x14ac:dyDescent="0.25">
      <c r="A1167" t="s">
        <v>5234</v>
      </c>
      <c r="B1167" t="s">
        <v>5235</v>
      </c>
      <c r="C1167" t="s">
        <v>49</v>
      </c>
      <c r="D1167">
        <v>19</v>
      </c>
      <c r="E1167" t="s">
        <v>38</v>
      </c>
      <c r="F1167" t="s">
        <v>136</v>
      </c>
      <c r="G1167" t="s">
        <v>5236</v>
      </c>
      <c r="H1167">
        <v>70457</v>
      </c>
      <c r="I1167" t="s">
        <v>30</v>
      </c>
      <c r="J1167" t="s">
        <v>31</v>
      </c>
      <c r="K1167" t="s">
        <v>106</v>
      </c>
      <c r="L1167" t="s">
        <v>33</v>
      </c>
      <c r="M1167">
        <v>27</v>
      </c>
      <c r="N1167" t="s">
        <v>45</v>
      </c>
      <c r="O1167">
        <v>1</v>
      </c>
      <c r="P1167">
        <v>3</v>
      </c>
      <c r="Q1167">
        <v>3</v>
      </c>
      <c r="R1167">
        <v>2</v>
      </c>
      <c r="S1167">
        <v>2</v>
      </c>
      <c r="T1167">
        <v>6</v>
      </c>
      <c r="U1167">
        <v>22</v>
      </c>
      <c r="V1167" t="s">
        <v>5237</v>
      </c>
      <c r="W1167" t="s">
        <v>45</v>
      </c>
      <c r="X1167" t="s">
        <v>964</v>
      </c>
    </row>
    <row r="1168" spans="1:24" x14ac:dyDescent="0.25">
      <c r="A1168" t="s">
        <v>5238</v>
      </c>
      <c r="B1168" t="s">
        <v>5239</v>
      </c>
      <c r="C1168" t="s">
        <v>49</v>
      </c>
      <c r="D1168">
        <v>24</v>
      </c>
      <c r="E1168" t="s">
        <v>128</v>
      </c>
      <c r="F1168" t="s">
        <v>255</v>
      </c>
      <c r="G1168" t="s">
        <v>5240</v>
      </c>
      <c r="H1168">
        <v>75555</v>
      </c>
      <c r="I1168" t="s">
        <v>30</v>
      </c>
      <c r="J1168" t="s">
        <v>61</v>
      </c>
      <c r="K1168" t="s">
        <v>131</v>
      </c>
      <c r="L1168" t="s">
        <v>33</v>
      </c>
      <c r="M1168">
        <v>17</v>
      </c>
      <c r="N1168" t="s">
        <v>34</v>
      </c>
      <c r="O1168">
        <v>3</v>
      </c>
      <c r="P1168">
        <v>2</v>
      </c>
      <c r="Q1168">
        <v>3</v>
      </c>
      <c r="R1168">
        <v>1</v>
      </c>
      <c r="S1168">
        <v>4</v>
      </c>
      <c r="T1168">
        <v>7</v>
      </c>
      <c r="U1168">
        <v>11</v>
      </c>
      <c r="V1168" t="s">
        <v>5241</v>
      </c>
      <c r="W1168" t="s">
        <v>34</v>
      </c>
    </row>
    <row r="1169" spans="1:24" x14ac:dyDescent="0.25">
      <c r="A1169" t="s">
        <v>5242</v>
      </c>
      <c r="B1169" t="s">
        <v>5243</v>
      </c>
      <c r="C1169" t="s">
        <v>102</v>
      </c>
      <c r="D1169">
        <v>50</v>
      </c>
      <c r="E1169" t="s">
        <v>27</v>
      </c>
      <c r="F1169" t="s">
        <v>75</v>
      </c>
      <c r="G1169" t="s">
        <v>5244</v>
      </c>
      <c r="H1169">
        <v>122978</v>
      </c>
      <c r="I1169" t="s">
        <v>30</v>
      </c>
      <c r="J1169" t="s">
        <v>31</v>
      </c>
      <c r="K1169" t="s">
        <v>167</v>
      </c>
      <c r="L1169" t="s">
        <v>62</v>
      </c>
      <c r="M1169">
        <v>6</v>
      </c>
      <c r="N1169" t="s">
        <v>34</v>
      </c>
      <c r="O1169">
        <v>4</v>
      </c>
      <c r="P1169">
        <v>2</v>
      </c>
      <c r="Q1169">
        <v>3</v>
      </c>
      <c r="R1169">
        <v>4</v>
      </c>
      <c r="S1169">
        <v>1</v>
      </c>
      <c r="T1169">
        <v>2</v>
      </c>
      <c r="U1169">
        <v>21</v>
      </c>
      <c r="V1169" t="s">
        <v>5245</v>
      </c>
      <c r="W1169" t="s">
        <v>34</v>
      </c>
    </row>
    <row r="1170" spans="1:24" x14ac:dyDescent="0.25">
      <c r="A1170" t="s">
        <v>5246</v>
      </c>
      <c r="B1170" t="s">
        <v>5247</v>
      </c>
      <c r="C1170" t="s">
        <v>58</v>
      </c>
      <c r="D1170">
        <v>37</v>
      </c>
      <c r="E1170" t="s">
        <v>197</v>
      </c>
      <c r="F1170" t="s">
        <v>771</v>
      </c>
      <c r="G1170" t="s">
        <v>5248</v>
      </c>
      <c r="H1170">
        <v>107427</v>
      </c>
      <c r="I1170" t="s">
        <v>42</v>
      </c>
      <c r="J1170" t="s">
        <v>31</v>
      </c>
      <c r="K1170" t="s">
        <v>54</v>
      </c>
      <c r="L1170" t="s">
        <v>62</v>
      </c>
      <c r="M1170">
        <v>13</v>
      </c>
      <c r="N1170" t="s">
        <v>34</v>
      </c>
      <c r="O1170">
        <v>2</v>
      </c>
      <c r="Q1170">
        <v>3</v>
      </c>
      <c r="R1170">
        <v>3</v>
      </c>
      <c r="S1170">
        <v>6</v>
      </c>
      <c r="T1170">
        <v>7</v>
      </c>
      <c r="U1170">
        <v>18</v>
      </c>
      <c r="V1170" t="s">
        <v>5249</v>
      </c>
      <c r="W1170" t="s">
        <v>34</v>
      </c>
    </row>
    <row r="1171" spans="1:24" x14ac:dyDescent="0.25">
      <c r="A1171" t="s">
        <v>5250</v>
      </c>
      <c r="B1171" t="s">
        <v>5251</v>
      </c>
      <c r="C1171" t="s">
        <v>81</v>
      </c>
      <c r="D1171">
        <v>36</v>
      </c>
      <c r="E1171" t="s">
        <v>27</v>
      </c>
      <c r="F1171" t="s">
        <v>50</v>
      </c>
      <c r="G1171" t="s">
        <v>5252</v>
      </c>
      <c r="H1171">
        <v>54847</v>
      </c>
      <c r="J1171" t="s">
        <v>31</v>
      </c>
      <c r="K1171" t="s">
        <v>167</v>
      </c>
      <c r="L1171" t="s">
        <v>43</v>
      </c>
      <c r="M1171">
        <v>14</v>
      </c>
      <c r="N1171" t="s">
        <v>34</v>
      </c>
      <c r="O1171">
        <v>2</v>
      </c>
      <c r="P1171">
        <v>2</v>
      </c>
      <c r="Q1171">
        <v>3</v>
      </c>
      <c r="R1171">
        <v>3</v>
      </c>
      <c r="S1171">
        <v>4</v>
      </c>
      <c r="T1171">
        <v>7</v>
      </c>
      <c r="U1171">
        <v>15</v>
      </c>
      <c r="V1171" t="s">
        <v>5253</v>
      </c>
      <c r="W1171" t="s">
        <v>34</v>
      </c>
    </row>
    <row r="1172" spans="1:24" x14ac:dyDescent="0.25">
      <c r="A1172" t="s">
        <v>5254</v>
      </c>
      <c r="B1172" t="s">
        <v>5255</v>
      </c>
      <c r="C1172" t="s">
        <v>67</v>
      </c>
      <c r="E1172" t="s">
        <v>128</v>
      </c>
      <c r="F1172" t="s">
        <v>1107</v>
      </c>
      <c r="G1172" t="s">
        <v>5256</v>
      </c>
      <c r="H1172" t="s">
        <v>5257</v>
      </c>
      <c r="I1172" t="s">
        <v>30</v>
      </c>
      <c r="J1172" t="s">
        <v>61</v>
      </c>
      <c r="K1172" t="s">
        <v>54</v>
      </c>
      <c r="L1172" t="s">
        <v>43</v>
      </c>
      <c r="M1172">
        <v>29</v>
      </c>
      <c r="N1172" t="s">
        <v>34</v>
      </c>
      <c r="O1172">
        <v>1</v>
      </c>
      <c r="P1172">
        <v>2</v>
      </c>
      <c r="Q1172">
        <v>1</v>
      </c>
      <c r="R1172">
        <v>3</v>
      </c>
      <c r="S1172">
        <v>6</v>
      </c>
      <c r="T1172">
        <v>7</v>
      </c>
      <c r="U1172">
        <v>23</v>
      </c>
      <c r="V1172" t="s">
        <v>5258</v>
      </c>
      <c r="W1172" t="s">
        <v>34</v>
      </c>
    </row>
    <row r="1173" spans="1:24" x14ac:dyDescent="0.25">
      <c r="A1173" t="s">
        <v>1493</v>
      </c>
      <c r="B1173" t="s">
        <v>1494</v>
      </c>
      <c r="C1173" t="s">
        <v>102</v>
      </c>
      <c r="D1173">
        <v>32</v>
      </c>
      <c r="E1173" t="s">
        <v>88</v>
      </c>
      <c r="F1173" t="s">
        <v>1989</v>
      </c>
      <c r="G1173" t="s">
        <v>1495</v>
      </c>
      <c r="H1173" t="s">
        <v>1496</v>
      </c>
      <c r="I1173" t="s">
        <v>42</v>
      </c>
      <c r="J1173" t="s">
        <v>31</v>
      </c>
      <c r="K1173" t="s">
        <v>167</v>
      </c>
      <c r="L1173" t="s">
        <v>43</v>
      </c>
      <c r="M1173">
        <v>45</v>
      </c>
      <c r="N1173" t="s">
        <v>34</v>
      </c>
      <c r="O1173">
        <v>1</v>
      </c>
      <c r="P1173">
        <v>2</v>
      </c>
      <c r="Q1173">
        <v>2</v>
      </c>
      <c r="R1173">
        <v>3</v>
      </c>
      <c r="S1173">
        <v>0</v>
      </c>
      <c r="T1173">
        <v>2</v>
      </c>
      <c r="U1173">
        <v>16</v>
      </c>
      <c r="V1173" t="s">
        <v>1497</v>
      </c>
      <c r="W1173" t="s">
        <v>45</v>
      </c>
      <c r="X1173" t="s">
        <v>1498</v>
      </c>
    </row>
    <row r="1174" spans="1:24" x14ac:dyDescent="0.25">
      <c r="A1174" t="s">
        <v>5259</v>
      </c>
      <c r="B1174" t="s">
        <v>5260</v>
      </c>
      <c r="C1174" t="s">
        <v>58</v>
      </c>
      <c r="D1174">
        <v>36</v>
      </c>
      <c r="E1174" t="s">
        <v>128</v>
      </c>
      <c r="F1174" t="s">
        <v>226</v>
      </c>
      <c r="G1174" t="s">
        <v>5261</v>
      </c>
      <c r="H1174">
        <v>76142</v>
      </c>
      <c r="I1174" t="s">
        <v>42</v>
      </c>
      <c r="J1174" t="s">
        <v>31</v>
      </c>
      <c r="M1174">
        <v>22</v>
      </c>
      <c r="N1174" t="s">
        <v>34</v>
      </c>
      <c r="O1174">
        <v>3</v>
      </c>
      <c r="P1174">
        <v>1</v>
      </c>
      <c r="Q1174">
        <v>1</v>
      </c>
      <c r="R1174">
        <v>4</v>
      </c>
      <c r="S1174">
        <v>5</v>
      </c>
      <c r="T1174">
        <v>4</v>
      </c>
      <c r="U1174">
        <v>16</v>
      </c>
      <c r="V1174" t="s">
        <v>5262</v>
      </c>
      <c r="W1174" t="s">
        <v>34</v>
      </c>
    </row>
    <row r="1175" spans="1:24" x14ac:dyDescent="0.25">
      <c r="A1175" t="s">
        <v>5263</v>
      </c>
      <c r="B1175" t="s">
        <v>5264</v>
      </c>
      <c r="C1175" t="s">
        <v>81</v>
      </c>
      <c r="D1175">
        <v>43</v>
      </c>
      <c r="E1175" t="s">
        <v>128</v>
      </c>
      <c r="F1175" t="s">
        <v>255</v>
      </c>
      <c r="G1175" t="s">
        <v>5265</v>
      </c>
      <c r="I1175" t="s">
        <v>52</v>
      </c>
      <c r="J1175" t="s">
        <v>61</v>
      </c>
      <c r="K1175" t="s">
        <v>32</v>
      </c>
      <c r="L1175" t="s">
        <v>43</v>
      </c>
      <c r="M1175">
        <v>41</v>
      </c>
      <c r="N1175" t="s">
        <v>34</v>
      </c>
      <c r="O1175">
        <v>1</v>
      </c>
      <c r="P1175">
        <v>4</v>
      </c>
      <c r="Q1175">
        <v>3</v>
      </c>
      <c r="R1175">
        <v>4</v>
      </c>
      <c r="S1175">
        <v>3</v>
      </c>
      <c r="T1175">
        <v>6</v>
      </c>
      <c r="V1175" t="s">
        <v>5266</v>
      </c>
      <c r="W1175" t="s">
        <v>45</v>
      </c>
      <c r="X1175" t="s">
        <v>5267</v>
      </c>
    </row>
    <row r="1176" spans="1:24" x14ac:dyDescent="0.25">
      <c r="A1176" t="s">
        <v>5268</v>
      </c>
      <c r="B1176" t="s">
        <v>5269</v>
      </c>
      <c r="C1176" t="s">
        <v>26</v>
      </c>
      <c r="D1176">
        <v>49</v>
      </c>
      <c r="E1176" t="s">
        <v>88</v>
      </c>
      <c r="F1176" t="s">
        <v>483</v>
      </c>
      <c r="G1176" t="s">
        <v>5270</v>
      </c>
      <c r="H1176">
        <v>124434</v>
      </c>
      <c r="I1176" t="s">
        <v>30</v>
      </c>
      <c r="J1176" t="s">
        <v>143</v>
      </c>
      <c r="K1176" t="s">
        <v>54</v>
      </c>
      <c r="L1176" t="s">
        <v>62</v>
      </c>
      <c r="M1176">
        <v>40</v>
      </c>
      <c r="N1176" t="s">
        <v>45</v>
      </c>
      <c r="O1176">
        <v>4</v>
      </c>
      <c r="P1176">
        <v>1</v>
      </c>
      <c r="Q1176">
        <v>1</v>
      </c>
      <c r="R1176">
        <v>5</v>
      </c>
      <c r="S1176">
        <v>2</v>
      </c>
      <c r="U1176">
        <v>14</v>
      </c>
      <c r="V1176" t="s">
        <v>5271</v>
      </c>
      <c r="W1176" t="s">
        <v>45</v>
      </c>
      <c r="X1176" t="s">
        <v>5272</v>
      </c>
    </row>
    <row r="1177" spans="1:24" x14ac:dyDescent="0.25">
      <c r="A1177" t="s">
        <v>5273</v>
      </c>
      <c r="B1177" t="s">
        <v>5274</v>
      </c>
      <c r="C1177" t="s">
        <v>58</v>
      </c>
      <c r="D1177">
        <v>35</v>
      </c>
      <c r="E1177" t="s">
        <v>27</v>
      </c>
      <c r="F1177" t="s">
        <v>75</v>
      </c>
      <c r="G1177" t="s">
        <v>5275</v>
      </c>
      <c r="H1177">
        <v>51468</v>
      </c>
      <c r="I1177" t="s">
        <v>42</v>
      </c>
      <c r="J1177" t="s">
        <v>31</v>
      </c>
      <c r="K1177" t="s">
        <v>77</v>
      </c>
      <c r="L1177" t="s">
        <v>62</v>
      </c>
      <c r="M1177">
        <v>24</v>
      </c>
      <c r="N1177" t="s">
        <v>45</v>
      </c>
      <c r="O1177">
        <v>3</v>
      </c>
      <c r="P1177">
        <v>1</v>
      </c>
      <c r="Q1177">
        <v>1</v>
      </c>
      <c r="R1177">
        <v>4</v>
      </c>
      <c r="S1177">
        <v>2</v>
      </c>
      <c r="T1177">
        <v>0</v>
      </c>
      <c r="U1177">
        <v>23</v>
      </c>
      <c r="V1177" t="s">
        <v>5276</v>
      </c>
      <c r="W1177" t="s">
        <v>45</v>
      </c>
      <c r="X1177" t="s">
        <v>5277</v>
      </c>
    </row>
    <row r="1178" spans="1:24" x14ac:dyDescent="0.25">
      <c r="A1178" t="s">
        <v>5278</v>
      </c>
      <c r="B1178" t="s">
        <v>5279</v>
      </c>
      <c r="C1178" t="s">
        <v>87</v>
      </c>
      <c r="D1178">
        <v>37</v>
      </c>
      <c r="E1178" t="s">
        <v>38</v>
      </c>
      <c r="F1178" t="s">
        <v>209</v>
      </c>
      <c r="G1178" t="s">
        <v>5280</v>
      </c>
      <c r="H1178">
        <v>91734</v>
      </c>
      <c r="I1178" t="s">
        <v>30</v>
      </c>
      <c r="J1178" t="s">
        <v>31</v>
      </c>
      <c r="K1178" t="s">
        <v>113</v>
      </c>
      <c r="L1178" t="s">
        <v>33</v>
      </c>
      <c r="M1178">
        <v>30</v>
      </c>
      <c r="N1178" t="s">
        <v>34</v>
      </c>
      <c r="O1178">
        <v>1</v>
      </c>
      <c r="P1178">
        <v>1</v>
      </c>
      <c r="Q1178">
        <v>3</v>
      </c>
      <c r="R1178">
        <v>3</v>
      </c>
      <c r="S1178">
        <v>2</v>
      </c>
      <c r="T1178">
        <v>8</v>
      </c>
      <c r="U1178">
        <v>19</v>
      </c>
      <c r="V1178" t="s">
        <v>5281</v>
      </c>
      <c r="W1178" t="s">
        <v>34</v>
      </c>
    </row>
    <row r="1179" spans="1:24" x14ac:dyDescent="0.25">
      <c r="A1179" t="s">
        <v>5282</v>
      </c>
      <c r="B1179" t="s">
        <v>5283</v>
      </c>
      <c r="C1179" t="s">
        <v>67</v>
      </c>
      <c r="D1179">
        <v>47</v>
      </c>
      <c r="E1179" t="s">
        <v>197</v>
      </c>
      <c r="F1179" t="s">
        <v>573</v>
      </c>
      <c r="G1179" t="s">
        <v>5284</v>
      </c>
      <c r="H1179">
        <v>75970</v>
      </c>
      <c r="I1179" t="s">
        <v>42</v>
      </c>
      <c r="J1179" t="s">
        <v>143</v>
      </c>
      <c r="K1179" t="s">
        <v>54</v>
      </c>
      <c r="L1179" t="s">
        <v>43</v>
      </c>
      <c r="M1179">
        <v>3</v>
      </c>
      <c r="N1179" t="s">
        <v>45</v>
      </c>
      <c r="O1179">
        <v>3</v>
      </c>
      <c r="P1179">
        <v>3</v>
      </c>
      <c r="R1179">
        <v>3</v>
      </c>
      <c r="T1179">
        <v>1</v>
      </c>
      <c r="U1179">
        <v>14</v>
      </c>
      <c r="V1179" t="s">
        <v>5285</v>
      </c>
      <c r="W1179" t="s">
        <v>45</v>
      </c>
      <c r="X1179" t="s">
        <v>5286</v>
      </c>
    </row>
    <row r="1180" spans="1:24" x14ac:dyDescent="0.25">
      <c r="A1180" t="s">
        <v>5287</v>
      </c>
      <c r="B1180" t="s">
        <v>5288</v>
      </c>
      <c r="C1180" t="s">
        <v>73</v>
      </c>
      <c r="D1180">
        <v>19</v>
      </c>
      <c r="E1180" t="s">
        <v>27</v>
      </c>
      <c r="F1180" t="s">
        <v>59</v>
      </c>
      <c r="G1180" t="s">
        <v>5289</v>
      </c>
      <c r="H1180">
        <v>116072</v>
      </c>
      <c r="I1180" t="s">
        <v>52</v>
      </c>
      <c r="J1180" t="s">
        <v>61</v>
      </c>
      <c r="K1180" t="s">
        <v>54</v>
      </c>
      <c r="L1180" t="s">
        <v>33</v>
      </c>
      <c r="M1180">
        <v>40</v>
      </c>
      <c r="N1180" t="s">
        <v>45</v>
      </c>
      <c r="P1180">
        <v>1</v>
      </c>
      <c r="Q1180">
        <v>3</v>
      </c>
      <c r="R1180">
        <v>3</v>
      </c>
      <c r="S1180">
        <v>5</v>
      </c>
      <c r="T1180">
        <v>1</v>
      </c>
      <c r="U1180">
        <v>15</v>
      </c>
      <c r="V1180" t="s">
        <v>5290</v>
      </c>
      <c r="W1180" t="s">
        <v>45</v>
      </c>
      <c r="X1180" t="s">
        <v>5291</v>
      </c>
    </row>
    <row r="1181" spans="1:24" x14ac:dyDescent="0.25">
      <c r="A1181" t="s">
        <v>5292</v>
      </c>
      <c r="B1181" t="s">
        <v>5293</v>
      </c>
      <c r="C1181" t="s">
        <v>67</v>
      </c>
      <c r="D1181">
        <v>39</v>
      </c>
      <c r="E1181" t="s">
        <v>128</v>
      </c>
      <c r="F1181" t="s">
        <v>255</v>
      </c>
      <c r="G1181" t="s">
        <v>5294</v>
      </c>
      <c r="H1181">
        <v>70169</v>
      </c>
      <c r="I1181" t="s">
        <v>52</v>
      </c>
      <c r="J1181" t="s">
        <v>31</v>
      </c>
      <c r="K1181" t="s">
        <v>98</v>
      </c>
      <c r="L1181" t="s">
        <v>62</v>
      </c>
      <c r="M1181">
        <v>3</v>
      </c>
      <c r="N1181" t="s">
        <v>45</v>
      </c>
      <c r="O1181">
        <v>2</v>
      </c>
      <c r="P1181">
        <v>4</v>
      </c>
      <c r="Q1181">
        <v>3</v>
      </c>
      <c r="R1181">
        <v>4</v>
      </c>
      <c r="S1181">
        <v>5</v>
      </c>
      <c r="T1181">
        <v>2</v>
      </c>
      <c r="U1181">
        <v>18</v>
      </c>
      <c r="V1181" t="s">
        <v>5295</v>
      </c>
      <c r="W1181" t="s">
        <v>45</v>
      </c>
      <c r="X1181" t="s">
        <v>5296</v>
      </c>
    </row>
    <row r="1182" spans="1:24" x14ac:dyDescent="0.25">
      <c r="A1182" t="s">
        <v>5297</v>
      </c>
      <c r="B1182" t="s">
        <v>5298</v>
      </c>
      <c r="C1182" t="s">
        <v>87</v>
      </c>
      <c r="D1182">
        <v>46</v>
      </c>
      <c r="E1182" t="s">
        <v>94</v>
      </c>
      <c r="F1182" t="s">
        <v>1680</v>
      </c>
      <c r="G1182" t="s">
        <v>5299</v>
      </c>
      <c r="H1182" t="s">
        <v>5300</v>
      </c>
      <c r="I1182" t="s">
        <v>30</v>
      </c>
      <c r="J1182" t="s">
        <v>143</v>
      </c>
      <c r="K1182" t="s">
        <v>32</v>
      </c>
      <c r="L1182" t="s">
        <v>33</v>
      </c>
      <c r="M1182">
        <v>27</v>
      </c>
      <c r="N1182" t="s">
        <v>34</v>
      </c>
      <c r="O1182">
        <v>4</v>
      </c>
      <c r="P1182">
        <v>3</v>
      </c>
      <c r="Q1182">
        <v>4</v>
      </c>
      <c r="R1182">
        <v>3</v>
      </c>
      <c r="S1182">
        <v>4</v>
      </c>
      <c r="T1182">
        <v>8</v>
      </c>
      <c r="U1182">
        <v>17</v>
      </c>
      <c r="V1182" t="s">
        <v>5301</v>
      </c>
      <c r="W1182" t="s">
        <v>34</v>
      </c>
    </row>
    <row r="1183" spans="1:24" x14ac:dyDescent="0.25">
      <c r="A1183" t="s">
        <v>5302</v>
      </c>
      <c r="B1183" t="s">
        <v>5303</v>
      </c>
      <c r="C1183" t="s">
        <v>73</v>
      </c>
      <c r="D1183">
        <v>30</v>
      </c>
      <c r="E1183" t="s">
        <v>94</v>
      </c>
      <c r="F1183" t="s">
        <v>306</v>
      </c>
      <c r="G1183" t="s">
        <v>5304</v>
      </c>
      <c r="H1183">
        <v>92726</v>
      </c>
      <c r="I1183" t="s">
        <v>42</v>
      </c>
      <c r="J1183" t="s">
        <v>143</v>
      </c>
      <c r="K1183" t="s">
        <v>131</v>
      </c>
      <c r="L1183" t="s">
        <v>62</v>
      </c>
      <c r="M1183">
        <v>33</v>
      </c>
      <c r="N1183" t="s">
        <v>34</v>
      </c>
      <c r="O1183">
        <v>2</v>
      </c>
      <c r="P1183">
        <v>4</v>
      </c>
      <c r="Q1183">
        <v>4</v>
      </c>
      <c r="R1183">
        <v>4</v>
      </c>
      <c r="S1183">
        <v>0</v>
      </c>
      <c r="T1183">
        <v>6</v>
      </c>
      <c r="U1183">
        <v>15</v>
      </c>
      <c r="V1183" t="s">
        <v>5305</v>
      </c>
      <c r="W1183" t="s">
        <v>45</v>
      </c>
      <c r="X1183" t="s">
        <v>5306</v>
      </c>
    </row>
    <row r="1184" spans="1:24" x14ac:dyDescent="0.25">
      <c r="A1184" t="s">
        <v>5307</v>
      </c>
      <c r="B1184" t="s">
        <v>5308</v>
      </c>
      <c r="C1184" t="s">
        <v>87</v>
      </c>
      <c r="D1184">
        <v>44</v>
      </c>
      <c r="E1184" t="s">
        <v>197</v>
      </c>
      <c r="F1184" t="s">
        <v>323</v>
      </c>
      <c r="G1184" t="s">
        <v>5309</v>
      </c>
      <c r="H1184">
        <v>71276</v>
      </c>
      <c r="I1184" t="s">
        <v>52</v>
      </c>
      <c r="J1184" t="s">
        <v>31</v>
      </c>
      <c r="K1184" t="s">
        <v>54</v>
      </c>
      <c r="L1184" t="s">
        <v>33</v>
      </c>
      <c r="M1184">
        <v>22</v>
      </c>
      <c r="O1184">
        <v>2</v>
      </c>
      <c r="P1184">
        <v>1</v>
      </c>
      <c r="Q1184">
        <v>3</v>
      </c>
      <c r="R1184">
        <v>4</v>
      </c>
      <c r="S1184">
        <v>0</v>
      </c>
      <c r="T1184">
        <v>1</v>
      </c>
      <c r="U1184">
        <v>22</v>
      </c>
      <c r="V1184" t="s">
        <v>5310</v>
      </c>
      <c r="W1184" t="s">
        <v>34</v>
      </c>
    </row>
    <row r="1185" spans="1:24" x14ac:dyDescent="0.25">
      <c r="A1185" t="s">
        <v>5311</v>
      </c>
      <c r="B1185" t="s">
        <v>5312</v>
      </c>
      <c r="C1185" t="s">
        <v>73</v>
      </c>
      <c r="D1185">
        <v>40</v>
      </c>
      <c r="E1185" t="s">
        <v>27</v>
      </c>
      <c r="F1185" t="s">
        <v>75</v>
      </c>
      <c r="G1185" t="s">
        <v>5313</v>
      </c>
      <c r="H1185">
        <v>93358</v>
      </c>
      <c r="I1185" t="s">
        <v>52</v>
      </c>
      <c r="J1185" t="s">
        <v>31</v>
      </c>
      <c r="L1185" t="s">
        <v>33</v>
      </c>
      <c r="M1185">
        <v>40</v>
      </c>
      <c r="N1185" t="s">
        <v>34</v>
      </c>
      <c r="O1185">
        <v>1</v>
      </c>
      <c r="Q1185">
        <v>2</v>
      </c>
      <c r="R1185">
        <v>5</v>
      </c>
      <c r="S1185">
        <v>2</v>
      </c>
      <c r="U1185">
        <v>17</v>
      </c>
      <c r="V1185" t="s">
        <v>5314</v>
      </c>
      <c r="W1185" t="s">
        <v>45</v>
      </c>
      <c r="X1185" t="s">
        <v>5315</v>
      </c>
    </row>
    <row r="1186" spans="1:24" x14ac:dyDescent="0.25">
      <c r="A1186" t="s">
        <v>5316</v>
      </c>
      <c r="B1186" t="s">
        <v>5317</v>
      </c>
      <c r="C1186" t="s">
        <v>81</v>
      </c>
      <c r="D1186">
        <v>34</v>
      </c>
      <c r="E1186" t="s">
        <v>27</v>
      </c>
      <c r="F1186" t="s">
        <v>50</v>
      </c>
      <c r="G1186" t="s">
        <v>5318</v>
      </c>
      <c r="H1186">
        <v>66871</v>
      </c>
      <c r="I1186" t="s">
        <v>42</v>
      </c>
      <c r="J1186" t="s">
        <v>31</v>
      </c>
      <c r="K1186" t="s">
        <v>131</v>
      </c>
      <c r="L1186" t="s">
        <v>43</v>
      </c>
      <c r="M1186">
        <v>22</v>
      </c>
      <c r="N1186" t="s">
        <v>45</v>
      </c>
      <c r="O1186">
        <v>3</v>
      </c>
      <c r="P1186">
        <v>2</v>
      </c>
      <c r="Q1186">
        <v>3</v>
      </c>
      <c r="R1186">
        <v>1</v>
      </c>
      <c r="S1186">
        <v>6</v>
      </c>
      <c r="T1186">
        <v>4</v>
      </c>
      <c r="U1186">
        <v>25</v>
      </c>
      <c r="V1186" t="s">
        <v>5319</v>
      </c>
      <c r="W1186" t="s">
        <v>34</v>
      </c>
    </row>
    <row r="1187" spans="1:24" x14ac:dyDescent="0.25">
      <c r="A1187" t="s">
        <v>2163</v>
      </c>
      <c r="B1187" t="s">
        <v>2164</v>
      </c>
      <c r="C1187" t="s">
        <v>67</v>
      </c>
      <c r="D1187">
        <v>33</v>
      </c>
      <c r="E1187" t="s">
        <v>74</v>
      </c>
      <c r="F1187" t="s">
        <v>75</v>
      </c>
      <c r="G1187" t="s">
        <v>2165</v>
      </c>
      <c r="H1187">
        <v>88915</v>
      </c>
      <c r="I1187" t="s">
        <v>52</v>
      </c>
      <c r="J1187" t="s">
        <v>53</v>
      </c>
      <c r="K1187" t="s">
        <v>83</v>
      </c>
      <c r="L1187" t="s">
        <v>62</v>
      </c>
      <c r="M1187">
        <v>39</v>
      </c>
      <c r="N1187" t="s">
        <v>34</v>
      </c>
      <c r="O1187">
        <v>2</v>
      </c>
      <c r="P1187">
        <v>3</v>
      </c>
      <c r="Q1187">
        <v>3</v>
      </c>
      <c r="R1187">
        <v>4</v>
      </c>
      <c r="S1187">
        <v>5</v>
      </c>
      <c r="T1187">
        <v>6</v>
      </c>
      <c r="U1187">
        <v>17</v>
      </c>
      <c r="V1187" t="s">
        <v>2166</v>
      </c>
      <c r="W1187" t="s">
        <v>34</v>
      </c>
    </row>
    <row r="1188" spans="1:24" x14ac:dyDescent="0.25">
      <c r="A1188" t="s">
        <v>5320</v>
      </c>
      <c r="B1188" t="s">
        <v>5321</v>
      </c>
      <c r="C1188" t="s">
        <v>49</v>
      </c>
      <c r="D1188">
        <v>29</v>
      </c>
      <c r="E1188" t="s">
        <v>88</v>
      </c>
      <c r="F1188" t="s">
        <v>760</v>
      </c>
      <c r="G1188" t="s">
        <v>5322</v>
      </c>
      <c r="H1188">
        <v>131508</v>
      </c>
      <c r="I1188" t="s">
        <v>30</v>
      </c>
      <c r="J1188" t="s">
        <v>31</v>
      </c>
      <c r="K1188" t="s">
        <v>200</v>
      </c>
      <c r="L1188" t="s">
        <v>43</v>
      </c>
      <c r="M1188">
        <v>3</v>
      </c>
      <c r="N1188" t="s">
        <v>34</v>
      </c>
      <c r="O1188">
        <v>2</v>
      </c>
      <c r="P1188">
        <v>1</v>
      </c>
      <c r="Q1188">
        <v>3</v>
      </c>
      <c r="R1188">
        <v>3</v>
      </c>
      <c r="S1188">
        <v>1</v>
      </c>
      <c r="T1188">
        <v>3</v>
      </c>
      <c r="U1188">
        <v>25</v>
      </c>
      <c r="V1188" t="s">
        <v>5323</v>
      </c>
      <c r="W1188" t="s">
        <v>34</v>
      </c>
    </row>
    <row r="1189" spans="1:24" x14ac:dyDescent="0.25">
      <c r="A1189" t="s">
        <v>5324</v>
      </c>
      <c r="B1189" t="s">
        <v>5325</v>
      </c>
      <c r="C1189" t="s">
        <v>73</v>
      </c>
      <c r="D1189">
        <v>34</v>
      </c>
      <c r="E1189" t="s">
        <v>798</v>
      </c>
      <c r="F1189" t="s">
        <v>75</v>
      </c>
      <c r="G1189" t="s">
        <v>5326</v>
      </c>
      <c r="H1189">
        <v>61392</v>
      </c>
      <c r="I1189" t="s">
        <v>42</v>
      </c>
      <c r="J1189" t="s">
        <v>31</v>
      </c>
      <c r="K1189" t="s">
        <v>131</v>
      </c>
      <c r="L1189" t="s">
        <v>33</v>
      </c>
      <c r="M1189">
        <v>36</v>
      </c>
      <c r="N1189" t="s">
        <v>45</v>
      </c>
      <c r="O1189">
        <v>3</v>
      </c>
      <c r="P1189">
        <v>1</v>
      </c>
      <c r="Q1189">
        <v>3</v>
      </c>
      <c r="R1189">
        <v>4</v>
      </c>
      <c r="S1189">
        <v>0</v>
      </c>
      <c r="T1189">
        <v>1</v>
      </c>
      <c r="U1189">
        <v>18</v>
      </c>
      <c r="V1189" t="s">
        <v>5327</v>
      </c>
      <c r="W1189" t="s">
        <v>34</v>
      </c>
    </row>
    <row r="1190" spans="1:24" x14ac:dyDescent="0.25">
      <c r="A1190" t="s">
        <v>5328</v>
      </c>
      <c r="B1190" t="s">
        <v>5329</v>
      </c>
      <c r="C1190" t="s">
        <v>58</v>
      </c>
      <c r="D1190">
        <v>34</v>
      </c>
      <c r="E1190" t="s">
        <v>27</v>
      </c>
      <c r="G1190" t="s">
        <v>5330</v>
      </c>
      <c r="H1190">
        <v>50660</v>
      </c>
      <c r="I1190" t="s">
        <v>52</v>
      </c>
      <c r="J1190" t="s">
        <v>61</v>
      </c>
      <c r="K1190" t="s">
        <v>98</v>
      </c>
      <c r="L1190" t="s">
        <v>33</v>
      </c>
      <c r="M1190">
        <v>40</v>
      </c>
      <c r="N1190" t="s">
        <v>45</v>
      </c>
      <c r="O1190">
        <v>3</v>
      </c>
      <c r="P1190">
        <v>3</v>
      </c>
      <c r="Q1190">
        <v>4</v>
      </c>
      <c r="R1190">
        <v>3</v>
      </c>
      <c r="S1190">
        <v>2</v>
      </c>
      <c r="T1190">
        <v>1</v>
      </c>
      <c r="U1190">
        <v>11</v>
      </c>
      <c r="V1190" t="s">
        <v>5331</v>
      </c>
      <c r="W1190" t="s">
        <v>34</v>
      </c>
    </row>
    <row r="1191" spans="1:24" x14ac:dyDescent="0.25">
      <c r="A1191" t="s">
        <v>5332</v>
      </c>
      <c r="B1191" t="s">
        <v>5333</v>
      </c>
      <c r="C1191" t="s">
        <v>81</v>
      </c>
      <c r="D1191">
        <v>43</v>
      </c>
      <c r="E1191" t="s">
        <v>609</v>
      </c>
      <c r="F1191" t="s">
        <v>1146</v>
      </c>
      <c r="G1191" t="s">
        <v>5334</v>
      </c>
      <c r="H1191">
        <v>82741</v>
      </c>
      <c r="I1191" t="s">
        <v>42</v>
      </c>
      <c r="J1191" t="s">
        <v>97</v>
      </c>
      <c r="K1191" t="s">
        <v>131</v>
      </c>
      <c r="L1191" t="s">
        <v>43</v>
      </c>
      <c r="M1191">
        <v>16</v>
      </c>
      <c r="N1191" t="s">
        <v>34</v>
      </c>
      <c r="O1191">
        <v>1</v>
      </c>
      <c r="P1191">
        <v>3</v>
      </c>
      <c r="Q1191">
        <v>3</v>
      </c>
      <c r="R1191">
        <v>3</v>
      </c>
      <c r="S1191">
        <v>2</v>
      </c>
      <c r="U1191">
        <v>19</v>
      </c>
      <c r="V1191" t="s">
        <v>5335</v>
      </c>
      <c r="W1191" t="s">
        <v>34</v>
      </c>
    </row>
    <row r="1192" spans="1:24" x14ac:dyDescent="0.25">
      <c r="A1192" t="s">
        <v>5336</v>
      </c>
      <c r="B1192" t="s">
        <v>5337</v>
      </c>
      <c r="C1192" t="s">
        <v>102</v>
      </c>
      <c r="D1192">
        <v>40</v>
      </c>
      <c r="E1192" t="s">
        <v>38</v>
      </c>
      <c r="F1192" t="s">
        <v>209</v>
      </c>
      <c r="G1192" t="s">
        <v>5338</v>
      </c>
      <c r="H1192">
        <v>60850</v>
      </c>
      <c r="J1192" t="s">
        <v>61</v>
      </c>
      <c r="K1192" t="s">
        <v>32</v>
      </c>
      <c r="L1192" t="s">
        <v>43</v>
      </c>
      <c r="M1192">
        <v>4</v>
      </c>
      <c r="N1192" t="s">
        <v>34</v>
      </c>
      <c r="O1192">
        <v>4</v>
      </c>
      <c r="P1192">
        <v>1</v>
      </c>
      <c r="Q1192">
        <v>1</v>
      </c>
      <c r="R1192">
        <v>2</v>
      </c>
      <c r="S1192">
        <v>5</v>
      </c>
      <c r="T1192">
        <v>4</v>
      </c>
      <c r="U1192">
        <v>16</v>
      </c>
      <c r="V1192" t="s">
        <v>5339</v>
      </c>
      <c r="W1192" t="s">
        <v>34</v>
      </c>
    </row>
    <row r="1193" spans="1:24" x14ac:dyDescent="0.25">
      <c r="A1193" t="s">
        <v>5340</v>
      </c>
      <c r="B1193" t="s">
        <v>5341</v>
      </c>
      <c r="C1193" t="s">
        <v>67</v>
      </c>
      <c r="D1193">
        <v>44</v>
      </c>
      <c r="E1193" t="s">
        <v>128</v>
      </c>
      <c r="F1193" t="s">
        <v>271</v>
      </c>
      <c r="G1193" t="s">
        <v>5342</v>
      </c>
      <c r="I1193" t="s">
        <v>52</v>
      </c>
      <c r="J1193" t="s">
        <v>31</v>
      </c>
      <c r="K1193" t="s">
        <v>83</v>
      </c>
      <c r="L1193" t="s">
        <v>33</v>
      </c>
      <c r="M1193">
        <v>28</v>
      </c>
      <c r="N1193" t="s">
        <v>45</v>
      </c>
      <c r="O1193">
        <v>4</v>
      </c>
      <c r="P1193">
        <v>2</v>
      </c>
      <c r="Q1193">
        <v>4</v>
      </c>
      <c r="R1193">
        <v>3</v>
      </c>
      <c r="S1193">
        <v>5</v>
      </c>
      <c r="T1193">
        <v>5</v>
      </c>
      <c r="U1193">
        <v>17</v>
      </c>
      <c r="V1193" t="s">
        <v>5343</v>
      </c>
      <c r="W1193" t="s">
        <v>34</v>
      </c>
    </row>
    <row r="1194" spans="1:24" x14ac:dyDescent="0.25">
      <c r="A1194" t="s">
        <v>5344</v>
      </c>
      <c r="B1194" t="s">
        <v>5345</v>
      </c>
      <c r="D1194">
        <v>29</v>
      </c>
      <c r="E1194" t="s">
        <v>197</v>
      </c>
      <c r="F1194" t="s">
        <v>235</v>
      </c>
      <c r="G1194" t="s">
        <v>5346</v>
      </c>
      <c r="H1194">
        <v>92932</v>
      </c>
      <c r="I1194" t="s">
        <v>30</v>
      </c>
      <c r="J1194" t="s">
        <v>61</v>
      </c>
      <c r="K1194" t="s">
        <v>106</v>
      </c>
      <c r="L1194" t="s">
        <v>43</v>
      </c>
      <c r="M1194">
        <v>39</v>
      </c>
      <c r="N1194" t="s">
        <v>34</v>
      </c>
      <c r="O1194">
        <v>2</v>
      </c>
      <c r="P1194">
        <v>1</v>
      </c>
      <c r="Q1194">
        <v>3</v>
      </c>
      <c r="R1194">
        <v>3</v>
      </c>
      <c r="S1194">
        <v>5</v>
      </c>
      <c r="T1194">
        <v>1</v>
      </c>
      <c r="U1194">
        <v>22</v>
      </c>
      <c r="V1194" t="s">
        <v>5347</v>
      </c>
      <c r="W1194" t="s">
        <v>34</v>
      </c>
    </row>
    <row r="1195" spans="1:24" x14ac:dyDescent="0.25">
      <c r="A1195" t="s">
        <v>5348</v>
      </c>
      <c r="B1195" t="s">
        <v>5349</v>
      </c>
      <c r="C1195" t="s">
        <v>26</v>
      </c>
      <c r="D1195">
        <v>46</v>
      </c>
      <c r="E1195" t="s">
        <v>38</v>
      </c>
      <c r="F1195" t="s">
        <v>136</v>
      </c>
      <c r="G1195" t="s">
        <v>5350</v>
      </c>
      <c r="H1195">
        <v>78185</v>
      </c>
      <c r="I1195" t="s">
        <v>42</v>
      </c>
      <c r="J1195" t="s">
        <v>61</v>
      </c>
      <c r="K1195" t="s">
        <v>54</v>
      </c>
      <c r="L1195" t="s">
        <v>62</v>
      </c>
      <c r="M1195">
        <v>4</v>
      </c>
      <c r="N1195" t="s">
        <v>34</v>
      </c>
      <c r="O1195">
        <v>3</v>
      </c>
      <c r="P1195">
        <v>2</v>
      </c>
      <c r="Q1195">
        <v>3</v>
      </c>
      <c r="R1195">
        <v>3</v>
      </c>
      <c r="S1195">
        <v>2</v>
      </c>
      <c r="T1195">
        <v>3</v>
      </c>
      <c r="U1195">
        <v>24</v>
      </c>
      <c r="V1195" t="s">
        <v>5351</v>
      </c>
      <c r="W1195" t="s">
        <v>34</v>
      </c>
    </row>
    <row r="1196" spans="1:24" x14ac:dyDescent="0.25">
      <c r="A1196" t="s">
        <v>5352</v>
      </c>
      <c r="B1196" t="s">
        <v>5353</v>
      </c>
      <c r="C1196" t="s">
        <v>81</v>
      </c>
      <c r="E1196" t="s">
        <v>128</v>
      </c>
      <c r="F1196" t="s">
        <v>226</v>
      </c>
      <c r="G1196" t="s">
        <v>5354</v>
      </c>
      <c r="H1196" t="s">
        <v>5355</v>
      </c>
      <c r="I1196" t="s">
        <v>30</v>
      </c>
      <c r="J1196" t="s">
        <v>61</v>
      </c>
      <c r="K1196" t="s">
        <v>32</v>
      </c>
      <c r="L1196" t="s">
        <v>33</v>
      </c>
      <c r="M1196">
        <v>13</v>
      </c>
      <c r="N1196" t="s">
        <v>45</v>
      </c>
      <c r="O1196">
        <v>3</v>
      </c>
      <c r="P1196">
        <v>1</v>
      </c>
      <c r="Q1196">
        <v>2</v>
      </c>
      <c r="R1196">
        <v>1</v>
      </c>
      <c r="S1196">
        <v>1</v>
      </c>
      <c r="T1196">
        <v>5</v>
      </c>
      <c r="U1196">
        <v>24</v>
      </c>
      <c r="V1196" t="s">
        <v>5356</v>
      </c>
      <c r="W1196" t="s">
        <v>34</v>
      </c>
    </row>
    <row r="1197" spans="1:24" x14ac:dyDescent="0.25">
      <c r="A1197" t="s">
        <v>5357</v>
      </c>
      <c r="B1197" t="s">
        <v>5358</v>
      </c>
      <c r="C1197" t="s">
        <v>102</v>
      </c>
      <c r="D1197">
        <v>31</v>
      </c>
      <c r="E1197" t="s">
        <v>27</v>
      </c>
      <c r="F1197" t="s">
        <v>281</v>
      </c>
      <c r="G1197" t="s">
        <v>5359</v>
      </c>
      <c r="H1197">
        <v>50442</v>
      </c>
      <c r="I1197" t="s">
        <v>52</v>
      </c>
      <c r="J1197" t="s">
        <v>31</v>
      </c>
      <c r="K1197" t="s">
        <v>106</v>
      </c>
      <c r="L1197" t="s">
        <v>43</v>
      </c>
      <c r="M1197">
        <v>27</v>
      </c>
      <c r="N1197" t="s">
        <v>34</v>
      </c>
      <c r="O1197">
        <v>1</v>
      </c>
      <c r="P1197">
        <v>4</v>
      </c>
      <c r="Q1197">
        <v>1</v>
      </c>
      <c r="R1197">
        <v>4</v>
      </c>
      <c r="S1197">
        <v>0</v>
      </c>
      <c r="T1197">
        <v>3</v>
      </c>
      <c r="U1197">
        <v>14</v>
      </c>
      <c r="V1197" t="s">
        <v>5360</v>
      </c>
      <c r="W1197" t="s">
        <v>45</v>
      </c>
      <c r="X1197" t="s">
        <v>5361</v>
      </c>
    </row>
    <row r="1198" spans="1:24" x14ac:dyDescent="0.25">
      <c r="A1198" t="s">
        <v>5362</v>
      </c>
      <c r="B1198" t="s">
        <v>5285</v>
      </c>
      <c r="C1198" t="s">
        <v>58</v>
      </c>
      <c r="D1198">
        <v>36</v>
      </c>
      <c r="E1198" t="s">
        <v>122</v>
      </c>
      <c r="F1198" t="s">
        <v>3201</v>
      </c>
      <c r="G1198" t="s">
        <v>5363</v>
      </c>
      <c r="H1198">
        <v>54883</v>
      </c>
      <c r="I1198" t="s">
        <v>30</v>
      </c>
      <c r="J1198" t="s">
        <v>97</v>
      </c>
      <c r="K1198" t="s">
        <v>113</v>
      </c>
      <c r="L1198" t="s">
        <v>62</v>
      </c>
      <c r="M1198">
        <v>11</v>
      </c>
      <c r="N1198" t="s">
        <v>34</v>
      </c>
      <c r="O1198">
        <v>1</v>
      </c>
      <c r="P1198">
        <v>2</v>
      </c>
      <c r="Q1198">
        <v>2</v>
      </c>
      <c r="R1198">
        <v>5</v>
      </c>
      <c r="S1198">
        <v>0</v>
      </c>
      <c r="T1198">
        <v>2</v>
      </c>
      <c r="U1198">
        <v>19</v>
      </c>
      <c r="V1198" t="s">
        <v>5364</v>
      </c>
      <c r="W1198" t="s">
        <v>34</v>
      </c>
    </row>
    <row r="1199" spans="1:24" x14ac:dyDescent="0.25">
      <c r="A1199" t="s">
        <v>5365</v>
      </c>
      <c r="B1199" t="s">
        <v>4383</v>
      </c>
      <c r="C1199" t="s">
        <v>49</v>
      </c>
      <c r="D1199">
        <v>33</v>
      </c>
      <c r="E1199" t="s">
        <v>94</v>
      </c>
      <c r="F1199" t="s">
        <v>1680</v>
      </c>
      <c r="G1199" t="s">
        <v>5366</v>
      </c>
      <c r="H1199" t="s">
        <v>5367</v>
      </c>
      <c r="I1199" t="s">
        <v>30</v>
      </c>
      <c r="J1199" t="s">
        <v>31</v>
      </c>
      <c r="K1199" t="s">
        <v>113</v>
      </c>
      <c r="L1199" t="s">
        <v>33</v>
      </c>
      <c r="M1199">
        <v>17</v>
      </c>
      <c r="N1199" t="s">
        <v>34</v>
      </c>
      <c r="O1199">
        <v>2</v>
      </c>
      <c r="P1199">
        <v>1</v>
      </c>
      <c r="Q1199">
        <v>3</v>
      </c>
      <c r="R1199">
        <v>3</v>
      </c>
      <c r="S1199">
        <v>4</v>
      </c>
      <c r="T1199">
        <v>5</v>
      </c>
      <c r="W1199" t="s">
        <v>34</v>
      </c>
    </row>
    <row r="1200" spans="1:24" x14ac:dyDescent="0.25">
      <c r="A1200" t="s">
        <v>5368</v>
      </c>
      <c r="B1200" t="s">
        <v>5369</v>
      </c>
      <c r="C1200" t="s">
        <v>87</v>
      </c>
      <c r="D1200">
        <v>42</v>
      </c>
      <c r="E1200" t="s">
        <v>88</v>
      </c>
      <c r="F1200" t="s">
        <v>483</v>
      </c>
      <c r="G1200" t="s">
        <v>5370</v>
      </c>
      <c r="H1200">
        <v>146939</v>
      </c>
      <c r="I1200" t="s">
        <v>30</v>
      </c>
      <c r="J1200" t="s">
        <v>31</v>
      </c>
      <c r="K1200" t="s">
        <v>131</v>
      </c>
      <c r="L1200" t="s">
        <v>33</v>
      </c>
      <c r="M1200">
        <v>30</v>
      </c>
      <c r="N1200" t="s">
        <v>34</v>
      </c>
      <c r="O1200">
        <v>1</v>
      </c>
      <c r="P1200">
        <v>2</v>
      </c>
      <c r="Q1200">
        <v>3</v>
      </c>
      <c r="R1200">
        <v>4</v>
      </c>
      <c r="S1200">
        <v>6</v>
      </c>
      <c r="T1200">
        <v>4</v>
      </c>
      <c r="U1200">
        <v>23</v>
      </c>
      <c r="V1200" t="s">
        <v>5371</v>
      </c>
      <c r="W1200" t="s">
        <v>34</v>
      </c>
    </row>
    <row r="1201" spans="1:24" x14ac:dyDescent="0.25">
      <c r="A1201" t="s">
        <v>5372</v>
      </c>
      <c r="B1201" t="s">
        <v>5373</v>
      </c>
      <c r="C1201" t="s">
        <v>58</v>
      </c>
      <c r="D1201">
        <v>41</v>
      </c>
      <c r="E1201" t="s">
        <v>332</v>
      </c>
      <c r="F1201" t="s">
        <v>792</v>
      </c>
      <c r="G1201" t="s">
        <v>5374</v>
      </c>
      <c r="H1201">
        <v>47549</v>
      </c>
      <c r="J1201" t="s">
        <v>61</v>
      </c>
      <c r="K1201" t="s">
        <v>106</v>
      </c>
      <c r="L1201" t="s">
        <v>62</v>
      </c>
      <c r="M1201">
        <v>38</v>
      </c>
      <c r="N1201" t="s">
        <v>34</v>
      </c>
      <c r="O1201">
        <v>2</v>
      </c>
      <c r="P1201">
        <v>1</v>
      </c>
      <c r="R1201">
        <v>3</v>
      </c>
      <c r="S1201">
        <v>3</v>
      </c>
      <c r="T1201">
        <v>6</v>
      </c>
      <c r="U1201">
        <v>12</v>
      </c>
      <c r="V1201" t="s">
        <v>5375</v>
      </c>
      <c r="W1201" t="s">
        <v>45</v>
      </c>
      <c r="X1201" t="s">
        <v>5376</v>
      </c>
    </row>
    <row r="1202" spans="1:24" x14ac:dyDescent="0.25">
      <c r="A1202" t="s">
        <v>5377</v>
      </c>
      <c r="B1202" t="s">
        <v>5378</v>
      </c>
      <c r="C1202" t="s">
        <v>58</v>
      </c>
      <c r="D1202">
        <v>36</v>
      </c>
      <c r="F1202" t="s">
        <v>59</v>
      </c>
      <c r="G1202" t="s">
        <v>5379</v>
      </c>
      <c r="H1202">
        <v>45107</v>
      </c>
      <c r="I1202" t="s">
        <v>42</v>
      </c>
      <c r="J1202" t="s">
        <v>31</v>
      </c>
      <c r="K1202" t="s">
        <v>106</v>
      </c>
      <c r="L1202" t="s">
        <v>43</v>
      </c>
      <c r="M1202">
        <v>8</v>
      </c>
      <c r="N1202" t="s">
        <v>45</v>
      </c>
      <c r="O1202">
        <v>4</v>
      </c>
      <c r="P1202">
        <v>4</v>
      </c>
      <c r="Q1202">
        <v>1</v>
      </c>
      <c r="R1202">
        <v>2</v>
      </c>
      <c r="S1202">
        <v>3</v>
      </c>
      <c r="T1202">
        <v>0</v>
      </c>
      <c r="U1202">
        <v>24</v>
      </c>
      <c r="V1202" t="s">
        <v>5380</v>
      </c>
      <c r="W1202" t="s">
        <v>45</v>
      </c>
      <c r="X1202" t="s">
        <v>5381</v>
      </c>
    </row>
    <row r="1203" spans="1:24" x14ac:dyDescent="0.25">
      <c r="A1203" t="s">
        <v>5382</v>
      </c>
      <c r="B1203" t="s">
        <v>5383</v>
      </c>
      <c r="C1203" t="s">
        <v>73</v>
      </c>
      <c r="D1203">
        <v>39</v>
      </c>
      <c r="E1203" t="s">
        <v>197</v>
      </c>
      <c r="F1203" t="s">
        <v>573</v>
      </c>
      <c r="G1203" t="s">
        <v>5384</v>
      </c>
      <c r="H1203">
        <v>114980</v>
      </c>
      <c r="I1203" t="s">
        <v>30</v>
      </c>
      <c r="J1203" t="s">
        <v>31</v>
      </c>
      <c r="K1203" t="s">
        <v>83</v>
      </c>
      <c r="L1203" t="s">
        <v>43</v>
      </c>
      <c r="M1203">
        <v>13</v>
      </c>
      <c r="N1203" t="s">
        <v>34</v>
      </c>
      <c r="O1203">
        <v>4</v>
      </c>
      <c r="P1203">
        <v>1</v>
      </c>
      <c r="Q1203">
        <v>2</v>
      </c>
      <c r="R1203">
        <v>3</v>
      </c>
      <c r="S1203">
        <v>6</v>
      </c>
      <c r="T1203">
        <v>5</v>
      </c>
      <c r="U1203">
        <v>23</v>
      </c>
      <c r="W1203" t="s">
        <v>34</v>
      </c>
    </row>
    <row r="1204" spans="1:24" x14ac:dyDescent="0.25">
      <c r="A1204" t="s">
        <v>5385</v>
      </c>
      <c r="B1204" t="s">
        <v>5386</v>
      </c>
      <c r="C1204" t="s">
        <v>58</v>
      </c>
      <c r="D1204">
        <v>40</v>
      </c>
      <c r="F1204" t="s">
        <v>483</v>
      </c>
      <c r="G1204" t="s">
        <v>5387</v>
      </c>
      <c r="I1204" t="s">
        <v>42</v>
      </c>
      <c r="J1204" t="s">
        <v>61</v>
      </c>
      <c r="K1204" t="s">
        <v>200</v>
      </c>
      <c r="L1204" t="s">
        <v>43</v>
      </c>
      <c r="N1204" t="s">
        <v>34</v>
      </c>
      <c r="O1204">
        <v>4</v>
      </c>
      <c r="P1204">
        <v>2</v>
      </c>
      <c r="Q1204">
        <v>2</v>
      </c>
      <c r="R1204">
        <v>4</v>
      </c>
      <c r="S1204">
        <v>1</v>
      </c>
      <c r="T1204">
        <v>3</v>
      </c>
      <c r="U1204">
        <v>14</v>
      </c>
      <c r="V1204" t="s">
        <v>5388</v>
      </c>
      <c r="W1204" t="s">
        <v>34</v>
      </c>
    </row>
    <row r="1205" spans="1:24" x14ac:dyDescent="0.25">
      <c r="A1205" t="s">
        <v>5389</v>
      </c>
      <c r="B1205" t="s">
        <v>5390</v>
      </c>
      <c r="C1205" t="s">
        <v>73</v>
      </c>
      <c r="D1205">
        <v>39</v>
      </c>
      <c r="E1205" t="s">
        <v>128</v>
      </c>
      <c r="F1205" t="s">
        <v>271</v>
      </c>
      <c r="G1205" t="s">
        <v>5391</v>
      </c>
      <c r="H1205">
        <v>56702</v>
      </c>
      <c r="I1205" t="s">
        <v>42</v>
      </c>
      <c r="J1205" t="s">
        <v>61</v>
      </c>
      <c r="K1205" t="s">
        <v>131</v>
      </c>
      <c r="L1205" t="s">
        <v>43</v>
      </c>
      <c r="M1205">
        <v>32</v>
      </c>
      <c r="N1205" t="s">
        <v>34</v>
      </c>
      <c r="P1205">
        <v>4</v>
      </c>
      <c r="Q1205">
        <v>3</v>
      </c>
      <c r="R1205">
        <v>3</v>
      </c>
      <c r="S1205">
        <v>5</v>
      </c>
      <c r="T1205">
        <v>7</v>
      </c>
      <c r="U1205">
        <v>14</v>
      </c>
      <c r="V1205" t="s">
        <v>5392</v>
      </c>
      <c r="W1205" t="s">
        <v>34</v>
      </c>
    </row>
    <row r="1206" spans="1:24" x14ac:dyDescent="0.25">
      <c r="A1206" t="s">
        <v>5393</v>
      </c>
      <c r="B1206" t="s">
        <v>5394</v>
      </c>
      <c r="C1206" t="s">
        <v>67</v>
      </c>
      <c r="D1206">
        <v>31</v>
      </c>
      <c r="E1206" t="s">
        <v>27</v>
      </c>
      <c r="F1206" t="s">
        <v>380</v>
      </c>
      <c r="G1206" t="s">
        <v>5395</v>
      </c>
      <c r="H1206">
        <v>58326</v>
      </c>
      <c r="I1206" t="s">
        <v>42</v>
      </c>
      <c r="J1206" t="s">
        <v>53</v>
      </c>
      <c r="K1206" t="s">
        <v>167</v>
      </c>
      <c r="L1206" t="s">
        <v>33</v>
      </c>
      <c r="M1206">
        <v>37</v>
      </c>
      <c r="N1206" t="s">
        <v>45</v>
      </c>
      <c r="O1206">
        <v>4</v>
      </c>
      <c r="P1206">
        <v>4</v>
      </c>
      <c r="Q1206">
        <v>1</v>
      </c>
      <c r="S1206">
        <v>1</v>
      </c>
      <c r="T1206">
        <v>6</v>
      </c>
      <c r="U1206">
        <v>25</v>
      </c>
      <c r="V1206" t="s">
        <v>5396</v>
      </c>
      <c r="W1206" t="s">
        <v>45</v>
      </c>
      <c r="X1206" t="s">
        <v>5397</v>
      </c>
    </row>
    <row r="1207" spans="1:24" x14ac:dyDescent="0.25">
      <c r="A1207" t="s">
        <v>5398</v>
      </c>
      <c r="B1207" t="s">
        <v>5399</v>
      </c>
      <c r="C1207" t="s">
        <v>102</v>
      </c>
      <c r="D1207">
        <v>41</v>
      </c>
      <c r="E1207" t="s">
        <v>27</v>
      </c>
      <c r="F1207" t="s">
        <v>75</v>
      </c>
      <c r="G1207" t="s">
        <v>5400</v>
      </c>
      <c r="H1207">
        <v>58944</v>
      </c>
      <c r="I1207" t="s">
        <v>30</v>
      </c>
      <c r="J1207" t="s">
        <v>61</v>
      </c>
      <c r="K1207" t="s">
        <v>113</v>
      </c>
      <c r="L1207" t="s">
        <v>43</v>
      </c>
      <c r="M1207">
        <v>15</v>
      </c>
      <c r="N1207" t="s">
        <v>34</v>
      </c>
      <c r="O1207">
        <v>4</v>
      </c>
      <c r="P1207">
        <v>4</v>
      </c>
      <c r="Q1207">
        <v>1</v>
      </c>
      <c r="R1207">
        <v>3</v>
      </c>
      <c r="S1207">
        <v>0</v>
      </c>
      <c r="T1207">
        <v>0</v>
      </c>
      <c r="U1207">
        <v>21</v>
      </c>
      <c r="V1207" t="s">
        <v>5401</v>
      </c>
      <c r="W1207" t="s">
        <v>34</v>
      </c>
    </row>
    <row r="1208" spans="1:24" x14ac:dyDescent="0.25">
      <c r="A1208" t="s">
        <v>5402</v>
      </c>
      <c r="B1208" t="s">
        <v>5403</v>
      </c>
      <c r="C1208" t="s">
        <v>81</v>
      </c>
      <c r="D1208">
        <v>32</v>
      </c>
      <c r="E1208" t="s">
        <v>88</v>
      </c>
      <c r="F1208" t="s">
        <v>261</v>
      </c>
      <c r="G1208" t="s">
        <v>5404</v>
      </c>
      <c r="H1208">
        <v>105685</v>
      </c>
      <c r="I1208" t="s">
        <v>52</v>
      </c>
      <c r="J1208" t="s">
        <v>31</v>
      </c>
      <c r="K1208" t="s">
        <v>131</v>
      </c>
      <c r="L1208" t="s">
        <v>33</v>
      </c>
      <c r="M1208">
        <v>29</v>
      </c>
      <c r="N1208" t="s">
        <v>34</v>
      </c>
      <c r="O1208">
        <v>2</v>
      </c>
      <c r="P1208">
        <v>4</v>
      </c>
      <c r="Q1208">
        <v>3</v>
      </c>
      <c r="R1208">
        <v>5</v>
      </c>
      <c r="S1208">
        <v>3</v>
      </c>
      <c r="T1208">
        <v>6</v>
      </c>
      <c r="U1208">
        <v>15</v>
      </c>
      <c r="V1208" t="s">
        <v>5405</v>
      </c>
      <c r="W1208" t="s">
        <v>34</v>
      </c>
    </row>
    <row r="1209" spans="1:24" x14ac:dyDescent="0.25">
      <c r="A1209" t="s">
        <v>5406</v>
      </c>
      <c r="B1209" t="s">
        <v>5407</v>
      </c>
      <c r="C1209" t="s">
        <v>58</v>
      </c>
      <c r="D1209">
        <v>32</v>
      </c>
      <c r="E1209" t="s">
        <v>27</v>
      </c>
      <c r="F1209" t="s">
        <v>59</v>
      </c>
      <c r="G1209" t="s">
        <v>5408</v>
      </c>
      <c r="I1209" t="s">
        <v>52</v>
      </c>
      <c r="J1209" t="s">
        <v>61</v>
      </c>
      <c r="K1209" t="s">
        <v>54</v>
      </c>
      <c r="L1209" t="s">
        <v>43</v>
      </c>
      <c r="M1209">
        <v>4</v>
      </c>
      <c r="N1209" t="s">
        <v>34</v>
      </c>
      <c r="O1209">
        <v>3</v>
      </c>
      <c r="P1209">
        <v>2</v>
      </c>
      <c r="Q1209">
        <v>1</v>
      </c>
      <c r="R1209">
        <v>5</v>
      </c>
      <c r="S1209">
        <v>3</v>
      </c>
      <c r="T1209">
        <v>0</v>
      </c>
      <c r="U1209">
        <v>24</v>
      </c>
      <c r="V1209" t="s">
        <v>5409</v>
      </c>
      <c r="W1209" t="s">
        <v>34</v>
      </c>
    </row>
    <row r="1210" spans="1:24" x14ac:dyDescent="0.25">
      <c r="A1210" t="s">
        <v>5410</v>
      </c>
      <c r="B1210" t="s">
        <v>5411</v>
      </c>
      <c r="C1210" t="s">
        <v>58</v>
      </c>
      <c r="D1210">
        <v>28</v>
      </c>
      <c r="E1210" t="s">
        <v>27</v>
      </c>
      <c r="F1210" t="s">
        <v>188</v>
      </c>
      <c r="G1210" t="s">
        <v>1094</v>
      </c>
      <c r="H1210">
        <v>73232</v>
      </c>
      <c r="I1210" t="s">
        <v>52</v>
      </c>
      <c r="J1210" t="s">
        <v>143</v>
      </c>
      <c r="K1210" t="s">
        <v>54</v>
      </c>
      <c r="L1210" t="s">
        <v>62</v>
      </c>
      <c r="M1210">
        <v>28</v>
      </c>
      <c r="N1210" t="s">
        <v>34</v>
      </c>
      <c r="O1210">
        <v>2</v>
      </c>
      <c r="P1210">
        <v>4</v>
      </c>
      <c r="Q1210">
        <v>2</v>
      </c>
      <c r="R1210">
        <v>3</v>
      </c>
      <c r="S1210">
        <v>4</v>
      </c>
      <c r="T1210">
        <v>2</v>
      </c>
      <c r="U1210">
        <v>14</v>
      </c>
      <c r="V1210" t="s">
        <v>5412</v>
      </c>
      <c r="W1210" t="s">
        <v>34</v>
      </c>
    </row>
    <row r="1211" spans="1:24" x14ac:dyDescent="0.25">
      <c r="A1211" t="s">
        <v>2607</v>
      </c>
      <c r="B1211" t="s">
        <v>2608</v>
      </c>
      <c r="C1211" t="s">
        <v>81</v>
      </c>
      <c r="D1211">
        <v>38</v>
      </c>
      <c r="E1211" t="s">
        <v>94</v>
      </c>
      <c r="F1211" t="s">
        <v>1013</v>
      </c>
      <c r="G1211" t="s">
        <v>2609</v>
      </c>
      <c r="H1211">
        <v>122369</v>
      </c>
      <c r="I1211" t="s">
        <v>52</v>
      </c>
      <c r="J1211" t="s">
        <v>61</v>
      </c>
      <c r="K1211" t="s">
        <v>98</v>
      </c>
      <c r="L1211" t="s">
        <v>43</v>
      </c>
      <c r="M1211">
        <v>43</v>
      </c>
      <c r="N1211" t="s">
        <v>45</v>
      </c>
      <c r="O1211">
        <v>3</v>
      </c>
      <c r="P1211">
        <v>3</v>
      </c>
      <c r="Q1211">
        <v>2</v>
      </c>
      <c r="R1211">
        <v>2</v>
      </c>
      <c r="S1211">
        <v>5</v>
      </c>
      <c r="T1211">
        <v>3</v>
      </c>
      <c r="U1211">
        <v>18</v>
      </c>
      <c r="V1211" t="s">
        <v>2610</v>
      </c>
      <c r="W1211" t="s">
        <v>45</v>
      </c>
      <c r="X1211" t="s">
        <v>2611</v>
      </c>
    </row>
    <row r="1212" spans="1:24" x14ac:dyDescent="0.25">
      <c r="A1212" t="s">
        <v>5413</v>
      </c>
      <c r="B1212" t="s">
        <v>5414</v>
      </c>
      <c r="C1212" t="s">
        <v>67</v>
      </c>
      <c r="D1212">
        <v>41</v>
      </c>
      <c r="E1212" t="s">
        <v>88</v>
      </c>
      <c r="F1212" t="s">
        <v>141</v>
      </c>
      <c r="G1212" t="s">
        <v>5415</v>
      </c>
      <c r="H1212">
        <v>129168</v>
      </c>
      <c r="I1212" t="s">
        <v>52</v>
      </c>
      <c r="K1212" t="s">
        <v>32</v>
      </c>
      <c r="L1212" t="s">
        <v>33</v>
      </c>
      <c r="M1212">
        <v>45</v>
      </c>
      <c r="N1212" t="s">
        <v>34</v>
      </c>
      <c r="P1212">
        <v>3</v>
      </c>
      <c r="Q1212">
        <v>3</v>
      </c>
      <c r="R1212">
        <v>3</v>
      </c>
      <c r="S1212">
        <v>2</v>
      </c>
      <c r="T1212">
        <v>5</v>
      </c>
      <c r="U1212">
        <v>11</v>
      </c>
      <c r="V1212" t="s">
        <v>5416</v>
      </c>
      <c r="W1212" t="s">
        <v>34</v>
      </c>
    </row>
    <row r="1213" spans="1:24" x14ac:dyDescent="0.25">
      <c r="A1213" t="s">
        <v>5417</v>
      </c>
      <c r="B1213" t="s">
        <v>5418</v>
      </c>
      <c r="C1213" t="s">
        <v>49</v>
      </c>
      <c r="D1213">
        <v>25</v>
      </c>
      <c r="E1213" t="s">
        <v>88</v>
      </c>
      <c r="F1213" t="s">
        <v>220</v>
      </c>
      <c r="G1213" t="s">
        <v>5419</v>
      </c>
      <c r="H1213">
        <v>129071</v>
      </c>
      <c r="I1213" t="s">
        <v>52</v>
      </c>
      <c r="J1213" t="s">
        <v>143</v>
      </c>
      <c r="K1213" t="s">
        <v>200</v>
      </c>
      <c r="L1213" t="s">
        <v>33</v>
      </c>
      <c r="M1213">
        <v>24</v>
      </c>
      <c r="N1213" t="s">
        <v>34</v>
      </c>
      <c r="O1213">
        <v>4</v>
      </c>
      <c r="P1213">
        <v>2</v>
      </c>
      <c r="Q1213">
        <v>1</v>
      </c>
      <c r="R1213">
        <v>2</v>
      </c>
      <c r="S1213">
        <v>2</v>
      </c>
      <c r="T1213">
        <v>5</v>
      </c>
      <c r="U1213">
        <v>22</v>
      </c>
      <c r="W1213" t="s">
        <v>34</v>
      </c>
    </row>
    <row r="1214" spans="1:24" x14ac:dyDescent="0.25">
      <c r="A1214" t="s">
        <v>5420</v>
      </c>
      <c r="B1214" t="s">
        <v>5421</v>
      </c>
      <c r="C1214" t="s">
        <v>58</v>
      </c>
      <c r="D1214">
        <v>23</v>
      </c>
      <c r="E1214" t="s">
        <v>27</v>
      </c>
      <c r="F1214" t="s">
        <v>75</v>
      </c>
      <c r="G1214" t="s">
        <v>5422</v>
      </c>
      <c r="H1214" t="s">
        <v>5423</v>
      </c>
      <c r="I1214" t="s">
        <v>30</v>
      </c>
      <c r="J1214" t="s">
        <v>61</v>
      </c>
      <c r="K1214" t="s">
        <v>77</v>
      </c>
      <c r="L1214" t="s">
        <v>43</v>
      </c>
      <c r="N1214" t="s">
        <v>34</v>
      </c>
      <c r="O1214">
        <v>4</v>
      </c>
      <c r="P1214">
        <v>1</v>
      </c>
      <c r="R1214">
        <v>4</v>
      </c>
      <c r="S1214">
        <v>0</v>
      </c>
      <c r="T1214">
        <v>2</v>
      </c>
      <c r="U1214">
        <v>24</v>
      </c>
      <c r="V1214" t="s">
        <v>5424</v>
      </c>
      <c r="W1214" t="s">
        <v>34</v>
      </c>
    </row>
    <row r="1215" spans="1:24" x14ac:dyDescent="0.25">
      <c r="A1215" t="s">
        <v>5425</v>
      </c>
      <c r="B1215" t="s">
        <v>5426</v>
      </c>
      <c r="C1215" t="s">
        <v>102</v>
      </c>
      <c r="D1215">
        <v>39</v>
      </c>
      <c r="E1215" t="s">
        <v>128</v>
      </c>
      <c r="F1215" t="s">
        <v>123</v>
      </c>
      <c r="G1215" t="s">
        <v>5427</v>
      </c>
      <c r="H1215">
        <v>51330</v>
      </c>
      <c r="I1215" t="s">
        <v>30</v>
      </c>
      <c r="J1215" t="s">
        <v>61</v>
      </c>
      <c r="L1215" t="s">
        <v>43</v>
      </c>
      <c r="M1215">
        <v>34</v>
      </c>
      <c r="N1215" t="s">
        <v>34</v>
      </c>
      <c r="O1215">
        <v>1</v>
      </c>
      <c r="P1215">
        <v>4</v>
      </c>
      <c r="Q1215">
        <v>1</v>
      </c>
      <c r="R1215">
        <v>4</v>
      </c>
      <c r="S1215">
        <v>3</v>
      </c>
      <c r="T1215">
        <v>4</v>
      </c>
      <c r="U1215">
        <v>17</v>
      </c>
      <c r="V1215" t="s">
        <v>5428</v>
      </c>
      <c r="W1215" t="s">
        <v>45</v>
      </c>
      <c r="X1215" t="s">
        <v>5429</v>
      </c>
    </row>
    <row r="1216" spans="1:24" x14ac:dyDescent="0.25">
      <c r="A1216" t="s">
        <v>5430</v>
      </c>
      <c r="B1216" t="s">
        <v>5431</v>
      </c>
      <c r="C1216" t="s">
        <v>73</v>
      </c>
      <c r="D1216">
        <v>21</v>
      </c>
      <c r="E1216" t="s">
        <v>38</v>
      </c>
      <c r="F1216" t="s">
        <v>209</v>
      </c>
      <c r="G1216" t="s">
        <v>5432</v>
      </c>
      <c r="H1216" t="s">
        <v>5433</v>
      </c>
      <c r="I1216" t="s">
        <v>30</v>
      </c>
      <c r="K1216" t="s">
        <v>83</v>
      </c>
      <c r="L1216" t="s">
        <v>62</v>
      </c>
      <c r="M1216">
        <v>31</v>
      </c>
      <c r="N1216" t="s">
        <v>45</v>
      </c>
      <c r="O1216">
        <v>1</v>
      </c>
      <c r="P1216">
        <v>4</v>
      </c>
      <c r="Q1216">
        <v>1</v>
      </c>
      <c r="R1216">
        <v>5</v>
      </c>
      <c r="S1216">
        <v>0</v>
      </c>
      <c r="T1216">
        <v>5</v>
      </c>
      <c r="U1216">
        <v>23</v>
      </c>
      <c r="V1216" t="s">
        <v>5434</v>
      </c>
      <c r="W1216" t="s">
        <v>45</v>
      </c>
      <c r="X1216" t="s">
        <v>5435</v>
      </c>
    </row>
    <row r="1217" spans="1:24" x14ac:dyDescent="0.25">
      <c r="A1217" t="s">
        <v>5436</v>
      </c>
      <c r="B1217" t="s">
        <v>2215</v>
      </c>
      <c r="D1217">
        <v>45</v>
      </c>
      <c r="E1217" t="s">
        <v>554</v>
      </c>
      <c r="F1217" t="s">
        <v>483</v>
      </c>
      <c r="G1217" t="s">
        <v>5437</v>
      </c>
      <c r="H1217">
        <v>129559</v>
      </c>
      <c r="I1217" t="s">
        <v>52</v>
      </c>
      <c r="J1217" t="s">
        <v>61</v>
      </c>
      <c r="K1217" t="s">
        <v>167</v>
      </c>
      <c r="L1217" t="s">
        <v>33</v>
      </c>
      <c r="M1217">
        <v>26</v>
      </c>
      <c r="N1217" t="s">
        <v>45</v>
      </c>
      <c r="O1217">
        <v>3</v>
      </c>
      <c r="P1217">
        <v>2</v>
      </c>
      <c r="Q1217">
        <v>2</v>
      </c>
      <c r="R1217">
        <v>4</v>
      </c>
      <c r="S1217">
        <v>5</v>
      </c>
      <c r="T1217">
        <v>4</v>
      </c>
      <c r="U1217">
        <v>14</v>
      </c>
      <c r="V1217" t="s">
        <v>5438</v>
      </c>
      <c r="W1217" t="s">
        <v>45</v>
      </c>
      <c r="X1217" t="s">
        <v>51</v>
      </c>
    </row>
    <row r="1218" spans="1:24" x14ac:dyDescent="0.25">
      <c r="A1218" t="s">
        <v>5439</v>
      </c>
      <c r="B1218" t="s">
        <v>5440</v>
      </c>
      <c r="C1218" t="s">
        <v>26</v>
      </c>
      <c r="D1218">
        <v>20</v>
      </c>
      <c r="E1218" t="s">
        <v>554</v>
      </c>
      <c r="F1218" t="s">
        <v>141</v>
      </c>
      <c r="G1218" t="s">
        <v>5441</v>
      </c>
      <c r="H1218">
        <v>143455</v>
      </c>
      <c r="J1218" t="s">
        <v>31</v>
      </c>
      <c r="K1218" t="s">
        <v>54</v>
      </c>
      <c r="L1218" t="s">
        <v>62</v>
      </c>
      <c r="M1218">
        <v>24</v>
      </c>
      <c r="N1218" t="s">
        <v>45</v>
      </c>
      <c r="O1218">
        <v>3</v>
      </c>
      <c r="P1218">
        <v>4</v>
      </c>
      <c r="R1218">
        <v>4</v>
      </c>
      <c r="S1218">
        <v>3</v>
      </c>
      <c r="T1218">
        <v>5</v>
      </c>
      <c r="U1218">
        <v>14</v>
      </c>
      <c r="V1218" t="s">
        <v>5442</v>
      </c>
      <c r="W1218" t="s">
        <v>34</v>
      </c>
    </row>
    <row r="1219" spans="1:24" x14ac:dyDescent="0.25">
      <c r="A1219" t="s">
        <v>3086</v>
      </c>
      <c r="B1219" t="s">
        <v>3087</v>
      </c>
      <c r="C1219" t="s">
        <v>102</v>
      </c>
      <c r="D1219">
        <v>44</v>
      </c>
      <c r="E1219" t="s">
        <v>197</v>
      </c>
      <c r="F1219" t="s">
        <v>573</v>
      </c>
      <c r="G1219" t="s">
        <v>3088</v>
      </c>
      <c r="H1219">
        <v>74073</v>
      </c>
      <c r="I1219" t="s">
        <v>42</v>
      </c>
      <c r="J1219" t="s">
        <v>61</v>
      </c>
      <c r="K1219" t="s">
        <v>167</v>
      </c>
      <c r="L1219" t="s">
        <v>43</v>
      </c>
      <c r="M1219">
        <v>32</v>
      </c>
      <c r="N1219" t="s">
        <v>34</v>
      </c>
      <c r="O1219">
        <v>1</v>
      </c>
      <c r="P1219">
        <v>2</v>
      </c>
      <c r="Q1219">
        <v>1</v>
      </c>
      <c r="R1219">
        <v>3</v>
      </c>
      <c r="S1219">
        <v>3</v>
      </c>
      <c r="T1219">
        <v>5</v>
      </c>
      <c r="U1219">
        <v>19</v>
      </c>
      <c r="V1219" t="s">
        <v>3089</v>
      </c>
      <c r="W1219" t="s">
        <v>45</v>
      </c>
      <c r="X1219" t="s">
        <v>3090</v>
      </c>
    </row>
    <row r="1220" spans="1:24" x14ac:dyDescent="0.25">
      <c r="A1220" t="s">
        <v>5443</v>
      </c>
      <c r="B1220" t="s">
        <v>5444</v>
      </c>
      <c r="C1220" t="s">
        <v>49</v>
      </c>
      <c r="D1220">
        <v>48</v>
      </c>
      <c r="E1220" t="s">
        <v>38</v>
      </c>
      <c r="F1220" t="s">
        <v>136</v>
      </c>
      <c r="G1220" t="s">
        <v>5445</v>
      </c>
      <c r="H1220">
        <v>47399</v>
      </c>
      <c r="I1220" t="s">
        <v>30</v>
      </c>
      <c r="J1220" t="s">
        <v>61</v>
      </c>
      <c r="K1220" t="s">
        <v>54</v>
      </c>
      <c r="L1220" t="s">
        <v>62</v>
      </c>
      <c r="M1220">
        <v>6</v>
      </c>
      <c r="N1220" t="s">
        <v>45</v>
      </c>
      <c r="P1220">
        <v>1</v>
      </c>
      <c r="Q1220">
        <v>1</v>
      </c>
      <c r="R1220">
        <v>3</v>
      </c>
      <c r="S1220">
        <v>6</v>
      </c>
      <c r="T1220">
        <v>6</v>
      </c>
      <c r="U1220">
        <v>25</v>
      </c>
      <c r="W1220" t="s">
        <v>34</v>
      </c>
    </row>
    <row r="1221" spans="1:24" x14ac:dyDescent="0.25">
      <c r="A1221" t="s">
        <v>5446</v>
      </c>
      <c r="B1221" t="s">
        <v>5447</v>
      </c>
      <c r="C1221" t="s">
        <v>49</v>
      </c>
      <c r="D1221">
        <v>24</v>
      </c>
      <c r="E1221" t="s">
        <v>74</v>
      </c>
      <c r="F1221" t="s">
        <v>50</v>
      </c>
      <c r="G1221" t="s">
        <v>5448</v>
      </c>
      <c r="H1221">
        <v>77392</v>
      </c>
      <c r="I1221" t="s">
        <v>52</v>
      </c>
      <c r="J1221" t="s">
        <v>31</v>
      </c>
      <c r="K1221" t="s">
        <v>113</v>
      </c>
      <c r="L1221" t="s">
        <v>33</v>
      </c>
      <c r="M1221">
        <v>12</v>
      </c>
      <c r="N1221" t="s">
        <v>34</v>
      </c>
      <c r="O1221">
        <v>4</v>
      </c>
      <c r="P1221">
        <v>2</v>
      </c>
      <c r="Q1221">
        <v>3</v>
      </c>
      <c r="R1221">
        <v>4</v>
      </c>
      <c r="S1221">
        <v>3</v>
      </c>
      <c r="U1221">
        <v>16</v>
      </c>
      <c r="V1221" t="s">
        <v>5449</v>
      </c>
      <c r="W1221" t="s">
        <v>34</v>
      </c>
    </row>
    <row r="1222" spans="1:24" x14ac:dyDescent="0.25">
      <c r="A1222" t="s">
        <v>5450</v>
      </c>
      <c r="B1222" t="s">
        <v>5451</v>
      </c>
      <c r="C1222" t="s">
        <v>26</v>
      </c>
      <c r="D1222">
        <v>25</v>
      </c>
      <c r="E1222" t="s">
        <v>27</v>
      </c>
      <c r="F1222" t="s">
        <v>380</v>
      </c>
      <c r="G1222" t="s">
        <v>5452</v>
      </c>
      <c r="H1222">
        <v>95445</v>
      </c>
      <c r="I1222" t="s">
        <v>52</v>
      </c>
      <c r="J1222" t="s">
        <v>61</v>
      </c>
      <c r="K1222" t="s">
        <v>200</v>
      </c>
      <c r="L1222" t="s">
        <v>33</v>
      </c>
      <c r="M1222">
        <v>29</v>
      </c>
      <c r="N1222" t="s">
        <v>45</v>
      </c>
      <c r="O1222">
        <v>4</v>
      </c>
      <c r="P1222">
        <v>3</v>
      </c>
      <c r="Q1222">
        <v>1</v>
      </c>
      <c r="R1222">
        <v>3</v>
      </c>
      <c r="S1222">
        <v>0</v>
      </c>
      <c r="T1222">
        <v>8</v>
      </c>
      <c r="U1222">
        <v>23</v>
      </c>
      <c r="V1222" t="s">
        <v>5453</v>
      </c>
      <c r="W1222" t="s">
        <v>45</v>
      </c>
      <c r="X1222" t="s">
        <v>5454</v>
      </c>
    </row>
    <row r="1223" spans="1:24" x14ac:dyDescent="0.25">
      <c r="A1223" t="s">
        <v>1767</v>
      </c>
      <c r="B1223" t="s">
        <v>1768</v>
      </c>
      <c r="C1223" t="s">
        <v>87</v>
      </c>
      <c r="D1223">
        <v>44</v>
      </c>
      <c r="E1223" t="s">
        <v>38</v>
      </c>
      <c r="F1223" t="s">
        <v>3640</v>
      </c>
      <c r="G1223" t="s">
        <v>1769</v>
      </c>
      <c r="H1223" t="s">
        <v>1770</v>
      </c>
      <c r="I1223" t="s">
        <v>30</v>
      </c>
      <c r="K1223" t="s">
        <v>54</v>
      </c>
      <c r="L1223" t="s">
        <v>62</v>
      </c>
      <c r="M1223">
        <v>5</v>
      </c>
      <c r="N1223" t="s">
        <v>45</v>
      </c>
      <c r="O1223">
        <v>4</v>
      </c>
      <c r="P1223">
        <v>4</v>
      </c>
      <c r="Q1223">
        <v>3</v>
      </c>
      <c r="R1223">
        <v>1</v>
      </c>
      <c r="S1223">
        <v>4</v>
      </c>
      <c r="T1223">
        <v>5</v>
      </c>
      <c r="U1223">
        <v>22</v>
      </c>
      <c r="V1223" t="s">
        <v>1771</v>
      </c>
      <c r="W1223" t="s">
        <v>34</v>
      </c>
    </row>
    <row r="1224" spans="1:24" x14ac:dyDescent="0.25">
      <c r="A1224" t="s">
        <v>4826</v>
      </c>
      <c r="B1224" t="s">
        <v>4827</v>
      </c>
      <c r="C1224" t="s">
        <v>102</v>
      </c>
      <c r="D1224">
        <v>45</v>
      </c>
      <c r="E1224" t="s">
        <v>94</v>
      </c>
      <c r="F1224" t="s">
        <v>306</v>
      </c>
      <c r="G1224" t="s">
        <v>4828</v>
      </c>
      <c r="H1224">
        <v>92134</v>
      </c>
      <c r="I1224" t="s">
        <v>52</v>
      </c>
      <c r="J1224" t="s">
        <v>61</v>
      </c>
      <c r="K1224" t="s">
        <v>98</v>
      </c>
      <c r="L1224" t="s">
        <v>33</v>
      </c>
      <c r="M1224">
        <v>24</v>
      </c>
      <c r="N1224" t="s">
        <v>45</v>
      </c>
      <c r="O1224">
        <v>3</v>
      </c>
      <c r="P1224">
        <v>2</v>
      </c>
      <c r="Q1224">
        <v>1</v>
      </c>
      <c r="S1224">
        <v>3</v>
      </c>
      <c r="T1224">
        <v>2</v>
      </c>
      <c r="U1224">
        <v>17</v>
      </c>
      <c r="V1224" t="s">
        <v>4829</v>
      </c>
      <c r="W1224" t="s">
        <v>45</v>
      </c>
      <c r="X1224" t="s">
        <v>4830</v>
      </c>
    </row>
    <row r="1225" spans="1:24" x14ac:dyDescent="0.25">
      <c r="A1225" t="s">
        <v>5455</v>
      </c>
      <c r="B1225" t="s">
        <v>5456</v>
      </c>
      <c r="C1225" t="s">
        <v>49</v>
      </c>
      <c r="D1225">
        <v>41</v>
      </c>
      <c r="E1225" t="s">
        <v>88</v>
      </c>
      <c r="F1225" t="s">
        <v>89</v>
      </c>
      <c r="G1225" t="s">
        <v>5457</v>
      </c>
      <c r="H1225">
        <v>61988</v>
      </c>
      <c r="I1225" t="s">
        <v>52</v>
      </c>
      <c r="J1225" t="s">
        <v>31</v>
      </c>
      <c r="K1225" t="s">
        <v>113</v>
      </c>
      <c r="L1225" t="s">
        <v>43</v>
      </c>
      <c r="M1225">
        <v>12</v>
      </c>
      <c r="N1225" t="s">
        <v>34</v>
      </c>
      <c r="O1225">
        <v>3</v>
      </c>
      <c r="P1225">
        <v>2</v>
      </c>
      <c r="Q1225">
        <v>3</v>
      </c>
      <c r="R1225">
        <v>3</v>
      </c>
      <c r="S1225">
        <v>1</v>
      </c>
      <c r="T1225">
        <v>1</v>
      </c>
      <c r="U1225">
        <v>17</v>
      </c>
      <c r="V1225" t="s">
        <v>5458</v>
      </c>
      <c r="W122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J66"/>
  <sheetViews>
    <sheetView workbookViewId="0">
      <selection activeCell="B4" sqref="B4"/>
    </sheetView>
  </sheetViews>
  <sheetFormatPr defaultRowHeight="15" x14ac:dyDescent="0.25"/>
  <cols>
    <col min="1" max="1" width="13.140625" customWidth="1"/>
    <col min="2" max="2" width="16.7109375" customWidth="1"/>
    <col min="3" max="3" width="17.85546875" bestFit="1" customWidth="1"/>
    <col min="4" max="4" width="16.7109375" bestFit="1" customWidth="1"/>
    <col min="5" max="5" width="17.85546875" bestFit="1" customWidth="1"/>
    <col min="6" max="6" width="21.85546875" bestFit="1" customWidth="1"/>
    <col min="7" max="7" width="22.85546875" bestFit="1" customWidth="1"/>
    <col min="8" max="8" width="17.85546875" bestFit="1" customWidth="1"/>
    <col min="9" max="9" width="21.85546875" bestFit="1" customWidth="1"/>
    <col min="10" max="10" width="22.85546875" bestFit="1" customWidth="1"/>
  </cols>
  <sheetData>
    <row r="3" spans="1:10" x14ac:dyDescent="0.25">
      <c r="A3" s="3" t="s">
        <v>5473</v>
      </c>
      <c r="B3" t="s">
        <v>5475</v>
      </c>
      <c r="C3" t="s">
        <v>5476</v>
      </c>
      <c r="E3" s="3" t="s">
        <v>5477</v>
      </c>
    </row>
    <row r="4" spans="1:10" x14ac:dyDescent="0.25">
      <c r="A4" s="4" t="s">
        <v>34</v>
      </c>
      <c r="B4">
        <v>848</v>
      </c>
      <c r="C4" s="5">
        <v>0.70666666666666667</v>
      </c>
      <c r="E4" t="s">
        <v>34</v>
      </c>
      <c r="G4" t="s">
        <v>45</v>
      </c>
      <c r="I4" t="s">
        <v>5478</v>
      </c>
      <c r="J4" t="s">
        <v>5479</v>
      </c>
    </row>
    <row r="5" spans="1:10" x14ac:dyDescent="0.25">
      <c r="A5" s="4" t="s">
        <v>45</v>
      </c>
      <c r="B5">
        <v>352</v>
      </c>
      <c r="C5" s="5">
        <v>0.29333333333333333</v>
      </c>
      <c r="D5" s="3" t="s">
        <v>5473</v>
      </c>
      <c r="E5" t="s">
        <v>5475</v>
      </c>
      <c r="F5" t="s">
        <v>5476</v>
      </c>
      <c r="G5" t="s">
        <v>5475</v>
      </c>
      <c r="H5" t="s">
        <v>5476</v>
      </c>
    </row>
    <row r="6" spans="1:10" x14ac:dyDescent="0.25">
      <c r="A6" s="4" t="s">
        <v>5474</v>
      </c>
      <c r="B6">
        <v>1200</v>
      </c>
      <c r="C6" s="5">
        <v>1</v>
      </c>
      <c r="D6" s="4" t="s">
        <v>94</v>
      </c>
      <c r="E6">
        <v>110</v>
      </c>
      <c r="F6" s="5">
        <v>0.69620253164556967</v>
      </c>
      <c r="G6">
        <v>48</v>
      </c>
      <c r="H6" s="5">
        <v>0.30379746835443039</v>
      </c>
      <c r="I6">
        <v>158</v>
      </c>
      <c r="J6" s="5">
        <v>1</v>
      </c>
    </row>
    <row r="7" spans="1:10" x14ac:dyDescent="0.25">
      <c r="D7" s="4" t="s">
        <v>38</v>
      </c>
      <c r="E7">
        <v>66</v>
      </c>
      <c r="F7" s="5">
        <v>0.7415730337078652</v>
      </c>
      <c r="G7">
        <v>23</v>
      </c>
      <c r="H7" s="5">
        <v>0.25842696629213485</v>
      </c>
      <c r="I7">
        <v>89</v>
      </c>
      <c r="J7" s="5">
        <v>1</v>
      </c>
    </row>
    <row r="8" spans="1:10" x14ac:dyDescent="0.25">
      <c r="D8" s="4" t="s">
        <v>5461</v>
      </c>
      <c r="E8">
        <v>153</v>
      </c>
      <c r="F8" s="5">
        <v>0.72511848341232232</v>
      </c>
      <c r="G8">
        <v>58</v>
      </c>
      <c r="H8" s="5">
        <v>0.27488151658767773</v>
      </c>
      <c r="I8">
        <v>211</v>
      </c>
      <c r="J8" s="5">
        <v>1</v>
      </c>
    </row>
    <row r="9" spans="1:10" x14ac:dyDescent="0.25">
      <c r="D9" s="4" t="s">
        <v>197</v>
      </c>
      <c r="E9">
        <v>63</v>
      </c>
      <c r="F9" s="5">
        <v>0.63</v>
      </c>
      <c r="G9">
        <v>37</v>
      </c>
      <c r="H9" s="5">
        <v>0.37</v>
      </c>
      <c r="I9">
        <v>100</v>
      </c>
      <c r="J9" s="5">
        <v>1</v>
      </c>
    </row>
    <row r="10" spans="1:10" x14ac:dyDescent="0.25">
      <c r="D10" s="4" t="s">
        <v>5459</v>
      </c>
      <c r="E10">
        <v>22</v>
      </c>
      <c r="F10" s="5">
        <v>0.6875</v>
      </c>
      <c r="G10">
        <v>10</v>
      </c>
      <c r="H10" s="5">
        <v>0.3125</v>
      </c>
      <c r="I10">
        <v>32</v>
      </c>
      <c r="J10" s="5">
        <v>1</v>
      </c>
    </row>
    <row r="11" spans="1:10" x14ac:dyDescent="0.25">
      <c r="D11" s="4" t="s">
        <v>412</v>
      </c>
      <c r="E11">
        <v>27</v>
      </c>
      <c r="F11" s="5">
        <v>0.6428571428571429</v>
      </c>
      <c r="G11">
        <v>15</v>
      </c>
      <c r="H11" s="5">
        <v>0.35714285714285715</v>
      </c>
      <c r="I11">
        <v>42</v>
      </c>
      <c r="J11" s="5">
        <v>1</v>
      </c>
    </row>
    <row r="12" spans="1:10" x14ac:dyDescent="0.25">
      <c r="D12" s="4" t="s">
        <v>27</v>
      </c>
      <c r="E12">
        <v>223</v>
      </c>
      <c r="F12" s="5">
        <v>0.71474358974358976</v>
      </c>
      <c r="G12">
        <v>89</v>
      </c>
      <c r="H12" s="5">
        <v>0.28525641025641024</v>
      </c>
      <c r="I12">
        <v>312</v>
      </c>
      <c r="J12" s="5">
        <v>1</v>
      </c>
    </row>
    <row r="13" spans="1:10" x14ac:dyDescent="0.25">
      <c r="D13" s="4" t="s">
        <v>128</v>
      </c>
      <c r="E13">
        <v>184</v>
      </c>
      <c r="F13" s="5">
        <v>0.71875</v>
      </c>
      <c r="G13">
        <v>72</v>
      </c>
      <c r="H13" s="5">
        <v>0.28125</v>
      </c>
      <c r="I13">
        <v>256</v>
      </c>
      <c r="J13" s="5">
        <v>1</v>
      </c>
    </row>
    <row r="14" spans="1:10" x14ac:dyDescent="0.25">
      <c r="D14" s="4" t="s">
        <v>5474</v>
      </c>
      <c r="E14">
        <v>848</v>
      </c>
      <c r="F14" s="5">
        <v>0.70666666666666667</v>
      </c>
      <c r="G14">
        <v>352</v>
      </c>
      <c r="H14" s="5">
        <v>0.29333333333333333</v>
      </c>
      <c r="I14">
        <v>1200</v>
      </c>
      <c r="J14" s="5">
        <v>1</v>
      </c>
    </row>
    <row r="18" spans="1:7" x14ac:dyDescent="0.25">
      <c r="B18" s="3" t="s">
        <v>5477</v>
      </c>
    </row>
    <row r="19" spans="1:7" x14ac:dyDescent="0.25">
      <c r="B19" t="s">
        <v>5475</v>
      </c>
      <c r="D19" t="s">
        <v>5476</v>
      </c>
      <c r="F19" t="s">
        <v>5478</v>
      </c>
      <c r="G19" t="s">
        <v>5479</v>
      </c>
    </row>
    <row r="20" spans="1:7" x14ac:dyDescent="0.25">
      <c r="A20" s="3" t="s">
        <v>5473</v>
      </c>
      <c r="B20" t="s">
        <v>34</v>
      </c>
      <c r="C20" t="s">
        <v>45</v>
      </c>
      <c r="D20" t="s">
        <v>34</v>
      </c>
      <c r="E20" t="s">
        <v>45</v>
      </c>
    </row>
    <row r="21" spans="1:7" x14ac:dyDescent="0.25">
      <c r="A21" s="4" t="s">
        <v>5480</v>
      </c>
      <c r="B21">
        <v>287</v>
      </c>
      <c r="C21">
        <v>122</v>
      </c>
      <c r="D21" s="5">
        <v>0.70171149144254275</v>
      </c>
      <c r="E21" s="5">
        <v>0.2982885085574572</v>
      </c>
      <c r="F21">
        <v>409</v>
      </c>
      <c r="G21" s="5">
        <v>1</v>
      </c>
    </row>
    <row r="22" spans="1:7" x14ac:dyDescent="0.25">
      <c r="A22" s="4" t="s">
        <v>5481</v>
      </c>
      <c r="B22">
        <v>358</v>
      </c>
      <c r="C22">
        <v>139</v>
      </c>
      <c r="D22" s="5">
        <v>0.72032193158953728</v>
      </c>
      <c r="E22" s="5">
        <v>0.27967806841046278</v>
      </c>
      <c r="F22">
        <v>497</v>
      </c>
      <c r="G22" s="5">
        <v>1</v>
      </c>
    </row>
    <row r="23" spans="1:7" x14ac:dyDescent="0.25">
      <c r="A23" s="4" t="s">
        <v>5482</v>
      </c>
      <c r="B23">
        <v>109</v>
      </c>
      <c r="C23">
        <v>43</v>
      </c>
      <c r="D23" s="5">
        <v>0.71710526315789469</v>
      </c>
      <c r="E23" s="5">
        <v>0.28289473684210525</v>
      </c>
      <c r="F23">
        <v>152</v>
      </c>
      <c r="G23" s="5">
        <v>1</v>
      </c>
    </row>
    <row r="24" spans="1:7" x14ac:dyDescent="0.25">
      <c r="A24" s="4" t="s">
        <v>5483</v>
      </c>
      <c r="B24">
        <v>6</v>
      </c>
      <c r="C24">
        <v>4</v>
      </c>
      <c r="D24" s="5">
        <v>0.6</v>
      </c>
      <c r="E24" s="5">
        <v>0.4</v>
      </c>
      <c r="F24">
        <v>10</v>
      </c>
      <c r="G24" s="5">
        <v>1</v>
      </c>
    </row>
    <row r="25" spans="1:7" x14ac:dyDescent="0.25">
      <c r="A25" s="4" t="s">
        <v>5484</v>
      </c>
      <c r="B25">
        <v>88</v>
      </c>
      <c r="C25">
        <v>44</v>
      </c>
      <c r="D25" s="5">
        <v>0.66666666666666663</v>
      </c>
      <c r="E25" s="5">
        <v>0.33333333333333331</v>
      </c>
      <c r="F25">
        <v>132</v>
      </c>
      <c r="G25" s="5">
        <v>1</v>
      </c>
    </row>
    <row r="26" spans="1:7" x14ac:dyDescent="0.25">
      <c r="A26" s="4" t="s">
        <v>5474</v>
      </c>
      <c r="B26">
        <v>848</v>
      </c>
      <c r="C26">
        <v>352</v>
      </c>
      <c r="D26" s="5">
        <v>0.70666666666666667</v>
      </c>
      <c r="E26" s="5">
        <v>0.29333333333333333</v>
      </c>
      <c r="F26">
        <v>1200</v>
      </c>
      <c r="G26" s="5">
        <v>1</v>
      </c>
    </row>
    <row r="30" spans="1:7" x14ac:dyDescent="0.25">
      <c r="B30" s="3" t="s">
        <v>5477</v>
      </c>
    </row>
    <row r="31" spans="1:7" x14ac:dyDescent="0.25">
      <c r="B31" t="s">
        <v>5475</v>
      </c>
      <c r="D31" t="s">
        <v>5476</v>
      </c>
      <c r="F31" t="s">
        <v>5478</v>
      </c>
      <c r="G31" t="s">
        <v>5479</v>
      </c>
    </row>
    <row r="32" spans="1:7" x14ac:dyDescent="0.25">
      <c r="A32" s="3" t="s">
        <v>5473</v>
      </c>
      <c r="B32" t="s">
        <v>34</v>
      </c>
      <c r="C32" t="s">
        <v>45</v>
      </c>
      <c r="D32" t="s">
        <v>34</v>
      </c>
      <c r="E32" t="s">
        <v>45</v>
      </c>
    </row>
    <row r="33" spans="1:7" x14ac:dyDescent="0.25">
      <c r="A33" s="4" t="s">
        <v>5485</v>
      </c>
      <c r="B33">
        <v>419</v>
      </c>
      <c r="C33">
        <v>181</v>
      </c>
      <c r="D33" s="5">
        <v>0.69833333333333336</v>
      </c>
      <c r="E33" s="5">
        <v>0.30166666666666669</v>
      </c>
      <c r="F33">
        <v>600</v>
      </c>
      <c r="G33" s="5">
        <v>1</v>
      </c>
    </row>
    <row r="34" spans="1:7" x14ac:dyDescent="0.25">
      <c r="A34" s="4" t="s">
        <v>5486</v>
      </c>
      <c r="B34">
        <v>1</v>
      </c>
      <c r="C34">
        <v>1</v>
      </c>
      <c r="D34" s="5">
        <v>0.5</v>
      </c>
      <c r="E34" s="5">
        <v>0.5</v>
      </c>
      <c r="F34">
        <v>2</v>
      </c>
      <c r="G34" s="5">
        <v>1</v>
      </c>
    </row>
    <row r="35" spans="1:7" x14ac:dyDescent="0.25">
      <c r="A35" s="4" t="s">
        <v>5487</v>
      </c>
      <c r="B35">
        <v>198</v>
      </c>
      <c r="C35">
        <v>86</v>
      </c>
      <c r="D35" s="5">
        <v>0.69718309859154926</v>
      </c>
      <c r="E35" s="5">
        <v>0.30281690140845069</v>
      </c>
      <c r="F35">
        <v>284</v>
      </c>
      <c r="G35" s="5">
        <v>1</v>
      </c>
    </row>
    <row r="36" spans="1:7" x14ac:dyDescent="0.25">
      <c r="A36" s="4" t="s">
        <v>5488</v>
      </c>
      <c r="B36">
        <v>230</v>
      </c>
      <c r="C36">
        <v>84</v>
      </c>
      <c r="D36" s="5">
        <v>0.73248407643312097</v>
      </c>
      <c r="E36" s="5">
        <v>0.26751592356687898</v>
      </c>
      <c r="F36">
        <v>314</v>
      </c>
      <c r="G36" s="5">
        <v>1</v>
      </c>
    </row>
    <row r="37" spans="1:7" x14ac:dyDescent="0.25">
      <c r="A37" s="4" t="s">
        <v>5474</v>
      </c>
      <c r="B37">
        <v>848</v>
      </c>
      <c r="C37">
        <v>352</v>
      </c>
      <c r="D37" s="5">
        <v>0.70666666666666667</v>
      </c>
      <c r="E37" s="5">
        <v>0.29333333333333333</v>
      </c>
      <c r="F37">
        <v>1200</v>
      </c>
      <c r="G37" s="5">
        <v>1</v>
      </c>
    </row>
    <row r="41" spans="1:7" x14ac:dyDescent="0.25">
      <c r="B41" s="3" t="s">
        <v>5477</v>
      </c>
    </row>
    <row r="42" spans="1:7" x14ac:dyDescent="0.25">
      <c r="B42" t="s">
        <v>34</v>
      </c>
      <c r="D42" t="s">
        <v>45</v>
      </c>
      <c r="F42" t="s">
        <v>5478</v>
      </c>
      <c r="G42" t="s">
        <v>5479</v>
      </c>
    </row>
    <row r="43" spans="1:7" x14ac:dyDescent="0.25">
      <c r="A43" s="3" t="s">
        <v>5473</v>
      </c>
      <c r="B43" t="s">
        <v>5475</v>
      </c>
      <c r="C43" t="s">
        <v>5476</v>
      </c>
      <c r="D43" t="s">
        <v>5475</v>
      </c>
      <c r="E43" t="s">
        <v>5476</v>
      </c>
    </row>
    <row r="44" spans="1:7" x14ac:dyDescent="0.25">
      <c r="A44" s="4" t="s">
        <v>34</v>
      </c>
      <c r="B44">
        <v>716</v>
      </c>
      <c r="C44" s="5">
        <v>0.83352735739231665</v>
      </c>
      <c r="D44">
        <v>143</v>
      </c>
      <c r="E44" s="5">
        <v>0.16647264260768335</v>
      </c>
      <c r="F44">
        <v>859</v>
      </c>
      <c r="G44" s="5">
        <v>1</v>
      </c>
    </row>
    <row r="45" spans="1:7" x14ac:dyDescent="0.25">
      <c r="A45" s="4" t="s">
        <v>45</v>
      </c>
      <c r="B45">
        <v>132</v>
      </c>
      <c r="C45" s="5">
        <v>0.38709677419354838</v>
      </c>
      <c r="D45">
        <v>209</v>
      </c>
      <c r="E45" s="5">
        <v>0.61290322580645162</v>
      </c>
      <c r="F45">
        <v>341</v>
      </c>
      <c r="G45" s="5">
        <v>1</v>
      </c>
    </row>
    <row r="46" spans="1:7" x14ac:dyDescent="0.25">
      <c r="A46" s="4" t="s">
        <v>5474</v>
      </c>
      <c r="B46">
        <v>848</v>
      </c>
      <c r="C46" s="5">
        <v>0.70666666666666667</v>
      </c>
      <c r="D46">
        <v>352</v>
      </c>
      <c r="E46" s="5">
        <v>0.29333333333333333</v>
      </c>
      <c r="F46">
        <v>1200</v>
      </c>
      <c r="G46" s="5">
        <v>1</v>
      </c>
    </row>
    <row r="50" spans="1:7" x14ac:dyDescent="0.25">
      <c r="B50" s="3" t="s">
        <v>5477</v>
      </c>
    </row>
    <row r="51" spans="1:7" x14ac:dyDescent="0.25">
      <c r="B51" t="s">
        <v>34</v>
      </c>
      <c r="D51" t="s">
        <v>45</v>
      </c>
      <c r="F51" t="s">
        <v>5478</v>
      </c>
      <c r="G51" t="s">
        <v>5479</v>
      </c>
    </row>
    <row r="52" spans="1:7" x14ac:dyDescent="0.25">
      <c r="A52" s="3" t="s">
        <v>5473</v>
      </c>
      <c r="B52" t="s">
        <v>5475</v>
      </c>
      <c r="C52" t="s">
        <v>5476</v>
      </c>
      <c r="D52" t="s">
        <v>5475</v>
      </c>
      <c r="E52" t="s">
        <v>5476</v>
      </c>
    </row>
    <row r="53" spans="1:7" x14ac:dyDescent="0.25">
      <c r="A53" s="4">
        <v>1</v>
      </c>
      <c r="B53">
        <v>137</v>
      </c>
      <c r="C53" s="5">
        <v>0.49103942652329752</v>
      </c>
      <c r="D53">
        <v>142</v>
      </c>
      <c r="E53" s="5">
        <v>0.50896057347670254</v>
      </c>
      <c r="F53">
        <v>279</v>
      </c>
      <c r="G53" s="5">
        <v>1</v>
      </c>
    </row>
    <row r="54" spans="1:7" x14ac:dyDescent="0.25">
      <c r="A54" s="4">
        <v>2</v>
      </c>
      <c r="B54">
        <v>151</v>
      </c>
      <c r="C54" s="5">
        <v>0.53736654804270467</v>
      </c>
      <c r="D54">
        <v>130</v>
      </c>
      <c r="E54" s="5">
        <v>0.46263345195729538</v>
      </c>
      <c r="F54">
        <v>281</v>
      </c>
      <c r="G54" s="5">
        <v>1</v>
      </c>
    </row>
    <row r="55" spans="1:7" x14ac:dyDescent="0.25">
      <c r="A55" s="4">
        <v>3</v>
      </c>
      <c r="B55">
        <v>299</v>
      </c>
      <c r="C55" s="5">
        <v>0.85673352435530081</v>
      </c>
      <c r="D55">
        <v>50</v>
      </c>
      <c r="E55" s="5">
        <v>0.14326647564469913</v>
      </c>
      <c r="F55">
        <v>349</v>
      </c>
      <c r="G55" s="5">
        <v>1</v>
      </c>
    </row>
    <row r="56" spans="1:7" x14ac:dyDescent="0.25">
      <c r="A56" s="4">
        <v>4</v>
      </c>
      <c r="B56">
        <v>261</v>
      </c>
      <c r="C56" s="5">
        <v>0.89690721649484539</v>
      </c>
      <c r="D56">
        <v>30</v>
      </c>
      <c r="E56" s="5">
        <v>0.10309278350515463</v>
      </c>
      <c r="F56">
        <v>291</v>
      </c>
      <c r="G56" s="5">
        <v>1</v>
      </c>
    </row>
    <row r="57" spans="1:7" x14ac:dyDescent="0.25">
      <c r="A57" s="4" t="s">
        <v>5474</v>
      </c>
      <c r="B57">
        <v>848</v>
      </c>
      <c r="C57" s="5">
        <v>0.70666666666666667</v>
      </c>
      <c r="D57">
        <v>352</v>
      </c>
      <c r="E57" s="5">
        <v>0.29333333333333333</v>
      </c>
      <c r="F57">
        <v>1200</v>
      </c>
      <c r="G57" s="5">
        <v>1</v>
      </c>
    </row>
    <row r="60" spans="1:7" x14ac:dyDescent="0.25">
      <c r="B60" s="3" t="s">
        <v>5477</v>
      </c>
    </row>
    <row r="61" spans="1:7" x14ac:dyDescent="0.25">
      <c r="B61" t="s">
        <v>34</v>
      </c>
      <c r="D61" t="s">
        <v>45</v>
      </c>
      <c r="F61" t="s">
        <v>5478</v>
      </c>
      <c r="G61" t="s">
        <v>5479</v>
      </c>
    </row>
    <row r="62" spans="1:7" x14ac:dyDescent="0.25">
      <c r="A62" s="3" t="s">
        <v>5473</v>
      </c>
      <c r="B62" t="s">
        <v>5475</v>
      </c>
      <c r="C62" t="s">
        <v>5476</v>
      </c>
      <c r="D62" t="s">
        <v>5475</v>
      </c>
      <c r="E62" t="s">
        <v>5476</v>
      </c>
    </row>
    <row r="63" spans="1:7" x14ac:dyDescent="0.25">
      <c r="A63" s="4" t="s">
        <v>5485</v>
      </c>
      <c r="B63">
        <v>349</v>
      </c>
      <c r="C63" s="5">
        <v>0.86386138613861385</v>
      </c>
      <c r="D63">
        <v>55</v>
      </c>
      <c r="E63" s="5">
        <v>0.13613861386138615</v>
      </c>
      <c r="F63">
        <v>404</v>
      </c>
      <c r="G63" s="5">
        <v>1</v>
      </c>
    </row>
    <row r="64" spans="1:7" x14ac:dyDescent="0.25">
      <c r="A64" s="4" t="s">
        <v>5486</v>
      </c>
      <c r="B64">
        <v>64</v>
      </c>
      <c r="C64" s="5">
        <v>0.44137931034482758</v>
      </c>
      <c r="D64">
        <v>81</v>
      </c>
      <c r="E64" s="5">
        <v>0.55862068965517242</v>
      </c>
      <c r="F64">
        <v>145</v>
      </c>
      <c r="G64" s="5">
        <v>1</v>
      </c>
    </row>
    <row r="65" spans="1:7" x14ac:dyDescent="0.25">
      <c r="A65" s="4" t="s">
        <v>5487</v>
      </c>
      <c r="B65">
        <v>435</v>
      </c>
      <c r="C65" s="5">
        <v>0.66820276497695852</v>
      </c>
      <c r="D65">
        <v>216</v>
      </c>
      <c r="E65" s="5">
        <v>0.33179723502304148</v>
      </c>
      <c r="F65">
        <v>651</v>
      </c>
      <c r="G65" s="5">
        <v>1</v>
      </c>
    </row>
    <row r="66" spans="1:7" x14ac:dyDescent="0.25">
      <c r="A66" s="4" t="s">
        <v>5474</v>
      </c>
      <c r="B66">
        <v>848</v>
      </c>
      <c r="C66" s="5">
        <v>0.70666666666666667</v>
      </c>
      <c r="D66">
        <v>352</v>
      </c>
      <c r="E66" s="5">
        <v>0.29333333333333333</v>
      </c>
      <c r="F66">
        <v>1200</v>
      </c>
      <c r="G66"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1" topLeftCell="A2" activePane="bottomLeft" state="frozen"/>
      <selection pane="bottomLeft" activeCell="F13" sqref="F13"/>
    </sheetView>
  </sheetViews>
  <sheetFormatPr defaultRowHeight="15" x14ac:dyDescent="0.25"/>
  <cols>
    <col min="1" max="1" width="27.5703125" style="6" customWidth="1"/>
    <col min="2" max="2" width="18.140625" style="6" customWidth="1"/>
    <col min="4" max="4" width="20.140625" style="6" bestFit="1" customWidth="1"/>
    <col min="5" max="5" width="22.5703125" style="6" bestFit="1" customWidth="1"/>
    <col min="16" max="16" width="9.140625" customWidth="1"/>
  </cols>
  <sheetData>
    <row r="1" spans="1:5" x14ac:dyDescent="0.25">
      <c r="A1" s="7" t="s">
        <v>5489</v>
      </c>
      <c r="D1" s="11" t="s">
        <v>5508</v>
      </c>
      <c r="E1" s="11" t="s">
        <v>5498</v>
      </c>
    </row>
    <row r="2" spans="1:5" x14ac:dyDescent="0.25">
      <c r="D2" s="12"/>
      <c r="E2" s="13">
        <f>B11</f>
        <v>170702382</v>
      </c>
    </row>
    <row r="3" spans="1:5" x14ac:dyDescent="0.25">
      <c r="A3" s="6" t="s">
        <v>5490</v>
      </c>
      <c r="B3" s="6">
        <f>COUNTA(EmployeeData[EmployeeID])</f>
        <v>1200</v>
      </c>
      <c r="D3" s="14">
        <v>3</v>
      </c>
      <c r="E3" s="16">
        <f t="dataTable" ref="E3:E6" dt2D="0" dtr="0" r1="B10"/>
        <v>85351191</v>
      </c>
    </row>
    <row r="4" spans="1:5" x14ac:dyDescent="0.25">
      <c r="A4" s="6" t="s">
        <v>5491</v>
      </c>
      <c r="B4" s="6">
        <f>SUM(EmployeeData[Attrition Flag])</f>
        <v>352</v>
      </c>
      <c r="D4" s="14">
        <v>6</v>
      </c>
      <c r="E4" s="16">
        <v>170702382</v>
      </c>
    </row>
    <row r="5" spans="1:5" x14ac:dyDescent="0.25">
      <c r="A5" s="6" t="s">
        <v>5492</v>
      </c>
      <c r="B5" s="6">
        <f>B3-B4</f>
        <v>848</v>
      </c>
      <c r="D5" s="14">
        <v>9</v>
      </c>
      <c r="E5" s="16">
        <v>256053573</v>
      </c>
    </row>
    <row r="6" spans="1:5" x14ac:dyDescent="0.25">
      <c r="A6" s="6" t="s">
        <v>5493</v>
      </c>
      <c r="B6" s="8">
        <f>B4/B3</f>
        <v>0.29333333333333333</v>
      </c>
      <c r="D6" s="15">
        <v>12</v>
      </c>
      <c r="E6" s="17">
        <v>341404764</v>
      </c>
    </row>
    <row r="7" spans="1:5" x14ac:dyDescent="0.25">
      <c r="A7" s="6" t="s">
        <v>5494</v>
      </c>
      <c r="B7" s="9">
        <f ca="1">AVERAGE(EmployeeData[Tenure Years])</f>
        <v>6.12</v>
      </c>
    </row>
    <row r="8" spans="1:5" x14ac:dyDescent="0.25">
      <c r="A8" s="6" t="s">
        <v>5495</v>
      </c>
      <c r="B8" s="10">
        <f>AVERAGE(EmployeeData[MonthlyIncome])</f>
        <v>82402.143333333326</v>
      </c>
    </row>
    <row r="9" spans="1:5" x14ac:dyDescent="0.25">
      <c r="A9" s="6" t="s">
        <v>5496</v>
      </c>
      <c r="B9" s="9">
        <f>AVERAGE(EmployeeData[Satisfaction Score])</f>
        <v>2.5554250000000018</v>
      </c>
    </row>
    <row r="10" spans="1:5" x14ac:dyDescent="0.25">
      <c r="A10" s="6" t="s">
        <v>5497</v>
      </c>
      <c r="B10" s="6">
        <v>6</v>
      </c>
    </row>
    <row r="11" spans="1:5" x14ac:dyDescent="0.25">
      <c r="A11" s="6" t="s">
        <v>5498</v>
      </c>
      <c r="B11" s="10">
        <f>SUMIFS(EmployeeData[MonthlyIncome],EmployeeData[Attrition],"Yes")*$B$10</f>
        <v>170702382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2BCB-D9B3-4F8A-9E28-8C03A2FDD34B}">
  <dimension ref="A1:N59"/>
  <sheetViews>
    <sheetView tabSelected="1" workbookViewId="0">
      <selection activeCell="B2" sqref="B2"/>
    </sheetView>
  </sheetViews>
  <sheetFormatPr defaultRowHeight="15" x14ac:dyDescent="0.25"/>
  <cols>
    <col min="1" max="1" width="49.7109375" bestFit="1" customWidth="1"/>
    <col min="2" max="2" width="94.7109375" bestFit="1" customWidth="1"/>
  </cols>
  <sheetData>
    <row r="1" spans="1:2" x14ac:dyDescent="0.25">
      <c r="A1" s="20" t="s">
        <v>5499</v>
      </c>
    </row>
    <row r="2" spans="1:2" x14ac:dyDescent="0.25">
      <c r="A2" s="20" t="s">
        <v>5509</v>
      </c>
    </row>
    <row r="4" spans="1:2" x14ac:dyDescent="0.25">
      <c r="A4" s="19" t="s">
        <v>5510</v>
      </c>
      <c r="B4" s="6" t="s">
        <v>5511</v>
      </c>
    </row>
    <row r="5" spans="1:2" x14ac:dyDescent="0.25">
      <c r="A5" s="19" t="s">
        <v>5512</v>
      </c>
      <c r="B5" s="6" t="str">
        <f>KPI!B3&amp;" employee records"</f>
        <v>1200 employee records</v>
      </c>
    </row>
    <row r="6" spans="1:2" x14ac:dyDescent="0.25">
      <c r="A6" s="19" t="s">
        <v>5513</v>
      </c>
      <c r="B6" s="6" t="s">
        <v>5514</v>
      </c>
    </row>
    <row r="7" spans="1:2" x14ac:dyDescent="0.25">
      <c r="A7" s="19" t="s">
        <v>5515</v>
      </c>
      <c r="B7" s="6" t="s">
        <v>5516</v>
      </c>
    </row>
    <row r="9" spans="1:2" x14ac:dyDescent="0.25">
      <c r="A9" s="20" t="s">
        <v>5517</v>
      </c>
      <c r="B9" s="21"/>
    </row>
    <row r="10" spans="1:2" x14ac:dyDescent="0.25">
      <c r="A10">
        <v>1</v>
      </c>
      <c r="B10" s="18" t="s">
        <v>5518</v>
      </c>
    </row>
    <row r="11" spans="1:2" ht="30" x14ac:dyDescent="0.25">
      <c r="A11">
        <v>2</v>
      </c>
      <c r="B11" s="18" t="s">
        <v>5519</v>
      </c>
    </row>
    <row r="12" spans="1:2" ht="30" x14ac:dyDescent="0.25">
      <c r="A12">
        <v>3</v>
      </c>
      <c r="B12" s="18" t="s">
        <v>5520</v>
      </c>
    </row>
    <row r="13" spans="1:2" x14ac:dyDescent="0.25">
      <c r="A13">
        <v>4</v>
      </c>
      <c r="B13" s="18" t="s">
        <v>5521</v>
      </c>
    </row>
    <row r="14" spans="1:2" ht="30" x14ac:dyDescent="0.25">
      <c r="A14">
        <v>5</v>
      </c>
      <c r="B14" s="18" t="s">
        <v>5522</v>
      </c>
    </row>
    <row r="16" spans="1:2" x14ac:dyDescent="0.25">
      <c r="A16" s="23" t="s">
        <v>5523</v>
      </c>
      <c r="B16" s="23"/>
    </row>
    <row r="17" spans="1:2" x14ac:dyDescent="0.25">
      <c r="A17" s="22">
        <v>1</v>
      </c>
      <c r="B17" s="22" t="s">
        <v>5524</v>
      </c>
    </row>
    <row r="18" spans="1:2" x14ac:dyDescent="0.25">
      <c r="A18" s="22">
        <v>2</v>
      </c>
      <c r="B18" s="22" t="s">
        <v>5525</v>
      </c>
    </row>
    <row r="19" spans="1:2" x14ac:dyDescent="0.25">
      <c r="A19" s="22">
        <v>3</v>
      </c>
      <c r="B19" s="22" t="s">
        <v>5526</v>
      </c>
    </row>
    <row r="20" spans="1:2" x14ac:dyDescent="0.25">
      <c r="A20" s="22"/>
      <c r="B20" s="22"/>
    </row>
    <row r="21" spans="1:2" x14ac:dyDescent="0.25">
      <c r="A21" s="23" t="s">
        <v>5527</v>
      </c>
      <c r="B21" s="23"/>
    </row>
    <row r="22" spans="1:2" x14ac:dyDescent="0.25">
      <c r="A22" s="22" t="s">
        <v>5528</v>
      </c>
      <c r="B22" s="22" t="s">
        <v>5529</v>
      </c>
    </row>
    <row r="23" spans="1:2" x14ac:dyDescent="0.25">
      <c r="A23" s="22"/>
      <c r="B23" s="22"/>
    </row>
    <row r="58" spans="1:14" x14ac:dyDescent="0.25">
      <c r="A58" s="24" t="s">
        <v>5530</v>
      </c>
      <c r="B58" s="25"/>
      <c r="C58" s="25"/>
      <c r="D58" s="25"/>
      <c r="E58" s="25"/>
      <c r="F58" s="25"/>
      <c r="G58" s="25"/>
      <c r="H58" s="25"/>
      <c r="I58" s="25"/>
      <c r="J58" s="25"/>
      <c r="K58" s="25"/>
      <c r="L58" s="25"/>
      <c r="M58" s="25"/>
      <c r="N58" s="25"/>
    </row>
    <row r="59" spans="1:14" x14ac:dyDescent="0.25">
      <c r="A59" s="25"/>
      <c r="B59" s="25"/>
      <c r="C59" s="25"/>
      <c r="D59" s="25"/>
      <c r="E59" s="25"/>
      <c r="F59" s="25"/>
      <c r="G59" s="25"/>
      <c r="H59" s="25"/>
      <c r="I59" s="25"/>
      <c r="J59" s="25"/>
      <c r="K59" s="25"/>
      <c r="L59" s="25"/>
      <c r="M59" s="25"/>
      <c r="N59" s="25"/>
    </row>
  </sheetData>
  <mergeCells count="1">
    <mergeCell ref="A58:N5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8"/>
  <sheetViews>
    <sheetView showGridLines="0" zoomScale="40" zoomScaleNormal="40" workbookViewId="0">
      <pane ySplit="1" topLeftCell="A2" activePane="bottomLeft" state="frozen"/>
      <selection pane="bottomLeft" activeCell="AC52" sqref="AC52"/>
    </sheetView>
  </sheetViews>
  <sheetFormatPr defaultRowHeight="15" x14ac:dyDescent="0.25"/>
  <cols>
    <col min="1" max="1" width="48.5703125" customWidth="1"/>
    <col min="16" max="16" width="23.7109375" customWidth="1"/>
    <col min="17" max="17" width="15.140625" customWidth="1"/>
    <col min="19" max="19" width="12.42578125" customWidth="1"/>
    <col min="20" max="20" width="12.28515625" customWidth="1"/>
    <col min="22" max="22" width="19.42578125" customWidth="1"/>
    <col min="23" max="23" width="12.28515625" customWidth="1"/>
    <col min="26" max="26" width="12.85546875" customWidth="1"/>
    <col min="28" max="28" width="10.85546875" customWidth="1"/>
    <col min="29" max="29" width="12.42578125" customWidth="1"/>
  </cols>
  <sheetData>
    <row r="1" spans="1:29" ht="15" customHeight="1" x14ac:dyDescent="0.25">
      <c r="A1" s="26" t="s">
        <v>5499</v>
      </c>
      <c r="B1" s="27"/>
      <c r="C1" s="27"/>
      <c r="D1" s="27"/>
      <c r="E1" s="27"/>
      <c r="F1" s="27"/>
      <c r="G1" s="27"/>
      <c r="H1" s="27"/>
      <c r="I1" s="27"/>
      <c r="J1" s="27"/>
      <c r="K1" s="27"/>
      <c r="L1" s="27"/>
      <c r="M1" s="27"/>
      <c r="N1" s="28"/>
    </row>
    <row r="2" spans="1:29" ht="15" customHeight="1" x14ac:dyDescent="0.25">
      <c r="A2" s="29"/>
      <c r="B2" s="30"/>
      <c r="C2" s="30"/>
      <c r="D2" s="30"/>
      <c r="E2" s="30"/>
      <c r="F2" s="30"/>
      <c r="G2" s="30"/>
      <c r="H2" s="30"/>
      <c r="I2" s="30"/>
      <c r="J2" s="30"/>
      <c r="K2" s="30"/>
      <c r="L2" s="30"/>
      <c r="M2" s="30"/>
      <c r="N2" s="31"/>
      <c r="P2" t="s">
        <v>5500</v>
      </c>
      <c r="Q2" t="s">
        <v>5501</v>
      </c>
      <c r="S2" t="s">
        <v>13</v>
      </c>
      <c r="T2" t="s">
        <v>5493</v>
      </c>
      <c r="V2" t="s">
        <v>5472</v>
      </c>
      <c r="W2" t="s">
        <v>5493</v>
      </c>
      <c r="Y2" t="s">
        <v>5467</v>
      </c>
      <c r="Z2" t="s">
        <v>5493</v>
      </c>
      <c r="AB2" t="s">
        <v>5468</v>
      </c>
      <c r="AC2" t="s">
        <v>5493</v>
      </c>
    </row>
    <row r="3" spans="1:29" x14ac:dyDescent="0.25">
      <c r="A3" s="32" t="s">
        <v>5504</v>
      </c>
      <c r="B3" s="33"/>
      <c r="C3" s="34"/>
      <c r="D3" s="26" t="s">
        <v>5505</v>
      </c>
      <c r="E3" s="27"/>
      <c r="F3" s="28"/>
      <c r="G3" s="48" t="s">
        <v>5506</v>
      </c>
      <c r="H3" s="49"/>
      <c r="I3" s="50"/>
      <c r="J3" s="55" t="s">
        <v>5507</v>
      </c>
      <c r="K3" s="56"/>
      <c r="L3" s="56"/>
      <c r="M3" s="56"/>
      <c r="N3" s="57"/>
      <c r="P3" t="s">
        <v>5502</v>
      </c>
      <c r="Q3">
        <f>GETPIVOTDATA("Count of Attrition",PivotAnalysis!$A$3,"Attrition","No")</f>
        <v>848</v>
      </c>
      <c r="S3" t="s">
        <v>34</v>
      </c>
      <c r="T3" s="5">
        <f>IFERROR(GETPIVOTDATA("Count of Attrition",PivotAnalysis!$A$43,"OverTime",S3,"Attrition","Yes")/GETPIVOTDATA("Count of Attrition",PivotAnalysis!$A$43,"OverTime",S3),0)</f>
        <v>0.16647264260768335</v>
      </c>
      <c r="V3" t="s">
        <v>5485</v>
      </c>
      <c r="W3" s="5">
        <f>IFERROR(GETPIVOTDATA("Count of Attrition",PivotAnalysis!$A$62,"Satisfaction Level",V3,"Attrition","Yes")/GETPIVOTDATA("Count of Attrition",PivotAnalysis!$A$62,"Satisfaction Level",V3),0)</f>
        <v>0.13613861386138615</v>
      </c>
      <c r="Y3" t="s">
        <v>5480</v>
      </c>
      <c r="Z3" s="5">
        <f>IFERROR(GETPIVOTDATA("Count of Attrition",PivotAnalysis!$A$20,"Age Band",Y3,"Attrition","Yes")/GETPIVOTDATA("Count of Attrition",PivotAnalysis!$A$20,"Age Band",Y3),0)</f>
        <v>0.2982885085574572</v>
      </c>
      <c r="AB3" t="s">
        <v>5485</v>
      </c>
      <c r="AC3" s="5">
        <f>IFERROR(GETPIVOTDATA("Count of Attrition",PivotAnalysis!$A$32,"Salary Band",AB3,"Attrition","Yes")/GETPIVOTDATA("Count of Attrition",PivotAnalysis!$A$32,"Salary Band",AB3),0)</f>
        <v>0.30166666666666669</v>
      </c>
    </row>
    <row r="4" spans="1:29" x14ac:dyDescent="0.25">
      <c r="A4" s="35"/>
      <c r="B4" s="36"/>
      <c r="C4" s="37"/>
      <c r="D4" s="44"/>
      <c r="E4" s="45"/>
      <c r="F4" s="46"/>
      <c r="G4" s="51"/>
      <c r="H4" s="52"/>
      <c r="I4" s="53"/>
      <c r="J4" s="58"/>
      <c r="K4" s="59"/>
      <c r="L4" s="59"/>
      <c r="M4" s="59"/>
      <c r="N4" s="60"/>
      <c r="P4" t="s">
        <v>5503</v>
      </c>
      <c r="Q4">
        <f>GETPIVOTDATA("Count of Attrition",PivotAnalysis!$A$3,"Attrition","Yes")</f>
        <v>352</v>
      </c>
      <c r="S4" t="s">
        <v>45</v>
      </c>
      <c r="T4" s="5">
        <f>IFERROR(GETPIVOTDATA("Count of Attrition",PivotAnalysis!$A$43,"OverTime",S4,"Attrition","Yes")/GETPIVOTDATA("Count of Attrition",PivotAnalysis!$A$43,"OverTime",S4),0)</f>
        <v>0.61290322580645162</v>
      </c>
      <c r="V4" t="s">
        <v>5486</v>
      </c>
      <c r="W4" s="5">
        <f>IFERROR(GETPIVOTDATA("Count of Attrition",PivotAnalysis!$A$62,"Satisfaction Level",V4,"Attrition","Yes")/GETPIVOTDATA("Count of Attrition",PivotAnalysis!$A$62,"Satisfaction Level",V4),0)</f>
        <v>0.55862068965517242</v>
      </c>
      <c r="Y4" t="s">
        <v>5481</v>
      </c>
      <c r="Z4" s="5">
        <f>IFERROR(GETPIVOTDATA("Count of Attrition",PivotAnalysis!$A$20,"Age Band",Y4,"Attrition","Yes")/GETPIVOTDATA("Count of Attrition",PivotAnalysis!$A$20,"Age Band",Y4),0)</f>
        <v>0.27967806841046278</v>
      </c>
      <c r="AB4" t="s">
        <v>5486</v>
      </c>
      <c r="AC4" s="5">
        <f>IFERROR(GETPIVOTDATA("Count of Attrition",PivotAnalysis!$A$32,"Salary Band",AB4,"Attrition","Yes")/GETPIVOTDATA("Count of Attrition",PivotAnalysis!$A$32,"Salary Band",AB4),0)</f>
        <v>0.5</v>
      </c>
    </row>
    <row r="5" spans="1:29" x14ac:dyDescent="0.25">
      <c r="A5" s="38">
        <f>KPI!B3</f>
        <v>1200</v>
      </c>
      <c r="B5" s="39"/>
      <c r="C5" s="40"/>
      <c r="D5" s="47">
        <f>KPI!B6</f>
        <v>0.29333333333333333</v>
      </c>
      <c r="E5" s="39"/>
      <c r="F5" s="40"/>
      <c r="G5" s="54">
        <f ca="1">KPI!B7</f>
        <v>6.12</v>
      </c>
      <c r="H5" s="39"/>
      <c r="I5" s="40"/>
      <c r="J5" s="54">
        <f>KPI!B11/10000000</f>
        <v>17.070238199999999</v>
      </c>
      <c r="K5" s="61"/>
      <c r="L5" s="61"/>
      <c r="M5" s="61"/>
      <c r="N5" s="62"/>
      <c r="V5" t="s">
        <v>5487</v>
      </c>
      <c r="W5" s="5">
        <f>IFERROR(GETPIVOTDATA("Count of Attrition",PivotAnalysis!$A$62,"Satisfaction Level",V5,"Attrition","Yes")/GETPIVOTDATA("Count of Attrition",PivotAnalysis!$A$62,"Satisfaction Level",V5),0)</f>
        <v>0.33179723502304148</v>
      </c>
      <c r="Y5" t="s">
        <v>5482</v>
      </c>
      <c r="Z5" s="5">
        <f>IFERROR(GETPIVOTDATA("Count of Attrition",PivotAnalysis!$A$20,"Age Band",Y5,"Attrition","Yes")/GETPIVOTDATA("Count of Attrition",PivotAnalysis!$A$20,"Age Band",Y5),0)</f>
        <v>0.28289473684210525</v>
      </c>
      <c r="AB5" t="s">
        <v>5487</v>
      </c>
      <c r="AC5" s="5">
        <f>IFERROR(GETPIVOTDATA("Count of Attrition",PivotAnalysis!$A$32,"Salary Band",AB5,"Attrition","Yes")/GETPIVOTDATA("Count of Attrition",PivotAnalysis!$A$32,"Salary Band",AB5),0)</f>
        <v>0.30281690140845069</v>
      </c>
    </row>
    <row r="6" spans="1:29" x14ac:dyDescent="0.25">
      <c r="A6" s="38"/>
      <c r="B6" s="39"/>
      <c r="C6" s="40"/>
      <c r="D6" s="38"/>
      <c r="E6" s="39"/>
      <c r="F6" s="40"/>
      <c r="G6" s="38"/>
      <c r="H6" s="39"/>
      <c r="I6" s="40"/>
      <c r="J6" s="54"/>
      <c r="K6" s="61"/>
      <c r="L6" s="61"/>
      <c r="M6" s="61"/>
      <c r="N6" s="62"/>
      <c r="Y6" t="s">
        <v>5483</v>
      </c>
      <c r="Z6" s="5">
        <f>IFERROR(GETPIVOTDATA("Count of Attrition",PivotAnalysis!$A$20,"Age Band",Y6,"Attrition","Yes")/GETPIVOTDATA("Count of Attrition",PivotAnalysis!$A$20,"Age Band",Y6),0)</f>
        <v>0.4</v>
      </c>
      <c r="AB6" t="s">
        <v>5488</v>
      </c>
      <c r="AC6" s="5">
        <f>IFERROR(GETPIVOTDATA("Count of Attrition",PivotAnalysis!$A$32,"Salary Band",AB6,"Attrition","Yes")/GETPIVOTDATA("Count of Attrition",PivotAnalysis!$A$32,"Salary Band",AB6),0)</f>
        <v>0.26751592356687898</v>
      </c>
    </row>
    <row r="7" spans="1:29" x14ac:dyDescent="0.25">
      <c r="A7" s="41"/>
      <c r="B7" s="42"/>
      <c r="C7" s="43"/>
      <c r="D7" s="41"/>
      <c r="E7" s="42"/>
      <c r="F7" s="43"/>
      <c r="G7" s="41"/>
      <c r="H7" s="42"/>
      <c r="I7" s="43"/>
      <c r="J7" s="63"/>
      <c r="K7" s="64"/>
      <c r="L7" s="64"/>
      <c r="M7" s="64"/>
      <c r="N7" s="65"/>
      <c r="P7" t="s">
        <v>4</v>
      </c>
      <c r="Q7" t="s">
        <v>5493</v>
      </c>
      <c r="Y7" t="s">
        <v>5484</v>
      </c>
      <c r="Z7" s="5">
        <f>IFERROR(GETPIVOTDATA("Count of Attrition",PivotAnalysis!$A$20,"Age Band",Y7,"Attrition","Yes")/GETPIVOTDATA("Count of Attrition",PivotAnalysis!$A$20,"Age Band",Y7),0)</f>
        <v>0.33333333333333331</v>
      </c>
    </row>
    <row r="8" spans="1:29" x14ac:dyDescent="0.25">
      <c r="G8" s="6"/>
      <c r="P8" t="s">
        <v>94</v>
      </c>
      <c r="Q8" s="5">
        <f>IFERROR(GETPIVOTDATA("Count of Attrition",PivotAnalysis!$D$5,"Department",P8,"Attrition","Yes")/GETPIVOTDATA("Count of Attrition",PivotAnalysis!$D$5,"Department",P8),0)</f>
        <v>0.30379746835443039</v>
      </c>
    </row>
    <row r="9" spans="1:29" x14ac:dyDescent="0.25">
      <c r="P9" t="s">
        <v>38</v>
      </c>
      <c r="Q9" s="5">
        <f>IFERROR(GETPIVOTDATA("Count of Attrition",PivotAnalysis!$D$5,"Department",P9,"Attrition","Yes")/GETPIVOTDATA("Count of Attrition",PivotAnalysis!$D$5,"Department",P9),0)</f>
        <v>0.25842696629213485</v>
      </c>
    </row>
    <row r="10" spans="1:29" x14ac:dyDescent="0.25">
      <c r="P10" t="s">
        <v>5461</v>
      </c>
      <c r="Q10" s="5">
        <f>IFERROR(GETPIVOTDATA("Count of Attrition",PivotAnalysis!$D$5,"Department",P10,"Attrition","Yes")/GETPIVOTDATA("Count of Attrition",PivotAnalysis!$D$5,"Department",P10),0)</f>
        <v>0.27488151658767773</v>
      </c>
    </row>
    <row r="11" spans="1:29" x14ac:dyDescent="0.25">
      <c r="P11" t="s">
        <v>197</v>
      </c>
      <c r="Q11" s="5">
        <f>IFERROR(GETPIVOTDATA("Count of Attrition",PivotAnalysis!$D$5,"Department",P11,"Attrition","Yes")/GETPIVOTDATA("Count of Attrition",PivotAnalysis!$D$5,"Department",P11),0)</f>
        <v>0.37</v>
      </c>
    </row>
    <row r="12" spans="1:29" x14ac:dyDescent="0.25">
      <c r="P12" t="s">
        <v>5459</v>
      </c>
      <c r="Q12" s="5">
        <f>IFERROR(GETPIVOTDATA("Count of Attrition",PivotAnalysis!$D$5,"Department",P12,"Attrition","Yes")/GETPIVOTDATA("Count of Attrition",PivotAnalysis!$D$5,"Department",P12),0)</f>
        <v>0.3125</v>
      </c>
    </row>
    <row r="13" spans="1:29" x14ac:dyDescent="0.25">
      <c r="P13" t="s">
        <v>412</v>
      </c>
      <c r="Q13" s="5">
        <f>IFERROR(GETPIVOTDATA("Count of Attrition",PivotAnalysis!$D$5,"Department",P13,"Attrition","Yes")/GETPIVOTDATA("Count of Attrition",PivotAnalysis!$D$5,"Department",P13),0)</f>
        <v>0.35714285714285715</v>
      </c>
    </row>
    <row r="14" spans="1:29" x14ac:dyDescent="0.25">
      <c r="P14" t="s">
        <v>27</v>
      </c>
      <c r="Q14" s="5">
        <f>IFERROR(GETPIVOTDATA("Count of Attrition",PivotAnalysis!$D$5,"Department",P14,"Attrition","Yes")/GETPIVOTDATA("Count of Attrition",PivotAnalysis!$D$5,"Department",P14),0)</f>
        <v>0.28525641025641024</v>
      </c>
    </row>
    <row r="15" spans="1:29" x14ac:dyDescent="0.25">
      <c r="P15" t="s">
        <v>128</v>
      </c>
      <c r="Q15" s="5">
        <f>IFERROR(GETPIVOTDATA("Count of Attrition",PivotAnalysis!$D$5,"Department",P15,"Attrition","Yes")/GETPIVOTDATA("Count of Attrition",PivotAnalysis!$D$5,"Department",P15),0)</f>
        <v>0.28125</v>
      </c>
    </row>
    <row r="16" spans="1:29" x14ac:dyDescent="0.25">
      <c r="Q16" s="5"/>
    </row>
    <row r="17" spans="17:17" x14ac:dyDescent="0.25">
      <c r="Q17" s="5"/>
    </row>
    <row r="18" spans="17:17" x14ac:dyDescent="0.25">
      <c r="Q18" s="5"/>
    </row>
  </sheetData>
  <mergeCells count="9">
    <mergeCell ref="A1:N2"/>
    <mergeCell ref="A3:C4"/>
    <mergeCell ref="A5:C7"/>
    <mergeCell ref="D3:F4"/>
    <mergeCell ref="D5:F7"/>
    <mergeCell ref="G3:I4"/>
    <mergeCell ref="G5:I7"/>
    <mergeCell ref="J3:N4"/>
    <mergeCell ref="J5: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201"/>
  <sheetViews>
    <sheetView topLeftCell="A2" workbookViewId="0">
      <selection activeCell="D15" sqref="D15"/>
    </sheetView>
  </sheetViews>
  <sheetFormatPr defaultRowHeight="15" x14ac:dyDescent="0.25"/>
  <cols>
    <col min="1" max="1" width="13.85546875" customWidth="1"/>
    <col min="3" max="3" width="9.85546875" customWidth="1"/>
    <col min="5" max="5" width="13.85546875" customWidth="1"/>
    <col min="6" max="6" width="10.140625" customWidth="1"/>
    <col min="7" max="7" width="15.7109375" style="1" customWidth="1"/>
    <col min="8" max="8" width="17.28515625" customWidth="1"/>
    <col min="9" max="9" width="15" customWidth="1"/>
    <col min="10" max="10" width="11.85546875" customWidth="1"/>
    <col min="12" max="12" width="16.28515625" customWidth="1"/>
    <col min="13" max="13" width="24.5703125" customWidth="1"/>
    <col min="14" max="14" width="11.85546875" customWidth="1"/>
    <col min="15" max="15" width="16.42578125" customWidth="1"/>
    <col min="16" max="16" width="24.85546875" customWidth="1"/>
    <col min="17" max="17" width="18.140625" customWidth="1"/>
    <col min="18" max="18" width="20.140625" customWidth="1"/>
    <col min="19" max="19" width="23" customWidth="1"/>
    <col min="20" max="20" width="24.42578125" customWidth="1"/>
    <col min="21" max="21" width="19.28515625" customWidth="1"/>
    <col min="22" max="22" width="16.28515625" customWidth="1"/>
    <col min="23" max="23" width="10.7109375" customWidth="1"/>
    <col min="24" max="24" width="18.28515625" style="1" customWidth="1"/>
    <col min="25" max="25" width="16.85546875" style="2" customWidth="1"/>
    <col min="26" max="26" width="16.42578125" customWidth="1"/>
    <col min="27" max="27" width="11.42578125" customWidth="1"/>
    <col min="29" max="29" width="17.140625" customWidth="1"/>
  </cols>
  <sheetData>
    <row r="1" spans="1:31" x14ac:dyDescent="0.25">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s="1" t="s">
        <v>23</v>
      </c>
      <c r="Y1" s="2" t="s">
        <v>5467</v>
      </c>
      <c r="Z1" t="s">
        <v>5466</v>
      </c>
      <c r="AA1" t="s">
        <v>5468</v>
      </c>
      <c r="AB1" t="s">
        <v>5469</v>
      </c>
      <c r="AC1" t="s">
        <v>5470</v>
      </c>
      <c r="AD1" t="s">
        <v>5471</v>
      </c>
      <c r="AE1" t="s">
        <v>5472</v>
      </c>
    </row>
    <row r="2" spans="1:31" x14ac:dyDescent="0.25">
      <c r="A2" t="s">
        <v>24</v>
      </c>
      <c r="B2" t="s">
        <v>25</v>
      </c>
      <c r="C2" t="s">
        <v>49</v>
      </c>
      <c r="D2">
        <v>39</v>
      </c>
      <c r="E2" t="s">
        <v>27</v>
      </c>
      <c r="F2" t="s">
        <v>188</v>
      </c>
      <c r="G2" s="1">
        <v>42496</v>
      </c>
      <c r="H2">
        <v>124035</v>
      </c>
      <c r="I2" t="s">
        <v>30</v>
      </c>
      <c r="J2" t="s">
        <v>31</v>
      </c>
      <c r="K2" t="s">
        <v>32</v>
      </c>
      <c r="L2" t="s">
        <v>33</v>
      </c>
      <c r="M2">
        <v>11</v>
      </c>
      <c r="N2" t="s">
        <v>34</v>
      </c>
      <c r="O2">
        <v>1</v>
      </c>
      <c r="P2">
        <v>4</v>
      </c>
      <c r="Q2">
        <v>3</v>
      </c>
      <c r="R2">
        <v>4</v>
      </c>
      <c r="S2">
        <v>0</v>
      </c>
      <c r="T2">
        <v>4</v>
      </c>
      <c r="U2">
        <v>16</v>
      </c>
      <c r="V2" t="s">
        <v>35</v>
      </c>
      <c r="W2" t="s">
        <v>34</v>
      </c>
      <c r="Y2" s="2" t="str">
        <f>IF(EmployeeData[[#This Row],[Age]]&lt;25,"Under 25",IF(EmployeeData[[#This Row],[Age]]&lt;=34,"25-34",IF(EmployeeData[[#This Row],[Age]]&lt;=44,"35-44",IF(EmployeeData[[#This Row],[Age]]&lt;=54,"45-54","55+"))))</f>
        <v>35-44</v>
      </c>
      <c r="Z2">
        <f ca="1">DATEDIF(EmployeeData[[#This Row],[DateOfJoining]],IF(AND(EmployeeData[[#This Row],[Attrition]]="Yes",EmployeeData[[#This Row],[LastWorkingDate]]&lt;&gt;""),EmployeeData[[#This Row],[LastWorkingDate]],TODAY()),"Y")</f>
        <v>10</v>
      </c>
      <c r="AA2" t="str">
        <f>IF(EmployeeData[[#This Row],[MonthlyIncome]]&lt;30000,"Low",IF(EmployeeData[[#This Row],[MonthlyIncome]]&lt;=60000,"Medium",IF(EmployeeData[[#This Row],[MonthlyIncome]]&lt;=100000,"High","Very High")))</f>
        <v>Very High</v>
      </c>
      <c r="AB2">
        <f>IF(EmployeeData[[#This Row],[Attrition]]="Yes",1,0)</f>
        <v>0</v>
      </c>
      <c r="AC2" t="str">
        <f ca="1">IF(EmployeeData[[#This Row],[Tenure Years]]&lt;1,"Less than 1 Year",IF(EmployeeData[[#This Row],[Tenure Years]]&lt;=3,"1-3 Years",IF(EmployeeData[[#This Row],[Tenure Years]]&lt;=5,"4-5 Years",IF(EmployeeData[[#This Row],[Tenure Years]]&lt;=10,"6-10 Years","More than 10 Years"))))</f>
        <v>6-10 Years</v>
      </c>
      <c r="AD2">
        <f>ROUND(AVERAGE(EmployeeData[[#This Row],[JobSatisfaction]],EmployeeData[[#This Row],[EnvironmentSatisfaction]],EmployeeData[[#This Row],[WorkLifeBalance]]),2)</f>
        <v>2.67</v>
      </c>
      <c r="AE2" t="str">
        <f>IF(EmployeeData[[#This Row],[Satisfaction Score]]&lt;2,"Low",IF(EmployeeData[[#This Row],[Satisfaction Score]]&lt;3,"Medium","High"))</f>
        <v>Medium</v>
      </c>
    </row>
    <row r="3" spans="1:31" x14ac:dyDescent="0.25">
      <c r="A3" t="s">
        <v>36</v>
      </c>
      <c r="B3" t="s">
        <v>37</v>
      </c>
      <c r="C3" t="s">
        <v>5459</v>
      </c>
      <c r="D3">
        <v>38</v>
      </c>
      <c r="E3" t="s">
        <v>38</v>
      </c>
      <c r="F3" t="s">
        <v>5460</v>
      </c>
      <c r="G3" s="1">
        <v>44001</v>
      </c>
      <c r="H3">
        <v>51334</v>
      </c>
      <c r="I3" t="s">
        <v>42</v>
      </c>
      <c r="J3" t="s">
        <v>31</v>
      </c>
      <c r="K3" t="s">
        <v>32</v>
      </c>
      <c r="L3" t="s">
        <v>43</v>
      </c>
      <c r="M3">
        <v>27</v>
      </c>
      <c r="N3" t="s">
        <v>34</v>
      </c>
      <c r="O3">
        <v>1</v>
      </c>
      <c r="P3">
        <v>3</v>
      </c>
      <c r="Q3">
        <v>2</v>
      </c>
      <c r="R3">
        <v>3</v>
      </c>
      <c r="S3">
        <v>6</v>
      </c>
      <c r="T3">
        <v>2</v>
      </c>
      <c r="U3">
        <v>13</v>
      </c>
      <c r="V3" t="s">
        <v>44</v>
      </c>
      <c r="W3" t="s">
        <v>45</v>
      </c>
      <c r="X3" s="1">
        <v>46052</v>
      </c>
      <c r="Y3" s="2" t="str">
        <f>IF(EmployeeData[[#This Row],[Age]]&lt;25,"Under 25",IF(EmployeeData[[#This Row],[Age]]&lt;=34,"25-34",IF(EmployeeData[[#This Row],[Age]]&lt;=44,"35-44",IF(EmployeeData[[#This Row],[Age]]&lt;=54,"45-54","55+"))))</f>
        <v>35-44</v>
      </c>
      <c r="Z3">
        <f ca="1">DATEDIF(EmployeeData[[#This Row],[DateOfJoining]],IF(AND(EmployeeData[[#This Row],[Attrition]]="Yes",EmployeeData[[#This Row],[LastWorkingDate]]&lt;&gt;""),EmployeeData[[#This Row],[LastWorkingDate]],TODAY()),"Y")</f>
        <v>5</v>
      </c>
      <c r="AA3" t="str">
        <f>IF(EmployeeData[[#This Row],[MonthlyIncome]]&lt;30000,"Low",IF(EmployeeData[[#This Row],[MonthlyIncome]]&lt;=60000,"Medium",IF(EmployeeData[[#This Row],[MonthlyIncome]]&lt;=100000,"High","Very High")))</f>
        <v>Medium</v>
      </c>
      <c r="AB3">
        <f>IF(EmployeeData[[#This Row],[Attrition]]="Yes",1,0)</f>
        <v>1</v>
      </c>
      <c r="AC3" t="str">
        <f ca="1">IF(EmployeeData[[#This Row],[Tenure Years]]&lt;1,"Less than 1 Year",IF(EmployeeData[[#This Row],[Tenure Years]]&lt;=3,"1-3 Years",IF(EmployeeData[[#This Row],[Tenure Years]]&lt;=5,"4-5 Years",IF(EmployeeData[[#This Row],[Tenure Years]]&lt;=10,"6-10 Years","More than 10 Years"))))</f>
        <v>4-5 Years</v>
      </c>
      <c r="AD3">
        <f>ROUND(AVERAGE(EmployeeData[[#This Row],[JobSatisfaction]],EmployeeData[[#This Row],[EnvironmentSatisfaction]],EmployeeData[[#This Row],[WorkLifeBalance]]),2)</f>
        <v>2</v>
      </c>
      <c r="AE3" t="str">
        <f>IF(EmployeeData[[#This Row],[Satisfaction Score]]&lt;2,"Low",IF(EmployeeData[[#This Row],[Satisfaction Score]]&lt;3,"Medium","High"))</f>
        <v>Medium</v>
      </c>
    </row>
    <row r="4" spans="1:31" x14ac:dyDescent="0.25">
      <c r="A4" t="s">
        <v>47</v>
      </c>
      <c r="B4" t="s">
        <v>48</v>
      </c>
      <c r="C4" t="s">
        <v>49</v>
      </c>
      <c r="D4">
        <v>39</v>
      </c>
      <c r="E4" t="s">
        <v>27</v>
      </c>
      <c r="F4" t="s">
        <v>50</v>
      </c>
      <c r="G4" s="1">
        <v>44987</v>
      </c>
      <c r="H4">
        <v>83084</v>
      </c>
      <c r="I4" t="s">
        <v>52</v>
      </c>
      <c r="J4" t="s">
        <v>53</v>
      </c>
      <c r="K4" t="s">
        <v>54</v>
      </c>
      <c r="L4" t="s">
        <v>43</v>
      </c>
      <c r="M4">
        <v>19</v>
      </c>
      <c r="N4" t="s">
        <v>45</v>
      </c>
      <c r="O4">
        <v>4</v>
      </c>
      <c r="P4">
        <v>3</v>
      </c>
      <c r="Q4">
        <v>1</v>
      </c>
      <c r="R4">
        <v>4</v>
      </c>
      <c r="S4">
        <v>2</v>
      </c>
      <c r="T4">
        <v>1</v>
      </c>
      <c r="U4">
        <v>24</v>
      </c>
      <c r="V4" t="s">
        <v>55</v>
      </c>
      <c r="W4" t="s">
        <v>34</v>
      </c>
      <c r="Y4" s="2" t="str">
        <f>IF(EmployeeData[[#This Row],[Age]]&lt;25,"Under 25",IF(EmployeeData[[#This Row],[Age]]&lt;=34,"25-34",IF(EmployeeData[[#This Row],[Age]]&lt;=44,"35-44",IF(EmployeeData[[#This Row],[Age]]&lt;=54,"45-54","55+"))))</f>
        <v>35-44</v>
      </c>
      <c r="Z4">
        <f ca="1">DATEDIF(EmployeeData[[#This Row],[DateOfJoining]],IF(AND(EmployeeData[[#This Row],[Attrition]]="Yes",EmployeeData[[#This Row],[LastWorkingDate]]&lt;&gt;""),EmployeeData[[#This Row],[LastWorkingDate]],TODAY()),"Y")</f>
        <v>3</v>
      </c>
      <c r="AA4" t="str">
        <f>IF(EmployeeData[[#This Row],[MonthlyIncome]]&lt;30000,"Low",IF(EmployeeData[[#This Row],[MonthlyIncome]]&lt;=60000,"Medium",IF(EmployeeData[[#This Row],[MonthlyIncome]]&lt;=100000,"High","Very High")))</f>
        <v>High</v>
      </c>
      <c r="AB4">
        <f>IF(EmployeeData[[#This Row],[Attrition]]="Yes",1,0)</f>
        <v>0</v>
      </c>
      <c r="AC4" t="str">
        <f ca="1">IF(EmployeeData[[#This Row],[Tenure Years]]&lt;1,"Less than 1 Year",IF(EmployeeData[[#This Row],[Tenure Years]]&lt;=3,"1-3 Years",IF(EmployeeData[[#This Row],[Tenure Years]]&lt;=5,"4-5 Years",IF(EmployeeData[[#This Row],[Tenure Years]]&lt;=10,"6-10 Years","More than 10 Years"))))</f>
        <v>1-3 Years</v>
      </c>
      <c r="AD4">
        <f>ROUND(AVERAGE(EmployeeData[[#This Row],[JobSatisfaction]],EmployeeData[[#This Row],[EnvironmentSatisfaction]],EmployeeData[[#This Row],[WorkLifeBalance]]),2)</f>
        <v>2.67</v>
      </c>
      <c r="AE4" t="str">
        <f>IF(EmployeeData[[#This Row],[Satisfaction Score]]&lt;2,"Low",IF(EmployeeData[[#This Row],[Satisfaction Score]]&lt;3,"Medium","High"))</f>
        <v>Medium</v>
      </c>
    </row>
    <row r="5" spans="1:31" x14ac:dyDescent="0.25">
      <c r="A5" t="s">
        <v>56</v>
      </c>
      <c r="B5" t="s">
        <v>57</v>
      </c>
      <c r="C5" t="s">
        <v>58</v>
      </c>
      <c r="D5">
        <v>31</v>
      </c>
      <c r="E5" t="s">
        <v>27</v>
      </c>
      <c r="F5" t="s">
        <v>59</v>
      </c>
      <c r="G5" s="1">
        <v>41488</v>
      </c>
      <c r="H5">
        <v>86840</v>
      </c>
      <c r="I5" t="s">
        <v>52</v>
      </c>
      <c r="J5" t="s">
        <v>61</v>
      </c>
      <c r="K5" t="s">
        <v>32</v>
      </c>
      <c r="L5" t="s">
        <v>62</v>
      </c>
      <c r="M5">
        <v>35</v>
      </c>
      <c r="N5" t="s">
        <v>45</v>
      </c>
      <c r="O5">
        <v>4</v>
      </c>
      <c r="P5">
        <v>4</v>
      </c>
      <c r="Q5">
        <v>2</v>
      </c>
      <c r="R5">
        <v>3</v>
      </c>
      <c r="S5">
        <v>4</v>
      </c>
      <c r="T5">
        <v>2</v>
      </c>
      <c r="U5">
        <v>12</v>
      </c>
      <c r="V5" t="s">
        <v>63</v>
      </c>
      <c r="W5" t="s">
        <v>45</v>
      </c>
      <c r="X5" s="1">
        <v>41705</v>
      </c>
      <c r="Y5" s="2" t="str">
        <f>IF(EmployeeData[[#This Row],[Age]]&lt;25,"Under 25",IF(EmployeeData[[#This Row],[Age]]&lt;=34,"25-34",IF(EmployeeData[[#This Row],[Age]]&lt;=44,"35-44",IF(EmployeeData[[#This Row],[Age]]&lt;=54,"45-54","55+"))))</f>
        <v>25-34</v>
      </c>
      <c r="Z5">
        <f ca="1">DATEDIF(EmployeeData[[#This Row],[DateOfJoining]],IF(AND(EmployeeData[[#This Row],[Attrition]]="Yes",EmployeeData[[#This Row],[LastWorkingDate]]&lt;&gt;""),EmployeeData[[#This Row],[LastWorkingDate]],TODAY()),"Y")</f>
        <v>0</v>
      </c>
      <c r="AA5" t="str">
        <f>IF(EmployeeData[[#This Row],[MonthlyIncome]]&lt;30000,"Low",IF(EmployeeData[[#This Row],[MonthlyIncome]]&lt;=60000,"Medium",IF(EmployeeData[[#This Row],[MonthlyIncome]]&lt;=100000,"High","Very High")))</f>
        <v>High</v>
      </c>
      <c r="AB5">
        <f>IF(EmployeeData[[#This Row],[Attrition]]="Yes",1,0)</f>
        <v>1</v>
      </c>
      <c r="AC5" t="str">
        <f ca="1">IF(EmployeeData[[#This Row],[Tenure Years]]&lt;1,"Less than 1 Year",IF(EmployeeData[[#This Row],[Tenure Years]]&lt;=3,"1-3 Years",IF(EmployeeData[[#This Row],[Tenure Years]]&lt;=5,"4-5 Years",IF(EmployeeData[[#This Row],[Tenure Years]]&lt;=10,"6-10 Years","More than 10 Years"))))</f>
        <v>Less than 1 Year</v>
      </c>
      <c r="AD5">
        <f>ROUND(AVERAGE(EmployeeData[[#This Row],[JobSatisfaction]],EmployeeData[[#This Row],[EnvironmentSatisfaction]],EmployeeData[[#This Row],[WorkLifeBalance]]),2)</f>
        <v>3.33</v>
      </c>
      <c r="AE5" t="str">
        <f>IF(EmployeeData[[#This Row],[Satisfaction Score]]&lt;2,"Low",IF(EmployeeData[[#This Row],[Satisfaction Score]]&lt;3,"Medium","High"))</f>
        <v>High</v>
      </c>
    </row>
    <row r="6" spans="1:31" x14ac:dyDescent="0.25">
      <c r="A6" t="s">
        <v>65</v>
      </c>
      <c r="B6" t="s">
        <v>66</v>
      </c>
      <c r="C6" t="s">
        <v>58</v>
      </c>
      <c r="D6">
        <v>35</v>
      </c>
      <c r="E6" t="s">
        <v>27</v>
      </c>
      <c r="F6" t="s">
        <v>59</v>
      </c>
      <c r="G6" s="1">
        <v>44281</v>
      </c>
      <c r="H6">
        <v>83084</v>
      </c>
      <c r="I6" t="s">
        <v>42</v>
      </c>
      <c r="J6" t="s">
        <v>61</v>
      </c>
      <c r="K6" t="s">
        <v>54</v>
      </c>
      <c r="L6" t="s">
        <v>43</v>
      </c>
      <c r="M6">
        <v>42</v>
      </c>
      <c r="N6" t="s">
        <v>34</v>
      </c>
      <c r="O6">
        <v>2</v>
      </c>
      <c r="P6">
        <v>2</v>
      </c>
      <c r="Q6">
        <v>2</v>
      </c>
      <c r="R6">
        <v>2</v>
      </c>
      <c r="S6">
        <v>5</v>
      </c>
      <c r="T6">
        <v>8</v>
      </c>
      <c r="U6">
        <v>16</v>
      </c>
      <c r="V6" t="s">
        <v>69</v>
      </c>
      <c r="W6" t="s">
        <v>45</v>
      </c>
      <c r="X6" s="1">
        <v>46071</v>
      </c>
      <c r="Y6" s="2" t="str">
        <f>IF(EmployeeData[[#This Row],[Age]]&lt;25,"Under 25",IF(EmployeeData[[#This Row],[Age]]&lt;=34,"25-34",IF(EmployeeData[[#This Row],[Age]]&lt;=44,"35-44",IF(EmployeeData[[#This Row],[Age]]&lt;=54,"45-54","55+"))))</f>
        <v>35-44</v>
      </c>
      <c r="Z6">
        <f ca="1">DATEDIF(EmployeeData[[#This Row],[DateOfJoining]],IF(AND(EmployeeData[[#This Row],[Attrition]]="Yes",EmployeeData[[#This Row],[LastWorkingDate]]&lt;&gt;""),EmployeeData[[#This Row],[LastWorkingDate]],TODAY()),"Y")</f>
        <v>4</v>
      </c>
      <c r="AA6" t="str">
        <f>IF(EmployeeData[[#This Row],[MonthlyIncome]]&lt;30000,"Low",IF(EmployeeData[[#This Row],[MonthlyIncome]]&lt;=60000,"Medium",IF(EmployeeData[[#This Row],[MonthlyIncome]]&lt;=100000,"High","Very High")))</f>
        <v>High</v>
      </c>
      <c r="AB6">
        <f>IF(EmployeeData[[#This Row],[Attrition]]="Yes",1,0)</f>
        <v>1</v>
      </c>
      <c r="AC6" t="str">
        <f ca="1">IF(EmployeeData[[#This Row],[Tenure Years]]&lt;1,"Less than 1 Year",IF(EmployeeData[[#This Row],[Tenure Years]]&lt;=3,"1-3 Years",IF(EmployeeData[[#This Row],[Tenure Years]]&lt;=5,"4-5 Years",IF(EmployeeData[[#This Row],[Tenure Years]]&lt;=10,"6-10 Years","More than 10 Years"))))</f>
        <v>4-5 Years</v>
      </c>
      <c r="AD6">
        <f>ROUND(AVERAGE(EmployeeData[[#This Row],[JobSatisfaction]],EmployeeData[[#This Row],[EnvironmentSatisfaction]],EmployeeData[[#This Row],[WorkLifeBalance]]),2)</f>
        <v>2</v>
      </c>
      <c r="AE6" t="str">
        <f>IF(EmployeeData[[#This Row],[Satisfaction Score]]&lt;2,"Low",IF(EmployeeData[[#This Row],[Satisfaction Score]]&lt;3,"Medium","High"))</f>
        <v>Medium</v>
      </c>
    </row>
    <row r="7" spans="1:31" x14ac:dyDescent="0.25">
      <c r="A7" t="s">
        <v>71</v>
      </c>
      <c r="B7" t="s">
        <v>72</v>
      </c>
      <c r="C7" t="s">
        <v>49</v>
      </c>
      <c r="D7">
        <v>32</v>
      </c>
      <c r="E7" t="s">
        <v>27</v>
      </c>
      <c r="F7" t="s">
        <v>75</v>
      </c>
      <c r="G7" s="1">
        <v>44363</v>
      </c>
      <c r="H7">
        <v>86510</v>
      </c>
      <c r="I7" t="s">
        <v>30</v>
      </c>
      <c r="J7" t="s">
        <v>31</v>
      </c>
      <c r="K7" t="s">
        <v>77</v>
      </c>
      <c r="L7" t="s">
        <v>62</v>
      </c>
      <c r="M7">
        <v>29</v>
      </c>
      <c r="N7" t="s">
        <v>45</v>
      </c>
      <c r="O7">
        <v>3</v>
      </c>
      <c r="P7">
        <v>1</v>
      </c>
      <c r="Q7">
        <v>3</v>
      </c>
      <c r="R7">
        <v>1</v>
      </c>
      <c r="S7">
        <v>3</v>
      </c>
      <c r="T7">
        <v>6</v>
      </c>
      <c r="U7">
        <v>17</v>
      </c>
      <c r="V7" t="s">
        <v>78</v>
      </c>
      <c r="W7" t="s">
        <v>34</v>
      </c>
      <c r="Y7" s="2" t="str">
        <f>IF(EmployeeData[[#This Row],[Age]]&lt;25,"Under 25",IF(EmployeeData[[#This Row],[Age]]&lt;=34,"25-34",IF(EmployeeData[[#This Row],[Age]]&lt;=44,"35-44",IF(EmployeeData[[#This Row],[Age]]&lt;=54,"45-54","55+"))))</f>
        <v>25-34</v>
      </c>
      <c r="Z7">
        <f ca="1">DATEDIF(EmployeeData[[#This Row],[DateOfJoining]],IF(AND(EmployeeData[[#This Row],[Attrition]]="Yes",EmployeeData[[#This Row],[LastWorkingDate]]&lt;&gt;""),EmployeeData[[#This Row],[LastWorkingDate]],TODAY()),"Y")</f>
        <v>5</v>
      </c>
      <c r="AA7" t="str">
        <f>IF(EmployeeData[[#This Row],[MonthlyIncome]]&lt;30000,"Low",IF(EmployeeData[[#This Row],[MonthlyIncome]]&lt;=60000,"Medium",IF(EmployeeData[[#This Row],[MonthlyIncome]]&lt;=100000,"High","Very High")))</f>
        <v>High</v>
      </c>
      <c r="AB7">
        <f>IF(EmployeeData[[#This Row],[Attrition]]="Yes",1,0)</f>
        <v>0</v>
      </c>
      <c r="AC7" t="str">
        <f ca="1">IF(EmployeeData[[#This Row],[Tenure Years]]&lt;1,"Less than 1 Year",IF(EmployeeData[[#This Row],[Tenure Years]]&lt;=3,"1-3 Years",IF(EmployeeData[[#This Row],[Tenure Years]]&lt;=5,"4-5 Years",IF(EmployeeData[[#This Row],[Tenure Years]]&lt;=10,"6-10 Years","More than 10 Years"))))</f>
        <v>4-5 Years</v>
      </c>
      <c r="AD7">
        <f>ROUND(AVERAGE(EmployeeData[[#This Row],[JobSatisfaction]],EmployeeData[[#This Row],[EnvironmentSatisfaction]],EmployeeData[[#This Row],[WorkLifeBalance]]),2)</f>
        <v>2.33</v>
      </c>
      <c r="AE7" t="str">
        <f>IF(EmployeeData[[#This Row],[Satisfaction Score]]&lt;2,"Low",IF(EmployeeData[[#This Row],[Satisfaction Score]]&lt;3,"Medium","High"))</f>
        <v>Medium</v>
      </c>
    </row>
    <row r="8" spans="1:31" x14ac:dyDescent="0.25">
      <c r="A8" t="s">
        <v>79</v>
      </c>
      <c r="B8" t="s">
        <v>80</v>
      </c>
      <c r="C8" t="s">
        <v>58</v>
      </c>
      <c r="D8">
        <v>41</v>
      </c>
      <c r="E8" t="s">
        <v>27</v>
      </c>
      <c r="F8" t="s">
        <v>59</v>
      </c>
      <c r="G8" s="1">
        <v>44794</v>
      </c>
      <c r="H8">
        <v>83084</v>
      </c>
      <c r="I8" t="s">
        <v>42</v>
      </c>
      <c r="J8" t="s">
        <v>31</v>
      </c>
      <c r="K8" t="s">
        <v>83</v>
      </c>
      <c r="L8" t="s">
        <v>43</v>
      </c>
      <c r="M8">
        <v>24</v>
      </c>
      <c r="N8" t="s">
        <v>34</v>
      </c>
      <c r="O8">
        <v>4</v>
      </c>
      <c r="P8">
        <v>4</v>
      </c>
      <c r="Q8">
        <v>1</v>
      </c>
      <c r="R8">
        <v>3</v>
      </c>
      <c r="S8">
        <v>5</v>
      </c>
      <c r="T8">
        <v>0</v>
      </c>
      <c r="U8">
        <v>18</v>
      </c>
      <c r="V8" t="s">
        <v>84</v>
      </c>
      <c r="W8" t="s">
        <v>34</v>
      </c>
      <c r="Y8" s="2" t="str">
        <f>IF(EmployeeData[[#This Row],[Age]]&lt;25,"Under 25",IF(EmployeeData[[#This Row],[Age]]&lt;=34,"25-34",IF(EmployeeData[[#This Row],[Age]]&lt;=44,"35-44",IF(EmployeeData[[#This Row],[Age]]&lt;=54,"45-54","55+"))))</f>
        <v>35-44</v>
      </c>
      <c r="Z8">
        <f ca="1">DATEDIF(EmployeeData[[#This Row],[DateOfJoining]],IF(AND(EmployeeData[[#This Row],[Attrition]]="Yes",EmployeeData[[#This Row],[LastWorkingDate]]&lt;&gt;""),EmployeeData[[#This Row],[LastWorkingDate]],TODAY()),"Y")</f>
        <v>4</v>
      </c>
      <c r="AA8" t="str">
        <f>IF(EmployeeData[[#This Row],[MonthlyIncome]]&lt;30000,"Low",IF(EmployeeData[[#This Row],[MonthlyIncome]]&lt;=60000,"Medium",IF(EmployeeData[[#This Row],[MonthlyIncome]]&lt;=100000,"High","Very High")))</f>
        <v>High</v>
      </c>
      <c r="AB8">
        <f>IF(EmployeeData[[#This Row],[Attrition]]="Yes",1,0)</f>
        <v>0</v>
      </c>
      <c r="AC8" t="str">
        <f ca="1">IF(EmployeeData[[#This Row],[Tenure Years]]&lt;1,"Less than 1 Year",IF(EmployeeData[[#This Row],[Tenure Years]]&lt;=3,"1-3 Years",IF(EmployeeData[[#This Row],[Tenure Years]]&lt;=5,"4-5 Years",IF(EmployeeData[[#This Row],[Tenure Years]]&lt;=10,"6-10 Years","More than 10 Years"))))</f>
        <v>4-5 Years</v>
      </c>
      <c r="AD8">
        <f>ROUND(AVERAGE(EmployeeData[[#This Row],[JobSatisfaction]],EmployeeData[[#This Row],[EnvironmentSatisfaction]],EmployeeData[[#This Row],[WorkLifeBalance]]),2)</f>
        <v>3</v>
      </c>
      <c r="AE8" t="str">
        <f>IF(EmployeeData[[#This Row],[Satisfaction Score]]&lt;2,"Low",IF(EmployeeData[[#This Row],[Satisfaction Score]]&lt;3,"Medium","High"))</f>
        <v>High</v>
      </c>
    </row>
    <row r="9" spans="1:31" x14ac:dyDescent="0.25">
      <c r="A9" t="s">
        <v>85</v>
      </c>
      <c r="B9" t="s">
        <v>86</v>
      </c>
      <c r="C9" t="s">
        <v>49</v>
      </c>
      <c r="D9">
        <v>27</v>
      </c>
      <c r="E9" t="s">
        <v>5461</v>
      </c>
      <c r="F9" t="s">
        <v>89</v>
      </c>
      <c r="G9" s="1">
        <v>45624</v>
      </c>
      <c r="H9">
        <v>52459</v>
      </c>
      <c r="I9" t="s">
        <v>30</v>
      </c>
      <c r="J9" t="s">
        <v>61</v>
      </c>
      <c r="K9" t="s">
        <v>32</v>
      </c>
      <c r="L9" t="s">
        <v>62</v>
      </c>
      <c r="M9">
        <v>1</v>
      </c>
      <c r="N9" t="s">
        <v>34</v>
      </c>
      <c r="O9">
        <v>3</v>
      </c>
      <c r="P9">
        <v>4</v>
      </c>
      <c r="Q9">
        <v>2</v>
      </c>
      <c r="R9">
        <v>3</v>
      </c>
      <c r="S9">
        <v>4</v>
      </c>
      <c r="T9">
        <v>0</v>
      </c>
      <c r="U9">
        <v>18</v>
      </c>
      <c r="V9" t="s">
        <v>91</v>
      </c>
      <c r="W9" t="s">
        <v>34</v>
      </c>
      <c r="Y9" s="2" t="str">
        <f>IF(EmployeeData[[#This Row],[Age]]&lt;25,"Under 25",IF(EmployeeData[[#This Row],[Age]]&lt;=34,"25-34",IF(EmployeeData[[#This Row],[Age]]&lt;=44,"35-44",IF(EmployeeData[[#This Row],[Age]]&lt;=54,"45-54","55+"))))</f>
        <v>25-34</v>
      </c>
      <c r="Z9">
        <f ca="1">DATEDIF(EmployeeData[[#This Row],[DateOfJoining]],IF(AND(EmployeeData[[#This Row],[Attrition]]="Yes",EmployeeData[[#This Row],[LastWorkingDate]]&lt;&gt;""),EmployeeData[[#This Row],[LastWorkingDate]],TODAY()),"Y")</f>
        <v>1</v>
      </c>
      <c r="AA9" t="str">
        <f>IF(EmployeeData[[#This Row],[MonthlyIncome]]&lt;30000,"Low",IF(EmployeeData[[#This Row],[MonthlyIncome]]&lt;=60000,"Medium",IF(EmployeeData[[#This Row],[MonthlyIncome]]&lt;=100000,"High","Very High")))</f>
        <v>Medium</v>
      </c>
      <c r="AB9">
        <f>IF(EmployeeData[[#This Row],[Attrition]]="Yes",1,0)</f>
        <v>0</v>
      </c>
      <c r="AC9" t="str">
        <f ca="1">IF(EmployeeData[[#This Row],[Tenure Years]]&lt;1,"Less than 1 Year",IF(EmployeeData[[#This Row],[Tenure Years]]&lt;=3,"1-3 Years",IF(EmployeeData[[#This Row],[Tenure Years]]&lt;=5,"4-5 Years",IF(EmployeeData[[#This Row],[Tenure Years]]&lt;=10,"6-10 Years","More than 10 Years"))))</f>
        <v>1-3 Years</v>
      </c>
      <c r="AD9">
        <f>ROUND(AVERAGE(EmployeeData[[#This Row],[JobSatisfaction]],EmployeeData[[#This Row],[EnvironmentSatisfaction]],EmployeeData[[#This Row],[WorkLifeBalance]]),2)</f>
        <v>3</v>
      </c>
      <c r="AE9" t="str">
        <f>IF(EmployeeData[[#This Row],[Satisfaction Score]]&lt;2,"Low",IF(EmployeeData[[#This Row],[Satisfaction Score]]&lt;3,"Medium","High"))</f>
        <v>High</v>
      </c>
    </row>
    <row r="10" spans="1:31" x14ac:dyDescent="0.25">
      <c r="A10" t="s">
        <v>92</v>
      </c>
      <c r="B10" t="s">
        <v>93</v>
      </c>
      <c r="C10" t="s">
        <v>58</v>
      </c>
      <c r="D10">
        <v>30</v>
      </c>
      <c r="E10" t="s">
        <v>94</v>
      </c>
      <c r="F10" t="s">
        <v>266</v>
      </c>
      <c r="G10" s="1">
        <v>44021</v>
      </c>
      <c r="H10">
        <v>62654</v>
      </c>
      <c r="I10" t="s">
        <v>52</v>
      </c>
      <c r="J10" t="s">
        <v>97</v>
      </c>
      <c r="K10" t="s">
        <v>98</v>
      </c>
      <c r="L10" t="s">
        <v>43</v>
      </c>
      <c r="M10">
        <v>44</v>
      </c>
      <c r="N10" t="s">
        <v>34</v>
      </c>
      <c r="O10">
        <v>3</v>
      </c>
      <c r="P10">
        <v>1</v>
      </c>
      <c r="Q10">
        <v>1</v>
      </c>
      <c r="R10">
        <v>3</v>
      </c>
      <c r="S10">
        <v>3</v>
      </c>
      <c r="T10">
        <v>1</v>
      </c>
      <c r="U10">
        <v>21</v>
      </c>
      <c r="V10" t="s">
        <v>99</v>
      </c>
      <c r="W10" t="s">
        <v>34</v>
      </c>
      <c r="Y10" s="2" t="str">
        <f>IF(EmployeeData[[#This Row],[Age]]&lt;25,"Under 25",IF(EmployeeData[[#This Row],[Age]]&lt;=34,"25-34",IF(EmployeeData[[#This Row],[Age]]&lt;=44,"35-44",IF(EmployeeData[[#This Row],[Age]]&lt;=54,"45-54","55+"))))</f>
        <v>25-34</v>
      </c>
      <c r="Z10">
        <f ca="1">DATEDIF(EmployeeData[[#This Row],[DateOfJoining]],IF(AND(EmployeeData[[#This Row],[Attrition]]="Yes",EmployeeData[[#This Row],[LastWorkingDate]]&lt;&gt;""),EmployeeData[[#This Row],[LastWorkingDate]],TODAY()),"Y")</f>
        <v>6</v>
      </c>
      <c r="AA10" t="str">
        <f>IF(EmployeeData[[#This Row],[MonthlyIncome]]&lt;30000,"Low",IF(EmployeeData[[#This Row],[MonthlyIncome]]&lt;=60000,"Medium",IF(EmployeeData[[#This Row],[MonthlyIncome]]&lt;=100000,"High","Very High")))</f>
        <v>High</v>
      </c>
      <c r="AB10">
        <f>IF(EmployeeData[[#This Row],[Attrition]]="Yes",1,0)</f>
        <v>0</v>
      </c>
      <c r="AC10" t="str">
        <f ca="1">IF(EmployeeData[[#This Row],[Tenure Years]]&lt;1,"Less than 1 Year",IF(EmployeeData[[#This Row],[Tenure Years]]&lt;=3,"1-3 Years",IF(EmployeeData[[#This Row],[Tenure Years]]&lt;=5,"4-5 Years",IF(EmployeeData[[#This Row],[Tenure Years]]&lt;=10,"6-10 Years","More than 10 Years"))))</f>
        <v>6-10 Years</v>
      </c>
      <c r="AD10">
        <f>ROUND(AVERAGE(EmployeeData[[#This Row],[JobSatisfaction]],EmployeeData[[#This Row],[EnvironmentSatisfaction]],EmployeeData[[#This Row],[WorkLifeBalance]]),2)</f>
        <v>1.67</v>
      </c>
      <c r="AE10" t="str">
        <f>IF(EmployeeData[[#This Row],[Satisfaction Score]]&lt;2,"Low",IF(EmployeeData[[#This Row],[Satisfaction Score]]&lt;3,"Medium","High"))</f>
        <v>Low</v>
      </c>
    </row>
    <row r="11" spans="1:31" x14ac:dyDescent="0.25">
      <c r="A11" t="s">
        <v>100</v>
      </c>
      <c r="B11" t="s">
        <v>101</v>
      </c>
      <c r="C11" t="s">
        <v>58</v>
      </c>
      <c r="D11">
        <v>39</v>
      </c>
      <c r="E11" t="s">
        <v>128</v>
      </c>
      <c r="F11" t="s">
        <v>255</v>
      </c>
      <c r="G11" s="1">
        <v>44482</v>
      </c>
      <c r="H11">
        <v>41735</v>
      </c>
      <c r="I11" t="s">
        <v>42</v>
      </c>
      <c r="J11" t="s">
        <v>5459</v>
      </c>
      <c r="K11" t="s">
        <v>106</v>
      </c>
      <c r="L11" t="s">
        <v>43</v>
      </c>
      <c r="M11">
        <v>2</v>
      </c>
      <c r="N11" t="s">
        <v>34</v>
      </c>
      <c r="O11">
        <v>2</v>
      </c>
      <c r="P11">
        <v>2</v>
      </c>
      <c r="Q11">
        <v>3</v>
      </c>
      <c r="R11">
        <v>4</v>
      </c>
      <c r="S11">
        <v>6</v>
      </c>
      <c r="T11">
        <v>6</v>
      </c>
      <c r="U11">
        <v>20</v>
      </c>
      <c r="V11" t="s">
        <v>107</v>
      </c>
      <c r="W11" t="s">
        <v>34</v>
      </c>
      <c r="Y11" s="2" t="str">
        <f>IF(EmployeeData[[#This Row],[Age]]&lt;25,"Under 25",IF(EmployeeData[[#This Row],[Age]]&lt;=34,"25-34",IF(EmployeeData[[#This Row],[Age]]&lt;=44,"35-44",IF(EmployeeData[[#This Row],[Age]]&lt;=54,"45-54","55+"))))</f>
        <v>35-44</v>
      </c>
      <c r="Z11">
        <f ca="1">DATEDIF(EmployeeData[[#This Row],[DateOfJoining]],IF(AND(EmployeeData[[#This Row],[Attrition]]="Yes",EmployeeData[[#This Row],[LastWorkingDate]]&lt;&gt;""),EmployeeData[[#This Row],[LastWorkingDate]],TODAY()),"Y")</f>
        <v>4</v>
      </c>
      <c r="AA11" t="str">
        <f>IF(EmployeeData[[#This Row],[MonthlyIncome]]&lt;30000,"Low",IF(EmployeeData[[#This Row],[MonthlyIncome]]&lt;=60000,"Medium",IF(EmployeeData[[#This Row],[MonthlyIncome]]&lt;=100000,"High","Very High")))</f>
        <v>Medium</v>
      </c>
      <c r="AB11">
        <f>IF(EmployeeData[[#This Row],[Attrition]]="Yes",1,0)</f>
        <v>0</v>
      </c>
      <c r="AC11" t="str">
        <f ca="1">IF(EmployeeData[[#This Row],[Tenure Years]]&lt;1,"Less than 1 Year",IF(EmployeeData[[#This Row],[Tenure Years]]&lt;=3,"1-3 Years",IF(EmployeeData[[#This Row],[Tenure Years]]&lt;=5,"4-5 Years",IF(EmployeeData[[#This Row],[Tenure Years]]&lt;=10,"6-10 Years","More than 10 Years"))))</f>
        <v>4-5 Years</v>
      </c>
      <c r="AD11">
        <f>ROUND(AVERAGE(EmployeeData[[#This Row],[JobSatisfaction]],EmployeeData[[#This Row],[EnvironmentSatisfaction]],EmployeeData[[#This Row],[WorkLifeBalance]]),2)</f>
        <v>2.33</v>
      </c>
      <c r="AE11" t="str">
        <f>IF(EmployeeData[[#This Row],[Satisfaction Score]]&lt;2,"Low",IF(EmployeeData[[#This Row],[Satisfaction Score]]&lt;3,"Medium","High"))</f>
        <v>Medium</v>
      </c>
    </row>
    <row r="12" spans="1:31" x14ac:dyDescent="0.25">
      <c r="A12" t="s">
        <v>108</v>
      </c>
      <c r="B12" t="s">
        <v>109</v>
      </c>
      <c r="C12" t="s">
        <v>49</v>
      </c>
      <c r="D12">
        <v>28</v>
      </c>
      <c r="E12" t="s">
        <v>27</v>
      </c>
      <c r="F12" t="s">
        <v>50</v>
      </c>
      <c r="G12" s="1">
        <v>44882</v>
      </c>
      <c r="H12">
        <v>60333</v>
      </c>
      <c r="I12" t="s">
        <v>30</v>
      </c>
      <c r="J12" t="s">
        <v>61</v>
      </c>
      <c r="K12" t="s">
        <v>113</v>
      </c>
      <c r="L12" t="s">
        <v>33</v>
      </c>
      <c r="M12">
        <v>4</v>
      </c>
      <c r="N12" t="s">
        <v>34</v>
      </c>
      <c r="O12">
        <v>2</v>
      </c>
      <c r="P12">
        <v>4</v>
      </c>
      <c r="Q12">
        <v>2</v>
      </c>
      <c r="R12">
        <v>3</v>
      </c>
      <c r="S12">
        <v>0</v>
      </c>
      <c r="T12">
        <v>8</v>
      </c>
      <c r="U12">
        <v>21</v>
      </c>
      <c r="V12" t="s">
        <v>114</v>
      </c>
      <c r="W12" t="s">
        <v>34</v>
      </c>
      <c r="Y12" s="2" t="str">
        <f>IF(EmployeeData[[#This Row],[Age]]&lt;25,"Under 25",IF(EmployeeData[[#This Row],[Age]]&lt;=34,"25-34",IF(EmployeeData[[#This Row],[Age]]&lt;=44,"35-44",IF(EmployeeData[[#This Row],[Age]]&lt;=54,"45-54","55+"))))</f>
        <v>25-34</v>
      </c>
      <c r="Z12">
        <f ca="1">DATEDIF(EmployeeData[[#This Row],[DateOfJoining]],IF(AND(EmployeeData[[#This Row],[Attrition]]="Yes",EmployeeData[[#This Row],[LastWorkingDate]]&lt;&gt;""),EmployeeData[[#This Row],[LastWorkingDate]],TODAY()),"Y")</f>
        <v>3</v>
      </c>
      <c r="AA12" t="str">
        <f>IF(EmployeeData[[#This Row],[MonthlyIncome]]&lt;30000,"Low",IF(EmployeeData[[#This Row],[MonthlyIncome]]&lt;=60000,"Medium",IF(EmployeeData[[#This Row],[MonthlyIncome]]&lt;=100000,"High","Very High")))</f>
        <v>High</v>
      </c>
      <c r="AB12">
        <f>IF(EmployeeData[[#This Row],[Attrition]]="Yes",1,0)</f>
        <v>0</v>
      </c>
      <c r="AC12" t="str">
        <f ca="1">IF(EmployeeData[[#This Row],[Tenure Years]]&lt;1,"Less than 1 Year",IF(EmployeeData[[#This Row],[Tenure Years]]&lt;=3,"1-3 Years",IF(EmployeeData[[#This Row],[Tenure Years]]&lt;=5,"4-5 Years",IF(EmployeeData[[#This Row],[Tenure Years]]&lt;=10,"6-10 Years","More than 10 Years"))))</f>
        <v>1-3 Years</v>
      </c>
      <c r="AD12">
        <f>ROUND(AVERAGE(EmployeeData[[#This Row],[JobSatisfaction]],EmployeeData[[#This Row],[EnvironmentSatisfaction]],EmployeeData[[#This Row],[WorkLifeBalance]]),2)</f>
        <v>2.67</v>
      </c>
      <c r="AE12" t="str">
        <f>IF(EmployeeData[[#This Row],[Satisfaction Score]]&lt;2,"Low",IF(EmployeeData[[#This Row],[Satisfaction Score]]&lt;3,"Medium","High"))</f>
        <v>Medium</v>
      </c>
    </row>
    <row r="13" spans="1:31" x14ac:dyDescent="0.25">
      <c r="A13" t="s">
        <v>115</v>
      </c>
      <c r="B13" t="s">
        <v>116</v>
      </c>
      <c r="C13" t="s">
        <v>58</v>
      </c>
      <c r="D13">
        <v>31</v>
      </c>
      <c r="E13" t="s">
        <v>27</v>
      </c>
      <c r="F13" t="s">
        <v>50</v>
      </c>
      <c r="G13" s="1">
        <v>41439</v>
      </c>
      <c r="H13">
        <v>111457</v>
      </c>
      <c r="I13" t="s">
        <v>42</v>
      </c>
      <c r="J13" t="s">
        <v>53</v>
      </c>
      <c r="K13" t="s">
        <v>77</v>
      </c>
      <c r="L13" t="s">
        <v>33</v>
      </c>
      <c r="M13">
        <v>34</v>
      </c>
      <c r="N13" t="s">
        <v>45</v>
      </c>
      <c r="O13">
        <v>1</v>
      </c>
      <c r="P13">
        <v>2</v>
      </c>
      <c r="Q13">
        <v>1</v>
      </c>
      <c r="R13">
        <v>3</v>
      </c>
      <c r="S13">
        <v>0</v>
      </c>
      <c r="T13">
        <v>4</v>
      </c>
      <c r="U13">
        <v>11</v>
      </c>
      <c r="V13" t="s">
        <v>118</v>
      </c>
      <c r="W13" t="s">
        <v>45</v>
      </c>
      <c r="X13" s="1">
        <v>45572</v>
      </c>
      <c r="Y13" s="2" t="str">
        <f>IF(EmployeeData[[#This Row],[Age]]&lt;25,"Under 25",IF(EmployeeData[[#This Row],[Age]]&lt;=34,"25-34",IF(EmployeeData[[#This Row],[Age]]&lt;=44,"35-44",IF(EmployeeData[[#This Row],[Age]]&lt;=54,"45-54","55+"))))</f>
        <v>25-34</v>
      </c>
      <c r="Z13">
        <f ca="1">DATEDIF(EmployeeData[[#This Row],[DateOfJoining]],IF(AND(EmployeeData[[#This Row],[Attrition]]="Yes",EmployeeData[[#This Row],[LastWorkingDate]]&lt;&gt;""),EmployeeData[[#This Row],[LastWorkingDate]],TODAY()),"Y")</f>
        <v>11</v>
      </c>
      <c r="AA13" t="str">
        <f>IF(EmployeeData[[#This Row],[MonthlyIncome]]&lt;30000,"Low",IF(EmployeeData[[#This Row],[MonthlyIncome]]&lt;=60000,"Medium",IF(EmployeeData[[#This Row],[MonthlyIncome]]&lt;=100000,"High","Very High")))</f>
        <v>Very High</v>
      </c>
      <c r="AB13">
        <f>IF(EmployeeData[[#This Row],[Attrition]]="Yes",1,0)</f>
        <v>1</v>
      </c>
      <c r="AC13" t="str">
        <f ca="1">IF(EmployeeData[[#This Row],[Tenure Years]]&lt;1,"Less than 1 Year",IF(EmployeeData[[#This Row],[Tenure Years]]&lt;=3,"1-3 Years",IF(EmployeeData[[#This Row],[Tenure Years]]&lt;=5,"4-5 Years",IF(EmployeeData[[#This Row],[Tenure Years]]&lt;=10,"6-10 Years","More than 10 Years"))))</f>
        <v>More than 10 Years</v>
      </c>
      <c r="AD13">
        <f>ROUND(AVERAGE(EmployeeData[[#This Row],[JobSatisfaction]],EmployeeData[[#This Row],[EnvironmentSatisfaction]],EmployeeData[[#This Row],[WorkLifeBalance]]),2)</f>
        <v>1.33</v>
      </c>
      <c r="AE13" t="str">
        <f>IF(EmployeeData[[#This Row],[Satisfaction Score]]&lt;2,"Low",IF(EmployeeData[[#This Row],[Satisfaction Score]]&lt;3,"Medium","High"))</f>
        <v>Low</v>
      </c>
    </row>
    <row r="14" spans="1:31" x14ac:dyDescent="0.25">
      <c r="A14" t="s">
        <v>120</v>
      </c>
      <c r="B14" t="s">
        <v>121</v>
      </c>
      <c r="C14" t="s">
        <v>58</v>
      </c>
      <c r="D14">
        <v>40</v>
      </c>
      <c r="E14" t="s">
        <v>128</v>
      </c>
      <c r="F14" t="s">
        <v>123</v>
      </c>
      <c r="G14" s="1">
        <v>44635</v>
      </c>
      <c r="H14">
        <v>57034</v>
      </c>
      <c r="I14" t="s">
        <v>30</v>
      </c>
      <c r="J14" t="s">
        <v>61</v>
      </c>
      <c r="K14" t="s">
        <v>54</v>
      </c>
      <c r="L14" t="s">
        <v>43</v>
      </c>
      <c r="M14">
        <v>22</v>
      </c>
      <c r="N14" t="s">
        <v>34</v>
      </c>
      <c r="O14">
        <v>3</v>
      </c>
      <c r="P14">
        <v>1</v>
      </c>
      <c r="Q14">
        <v>4</v>
      </c>
      <c r="R14">
        <v>2</v>
      </c>
      <c r="S14">
        <v>1</v>
      </c>
      <c r="T14">
        <v>8</v>
      </c>
      <c r="U14">
        <v>22</v>
      </c>
      <c r="V14" t="s">
        <v>125</v>
      </c>
      <c r="W14" t="s">
        <v>34</v>
      </c>
      <c r="Y14" s="2" t="str">
        <f>IF(EmployeeData[[#This Row],[Age]]&lt;25,"Under 25",IF(EmployeeData[[#This Row],[Age]]&lt;=34,"25-34",IF(EmployeeData[[#This Row],[Age]]&lt;=44,"35-44",IF(EmployeeData[[#This Row],[Age]]&lt;=54,"45-54","55+"))))</f>
        <v>35-44</v>
      </c>
      <c r="Z14">
        <f ca="1">DATEDIF(EmployeeData[[#This Row],[DateOfJoining]],IF(AND(EmployeeData[[#This Row],[Attrition]]="Yes",EmployeeData[[#This Row],[LastWorkingDate]]&lt;&gt;""),EmployeeData[[#This Row],[LastWorkingDate]],TODAY()),"Y")</f>
        <v>4</v>
      </c>
      <c r="AA14" t="str">
        <f>IF(EmployeeData[[#This Row],[MonthlyIncome]]&lt;30000,"Low",IF(EmployeeData[[#This Row],[MonthlyIncome]]&lt;=60000,"Medium",IF(EmployeeData[[#This Row],[MonthlyIncome]]&lt;=100000,"High","Very High")))</f>
        <v>Medium</v>
      </c>
      <c r="AB14">
        <f>IF(EmployeeData[[#This Row],[Attrition]]="Yes",1,0)</f>
        <v>0</v>
      </c>
      <c r="AC14" t="str">
        <f ca="1">IF(EmployeeData[[#This Row],[Tenure Years]]&lt;1,"Less than 1 Year",IF(EmployeeData[[#This Row],[Tenure Years]]&lt;=3,"1-3 Years",IF(EmployeeData[[#This Row],[Tenure Years]]&lt;=5,"4-5 Years",IF(EmployeeData[[#This Row],[Tenure Years]]&lt;=10,"6-10 Years","More than 10 Years"))))</f>
        <v>4-5 Years</v>
      </c>
      <c r="AD14">
        <f>ROUND(AVERAGE(EmployeeData[[#This Row],[JobSatisfaction]],EmployeeData[[#This Row],[EnvironmentSatisfaction]],EmployeeData[[#This Row],[WorkLifeBalance]]),2)</f>
        <v>2.67</v>
      </c>
      <c r="AE14" t="str">
        <f>IF(EmployeeData[[#This Row],[Satisfaction Score]]&lt;2,"Low",IF(EmployeeData[[#This Row],[Satisfaction Score]]&lt;3,"Medium","High"))</f>
        <v>Medium</v>
      </c>
    </row>
    <row r="15" spans="1:31" x14ac:dyDescent="0.25">
      <c r="A15" t="s">
        <v>126</v>
      </c>
      <c r="B15" t="s">
        <v>127</v>
      </c>
      <c r="C15" t="s">
        <v>49</v>
      </c>
      <c r="D15">
        <v>39</v>
      </c>
      <c r="E15" t="s">
        <v>128</v>
      </c>
      <c r="F15" t="s">
        <v>271</v>
      </c>
      <c r="G15" s="1">
        <v>45833</v>
      </c>
      <c r="H15">
        <v>75286</v>
      </c>
      <c r="I15" t="s">
        <v>52</v>
      </c>
      <c r="J15" t="s">
        <v>97</v>
      </c>
      <c r="K15" t="s">
        <v>131</v>
      </c>
      <c r="L15" t="s">
        <v>62</v>
      </c>
      <c r="M15">
        <v>39</v>
      </c>
      <c r="N15" t="s">
        <v>34</v>
      </c>
      <c r="O15">
        <v>2</v>
      </c>
      <c r="P15">
        <v>4</v>
      </c>
      <c r="Q15">
        <v>3</v>
      </c>
      <c r="R15">
        <v>4</v>
      </c>
      <c r="S15">
        <v>2</v>
      </c>
      <c r="T15">
        <v>4</v>
      </c>
      <c r="U15">
        <v>19</v>
      </c>
      <c r="V15" t="s">
        <v>132</v>
      </c>
      <c r="W15" t="s">
        <v>45</v>
      </c>
      <c r="X15" s="1">
        <v>45842</v>
      </c>
      <c r="Y15" s="2" t="str">
        <f>IF(EmployeeData[[#This Row],[Age]]&lt;25,"Under 25",IF(EmployeeData[[#This Row],[Age]]&lt;=34,"25-34",IF(EmployeeData[[#This Row],[Age]]&lt;=44,"35-44",IF(EmployeeData[[#This Row],[Age]]&lt;=54,"45-54","55+"))))</f>
        <v>35-44</v>
      </c>
      <c r="Z15">
        <f ca="1">DATEDIF(EmployeeData[[#This Row],[DateOfJoining]],IF(AND(EmployeeData[[#This Row],[Attrition]]="Yes",EmployeeData[[#This Row],[LastWorkingDate]]&lt;&gt;""),EmployeeData[[#This Row],[LastWorkingDate]],TODAY()),"Y")</f>
        <v>0</v>
      </c>
      <c r="AA15" t="str">
        <f>IF(EmployeeData[[#This Row],[MonthlyIncome]]&lt;30000,"Low",IF(EmployeeData[[#This Row],[MonthlyIncome]]&lt;=60000,"Medium",IF(EmployeeData[[#This Row],[MonthlyIncome]]&lt;=100000,"High","Very High")))</f>
        <v>High</v>
      </c>
      <c r="AB15">
        <f>IF(EmployeeData[[#This Row],[Attrition]]="Yes",1,0)</f>
        <v>1</v>
      </c>
      <c r="AC15" t="str">
        <f ca="1">IF(EmployeeData[[#This Row],[Tenure Years]]&lt;1,"Less than 1 Year",IF(EmployeeData[[#This Row],[Tenure Years]]&lt;=3,"1-3 Years",IF(EmployeeData[[#This Row],[Tenure Years]]&lt;=5,"4-5 Years",IF(EmployeeData[[#This Row],[Tenure Years]]&lt;=10,"6-10 Years","More than 10 Years"))))</f>
        <v>Less than 1 Year</v>
      </c>
      <c r="AD15">
        <f>ROUND(AVERAGE(EmployeeData[[#This Row],[JobSatisfaction]],EmployeeData[[#This Row],[EnvironmentSatisfaction]],EmployeeData[[#This Row],[WorkLifeBalance]]),2)</f>
        <v>3</v>
      </c>
      <c r="AE15" t="str">
        <f>IF(EmployeeData[[#This Row],[Satisfaction Score]]&lt;2,"Low",IF(EmployeeData[[#This Row],[Satisfaction Score]]&lt;3,"Medium","High"))</f>
        <v>High</v>
      </c>
    </row>
    <row r="16" spans="1:31" x14ac:dyDescent="0.25">
      <c r="A16" t="s">
        <v>134</v>
      </c>
      <c r="B16" t="s">
        <v>135</v>
      </c>
      <c r="C16" t="s">
        <v>49</v>
      </c>
      <c r="D16">
        <v>37</v>
      </c>
      <c r="E16" t="s">
        <v>38</v>
      </c>
      <c r="F16" t="s">
        <v>5462</v>
      </c>
      <c r="G16" s="1">
        <v>44933</v>
      </c>
      <c r="H16">
        <v>65329</v>
      </c>
      <c r="I16" t="s">
        <v>42</v>
      </c>
      <c r="J16" t="s">
        <v>61</v>
      </c>
      <c r="K16" t="s">
        <v>83</v>
      </c>
      <c r="L16" t="s">
        <v>62</v>
      </c>
      <c r="M16">
        <v>37</v>
      </c>
      <c r="N16" t="s">
        <v>34</v>
      </c>
      <c r="O16">
        <v>4</v>
      </c>
      <c r="P16">
        <v>2</v>
      </c>
      <c r="Q16">
        <v>4</v>
      </c>
      <c r="R16">
        <v>4</v>
      </c>
      <c r="S16">
        <v>0</v>
      </c>
      <c r="T16">
        <v>7</v>
      </c>
      <c r="U16">
        <v>16</v>
      </c>
      <c r="V16" t="s">
        <v>138</v>
      </c>
      <c r="W16" t="s">
        <v>34</v>
      </c>
      <c r="Y16" s="2" t="str">
        <f>IF(EmployeeData[[#This Row],[Age]]&lt;25,"Under 25",IF(EmployeeData[[#This Row],[Age]]&lt;=34,"25-34",IF(EmployeeData[[#This Row],[Age]]&lt;=44,"35-44",IF(EmployeeData[[#This Row],[Age]]&lt;=54,"45-54","55+"))))</f>
        <v>35-44</v>
      </c>
      <c r="Z16">
        <f ca="1">DATEDIF(EmployeeData[[#This Row],[DateOfJoining]],IF(AND(EmployeeData[[#This Row],[Attrition]]="Yes",EmployeeData[[#This Row],[LastWorkingDate]]&lt;&gt;""),EmployeeData[[#This Row],[LastWorkingDate]],TODAY()),"Y")</f>
        <v>3</v>
      </c>
      <c r="AA16" t="str">
        <f>IF(EmployeeData[[#This Row],[MonthlyIncome]]&lt;30000,"Low",IF(EmployeeData[[#This Row],[MonthlyIncome]]&lt;=60000,"Medium",IF(EmployeeData[[#This Row],[MonthlyIncome]]&lt;=100000,"High","Very High")))</f>
        <v>High</v>
      </c>
      <c r="AB16">
        <f>IF(EmployeeData[[#This Row],[Attrition]]="Yes",1,0)</f>
        <v>0</v>
      </c>
      <c r="AC16" t="str">
        <f ca="1">IF(EmployeeData[[#This Row],[Tenure Years]]&lt;1,"Less than 1 Year",IF(EmployeeData[[#This Row],[Tenure Years]]&lt;=3,"1-3 Years",IF(EmployeeData[[#This Row],[Tenure Years]]&lt;=5,"4-5 Years",IF(EmployeeData[[#This Row],[Tenure Years]]&lt;=10,"6-10 Years","More than 10 Years"))))</f>
        <v>1-3 Years</v>
      </c>
      <c r="AD16">
        <f>ROUND(AVERAGE(EmployeeData[[#This Row],[JobSatisfaction]],EmployeeData[[#This Row],[EnvironmentSatisfaction]],EmployeeData[[#This Row],[WorkLifeBalance]]),2)</f>
        <v>3.33</v>
      </c>
      <c r="AE16" t="str">
        <f>IF(EmployeeData[[#This Row],[Satisfaction Score]]&lt;2,"Low",IF(EmployeeData[[#This Row],[Satisfaction Score]]&lt;3,"Medium","High"))</f>
        <v>High</v>
      </c>
    </row>
    <row r="17" spans="1:31" x14ac:dyDescent="0.25">
      <c r="A17" t="s">
        <v>139</v>
      </c>
      <c r="B17" t="s">
        <v>140</v>
      </c>
      <c r="C17" t="s">
        <v>58</v>
      </c>
      <c r="D17">
        <v>26</v>
      </c>
      <c r="E17" t="s">
        <v>5461</v>
      </c>
      <c r="F17" t="s">
        <v>5463</v>
      </c>
      <c r="G17" s="1">
        <v>42007</v>
      </c>
      <c r="H17">
        <v>96042</v>
      </c>
      <c r="I17" t="s">
        <v>42</v>
      </c>
      <c r="J17" t="s">
        <v>143</v>
      </c>
      <c r="K17" t="s">
        <v>113</v>
      </c>
      <c r="L17" t="s">
        <v>62</v>
      </c>
      <c r="M17">
        <v>16</v>
      </c>
      <c r="N17" t="s">
        <v>45</v>
      </c>
      <c r="O17">
        <v>4</v>
      </c>
      <c r="P17">
        <v>1</v>
      </c>
      <c r="Q17">
        <v>3</v>
      </c>
      <c r="R17">
        <v>3</v>
      </c>
      <c r="S17">
        <v>2</v>
      </c>
      <c r="T17">
        <v>5</v>
      </c>
      <c r="U17">
        <v>21</v>
      </c>
      <c r="V17" t="s">
        <v>144</v>
      </c>
      <c r="W17" t="s">
        <v>34</v>
      </c>
      <c r="Y17" s="2" t="str">
        <f>IF(EmployeeData[[#This Row],[Age]]&lt;25,"Under 25",IF(EmployeeData[[#This Row],[Age]]&lt;=34,"25-34",IF(EmployeeData[[#This Row],[Age]]&lt;=44,"35-44",IF(EmployeeData[[#This Row],[Age]]&lt;=54,"45-54","55+"))))</f>
        <v>25-34</v>
      </c>
      <c r="Z17">
        <f ca="1">DATEDIF(EmployeeData[[#This Row],[DateOfJoining]],IF(AND(EmployeeData[[#This Row],[Attrition]]="Yes",EmployeeData[[#This Row],[LastWorkingDate]]&lt;&gt;""),EmployeeData[[#This Row],[LastWorkingDate]],TODAY()),"Y")</f>
        <v>11</v>
      </c>
      <c r="AA17" t="str">
        <f>IF(EmployeeData[[#This Row],[MonthlyIncome]]&lt;30000,"Low",IF(EmployeeData[[#This Row],[MonthlyIncome]]&lt;=60000,"Medium",IF(EmployeeData[[#This Row],[MonthlyIncome]]&lt;=100000,"High","Very High")))</f>
        <v>High</v>
      </c>
      <c r="AB17">
        <f>IF(EmployeeData[[#This Row],[Attrition]]="Yes",1,0)</f>
        <v>0</v>
      </c>
      <c r="AC17" t="str">
        <f ca="1">IF(EmployeeData[[#This Row],[Tenure Years]]&lt;1,"Less than 1 Year",IF(EmployeeData[[#This Row],[Tenure Years]]&lt;=3,"1-3 Years",IF(EmployeeData[[#This Row],[Tenure Years]]&lt;=5,"4-5 Years",IF(EmployeeData[[#This Row],[Tenure Years]]&lt;=10,"6-10 Years","More than 10 Years"))))</f>
        <v>More than 10 Years</v>
      </c>
      <c r="AD17">
        <f>ROUND(AVERAGE(EmployeeData[[#This Row],[JobSatisfaction]],EmployeeData[[#This Row],[EnvironmentSatisfaction]],EmployeeData[[#This Row],[WorkLifeBalance]]),2)</f>
        <v>2.67</v>
      </c>
      <c r="AE17" t="str">
        <f>IF(EmployeeData[[#This Row],[Satisfaction Score]]&lt;2,"Low",IF(EmployeeData[[#This Row],[Satisfaction Score]]&lt;3,"Medium","High"))</f>
        <v>Medium</v>
      </c>
    </row>
    <row r="18" spans="1:31" x14ac:dyDescent="0.25">
      <c r="A18" t="s">
        <v>145</v>
      </c>
      <c r="B18" t="s">
        <v>146</v>
      </c>
      <c r="C18" t="s">
        <v>58</v>
      </c>
      <c r="D18">
        <v>19</v>
      </c>
      <c r="E18" t="s">
        <v>38</v>
      </c>
      <c r="F18" t="s">
        <v>5460</v>
      </c>
      <c r="G18" s="1">
        <v>46206</v>
      </c>
      <c r="H18">
        <v>29667</v>
      </c>
      <c r="I18" t="s">
        <v>30</v>
      </c>
      <c r="J18" t="s">
        <v>31</v>
      </c>
      <c r="K18" t="s">
        <v>54</v>
      </c>
      <c r="L18" t="s">
        <v>62</v>
      </c>
      <c r="M18">
        <v>32</v>
      </c>
      <c r="N18" t="s">
        <v>34</v>
      </c>
      <c r="O18">
        <v>4</v>
      </c>
      <c r="P18">
        <v>1</v>
      </c>
      <c r="Q18">
        <v>2</v>
      </c>
      <c r="R18">
        <v>3</v>
      </c>
      <c r="S18">
        <v>4</v>
      </c>
      <c r="T18">
        <v>8</v>
      </c>
      <c r="U18">
        <v>13</v>
      </c>
      <c r="V18" t="s">
        <v>151</v>
      </c>
      <c r="W18" t="s">
        <v>45</v>
      </c>
      <c r="X18" s="1">
        <v>46245</v>
      </c>
      <c r="Y18" s="2" t="str">
        <f>IF(EmployeeData[[#This Row],[Age]]&lt;25,"Under 25",IF(EmployeeData[[#This Row],[Age]]&lt;=34,"25-34",IF(EmployeeData[[#This Row],[Age]]&lt;=44,"35-44",IF(EmployeeData[[#This Row],[Age]]&lt;=54,"45-54","55+"))))</f>
        <v>Under 25</v>
      </c>
      <c r="Z18">
        <f ca="1">DATEDIF(EmployeeData[[#This Row],[DateOfJoining]],IF(AND(EmployeeData[[#This Row],[Attrition]]="Yes",EmployeeData[[#This Row],[LastWorkingDate]]&lt;&gt;""),EmployeeData[[#This Row],[LastWorkingDate]],TODAY()),"Y")</f>
        <v>0</v>
      </c>
      <c r="AA18" t="str">
        <f>IF(EmployeeData[[#This Row],[MonthlyIncome]]&lt;30000,"Low",IF(EmployeeData[[#This Row],[MonthlyIncome]]&lt;=60000,"Medium",IF(EmployeeData[[#This Row],[MonthlyIncome]]&lt;=100000,"High","Very High")))</f>
        <v>Low</v>
      </c>
      <c r="AB18">
        <f>IF(EmployeeData[[#This Row],[Attrition]]="Yes",1,0)</f>
        <v>1</v>
      </c>
      <c r="AC18" t="str">
        <f ca="1">IF(EmployeeData[[#This Row],[Tenure Years]]&lt;1,"Less than 1 Year",IF(EmployeeData[[#This Row],[Tenure Years]]&lt;=3,"1-3 Years",IF(EmployeeData[[#This Row],[Tenure Years]]&lt;=5,"4-5 Years",IF(EmployeeData[[#This Row],[Tenure Years]]&lt;=10,"6-10 Years","More than 10 Years"))))</f>
        <v>Less than 1 Year</v>
      </c>
      <c r="AD18">
        <f>ROUND(AVERAGE(EmployeeData[[#This Row],[JobSatisfaction]],EmployeeData[[#This Row],[EnvironmentSatisfaction]],EmployeeData[[#This Row],[WorkLifeBalance]]),2)</f>
        <v>2.33</v>
      </c>
      <c r="AE18" t="str">
        <f>IF(EmployeeData[[#This Row],[Satisfaction Score]]&lt;2,"Low",IF(EmployeeData[[#This Row],[Satisfaction Score]]&lt;3,"Medium","High"))</f>
        <v>Medium</v>
      </c>
    </row>
    <row r="19" spans="1:31" x14ac:dyDescent="0.25">
      <c r="A19" t="s">
        <v>153</v>
      </c>
      <c r="B19" t="s">
        <v>154</v>
      </c>
      <c r="C19" t="s">
        <v>58</v>
      </c>
      <c r="D19">
        <v>41</v>
      </c>
      <c r="E19" t="s">
        <v>128</v>
      </c>
      <c r="F19" t="s">
        <v>5459</v>
      </c>
      <c r="G19" s="1">
        <v>44983</v>
      </c>
      <c r="H19">
        <v>86947</v>
      </c>
      <c r="I19" t="s">
        <v>52</v>
      </c>
      <c r="J19" t="s">
        <v>31</v>
      </c>
      <c r="K19" t="s">
        <v>54</v>
      </c>
      <c r="L19" t="s">
        <v>33</v>
      </c>
      <c r="M19">
        <v>2</v>
      </c>
      <c r="N19" t="s">
        <v>45</v>
      </c>
      <c r="O19">
        <v>2</v>
      </c>
      <c r="P19">
        <v>3</v>
      </c>
      <c r="Q19">
        <v>3</v>
      </c>
      <c r="R19">
        <v>3</v>
      </c>
      <c r="S19">
        <v>5</v>
      </c>
      <c r="T19">
        <v>2</v>
      </c>
      <c r="U19">
        <v>14</v>
      </c>
      <c r="V19" t="s">
        <v>5459</v>
      </c>
      <c r="W19" t="s">
        <v>34</v>
      </c>
      <c r="Y19" s="2" t="str">
        <f>IF(EmployeeData[[#This Row],[Age]]&lt;25,"Under 25",IF(EmployeeData[[#This Row],[Age]]&lt;=34,"25-34",IF(EmployeeData[[#This Row],[Age]]&lt;=44,"35-44",IF(EmployeeData[[#This Row],[Age]]&lt;=54,"45-54","55+"))))</f>
        <v>35-44</v>
      </c>
      <c r="Z19">
        <f ca="1">DATEDIF(EmployeeData[[#This Row],[DateOfJoining]],IF(AND(EmployeeData[[#This Row],[Attrition]]="Yes",EmployeeData[[#This Row],[LastWorkingDate]]&lt;&gt;""),EmployeeData[[#This Row],[LastWorkingDate]],TODAY()),"Y")</f>
        <v>3</v>
      </c>
      <c r="AA19" t="str">
        <f>IF(EmployeeData[[#This Row],[MonthlyIncome]]&lt;30000,"Low",IF(EmployeeData[[#This Row],[MonthlyIncome]]&lt;=60000,"Medium",IF(EmployeeData[[#This Row],[MonthlyIncome]]&lt;=100000,"High","Very High")))</f>
        <v>High</v>
      </c>
      <c r="AB19">
        <f>IF(EmployeeData[[#This Row],[Attrition]]="Yes",1,0)</f>
        <v>0</v>
      </c>
      <c r="AC19" t="str">
        <f ca="1">IF(EmployeeData[[#This Row],[Tenure Years]]&lt;1,"Less than 1 Year",IF(EmployeeData[[#This Row],[Tenure Years]]&lt;=3,"1-3 Years",IF(EmployeeData[[#This Row],[Tenure Years]]&lt;=5,"4-5 Years",IF(EmployeeData[[#This Row],[Tenure Years]]&lt;=10,"6-10 Years","More than 10 Years"))))</f>
        <v>1-3 Years</v>
      </c>
      <c r="AD19">
        <f>ROUND(AVERAGE(EmployeeData[[#This Row],[JobSatisfaction]],EmployeeData[[#This Row],[EnvironmentSatisfaction]],EmployeeData[[#This Row],[WorkLifeBalance]]),2)</f>
        <v>2.67</v>
      </c>
      <c r="AE19" t="str">
        <f>IF(EmployeeData[[#This Row],[Satisfaction Score]]&lt;2,"Low",IF(EmployeeData[[#This Row],[Satisfaction Score]]&lt;3,"Medium","High"))</f>
        <v>Medium</v>
      </c>
    </row>
    <row r="20" spans="1:31" x14ac:dyDescent="0.25">
      <c r="A20" t="s">
        <v>156</v>
      </c>
      <c r="B20" t="s">
        <v>157</v>
      </c>
      <c r="C20" t="s">
        <v>58</v>
      </c>
      <c r="D20">
        <v>30</v>
      </c>
      <c r="E20" t="s">
        <v>94</v>
      </c>
      <c r="F20" t="s">
        <v>639</v>
      </c>
      <c r="G20" s="1">
        <v>43991</v>
      </c>
      <c r="H20">
        <v>134761</v>
      </c>
      <c r="I20" t="s">
        <v>42</v>
      </c>
      <c r="J20" t="s">
        <v>97</v>
      </c>
      <c r="K20" t="s">
        <v>113</v>
      </c>
      <c r="L20" t="s">
        <v>33</v>
      </c>
      <c r="M20">
        <v>34</v>
      </c>
      <c r="N20" t="s">
        <v>34</v>
      </c>
      <c r="O20">
        <v>1</v>
      </c>
      <c r="P20">
        <v>2</v>
      </c>
      <c r="Q20">
        <v>4</v>
      </c>
      <c r="R20">
        <v>4</v>
      </c>
      <c r="S20">
        <v>6</v>
      </c>
      <c r="T20">
        <v>3</v>
      </c>
      <c r="U20">
        <v>18</v>
      </c>
      <c r="V20" t="s">
        <v>161</v>
      </c>
      <c r="W20" t="s">
        <v>34</v>
      </c>
      <c r="Y20" s="2" t="str">
        <f>IF(EmployeeData[[#This Row],[Age]]&lt;25,"Under 25",IF(EmployeeData[[#This Row],[Age]]&lt;=34,"25-34",IF(EmployeeData[[#This Row],[Age]]&lt;=44,"35-44",IF(EmployeeData[[#This Row],[Age]]&lt;=54,"45-54","55+"))))</f>
        <v>25-34</v>
      </c>
      <c r="Z20">
        <f ca="1">DATEDIF(EmployeeData[[#This Row],[DateOfJoining]],IF(AND(EmployeeData[[#This Row],[Attrition]]="Yes",EmployeeData[[#This Row],[LastWorkingDate]]&lt;&gt;""),EmployeeData[[#This Row],[LastWorkingDate]],TODAY()),"Y")</f>
        <v>6</v>
      </c>
      <c r="AA20" t="str">
        <f>IF(EmployeeData[[#This Row],[MonthlyIncome]]&lt;30000,"Low",IF(EmployeeData[[#This Row],[MonthlyIncome]]&lt;=60000,"Medium",IF(EmployeeData[[#This Row],[MonthlyIncome]]&lt;=100000,"High","Very High")))</f>
        <v>Very High</v>
      </c>
      <c r="AB20">
        <f>IF(EmployeeData[[#This Row],[Attrition]]="Yes",1,0)</f>
        <v>0</v>
      </c>
      <c r="AC20" t="str">
        <f ca="1">IF(EmployeeData[[#This Row],[Tenure Years]]&lt;1,"Less than 1 Year",IF(EmployeeData[[#This Row],[Tenure Years]]&lt;=3,"1-3 Years",IF(EmployeeData[[#This Row],[Tenure Years]]&lt;=5,"4-5 Years",IF(EmployeeData[[#This Row],[Tenure Years]]&lt;=10,"6-10 Years","More than 10 Years"))))</f>
        <v>6-10 Years</v>
      </c>
      <c r="AD20">
        <f>ROUND(AVERAGE(EmployeeData[[#This Row],[JobSatisfaction]],EmployeeData[[#This Row],[EnvironmentSatisfaction]],EmployeeData[[#This Row],[WorkLifeBalance]]),2)</f>
        <v>2.33</v>
      </c>
      <c r="AE20" t="str">
        <f>IF(EmployeeData[[#This Row],[Satisfaction Score]]&lt;2,"Low",IF(EmployeeData[[#This Row],[Satisfaction Score]]&lt;3,"Medium","High"))</f>
        <v>Medium</v>
      </c>
    </row>
    <row r="21" spans="1:31" x14ac:dyDescent="0.25">
      <c r="A21" t="s">
        <v>162</v>
      </c>
      <c r="B21" t="s">
        <v>163</v>
      </c>
      <c r="C21" t="s">
        <v>58</v>
      </c>
      <c r="D21">
        <v>38</v>
      </c>
      <c r="E21" t="s">
        <v>5461</v>
      </c>
      <c r="F21" t="s">
        <v>5464</v>
      </c>
      <c r="G21" s="1">
        <v>45726</v>
      </c>
      <c r="H21">
        <v>132335</v>
      </c>
      <c r="I21" t="s">
        <v>30</v>
      </c>
      <c r="J21" t="s">
        <v>61</v>
      </c>
      <c r="K21" t="s">
        <v>167</v>
      </c>
      <c r="L21" t="s">
        <v>43</v>
      </c>
      <c r="M21">
        <v>1</v>
      </c>
      <c r="N21" t="s">
        <v>45</v>
      </c>
      <c r="O21">
        <v>3</v>
      </c>
      <c r="P21">
        <v>3</v>
      </c>
      <c r="Q21">
        <v>4</v>
      </c>
      <c r="R21">
        <v>2</v>
      </c>
      <c r="S21">
        <v>6</v>
      </c>
      <c r="T21">
        <v>2</v>
      </c>
      <c r="U21">
        <v>21</v>
      </c>
      <c r="V21" t="s">
        <v>168</v>
      </c>
      <c r="W21" t="s">
        <v>45</v>
      </c>
      <c r="X21" s="1">
        <v>45972</v>
      </c>
      <c r="Y21" s="2" t="str">
        <f>IF(EmployeeData[[#This Row],[Age]]&lt;25,"Under 25",IF(EmployeeData[[#This Row],[Age]]&lt;=34,"25-34",IF(EmployeeData[[#This Row],[Age]]&lt;=44,"35-44",IF(EmployeeData[[#This Row],[Age]]&lt;=54,"45-54","55+"))))</f>
        <v>35-44</v>
      </c>
      <c r="Z21">
        <f ca="1">DATEDIF(EmployeeData[[#This Row],[DateOfJoining]],IF(AND(EmployeeData[[#This Row],[Attrition]]="Yes",EmployeeData[[#This Row],[LastWorkingDate]]&lt;&gt;""),EmployeeData[[#This Row],[LastWorkingDate]],TODAY()),"Y")</f>
        <v>0</v>
      </c>
      <c r="AA21" t="str">
        <f>IF(EmployeeData[[#This Row],[MonthlyIncome]]&lt;30000,"Low",IF(EmployeeData[[#This Row],[MonthlyIncome]]&lt;=60000,"Medium",IF(EmployeeData[[#This Row],[MonthlyIncome]]&lt;=100000,"High","Very High")))</f>
        <v>Very High</v>
      </c>
      <c r="AB21">
        <f>IF(EmployeeData[[#This Row],[Attrition]]="Yes",1,0)</f>
        <v>1</v>
      </c>
      <c r="AC21" t="str">
        <f ca="1">IF(EmployeeData[[#This Row],[Tenure Years]]&lt;1,"Less than 1 Year",IF(EmployeeData[[#This Row],[Tenure Years]]&lt;=3,"1-3 Years",IF(EmployeeData[[#This Row],[Tenure Years]]&lt;=5,"4-5 Years",IF(EmployeeData[[#This Row],[Tenure Years]]&lt;=10,"6-10 Years","More than 10 Years"))))</f>
        <v>Less than 1 Year</v>
      </c>
      <c r="AD21">
        <f>ROUND(AVERAGE(EmployeeData[[#This Row],[JobSatisfaction]],EmployeeData[[#This Row],[EnvironmentSatisfaction]],EmployeeData[[#This Row],[WorkLifeBalance]]),2)</f>
        <v>3.33</v>
      </c>
      <c r="AE21" t="str">
        <f>IF(EmployeeData[[#This Row],[Satisfaction Score]]&lt;2,"Low",IF(EmployeeData[[#This Row],[Satisfaction Score]]&lt;3,"Medium","High"))</f>
        <v>High</v>
      </c>
    </row>
    <row r="22" spans="1:31" x14ac:dyDescent="0.25">
      <c r="A22" t="s">
        <v>170</v>
      </c>
      <c r="B22" t="s">
        <v>171</v>
      </c>
      <c r="C22" t="s">
        <v>49</v>
      </c>
      <c r="D22">
        <v>33</v>
      </c>
      <c r="E22" t="s">
        <v>27</v>
      </c>
      <c r="F22" t="s">
        <v>59</v>
      </c>
      <c r="G22" s="1">
        <v>44886</v>
      </c>
      <c r="H22">
        <v>69167</v>
      </c>
      <c r="I22" t="s">
        <v>42</v>
      </c>
      <c r="J22" t="s">
        <v>61</v>
      </c>
      <c r="K22" t="s">
        <v>167</v>
      </c>
      <c r="L22" t="s">
        <v>33</v>
      </c>
      <c r="M22">
        <v>24</v>
      </c>
      <c r="N22" t="s">
        <v>45</v>
      </c>
      <c r="O22">
        <v>1</v>
      </c>
      <c r="P22">
        <v>4</v>
      </c>
      <c r="Q22">
        <v>1</v>
      </c>
      <c r="R22">
        <v>1</v>
      </c>
      <c r="S22">
        <v>1</v>
      </c>
      <c r="T22">
        <v>7</v>
      </c>
      <c r="U22">
        <v>23</v>
      </c>
      <c r="V22" t="s">
        <v>5459</v>
      </c>
      <c r="W22" t="s">
        <v>45</v>
      </c>
      <c r="X22" s="1">
        <v>45699</v>
      </c>
      <c r="Y22" s="2" t="str">
        <f>IF(EmployeeData[[#This Row],[Age]]&lt;25,"Under 25",IF(EmployeeData[[#This Row],[Age]]&lt;=34,"25-34",IF(EmployeeData[[#This Row],[Age]]&lt;=44,"35-44",IF(EmployeeData[[#This Row],[Age]]&lt;=54,"45-54","55+"))))</f>
        <v>25-34</v>
      </c>
      <c r="Z22">
        <f ca="1">DATEDIF(EmployeeData[[#This Row],[DateOfJoining]],IF(AND(EmployeeData[[#This Row],[Attrition]]="Yes",EmployeeData[[#This Row],[LastWorkingDate]]&lt;&gt;""),EmployeeData[[#This Row],[LastWorkingDate]],TODAY()),"Y")</f>
        <v>2</v>
      </c>
      <c r="AA22" t="str">
        <f>IF(EmployeeData[[#This Row],[MonthlyIncome]]&lt;30000,"Low",IF(EmployeeData[[#This Row],[MonthlyIncome]]&lt;=60000,"Medium",IF(EmployeeData[[#This Row],[MonthlyIncome]]&lt;=100000,"High","Very High")))</f>
        <v>High</v>
      </c>
      <c r="AB22">
        <f>IF(EmployeeData[[#This Row],[Attrition]]="Yes",1,0)</f>
        <v>1</v>
      </c>
      <c r="AC22" t="str">
        <f ca="1">IF(EmployeeData[[#This Row],[Tenure Years]]&lt;1,"Less than 1 Year",IF(EmployeeData[[#This Row],[Tenure Years]]&lt;=3,"1-3 Years",IF(EmployeeData[[#This Row],[Tenure Years]]&lt;=5,"4-5 Years",IF(EmployeeData[[#This Row],[Tenure Years]]&lt;=10,"6-10 Years","More than 10 Years"))))</f>
        <v>1-3 Years</v>
      </c>
      <c r="AD22">
        <f>ROUND(AVERAGE(EmployeeData[[#This Row],[JobSatisfaction]],EmployeeData[[#This Row],[EnvironmentSatisfaction]],EmployeeData[[#This Row],[WorkLifeBalance]]),2)</f>
        <v>2</v>
      </c>
      <c r="AE22" t="str">
        <f>IF(EmployeeData[[#This Row],[Satisfaction Score]]&lt;2,"Low",IF(EmployeeData[[#This Row],[Satisfaction Score]]&lt;3,"Medium","High"))</f>
        <v>Medium</v>
      </c>
    </row>
    <row r="23" spans="1:31" x14ac:dyDescent="0.25">
      <c r="A23" t="s">
        <v>176</v>
      </c>
      <c r="B23" t="s">
        <v>177</v>
      </c>
      <c r="C23" t="s">
        <v>49</v>
      </c>
      <c r="D23">
        <v>19</v>
      </c>
      <c r="E23" t="s">
        <v>94</v>
      </c>
      <c r="F23" t="s">
        <v>266</v>
      </c>
      <c r="G23" s="1">
        <v>44313</v>
      </c>
      <c r="H23">
        <v>87597</v>
      </c>
      <c r="I23" t="s">
        <v>30</v>
      </c>
      <c r="J23" t="s">
        <v>31</v>
      </c>
      <c r="K23" t="s">
        <v>54</v>
      </c>
      <c r="L23" t="s">
        <v>43</v>
      </c>
      <c r="M23">
        <v>4</v>
      </c>
      <c r="N23" t="s">
        <v>34</v>
      </c>
      <c r="O23">
        <v>1</v>
      </c>
      <c r="P23">
        <v>4</v>
      </c>
      <c r="Q23">
        <v>1</v>
      </c>
      <c r="R23">
        <v>5</v>
      </c>
      <c r="S23">
        <v>2</v>
      </c>
      <c r="T23">
        <v>1</v>
      </c>
      <c r="U23">
        <v>17</v>
      </c>
      <c r="V23" t="s">
        <v>180</v>
      </c>
      <c r="W23" t="s">
        <v>45</v>
      </c>
      <c r="X23" s="1">
        <v>44441</v>
      </c>
      <c r="Y23" s="2" t="str">
        <f>IF(EmployeeData[[#This Row],[Age]]&lt;25,"Under 25",IF(EmployeeData[[#This Row],[Age]]&lt;=34,"25-34",IF(EmployeeData[[#This Row],[Age]]&lt;=44,"35-44",IF(EmployeeData[[#This Row],[Age]]&lt;=54,"45-54","55+"))))</f>
        <v>Under 25</v>
      </c>
      <c r="Z23">
        <f ca="1">DATEDIF(EmployeeData[[#This Row],[DateOfJoining]],IF(AND(EmployeeData[[#This Row],[Attrition]]="Yes",EmployeeData[[#This Row],[LastWorkingDate]]&lt;&gt;""),EmployeeData[[#This Row],[LastWorkingDate]],TODAY()),"Y")</f>
        <v>0</v>
      </c>
      <c r="AA23" t="str">
        <f>IF(EmployeeData[[#This Row],[MonthlyIncome]]&lt;30000,"Low",IF(EmployeeData[[#This Row],[MonthlyIncome]]&lt;=60000,"Medium",IF(EmployeeData[[#This Row],[MonthlyIncome]]&lt;=100000,"High","Very High")))</f>
        <v>High</v>
      </c>
      <c r="AB23">
        <f>IF(EmployeeData[[#This Row],[Attrition]]="Yes",1,0)</f>
        <v>1</v>
      </c>
      <c r="AC23" t="str">
        <f ca="1">IF(EmployeeData[[#This Row],[Tenure Years]]&lt;1,"Less than 1 Year",IF(EmployeeData[[#This Row],[Tenure Years]]&lt;=3,"1-3 Years",IF(EmployeeData[[#This Row],[Tenure Years]]&lt;=5,"4-5 Years",IF(EmployeeData[[#This Row],[Tenure Years]]&lt;=10,"6-10 Years","More than 10 Years"))))</f>
        <v>Less than 1 Year</v>
      </c>
      <c r="AD23">
        <f>ROUND(AVERAGE(EmployeeData[[#This Row],[JobSatisfaction]],EmployeeData[[#This Row],[EnvironmentSatisfaction]],EmployeeData[[#This Row],[WorkLifeBalance]]),2)</f>
        <v>2</v>
      </c>
      <c r="AE23" t="str">
        <f>IF(EmployeeData[[#This Row],[Satisfaction Score]]&lt;2,"Low",IF(EmployeeData[[#This Row],[Satisfaction Score]]&lt;3,"Medium","High"))</f>
        <v>Medium</v>
      </c>
    </row>
    <row r="24" spans="1:31" x14ac:dyDescent="0.25">
      <c r="A24" t="s">
        <v>182</v>
      </c>
      <c r="B24" t="s">
        <v>183</v>
      </c>
      <c r="C24" t="s">
        <v>58</v>
      </c>
      <c r="D24">
        <v>32</v>
      </c>
      <c r="E24" t="s">
        <v>27</v>
      </c>
      <c r="F24" t="s">
        <v>50</v>
      </c>
      <c r="G24" s="1">
        <v>42446</v>
      </c>
      <c r="H24">
        <v>83084</v>
      </c>
      <c r="I24" t="s">
        <v>42</v>
      </c>
      <c r="J24" t="s">
        <v>61</v>
      </c>
      <c r="K24" t="s">
        <v>113</v>
      </c>
      <c r="L24" t="s">
        <v>62</v>
      </c>
      <c r="M24">
        <v>23</v>
      </c>
      <c r="N24" t="s">
        <v>34</v>
      </c>
      <c r="O24">
        <v>2</v>
      </c>
      <c r="P24">
        <v>4</v>
      </c>
      <c r="Q24">
        <v>4</v>
      </c>
      <c r="R24">
        <v>3</v>
      </c>
      <c r="S24">
        <v>5</v>
      </c>
      <c r="T24">
        <v>5</v>
      </c>
      <c r="U24">
        <v>22</v>
      </c>
      <c r="V24" t="s">
        <v>185</v>
      </c>
      <c r="W24" t="s">
        <v>34</v>
      </c>
      <c r="Y24" s="2" t="str">
        <f>IF(EmployeeData[[#This Row],[Age]]&lt;25,"Under 25",IF(EmployeeData[[#This Row],[Age]]&lt;=34,"25-34",IF(EmployeeData[[#This Row],[Age]]&lt;=44,"35-44",IF(EmployeeData[[#This Row],[Age]]&lt;=54,"45-54","55+"))))</f>
        <v>25-34</v>
      </c>
      <c r="Z24">
        <f ca="1">DATEDIF(EmployeeData[[#This Row],[DateOfJoining]],IF(AND(EmployeeData[[#This Row],[Attrition]]="Yes",EmployeeData[[#This Row],[LastWorkingDate]]&lt;&gt;""),EmployeeData[[#This Row],[LastWorkingDate]],TODAY()),"Y")</f>
        <v>10</v>
      </c>
      <c r="AA24" t="str">
        <f>IF(EmployeeData[[#This Row],[MonthlyIncome]]&lt;30000,"Low",IF(EmployeeData[[#This Row],[MonthlyIncome]]&lt;=60000,"Medium",IF(EmployeeData[[#This Row],[MonthlyIncome]]&lt;=100000,"High","Very High")))</f>
        <v>High</v>
      </c>
      <c r="AB24">
        <f>IF(EmployeeData[[#This Row],[Attrition]]="Yes",1,0)</f>
        <v>0</v>
      </c>
      <c r="AC24" t="str">
        <f ca="1">IF(EmployeeData[[#This Row],[Tenure Years]]&lt;1,"Less than 1 Year",IF(EmployeeData[[#This Row],[Tenure Years]]&lt;=3,"1-3 Years",IF(EmployeeData[[#This Row],[Tenure Years]]&lt;=5,"4-5 Years",IF(EmployeeData[[#This Row],[Tenure Years]]&lt;=10,"6-10 Years","More than 10 Years"))))</f>
        <v>6-10 Years</v>
      </c>
      <c r="AD24">
        <f>ROUND(AVERAGE(EmployeeData[[#This Row],[JobSatisfaction]],EmployeeData[[#This Row],[EnvironmentSatisfaction]],EmployeeData[[#This Row],[WorkLifeBalance]]),2)</f>
        <v>3.33</v>
      </c>
      <c r="AE24" t="str">
        <f>IF(EmployeeData[[#This Row],[Satisfaction Score]]&lt;2,"Low",IF(EmployeeData[[#This Row],[Satisfaction Score]]&lt;3,"Medium","High"))</f>
        <v>High</v>
      </c>
    </row>
    <row r="25" spans="1:31" x14ac:dyDescent="0.25">
      <c r="A25" t="s">
        <v>186</v>
      </c>
      <c r="B25" t="s">
        <v>187</v>
      </c>
      <c r="C25" t="s">
        <v>49</v>
      </c>
      <c r="D25">
        <v>32</v>
      </c>
      <c r="E25" t="s">
        <v>27</v>
      </c>
      <c r="F25" t="s">
        <v>188</v>
      </c>
      <c r="G25" s="1">
        <v>41601</v>
      </c>
      <c r="H25">
        <v>68416</v>
      </c>
      <c r="I25" t="s">
        <v>52</v>
      </c>
      <c r="J25" t="s">
        <v>61</v>
      </c>
      <c r="K25" t="s">
        <v>113</v>
      </c>
      <c r="L25" t="s">
        <v>62</v>
      </c>
      <c r="M25">
        <v>8</v>
      </c>
      <c r="N25" t="s">
        <v>34</v>
      </c>
      <c r="O25">
        <v>3</v>
      </c>
      <c r="P25">
        <v>4</v>
      </c>
      <c r="Q25">
        <v>1</v>
      </c>
      <c r="R25">
        <v>4</v>
      </c>
      <c r="S25">
        <v>5</v>
      </c>
      <c r="T25">
        <v>1</v>
      </c>
      <c r="U25">
        <v>25</v>
      </c>
      <c r="V25" t="s">
        <v>190</v>
      </c>
      <c r="W25" t="s">
        <v>34</v>
      </c>
      <c r="Y25" s="2" t="str">
        <f>IF(EmployeeData[[#This Row],[Age]]&lt;25,"Under 25",IF(EmployeeData[[#This Row],[Age]]&lt;=34,"25-34",IF(EmployeeData[[#This Row],[Age]]&lt;=44,"35-44",IF(EmployeeData[[#This Row],[Age]]&lt;=54,"45-54","55+"))))</f>
        <v>25-34</v>
      </c>
      <c r="Z25">
        <f ca="1">DATEDIF(EmployeeData[[#This Row],[DateOfJoining]],IF(AND(EmployeeData[[#This Row],[Attrition]]="Yes",EmployeeData[[#This Row],[LastWorkingDate]]&lt;&gt;""),EmployeeData[[#This Row],[LastWorkingDate]],TODAY()),"Y")</f>
        <v>12</v>
      </c>
      <c r="AA25" t="str">
        <f>IF(EmployeeData[[#This Row],[MonthlyIncome]]&lt;30000,"Low",IF(EmployeeData[[#This Row],[MonthlyIncome]]&lt;=60000,"Medium",IF(EmployeeData[[#This Row],[MonthlyIncome]]&lt;=100000,"High","Very High")))</f>
        <v>High</v>
      </c>
      <c r="AB25">
        <f>IF(EmployeeData[[#This Row],[Attrition]]="Yes",1,0)</f>
        <v>0</v>
      </c>
      <c r="AC25" t="str">
        <f ca="1">IF(EmployeeData[[#This Row],[Tenure Years]]&lt;1,"Less than 1 Year",IF(EmployeeData[[#This Row],[Tenure Years]]&lt;=3,"1-3 Years",IF(EmployeeData[[#This Row],[Tenure Years]]&lt;=5,"4-5 Years",IF(EmployeeData[[#This Row],[Tenure Years]]&lt;=10,"6-10 Years","More than 10 Years"))))</f>
        <v>More than 10 Years</v>
      </c>
      <c r="AD25">
        <f>ROUND(AVERAGE(EmployeeData[[#This Row],[JobSatisfaction]],EmployeeData[[#This Row],[EnvironmentSatisfaction]],EmployeeData[[#This Row],[WorkLifeBalance]]),2)</f>
        <v>2.67</v>
      </c>
      <c r="AE25" t="str">
        <f>IF(EmployeeData[[#This Row],[Satisfaction Score]]&lt;2,"Low",IF(EmployeeData[[#This Row],[Satisfaction Score]]&lt;3,"Medium","High"))</f>
        <v>Medium</v>
      </c>
    </row>
    <row r="26" spans="1:31" x14ac:dyDescent="0.25">
      <c r="A26" t="s">
        <v>191</v>
      </c>
      <c r="B26" t="s">
        <v>192</v>
      </c>
      <c r="C26" t="s">
        <v>58</v>
      </c>
      <c r="D26">
        <v>41</v>
      </c>
      <c r="E26" t="s">
        <v>5461</v>
      </c>
      <c r="F26" t="s">
        <v>89</v>
      </c>
      <c r="G26" s="1">
        <v>43503</v>
      </c>
      <c r="H26">
        <v>113587</v>
      </c>
      <c r="I26" t="s">
        <v>30</v>
      </c>
      <c r="J26" t="s">
        <v>143</v>
      </c>
      <c r="K26" t="s">
        <v>54</v>
      </c>
      <c r="L26" t="s">
        <v>62</v>
      </c>
      <c r="M26">
        <v>23</v>
      </c>
      <c r="N26" t="s">
        <v>34</v>
      </c>
      <c r="O26">
        <v>4</v>
      </c>
      <c r="P26">
        <v>4</v>
      </c>
      <c r="Q26">
        <v>2</v>
      </c>
      <c r="R26">
        <v>4</v>
      </c>
      <c r="S26">
        <v>2</v>
      </c>
      <c r="T26">
        <v>8</v>
      </c>
      <c r="U26">
        <v>13</v>
      </c>
      <c r="V26" t="s">
        <v>194</v>
      </c>
      <c r="W26" t="s">
        <v>34</v>
      </c>
      <c r="Y26" s="2" t="str">
        <f>IF(EmployeeData[[#This Row],[Age]]&lt;25,"Under 25",IF(EmployeeData[[#This Row],[Age]]&lt;=34,"25-34",IF(EmployeeData[[#This Row],[Age]]&lt;=44,"35-44",IF(EmployeeData[[#This Row],[Age]]&lt;=54,"45-54","55+"))))</f>
        <v>35-44</v>
      </c>
      <c r="Z26">
        <f ca="1">DATEDIF(EmployeeData[[#This Row],[DateOfJoining]],IF(AND(EmployeeData[[#This Row],[Attrition]]="Yes",EmployeeData[[#This Row],[LastWorkingDate]]&lt;&gt;""),EmployeeData[[#This Row],[LastWorkingDate]],TODAY()),"Y")</f>
        <v>7</v>
      </c>
      <c r="AA26" t="str">
        <f>IF(EmployeeData[[#This Row],[MonthlyIncome]]&lt;30000,"Low",IF(EmployeeData[[#This Row],[MonthlyIncome]]&lt;=60000,"Medium",IF(EmployeeData[[#This Row],[MonthlyIncome]]&lt;=100000,"High","Very High")))</f>
        <v>Very High</v>
      </c>
      <c r="AB26">
        <f>IF(EmployeeData[[#This Row],[Attrition]]="Yes",1,0)</f>
        <v>0</v>
      </c>
      <c r="AC26" t="str">
        <f ca="1">IF(EmployeeData[[#This Row],[Tenure Years]]&lt;1,"Less than 1 Year",IF(EmployeeData[[#This Row],[Tenure Years]]&lt;=3,"1-3 Years",IF(EmployeeData[[#This Row],[Tenure Years]]&lt;=5,"4-5 Years",IF(EmployeeData[[#This Row],[Tenure Years]]&lt;=10,"6-10 Years","More than 10 Years"))))</f>
        <v>6-10 Years</v>
      </c>
      <c r="AD26">
        <f>ROUND(AVERAGE(EmployeeData[[#This Row],[JobSatisfaction]],EmployeeData[[#This Row],[EnvironmentSatisfaction]],EmployeeData[[#This Row],[WorkLifeBalance]]),2)</f>
        <v>3.33</v>
      </c>
      <c r="AE26" t="str">
        <f>IF(EmployeeData[[#This Row],[Satisfaction Score]]&lt;2,"Low",IF(EmployeeData[[#This Row],[Satisfaction Score]]&lt;3,"Medium","High"))</f>
        <v>High</v>
      </c>
    </row>
    <row r="27" spans="1:31" x14ac:dyDescent="0.25">
      <c r="A27" t="s">
        <v>195</v>
      </c>
      <c r="B27" t="s">
        <v>196</v>
      </c>
      <c r="C27" t="s">
        <v>58</v>
      </c>
      <c r="D27">
        <v>38</v>
      </c>
      <c r="E27" t="s">
        <v>197</v>
      </c>
      <c r="F27" t="s">
        <v>235</v>
      </c>
      <c r="G27" s="1">
        <v>42202</v>
      </c>
      <c r="H27">
        <v>77630</v>
      </c>
      <c r="I27" t="s">
        <v>42</v>
      </c>
      <c r="J27" t="s">
        <v>53</v>
      </c>
      <c r="K27" t="s">
        <v>200</v>
      </c>
      <c r="L27" t="s">
        <v>62</v>
      </c>
      <c r="M27">
        <v>32</v>
      </c>
      <c r="N27" t="s">
        <v>34</v>
      </c>
      <c r="O27">
        <v>2</v>
      </c>
      <c r="P27">
        <v>3</v>
      </c>
      <c r="Q27">
        <v>2</v>
      </c>
      <c r="R27">
        <v>3</v>
      </c>
      <c r="S27">
        <v>2</v>
      </c>
      <c r="T27">
        <v>4</v>
      </c>
      <c r="U27">
        <v>21</v>
      </c>
      <c r="V27" t="s">
        <v>201</v>
      </c>
      <c r="W27" t="s">
        <v>45</v>
      </c>
      <c r="X27" s="1">
        <v>44169</v>
      </c>
      <c r="Y27" s="2" t="str">
        <f>IF(EmployeeData[[#This Row],[Age]]&lt;25,"Under 25",IF(EmployeeData[[#This Row],[Age]]&lt;=34,"25-34",IF(EmployeeData[[#This Row],[Age]]&lt;=44,"35-44",IF(EmployeeData[[#This Row],[Age]]&lt;=54,"45-54","55+"))))</f>
        <v>35-44</v>
      </c>
      <c r="Z27">
        <f ca="1">DATEDIF(EmployeeData[[#This Row],[DateOfJoining]],IF(AND(EmployeeData[[#This Row],[Attrition]]="Yes",EmployeeData[[#This Row],[LastWorkingDate]]&lt;&gt;""),EmployeeData[[#This Row],[LastWorkingDate]],TODAY()),"Y")</f>
        <v>5</v>
      </c>
      <c r="AA27" t="str">
        <f>IF(EmployeeData[[#This Row],[MonthlyIncome]]&lt;30000,"Low",IF(EmployeeData[[#This Row],[MonthlyIncome]]&lt;=60000,"Medium",IF(EmployeeData[[#This Row],[MonthlyIncome]]&lt;=100000,"High","Very High")))</f>
        <v>High</v>
      </c>
      <c r="AB27">
        <f>IF(EmployeeData[[#This Row],[Attrition]]="Yes",1,0)</f>
        <v>1</v>
      </c>
      <c r="AC27" t="str">
        <f ca="1">IF(EmployeeData[[#This Row],[Tenure Years]]&lt;1,"Less than 1 Year",IF(EmployeeData[[#This Row],[Tenure Years]]&lt;=3,"1-3 Years",IF(EmployeeData[[#This Row],[Tenure Years]]&lt;=5,"4-5 Years",IF(EmployeeData[[#This Row],[Tenure Years]]&lt;=10,"6-10 Years","More than 10 Years"))))</f>
        <v>4-5 Years</v>
      </c>
      <c r="AD27">
        <f>ROUND(AVERAGE(EmployeeData[[#This Row],[JobSatisfaction]],EmployeeData[[#This Row],[EnvironmentSatisfaction]],EmployeeData[[#This Row],[WorkLifeBalance]]),2)</f>
        <v>2.33</v>
      </c>
      <c r="AE27" t="str">
        <f>IF(EmployeeData[[#This Row],[Satisfaction Score]]&lt;2,"Low",IF(EmployeeData[[#This Row],[Satisfaction Score]]&lt;3,"Medium","High"))</f>
        <v>Medium</v>
      </c>
    </row>
    <row r="28" spans="1:31" x14ac:dyDescent="0.25">
      <c r="A28" t="s">
        <v>203</v>
      </c>
      <c r="B28" t="s">
        <v>204</v>
      </c>
      <c r="C28" t="s">
        <v>49</v>
      </c>
      <c r="D28">
        <v>34</v>
      </c>
      <c r="E28" t="s">
        <v>128</v>
      </c>
      <c r="F28" t="s">
        <v>123</v>
      </c>
      <c r="G28" s="1">
        <v>42083</v>
      </c>
      <c r="H28">
        <v>101011</v>
      </c>
      <c r="I28" t="s">
        <v>42</v>
      </c>
      <c r="J28" t="s">
        <v>143</v>
      </c>
      <c r="K28" t="s">
        <v>131</v>
      </c>
      <c r="L28" t="s">
        <v>43</v>
      </c>
      <c r="M28">
        <v>16</v>
      </c>
      <c r="N28" t="s">
        <v>34</v>
      </c>
      <c r="O28">
        <v>2</v>
      </c>
      <c r="P28">
        <v>3</v>
      </c>
      <c r="Q28">
        <v>4</v>
      </c>
      <c r="R28">
        <v>3</v>
      </c>
      <c r="S28">
        <v>2</v>
      </c>
      <c r="T28">
        <v>7</v>
      </c>
      <c r="U28">
        <v>17</v>
      </c>
      <c r="V28" t="s">
        <v>206</v>
      </c>
      <c r="W28" t="s">
        <v>34</v>
      </c>
      <c r="Y28" s="2" t="str">
        <f>IF(EmployeeData[[#This Row],[Age]]&lt;25,"Under 25",IF(EmployeeData[[#This Row],[Age]]&lt;=34,"25-34",IF(EmployeeData[[#This Row],[Age]]&lt;=44,"35-44",IF(EmployeeData[[#This Row],[Age]]&lt;=54,"45-54","55+"))))</f>
        <v>25-34</v>
      </c>
      <c r="Z28">
        <f ca="1">DATEDIF(EmployeeData[[#This Row],[DateOfJoining]],IF(AND(EmployeeData[[#This Row],[Attrition]]="Yes",EmployeeData[[#This Row],[LastWorkingDate]]&lt;&gt;""),EmployeeData[[#This Row],[LastWorkingDate]],TODAY()),"Y")</f>
        <v>11</v>
      </c>
      <c r="AA28" t="str">
        <f>IF(EmployeeData[[#This Row],[MonthlyIncome]]&lt;30000,"Low",IF(EmployeeData[[#This Row],[MonthlyIncome]]&lt;=60000,"Medium",IF(EmployeeData[[#This Row],[MonthlyIncome]]&lt;=100000,"High","Very High")))</f>
        <v>Very High</v>
      </c>
      <c r="AB28">
        <f>IF(EmployeeData[[#This Row],[Attrition]]="Yes",1,0)</f>
        <v>0</v>
      </c>
      <c r="AC28" t="str">
        <f ca="1">IF(EmployeeData[[#This Row],[Tenure Years]]&lt;1,"Less than 1 Year",IF(EmployeeData[[#This Row],[Tenure Years]]&lt;=3,"1-3 Years",IF(EmployeeData[[#This Row],[Tenure Years]]&lt;=5,"4-5 Years",IF(EmployeeData[[#This Row],[Tenure Years]]&lt;=10,"6-10 Years","More than 10 Years"))))</f>
        <v>More than 10 Years</v>
      </c>
      <c r="AD28">
        <f>ROUND(AVERAGE(EmployeeData[[#This Row],[JobSatisfaction]],EmployeeData[[#This Row],[EnvironmentSatisfaction]],EmployeeData[[#This Row],[WorkLifeBalance]]),2)</f>
        <v>3</v>
      </c>
      <c r="AE28" t="str">
        <f>IF(EmployeeData[[#This Row],[Satisfaction Score]]&lt;2,"Low",IF(EmployeeData[[#This Row],[Satisfaction Score]]&lt;3,"Medium","High"))</f>
        <v>High</v>
      </c>
    </row>
    <row r="29" spans="1:31" x14ac:dyDescent="0.25">
      <c r="A29" t="s">
        <v>207</v>
      </c>
      <c r="B29" t="s">
        <v>208</v>
      </c>
      <c r="C29" t="s">
        <v>49</v>
      </c>
      <c r="D29">
        <v>34</v>
      </c>
      <c r="E29" t="s">
        <v>38</v>
      </c>
      <c r="F29" t="s">
        <v>5465</v>
      </c>
      <c r="G29" s="1">
        <v>43524</v>
      </c>
      <c r="H29">
        <v>68838</v>
      </c>
      <c r="I29" t="s">
        <v>52</v>
      </c>
      <c r="J29" t="s">
        <v>31</v>
      </c>
      <c r="K29" t="s">
        <v>98</v>
      </c>
      <c r="L29" t="s">
        <v>43</v>
      </c>
      <c r="M29">
        <v>7</v>
      </c>
      <c r="N29" t="s">
        <v>34</v>
      </c>
      <c r="O29">
        <v>3</v>
      </c>
      <c r="P29">
        <v>3</v>
      </c>
      <c r="Q29">
        <v>4</v>
      </c>
      <c r="R29">
        <v>2</v>
      </c>
      <c r="S29">
        <v>1</v>
      </c>
      <c r="T29">
        <v>3</v>
      </c>
      <c r="U29">
        <v>22</v>
      </c>
      <c r="V29" t="s">
        <v>211</v>
      </c>
      <c r="W29" t="s">
        <v>34</v>
      </c>
      <c r="Y29" s="2" t="str">
        <f>IF(EmployeeData[[#This Row],[Age]]&lt;25,"Under 25",IF(EmployeeData[[#This Row],[Age]]&lt;=34,"25-34",IF(EmployeeData[[#This Row],[Age]]&lt;=44,"35-44",IF(EmployeeData[[#This Row],[Age]]&lt;=54,"45-54","55+"))))</f>
        <v>25-34</v>
      </c>
      <c r="Z29">
        <f ca="1">DATEDIF(EmployeeData[[#This Row],[DateOfJoining]],IF(AND(EmployeeData[[#This Row],[Attrition]]="Yes",EmployeeData[[#This Row],[LastWorkingDate]]&lt;&gt;""),EmployeeData[[#This Row],[LastWorkingDate]],TODAY()),"Y")</f>
        <v>7</v>
      </c>
      <c r="AA29" t="str">
        <f>IF(EmployeeData[[#This Row],[MonthlyIncome]]&lt;30000,"Low",IF(EmployeeData[[#This Row],[MonthlyIncome]]&lt;=60000,"Medium",IF(EmployeeData[[#This Row],[MonthlyIncome]]&lt;=100000,"High","Very High")))</f>
        <v>High</v>
      </c>
      <c r="AB29">
        <f>IF(EmployeeData[[#This Row],[Attrition]]="Yes",1,0)</f>
        <v>0</v>
      </c>
      <c r="AC29" t="str">
        <f ca="1">IF(EmployeeData[[#This Row],[Tenure Years]]&lt;1,"Less than 1 Year",IF(EmployeeData[[#This Row],[Tenure Years]]&lt;=3,"1-3 Years",IF(EmployeeData[[#This Row],[Tenure Years]]&lt;=5,"4-5 Years",IF(EmployeeData[[#This Row],[Tenure Years]]&lt;=10,"6-10 Years","More than 10 Years"))))</f>
        <v>6-10 Years</v>
      </c>
      <c r="AD29">
        <f>ROUND(AVERAGE(EmployeeData[[#This Row],[JobSatisfaction]],EmployeeData[[#This Row],[EnvironmentSatisfaction]],EmployeeData[[#This Row],[WorkLifeBalance]]),2)</f>
        <v>3.33</v>
      </c>
      <c r="AE29" t="str">
        <f>IF(EmployeeData[[#This Row],[Satisfaction Score]]&lt;2,"Low",IF(EmployeeData[[#This Row],[Satisfaction Score]]&lt;3,"Medium","High"))</f>
        <v>High</v>
      </c>
    </row>
    <row r="30" spans="1:31" x14ac:dyDescent="0.25">
      <c r="A30" t="s">
        <v>212</v>
      </c>
      <c r="B30" t="s">
        <v>213</v>
      </c>
      <c r="C30" t="s">
        <v>49</v>
      </c>
      <c r="D30">
        <v>41</v>
      </c>
      <c r="E30" t="s">
        <v>5461</v>
      </c>
      <c r="F30" t="s">
        <v>5463</v>
      </c>
      <c r="G30" s="1">
        <v>43293</v>
      </c>
      <c r="H30">
        <v>132487</v>
      </c>
      <c r="I30" t="s">
        <v>52</v>
      </c>
      <c r="J30" t="s">
        <v>61</v>
      </c>
      <c r="K30" t="s">
        <v>113</v>
      </c>
      <c r="L30" t="s">
        <v>62</v>
      </c>
      <c r="M30">
        <v>37</v>
      </c>
      <c r="N30" t="s">
        <v>34</v>
      </c>
      <c r="O30">
        <v>1</v>
      </c>
      <c r="P30">
        <v>3</v>
      </c>
      <c r="Q30">
        <v>2</v>
      </c>
      <c r="R30">
        <v>4</v>
      </c>
      <c r="S30">
        <v>6</v>
      </c>
      <c r="T30">
        <v>2</v>
      </c>
      <c r="U30">
        <v>22</v>
      </c>
      <c r="V30" t="s">
        <v>216</v>
      </c>
      <c r="W30" t="s">
        <v>45</v>
      </c>
      <c r="X30" s="1">
        <v>45005</v>
      </c>
      <c r="Y30" s="2" t="str">
        <f>IF(EmployeeData[[#This Row],[Age]]&lt;25,"Under 25",IF(EmployeeData[[#This Row],[Age]]&lt;=34,"25-34",IF(EmployeeData[[#This Row],[Age]]&lt;=44,"35-44",IF(EmployeeData[[#This Row],[Age]]&lt;=54,"45-54","55+"))))</f>
        <v>35-44</v>
      </c>
      <c r="Z30">
        <f ca="1">DATEDIF(EmployeeData[[#This Row],[DateOfJoining]],IF(AND(EmployeeData[[#This Row],[Attrition]]="Yes",EmployeeData[[#This Row],[LastWorkingDate]]&lt;&gt;""),EmployeeData[[#This Row],[LastWorkingDate]],TODAY()),"Y")</f>
        <v>4</v>
      </c>
      <c r="AA30" t="str">
        <f>IF(EmployeeData[[#This Row],[MonthlyIncome]]&lt;30000,"Low",IF(EmployeeData[[#This Row],[MonthlyIncome]]&lt;=60000,"Medium",IF(EmployeeData[[#This Row],[MonthlyIncome]]&lt;=100000,"High","Very High")))</f>
        <v>Very High</v>
      </c>
      <c r="AB30">
        <f>IF(EmployeeData[[#This Row],[Attrition]]="Yes",1,0)</f>
        <v>1</v>
      </c>
      <c r="AC30" t="str">
        <f ca="1">IF(EmployeeData[[#This Row],[Tenure Years]]&lt;1,"Less than 1 Year",IF(EmployeeData[[#This Row],[Tenure Years]]&lt;=3,"1-3 Years",IF(EmployeeData[[#This Row],[Tenure Years]]&lt;=5,"4-5 Years",IF(EmployeeData[[#This Row],[Tenure Years]]&lt;=10,"6-10 Years","More than 10 Years"))))</f>
        <v>4-5 Years</v>
      </c>
      <c r="AD30">
        <f>ROUND(AVERAGE(EmployeeData[[#This Row],[JobSatisfaction]],EmployeeData[[#This Row],[EnvironmentSatisfaction]],EmployeeData[[#This Row],[WorkLifeBalance]]),2)</f>
        <v>2</v>
      </c>
      <c r="AE30" t="str">
        <f>IF(EmployeeData[[#This Row],[Satisfaction Score]]&lt;2,"Low",IF(EmployeeData[[#This Row],[Satisfaction Score]]&lt;3,"Medium","High"))</f>
        <v>Medium</v>
      </c>
    </row>
    <row r="31" spans="1:31" x14ac:dyDescent="0.25">
      <c r="A31" t="s">
        <v>218</v>
      </c>
      <c r="B31" t="s">
        <v>219</v>
      </c>
      <c r="C31" t="s">
        <v>49</v>
      </c>
      <c r="D31">
        <v>45</v>
      </c>
      <c r="E31" t="s">
        <v>5461</v>
      </c>
      <c r="F31" t="s">
        <v>261</v>
      </c>
      <c r="G31" s="1">
        <v>42127</v>
      </c>
      <c r="H31">
        <v>74430</v>
      </c>
      <c r="I31" t="s">
        <v>52</v>
      </c>
      <c r="J31" t="s">
        <v>143</v>
      </c>
      <c r="K31" t="s">
        <v>106</v>
      </c>
      <c r="L31" t="s">
        <v>33</v>
      </c>
      <c r="M31">
        <v>21</v>
      </c>
      <c r="N31" t="s">
        <v>34</v>
      </c>
      <c r="O31">
        <v>4</v>
      </c>
      <c r="P31">
        <v>2</v>
      </c>
      <c r="Q31">
        <v>3</v>
      </c>
      <c r="R31">
        <v>4</v>
      </c>
      <c r="S31">
        <v>6</v>
      </c>
      <c r="T31">
        <v>3</v>
      </c>
      <c r="U31">
        <v>15</v>
      </c>
      <c r="V31" t="s">
        <v>223</v>
      </c>
      <c r="W31" t="s">
        <v>34</v>
      </c>
      <c r="Y31" s="2" t="str">
        <f>IF(EmployeeData[[#This Row],[Age]]&lt;25,"Under 25",IF(EmployeeData[[#This Row],[Age]]&lt;=34,"25-34",IF(EmployeeData[[#This Row],[Age]]&lt;=44,"35-44",IF(EmployeeData[[#This Row],[Age]]&lt;=54,"45-54","55+"))))</f>
        <v>45-54</v>
      </c>
      <c r="Z31">
        <f ca="1">DATEDIF(EmployeeData[[#This Row],[DateOfJoining]],IF(AND(EmployeeData[[#This Row],[Attrition]]="Yes",EmployeeData[[#This Row],[LastWorkingDate]]&lt;&gt;""),EmployeeData[[#This Row],[LastWorkingDate]],TODAY()),"Y")</f>
        <v>11</v>
      </c>
      <c r="AA31" t="str">
        <f>IF(EmployeeData[[#This Row],[MonthlyIncome]]&lt;30000,"Low",IF(EmployeeData[[#This Row],[MonthlyIncome]]&lt;=60000,"Medium",IF(EmployeeData[[#This Row],[MonthlyIncome]]&lt;=100000,"High","Very High")))</f>
        <v>High</v>
      </c>
      <c r="AB31">
        <f>IF(EmployeeData[[#This Row],[Attrition]]="Yes",1,0)</f>
        <v>0</v>
      </c>
      <c r="AC31" t="str">
        <f ca="1">IF(EmployeeData[[#This Row],[Tenure Years]]&lt;1,"Less than 1 Year",IF(EmployeeData[[#This Row],[Tenure Years]]&lt;=3,"1-3 Years",IF(EmployeeData[[#This Row],[Tenure Years]]&lt;=5,"4-5 Years",IF(EmployeeData[[#This Row],[Tenure Years]]&lt;=10,"6-10 Years","More than 10 Years"))))</f>
        <v>More than 10 Years</v>
      </c>
      <c r="AD31">
        <f>ROUND(AVERAGE(EmployeeData[[#This Row],[JobSatisfaction]],EmployeeData[[#This Row],[EnvironmentSatisfaction]],EmployeeData[[#This Row],[WorkLifeBalance]]),2)</f>
        <v>3</v>
      </c>
      <c r="AE31" t="str">
        <f>IF(EmployeeData[[#This Row],[Satisfaction Score]]&lt;2,"Low",IF(EmployeeData[[#This Row],[Satisfaction Score]]&lt;3,"Medium","High"))</f>
        <v>High</v>
      </c>
    </row>
    <row r="32" spans="1:31" x14ac:dyDescent="0.25">
      <c r="A32" t="s">
        <v>224</v>
      </c>
      <c r="B32" t="s">
        <v>225</v>
      </c>
      <c r="C32" t="s">
        <v>5459</v>
      </c>
      <c r="D32">
        <v>49</v>
      </c>
      <c r="E32" t="s">
        <v>128</v>
      </c>
      <c r="F32" t="s">
        <v>226</v>
      </c>
      <c r="G32" s="1">
        <v>42984</v>
      </c>
      <c r="H32">
        <v>80501</v>
      </c>
      <c r="I32" t="s">
        <v>42</v>
      </c>
      <c r="J32" t="s">
        <v>31</v>
      </c>
      <c r="K32" t="s">
        <v>77</v>
      </c>
      <c r="L32" t="s">
        <v>43</v>
      </c>
      <c r="M32">
        <v>19</v>
      </c>
      <c r="N32" t="s">
        <v>34</v>
      </c>
      <c r="O32">
        <v>3</v>
      </c>
      <c r="P32">
        <v>1</v>
      </c>
      <c r="Q32">
        <v>2</v>
      </c>
      <c r="R32">
        <v>4</v>
      </c>
      <c r="S32">
        <v>0</v>
      </c>
      <c r="T32">
        <v>6</v>
      </c>
      <c r="U32">
        <v>20</v>
      </c>
      <c r="V32" t="s">
        <v>228</v>
      </c>
      <c r="W32" t="s">
        <v>34</v>
      </c>
      <c r="Y32" s="2" t="str">
        <f>IF(EmployeeData[[#This Row],[Age]]&lt;25,"Under 25",IF(EmployeeData[[#This Row],[Age]]&lt;=34,"25-34",IF(EmployeeData[[#This Row],[Age]]&lt;=44,"35-44",IF(EmployeeData[[#This Row],[Age]]&lt;=54,"45-54","55+"))))</f>
        <v>45-54</v>
      </c>
      <c r="Z32">
        <f ca="1">DATEDIF(EmployeeData[[#This Row],[DateOfJoining]],IF(AND(EmployeeData[[#This Row],[Attrition]]="Yes",EmployeeData[[#This Row],[LastWorkingDate]]&lt;&gt;""),EmployeeData[[#This Row],[LastWorkingDate]],TODAY()),"Y")</f>
        <v>8</v>
      </c>
      <c r="AA32" t="str">
        <f>IF(EmployeeData[[#This Row],[MonthlyIncome]]&lt;30000,"Low",IF(EmployeeData[[#This Row],[MonthlyIncome]]&lt;=60000,"Medium",IF(EmployeeData[[#This Row],[MonthlyIncome]]&lt;=100000,"High","Very High")))</f>
        <v>High</v>
      </c>
      <c r="AB32">
        <f>IF(EmployeeData[[#This Row],[Attrition]]="Yes",1,0)</f>
        <v>0</v>
      </c>
      <c r="AC32" t="str">
        <f ca="1">IF(EmployeeData[[#This Row],[Tenure Years]]&lt;1,"Less than 1 Year",IF(EmployeeData[[#This Row],[Tenure Years]]&lt;=3,"1-3 Years",IF(EmployeeData[[#This Row],[Tenure Years]]&lt;=5,"4-5 Years",IF(EmployeeData[[#This Row],[Tenure Years]]&lt;=10,"6-10 Years","More than 10 Years"))))</f>
        <v>6-10 Years</v>
      </c>
      <c r="AD32">
        <f>ROUND(AVERAGE(EmployeeData[[#This Row],[JobSatisfaction]],EmployeeData[[#This Row],[EnvironmentSatisfaction]],EmployeeData[[#This Row],[WorkLifeBalance]]),2)</f>
        <v>2</v>
      </c>
      <c r="AE32" t="str">
        <f>IF(EmployeeData[[#This Row],[Satisfaction Score]]&lt;2,"Low",IF(EmployeeData[[#This Row],[Satisfaction Score]]&lt;3,"Medium","High"))</f>
        <v>Medium</v>
      </c>
    </row>
    <row r="33" spans="1:31" x14ac:dyDescent="0.25">
      <c r="A33" t="s">
        <v>229</v>
      </c>
      <c r="B33" t="s">
        <v>230</v>
      </c>
      <c r="C33" t="s">
        <v>58</v>
      </c>
      <c r="D33">
        <v>22</v>
      </c>
      <c r="E33" t="s">
        <v>128</v>
      </c>
      <c r="F33" t="s">
        <v>123</v>
      </c>
      <c r="G33" s="1">
        <v>44352</v>
      </c>
      <c r="H33">
        <v>71864</v>
      </c>
      <c r="I33" t="s">
        <v>42</v>
      </c>
      <c r="J33" t="s">
        <v>61</v>
      </c>
      <c r="K33" t="s">
        <v>83</v>
      </c>
      <c r="L33" t="s">
        <v>5459</v>
      </c>
      <c r="M33">
        <v>38</v>
      </c>
      <c r="N33" t="s">
        <v>34</v>
      </c>
      <c r="O33">
        <v>4</v>
      </c>
      <c r="P33">
        <v>1</v>
      </c>
      <c r="Q33">
        <v>2</v>
      </c>
      <c r="R33">
        <v>3</v>
      </c>
      <c r="S33">
        <v>3</v>
      </c>
      <c r="T33">
        <v>4</v>
      </c>
      <c r="U33">
        <v>18</v>
      </c>
      <c r="V33" t="s">
        <v>232</v>
      </c>
      <c r="W33" t="s">
        <v>34</v>
      </c>
      <c r="Y33" s="2" t="str">
        <f>IF(EmployeeData[[#This Row],[Age]]&lt;25,"Under 25",IF(EmployeeData[[#This Row],[Age]]&lt;=34,"25-34",IF(EmployeeData[[#This Row],[Age]]&lt;=44,"35-44",IF(EmployeeData[[#This Row],[Age]]&lt;=54,"45-54","55+"))))</f>
        <v>Under 25</v>
      </c>
      <c r="Z33">
        <f ca="1">DATEDIF(EmployeeData[[#This Row],[DateOfJoining]],IF(AND(EmployeeData[[#This Row],[Attrition]]="Yes",EmployeeData[[#This Row],[LastWorkingDate]]&lt;&gt;""),EmployeeData[[#This Row],[LastWorkingDate]],TODAY()),"Y")</f>
        <v>5</v>
      </c>
      <c r="AA33" t="str">
        <f>IF(EmployeeData[[#This Row],[MonthlyIncome]]&lt;30000,"Low",IF(EmployeeData[[#This Row],[MonthlyIncome]]&lt;=60000,"Medium",IF(EmployeeData[[#This Row],[MonthlyIncome]]&lt;=100000,"High","Very High")))</f>
        <v>High</v>
      </c>
      <c r="AB33">
        <f>IF(EmployeeData[[#This Row],[Attrition]]="Yes",1,0)</f>
        <v>0</v>
      </c>
      <c r="AC33" t="str">
        <f ca="1">IF(EmployeeData[[#This Row],[Tenure Years]]&lt;1,"Less than 1 Year",IF(EmployeeData[[#This Row],[Tenure Years]]&lt;=3,"1-3 Years",IF(EmployeeData[[#This Row],[Tenure Years]]&lt;=5,"4-5 Years",IF(EmployeeData[[#This Row],[Tenure Years]]&lt;=10,"6-10 Years","More than 10 Years"))))</f>
        <v>4-5 Years</v>
      </c>
      <c r="AD33">
        <f>ROUND(AVERAGE(EmployeeData[[#This Row],[JobSatisfaction]],EmployeeData[[#This Row],[EnvironmentSatisfaction]],EmployeeData[[#This Row],[WorkLifeBalance]]),2)</f>
        <v>2.33</v>
      </c>
      <c r="AE33" t="str">
        <f>IF(EmployeeData[[#This Row],[Satisfaction Score]]&lt;2,"Low",IF(EmployeeData[[#This Row],[Satisfaction Score]]&lt;3,"Medium","High"))</f>
        <v>Medium</v>
      </c>
    </row>
    <row r="34" spans="1:31" x14ac:dyDescent="0.25">
      <c r="A34" t="s">
        <v>233</v>
      </c>
      <c r="B34" t="s">
        <v>234</v>
      </c>
      <c r="C34" t="s">
        <v>58</v>
      </c>
      <c r="D34">
        <v>32</v>
      </c>
      <c r="E34" t="s">
        <v>197</v>
      </c>
      <c r="F34" t="s">
        <v>235</v>
      </c>
      <c r="G34" s="1">
        <v>43217</v>
      </c>
      <c r="H34">
        <v>77630</v>
      </c>
      <c r="I34" t="s">
        <v>5459</v>
      </c>
      <c r="J34" t="s">
        <v>61</v>
      </c>
      <c r="K34" t="s">
        <v>200</v>
      </c>
      <c r="L34" t="s">
        <v>62</v>
      </c>
      <c r="M34">
        <v>18</v>
      </c>
      <c r="N34" t="s">
        <v>34</v>
      </c>
      <c r="O34">
        <v>1</v>
      </c>
      <c r="P34">
        <v>4</v>
      </c>
      <c r="Q34">
        <v>3</v>
      </c>
      <c r="R34">
        <v>3</v>
      </c>
      <c r="S34">
        <v>0</v>
      </c>
      <c r="T34">
        <v>2</v>
      </c>
      <c r="U34">
        <v>14</v>
      </c>
      <c r="V34" t="s">
        <v>237</v>
      </c>
      <c r="W34" t="s">
        <v>34</v>
      </c>
      <c r="Y34" s="2" t="str">
        <f>IF(EmployeeData[[#This Row],[Age]]&lt;25,"Under 25",IF(EmployeeData[[#This Row],[Age]]&lt;=34,"25-34",IF(EmployeeData[[#This Row],[Age]]&lt;=44,"35-44",IF(EmployeeData[[#This Row],[Age]]&lt;=54,"45-54","55+"))))</f>
        <v>25-34</v>
      </c>
      <c r="Z34">
        <f ca="1">DATEDIF(EmployeeData[[#This Row],[DateOfJoining]],IF(AND(EmployeeData[[#This Row],[Attrition]]="Yes",EmployeeData[[#This Row],[LastWorkingDate]]&lt;&gt;""),EmployeeData[[#This Row],[LastWorkingDate]],TODAY()),"Y")</f>
        <v>8</v>
      </c>
      <c r="AA34" t="str">
        <f>IF(EmployeeData[[#This Row],[MonthlyIncome]]&lt;30000,"Low",IF(EmployeeData[[#This Row],[MonthlyIncome]]&lt;=60000,"Medium",IF(EmployeeData[[#This Row],[MonthlyIncome]]&lt;=100000,"High","Very High")))</f>
        <v>High</v>
      </c>
      <c r="AB34">
        <f>IF(EmployeeData[[#This Row],[Attrition]]="Yes",1,0)</f>
        <v>0</v>
      </c>
      <c r="AC34" t="str">
        <f ca="1">IF(EmployeeData[[#This Row],[Tenure Years]]&lt;1,"Less than 1 Year",IF(EmployeeData[[#This Row],[Tenure Years]]&lt;=3,"1-3 Years",IF(EmployeeData[[#This Row],[Tenure Years]]&lt;=5,"4-5 Years",IF(EmployeeData[[#This Row],[Tenure Years]]&lt;=10,"6-10 Years","More than 10 Years"))))</f>
        <v>6-10 Years</v>
      </c>
      <c r="AD34">
        <f>ROUND(AVERAGE(EmployeeData[[#This Row],[JobSatisfaction]],EmployeeData[[#This Row],[EnvironmentSatisfaction]],EmployeeData[[#This Row],[WorkLifeBalance]]),2)</f>
        <v>2.67</v>
      </c>
      <c r="AE34" t="str">
        <f>IF(EmployeeData[[#This Row],[Satisfaction Score]]&lt;2,"Low",IF(EmployeeData[[#This Row],[Satisfaction Score]]&lt;3,"Medium","High"))</f>
        <v>Medium</v>
      </c>
    </row>
    <row r="35" spans="1:31" x14ac:dyDescent="0.25">
      <c r="A35" t="s">
        <v>238</v>
      </c>
      <c r="B35" t="s">
        <v>239</v>
      </c>
      <c r="C35" t="s">
        <v>49</v>
      </c>
      <c r="D35">
        <v>37</v>
      </c>
      <c r="E35" t="s">
        <v>27</v>
      </c>
      <c r="F35" t="s">
        <v>59</v>
      </c>
      <c r="G35" s="1">
        <v>43073</v>
      </c>
      <c r="H35">
        <v>54333</v>
      </c>
      <c r="I35" t="s">
        <v>52</v>
      </c>
      <c r="J35" t="s">
        <v>31</v>
      </c>
      <c r="K35" t="s">
        <v>54</v>
      </c>
      <c r="L35" t="s">
        <v>43</v>
      </c>
      <c r="M35">
        <v>25</v>
      </c>
      <c r="N35" t="s">
        <v>34</v>
      </c>
      <c r="O35">
        <v>2</v>
      </c>
      <c r="P35">
        <v>3</v>
      </c>
      <c r="Q35">
        <v>2</v>
      </c>
      <c r="R35">
        <v>3</v>
      </c>
      <c r="S35">
        <v>4</v>
      </c>
      <c r="T35">
        <v>3</v>
      </c>
      <c r="U35">
        <v>24</v>
      </c>
      <c r="V35" t="s">
        <v>242</v>
      </c>
      <c r="W35" t="s">
        <v>34</v>
      </c>
      <c r="Y35" s="2" t="str">
        <f>IF(EmployeeData[[#This Row],[Age]]&lt;25,"Under 25",IF(EmployeeData[[#This Row],[Age]]&lt;=34,"25-34",IF(EmployeeData[[#This Row],[Age]]&lt;=44,"35-44",IF(EmployeeData[[#This Row],[Age]]&lt;=54,"45-54","55+"))))</f>
        <v>35-44</v>
      </c>
      <c r="Z35">
        <f ca="1">DATEDIF(EmployeeData[[#This Row],[DateOfJoining]],IF(AND(EmployeeData[[#This Row],[Attrition]]="Yes",EmployeeData[[#This Row],[LastWorkingDate]]&lt;&gt;""),EmployeeData[[#This Row],[LastWorkingDate]],TODAY()),"Y")</f>
        <v>8</v>
      </c>
      <c r="AA35" t="str">
        <f>IF(EmployeeData[[#This Row],[MonthlyIncome]]&lt;30000,"Low",IF(EmployeeData[[#This Row],[MonthlyIncome]]&lt;=60000,"Medium",IF(EmployeeData[[#This Row],[MonthlyIncome]]&lt;=100000,"High","Very High")))</f>
        <v>Medium</v>
      </c>
      <c r="AB35">
        <f>IF(EmployeeData[[#This Row],[Attrition]]="Yes",1,0)</f>
        <v>0</v>
      </c>
      <c r="AC35" t="str">
        <f ca="1">IF(EmployeeData[[#This Row],[Tenure Years]]&lt;1,"Less than 1 Year",IF(EmployeeData[[#This Row],[Tenure Years]]&lt;=3,"1-3 Years",IF(EmployeeData[[#This Row],[Tenure Years]]&lt;=5,"4-5 Years",IF(EmployeeData[[#This Row],[Tenure Years]]&lt;=10,"6-10 Years","More than 10 Years"))))</f>
        <v>6-10 Years</v>
      </c>
      <c r="AD35">
        <f>ROUND(AVERAGE(EmployeeData[[#This Row],[JobSatisfaction]],EmployeeData[[#This Row],[EnvironmentSatisfaction]],EmployeeData[[#This Row],[WorkLifeBalance]]),2)</f>
        <v>2.33</v>
      </c>
      <c r="AE35" t="str">
        <f>IF(EmployeeData[[#This Row],[Satisfaction Score]]&lt;2,"Low",IF(EmployeeData[[#This Row],[Satisfaction Score]]&lt;3,"Medium","High"))</f>
        <v>Medium</v>
      </c>
    </row>
    <row r="36" spans="1:31" x14ac:dyDescent="0.25">
      <c r="A36" t="s">
        <v>243</v>
      </c>
      <c r="B36" t="s">
        <v>244</v>
      </c>
      <c r="C36" t="s">
        <v>58</v>
      </c>
      <c r="D36">
        <v>41</v>
      </c>
      <c r="E36" t="s">
        <v>27</v>
      </c>
      <c r="F36" t="s">
        <v>188</v>
      </c>
      <c r="G36" s="1">
        <v>42547</v>
      </c>
      <c r="H36">
        <v>87201</v>
      </c>
      <c r="I36" t="s">
        <v>30</v>
      </c>
      <c r="J36" t="s">
        <v>97</v>
      </c>
      <c r="K36" t="s">
        <v>131</v>
      </c>
      <c r="L36" t="s">
        <v>43</v>
      </c>
      <c r="M36">
        <v>3</v>
      </c>
      <c r="N36" t="s">
        <v>45</v>
      </c>
      <c r="O36">
        <v>3</v>
      </c>
      <c r="P36">
        <v>4</v>
      </c>
      <c r="Q36">
        <v>4</v>
      </c>
      <c r="R36">
        <v>3</v>
      </c>
      <c r="S36">
        <v>4</v>
      </c>
      <c r="T36">
        <v>4</v>
      </c>
      <c r="U36">
        <v>12</v>
      </c>
      <c r="V36" t="s">
        <v>246</v>
      </c>
      <c r="W36" t="s">
        <v>34</v>
      </c>
      <c r="Y36" s="2" t="str">
        <f>IF(EmployeeData[[#This Row],[Age]]&lt;25,"Under 25",IF(EmployeeData[[#This Row],[Age]]&lt;=34,"25-34",IF(EmployeeData[[#This Row],[Age]]&lt;=44,"35-44",IF(EmployeeData[[#This Row],[Age]]&lt;=54,"45-54","55+"))))</f>
        <v>35-44</v>
      </c>
      <c r="Z36">
        <f ca="1">DATEDIF(EmployeeData[[#This Row],[DateOfJoining]],IF(AND(EmployeeData[[#This Row],[Attrition]]="Yes",EmployeeData[[#This Row],[LastWorkingDate]]&lt;&gt;""),EmployeeData[[#This Row],[LastWorkingDate]],TODAY()),"Y")</f>
        <v>10</v>
      </c>
      <c r="AA36" t="str">
        <f>IF(EmployeeData[[#This Row],[MonthlyIncome]]&lt;30000,"Low",IF(EmployeeData[[#This Row],[MonthlyIncome]]&lt;=60000,"Medium",IF(EmployeeData[[#This Row],[MonthlyIncome]]&lt;=100000,"High","Very High")))</f>
        <v>High</v>
      </c>
      <c r="AB36">
        <f>IF(EmployeeData[[#This Row],[Attrition]]="Yes",1,0)</f>
        <v>0</v>
      </c>
      <c r="AC36" t="str">
        <f ca="1">IF(EmployeeData[[#This Row],[Tenure Years]]&lt;1,"Less than 1 Year",IF(EmployeeData[[#This Row],[Tenure Years]]&lt;=3,"1-3 Years",IF(EmployeeData[[#This Row],[Tenure Years]]&lt;=5,"4-5 Years",IF(EmployeeData[[#This Row],[Tenure Years]]&lt;=10,"6-10 Years","More than 10 Years"))))</f>
        <v>6-10 Years</v>
      </c>
      <c r="AD36">
        <f>ROUND(AVERAGE(EmployeeData[[#This Row],[JobSatisfaction]],EmployeeData[[#This Row],[EnvironmentSatisfaction]],EmployeeData[[#This Row],[WorkLifeBalance]]),2)</f>
        <v>3.67</v>
      </c>
      <c r="AE36" t="str">
        <f>IF(EmployeeData[[#This Row],[Satisfaction Score]]&lt;2,"Low",IF(EmployeeData[[#This Row],[Satisfaction Score]]&lt;3,"Medium","High"))</f>
        <v>High</v>
      </c>
    </row>
    <row r="37" spans="1:31" x14ac:dyDescent="0.25">
      <c r="A37" t="s">
        <v>247</v>
      </c>
      <c r="B37" t="s">
        <v>248</v>
      </c>
      <c r="C37" t="s">
        <v>58</v>
      </c>
      <c r="D37">
        <v>34</v>
      </c>
      <c r="E37" t="s">
        <v>5461</v>
      </c>
      <c r="F37" t="s">
        <v>483</v>
      </c>
      <c r="G37" s="1">
        <v>41286</v>
      </c>
      <c r="H37">
        <v>72007</v>
      </c>
      <c r="I37" t="s">
        <v>52</v>
      </c>
      <c r="J37" t="s">
        <v>31</v>
      </c>
      <c r="K37" t="s">
        <v>32</v>
      </c>
      <c r="L37" t="s">
        <v>62</v>
      </c>
      <c r="M37">
        <v>41</v>
      </c>
      <c r="N37" t="s">
        <v>34</v>
      </c>
      <c r="O37">
        <v>1</v>
      </c>
      <c r="P37">
        <v>4</v>
      </c>
      <c r="Q37">
        <v>4</v>
      </c>
      <c r="R37">
        <v>4</v>
      </c>
      <c r="S37">
        <v>4</v>
      </c>
      <c r="T37">
        <v>3</v>
      </c>
      <c r="U37">
        <v>21</v>
      </c>
      <c r="V37" t="s">
        <v>252</v>
      </c>
      <c r="W37" t="s">
        <v>34</v>
      </c>
      <c r="Y37" s="2" t="str">
        <f>IF(EmployeeData[[#This Row],[Age]]&lt;25,"Under 25",IF(EmployeeData[[#This Row],[Age]]&lt;=34,"25-34",IF(EmployeeData[[#This Row],[Age]]&lt;=44,"35-44",IF(EmployeeData[[#This Row],[Age]]&lt;=54,"45-54","55+"))))</f>
        <v>25-34</v>
      </c>
      <c r="Z37">
        <f ca="1">DATEDIF(EmployeeData[[#This Row],[DateOfJoining]],IF(AND(EmployeeData[[#This Row],[Attrition]]="Yes",EmployeeData[[#This Row],[LastWorkingDate]]&lt;&gt;""),EmployeeData[[#This Row],[LastWorkingDate]],TODAY()),"Y")</f>
        <v>13</v>
      </c>
      <c r="AA37" t="str">
        <f>IF(EmployeeData[[#This Row],[MonthlyIncome]]&lt;30000,"Low",IF(EmployeeData[[#This Row],[MonthlyIncome]]&lt;=60000,"Medium",IF(EmployeeData[[#This Row],[MonthlyIncome]]&lt;=100000,"High","Very High")))</f>
        <v>High</v>
      </c>
      <c r="AB37">
        <f>IF(EmployeeData[[#This Row],[Attrition]]="Yes",1,0)</f>
        <v>0</v>
      </c>
      <c r="AC37" t="str">
        <f ca="1">IF(EmployeeData[[#This Row],[Tenure Years]]&lt;1,"Less than 1 Year",IF(EmployeeData[[#This Row],[Tenure Years]]&lt;=3,"1-3 Years",IF(EmployeeData[[#This Row],[Tenure Years]]&lt;=5,"4-5 Years",IF(EmployeeData[[#This Row],[Tenure Years]]&lt;=10,"6-10 Years","More than 10 Years"))))</f>
        <v>More than 10 Years</v>
      </c>
      <c r="AD37">
        <f>ROUND(AVERAGE(EmployeeData[[#This Row],[JobSatisfaction]],EmployeeData[[#This Row],[EnvironmentSatisfaction]],EmployeeData[[#This Row],[WorkLifeBalance]]),2)</f>
        <v>3</v>
      </c>
      <c r="AE37" t="str">
        <f>IF(EmployeeData[[#This Row],[Satisfaction Score]]&lt;2,"Low",IF(EmployeeData[[#This Row],[Satisfaction Score]]&lt;3,"Medium","High"))</f>
        <v>High</v>
      </c>
    </row>
    <row r="38" spans="1:31" x14ac:dyDescent="0.25">
      <c r="A38" t="s">
        <v>253</v>
      </c>
      <c r="B38" t="s">
        <v>254</v>
      </c>
      <c r="C38" t="s">
        <v>49</v>
      </c>
      <c r="D38">
        <v>47</v>
      </c>
      <c r="E38" t="s">
        <v>5459</v>
      </c>
      <c r="F38" t="s">
        <v>255</v>
      </c>
      <c r="G38" s="1">
        <v>42317</v>
      </c>
      <c r="H38">
        <v>87128</v>
      </c>
      <c r="I38" t="s">
        <v>52</v>
      </c>
      <c r="J38" t="s">
        <v>143</v>
      </c>
      <c r="K38" t="s">
        <v>5459</v>
      </c>
      <c r="L38" t="s">
        <v>62</v>
      </c>
      <c r="M38">
        <v>44</v>
      </c>
      <c r="N38" t="s">
        <v>34</v>
      </c>
      <c r="O38">
        <v>4</v>
      </c>
      <c r="P38">
        <v>2</v>
      </c>
      <c r="Q38">
        <v>3</v>
      </c>
      <c r="R38">
        <v>4</v>
      </c>
      <c r="S38">
        <v>3</v>
      </c>
      <c r="T38">
        <v>2</v>
      </c>
      <c r="U38">
        <v>25</v>
      </c>
      <c r="V38" t="s">
        <v>258</v>
      </c>
      <c r="W38" t="s">
        <v>34</v>
      </c>
      <c r="Y38" s="2" t="str">
        <f>IF(EmployeeData[[#This Row],[Age]]&lt;25,"Under 25",IF(EmployeeData[[#This Row],[Age]]&lt;=34,"25-34",IF(EmployeeData[[#This Row],[Age]]&lt;=44,"35-44",IF(EmployeeData[[#This Row],[Age]]&lt;=54,"45-54","55+"))))</f>
        <v>45-54</v>
      </c>
      <c r="Z38">
        <f ca="1">DATEDIF(EmployeeData[[#This Row],[DateOfJoining]],IF(AND(EmployeeData[[#This Row],[Attrition]]="Yes",EmployeeData[[#This Row],[LastWorkingDate]]&lt;&gt;""),EmployeeData[[#This Row],[LastWorkingDate]],TODAY()),"Y")</f>
        <v>10</v>
      </c>
      <c r="AA38" t="str">
        <f>IF(EmployeeData[[#This Row],[MonthlyIncome]]&lt;30000,"Low",IF(EmployeeData[[#This Row],[MonthlyIncome]]&lt;=60000,"Medium",IF(EmployeeData[[#This Row],[MonthlyIncome]]&lt;=100000,"High","Very High")))</f>
        <v>High</v>
      </c>
      <c r="AB38">
        <f>IF(EmployeeData[[#This Row],[Attrition]]="Yes",1,0)</f>
        <v>0</v>
      </c>
      <c r="AC38" t="str">
        <f ca="1">IF(EmployeeData[[#This Row],[Tenure Years]]&lt;1,"Less than 1 Year",IF(EmployeeData[[#This Row],[Tenure Years]]&lt;=3,"1-3 Years",IF(EmployeeData[[#This Row],[Tenure Years]]&lt;=5,"4-5 Years",IF(EmployeeData[[#This Row],[Tenure Years]]&lt;=10,"6-10 Years","More than 10 Years"))))</f>
        <v>6-10 Years</v>
      </c>
      <c r="AD38">
        <f>ROUND(AVERAGE(EmployeeData[[#This Row],[JobSatisfaction]],EmployeeData[[#This Row],[EnvironmentSatisfaction]],EmployeeData[[#This Row],[WorkLifeBalance]]),2)</f>
        <v>3</v>
      </c>
      <c r="AE38" t="str">
        <f>IF(EmployeeData[[#This Row],[Satisfaction Score]]&lt;2,"Low",IF(EmployeeData[[#This Row],[Satisfaction Score]]&lt;3,"Medium","High"))</f>
        <v>High</v>
      </c>
    </row>
    <row r="39" spans="1:31" x14ac:dyDescent="0.25">
      <c r="A39" t="s">
        <v>259</v>
      </c>
      <c r="B39" t="s">
        <v>260</v>
      </c>
      <c r="C39" t="s">
        <v>58</v>
      </c>
      <c r="D39">
        <v>58</v>
      </c>
      <c r="E39" t="s">
        <v>5461</v>
      </c>
      <c r="F39" t="s">
        <v>261</v>
      </c>
      <c r="G39" s="1">
        <v>44160</v>
      </c>
      <c r="H39">
        <v>111382</v>
      </c>
      <c r="I39" t="s">
        <v>30</v>
      </c>
      <c r="J39" t="s">
        <v>31</v>
      </c>
      <c r="K39" t="s">
        <v>77</v>
      </c>
      <c r="L39" t="s">
        <v>43</v>
      </c>
      <c r="M39">
        <v>39</v>
      </c>
      <c r="N39" t="s">
        <v>34</v>
      </c>
      <c r="O39">
        <v>3</v>
      </c>
      <c r="P39">
        <v>4</v>
      </c>
      <c r="Q39">
        <v>3</v>
      </c>
      <c r="R39">
        <v>5</v>
      </c>
      <c r="S39">
        <v>3</v>
      </c>
      <c r="T39">
        <v>7</v>
      </c>
      <c r="U39">
        <v>18</v>
      </c>
      <c r="V39" t="s">
        <v>263</v>
      </c>
      <c r="W39" t="s">
        <v>34</v>
      </c>
      <c r="Y39" s="2" t="str">
        <f>IF(EmployeeData[[#This Row],[Age]]&lt;25,"Under 25",IF(EmployeeData[[#This Row],[Age]]&lt;=34,"25-34",IF(EmployeeData[[#This Row],[Age]]&lt;=44,"35-44",IF(EmployeeData[[#This Row],[Age]]&lt;=54,"45-54","55+"))))</f>
        <v>55+</v>
      </c>
      <c r="Z39">
        <f ca="1">DATEDIF(EmployeeData[[#This Row],[DateOfJoining]],IF(AND(EmployeeData[[#This Row],[Attrition]]="Yes",EmployeeData[[#This Row],[LastWorkingDate]]&lt;&gt;""),EmployeeData[[#This Row],[LastWorkingDate]],TODAY()),"Y")</f>
        <v>5</v>
      </c>
      <c r="AA39" t="str">
        <f>IF(EmployeeData[[#This Row],[MonthlyIncome]]&lt;30000,"Low",IF(EmployeeData[[#This Row],[MonthlyIncome]]&lt;=60000,"Medium",IF(EmployeeData[[#This Row],[MonthlyIncome]]&lt;=100000,"High","Very High")))</f>
        <v>Very High</v>
      </c>
      <c r="AB39">
        <f>IF(EmployeeData[[#This Row],[Attrition]]="Yes",1,0)</f>
        <v>0</v>
      </c>
      <c r="AC39" t="str">
        <f ca="1">IF(EmployeeData[[#This Row],[Tenure Years]]&lt;1,"Less than 1 Year",IF(EmployeeData[[#This Row],[Tenure Years]]&lt;=3,"1-3 Years",IF(EmployeeData[[#This Row],[Tenure Years]]&lt;=5,"4-5 Years",IF(EmployeeData[[#This Row],[Tenure Years]]&lt;=10,"6-10 Years","More than 10 Years"))))</f>
        <v>4-5 Years</v>
      </c>
      <c r="AD39">
        <f>ROUND(AVERAGE(EmployeeData[[#This Row],[JobSatisfaction]],EmployeeData[[#This Row],[EnvironmentSatisfaction]],EmployeeData[[#This Row],[WorkLifeBalance]]),2)</f>
        <v>3.33</v>
      </c>
      <c r="AE39" t="str">
        <f>IF(EmployeeData[[#This Row],[Satisfaction Score]]&lt;2,"Low",IF(EmployeeData[[#This Row],[Satisfaction Score]]&lt;3,"Medium","High"))</f>
        <v>High</v>
      </c>
    </row>
    <row r="40" spans="1:31" x14ac:dyDescent="0.25">
      <c r="A40" t="s">
        <v>264</v>
      </c>
      <c r="B40" t="s">
        <v>265</v>
      </c>
      <c r="C40" t="s">
        <v>58</v>
      </c>
      <c r="D40">
        <v>45</v>
      </c>
      <c r="E40" t="s">
        <v>94</v>
      </c>
      <c r="F40" t="s">
        <v>266</v>
      </c>
      <c r="G40" s="1">
        <v>40811</v>
      </c>
      <c r="H40">
        <v>126651</v>
      </c>
      <c r="I40" t="s">
        <v>52</v>
      </c>
      <c r="J40" t="s">
        <v>53</v>
      </c>
      <c r="K40" t="s">
        <v>32</v>
      </c>
      <c r="L40" t="s">
        <v>43</v>
      </c>
      <c r="M40">
        <v>3</v>
      </c>
      <c r="N40" t="s">
        <v>34</v>
      </c>
      <c r="O40">
        <v>3</v>
      </c>
      <c r="P40">
        <v>3</v>
      </c>
      <c r="Q40">
        <v>1</v>
      </c>
      <c r="R40">
        <v>3</v>
      </c>
      <c r="S40">
        <v>5</v>
      </c>
      <c r="T40">
        <v>5</v>
      </c>
      <c r="U40">
        <v>15</v>
      </c>
      <c r="V40" t="s">
        <v>268</v>
      </c>
      <c r="W40" t="s">
        <v>34</v>
      </c>
      <c r="Y40" s="2" t="str">
        <f>IF(EmployeeData[[#This Row],[Age]]&lt;25,"Under 25",IF(EmployeeData[[#This Row],[Age]]&lt;=34,"25-34",IF(EmployeeData[[#This Row],[Age]]&lt;=44,"35-44",IF(EmployeeData[[#This Row],[Age]]&lt;=54,"45-54","55+"))))</f>
        <v>45-54</v>
      </c>
      <c r="Z40">
        <f ca="1">DATEDIF(EmployeeData[[#This Row],[DateOfJoining]],IF(AND(EmployeeData[[#This Row],[Attrition]]="Yes",EmployeeData[[#This Row],[LastWorkingDate]]&lt;&gt;""),EmployeeData[[#This Row],[LastWorkingDate]],TODAY()),"Y")</f>
        <v>14</v>
      </c>
      <c r="AA40" t="str">
        <f>IF(EmployeeData[[#This Row],[MonthlyIncome]]&lt;30000,"Low",IF(EmployeeData[[#This Row],[MonthlyIncome]]&lt;=60000,"Medium",IF(EmployeeData[[#This Row],[MonthlyIncome]]&lt;=100000,"High","Very High")))</f>
        <v>Very High</v>
      </c>
      <c r="AB40">
        <f>IF(EmployeeData[[#This Row],[Attrition]]="Yes",1,0)</f>
        <v>0</v>
      </c>
      <c r="AC40" t="str">
        <f ca="1">IF(EmployeeData[[#This Row],[Tenure Years]]&lt;1,"Less than 1 Year",IF(EmployeeData[[#This Row],[Tenure Years]]&lt;=3,"1-3 Years",IF(EmployeeData[[#This Row],[Tenure Years]]&lt;=5,"4-5 Years",IF(EmployeeData[[#This Row],[Tenure Years]]&lt;=10,"6-10 Years","More than 10 Years"))))</f>
        <v>More than 10 Years</v>
      </c>
      <c r="AD40">
        <f>ROUND(AVERAGE(EmployeeData[[#This Row],[JobSatisfaction]],EmployeeData[[#This Row],[EnvironmentSatisfaction]],EmployeeData[[#This Row],[WorkLifeBalance]]),2)</f>
        <v>2.33</v>
      </c>
      <c r="AE40" t="str">
        <f>IF(EmployeeData[[#This Row],[Satisfaction Score]]&lt;2,"Low",IF(EmployeeData[[#This Row],[Satisfaction Score]]&lt;3,"Medium","High"))</f>
        <v>Medium</v>
      </c>
    </row>
    <row r="41" spans="1:31" x14ac:dyDescent="0.25">
      <c r="A41" t="s">
        <v>269</v>
      </c>
      <c r="B41" t="s">
        <v>270</v>
      </c>
      <c r="C41" t="s">
        <v>58</v>
      </c>
      <c r="D41">
        <v>48</v>
      </c>
      <c r="E41" t="s">
        <v>128</v>
      </c>
      <c r="F41" t="s">
        <v>271</v>
      </c>
      <c r="G41" s="1">
        <v>44678</v>
      </c>
      <c r="H41">
        <v>61742</v>
      </c>
      <c r="I41" t="s">
        <v>30</v>
      </c>
      <c r="J41" t="s">
        <v>143</v>
      </c>
      <c r="K41" t="s">
        <v>98</v>
      </c>
      <c r="L41" t="s">
        <v>43</v>
      </c>
      <c r="M41">
        <v>19</v>
      </c>
      <c r="N41" t="s">
        <v>34</v>
      </c>
      <c r="O41">
        <v>4</v>
      </c>
      <c r="P41">
        <v>1</v>
      </c>
      <c r="Q41">
        <v>2</v>
      </c>
      <c r="R41">
        <v>3</v>
      </c>
      <c r="S41">
        <v>6</v>
      </c>
      <c r="T41">
        <v>3</v>
      </c>
      <c r="U41">
        <v>20</v>
      </c>
      <c r="V41" t="s">
        <v>273</v>
      </c>
      <c r="W41" t="s">
        <v>34</v>
      </c>
      <c r="Y41" s="2" t="str">
        <f>IF(EmployeeData[[#This Row],[Age]]&lt;25,"Under 25",IF(EmployeeData[[#This Row],[Age]]&lt;=34,"25-34",IF(EmployeeData[[#This Row],[Age]]&lt;=44,"35-44",IF(EmployeeData[[#This Row],[Age]]&lt;=54,"45-54","55+"))))</f>
        <v>45-54</v>
      </c>
      <c r="Z41">
        <f ca="1">DATEDIF(EmployeeData[[#This Row],[DateOfJoining]],IF(AND(EmployeeData[[#This Row],[Attrition]]="Yes",EmployeeData[[#This Row],[LastWorkingDate]]&lt;&gt;""),EmployeeData[[#This Row],[LastWorkingDate]],TODAY()),"Y")</f>
        <v>4</v>
      </c>
      <c r="AA41" t="str">
        <f>IF(EmployeeData[[#This Row],[MonthlyIncome]]&lt;30000,"Low",IF(EmployeeData[[#This Row],[MonthlyIncome]]&lt;=60000,"Medium",IF(EmployeeData[[#This Row],[MonthlyIncome]]&lt;=100000,"High","Very High")))</f>
        <v>High</v>
      </c>
      <c r="AB41">
        <f>IF(EmployeeData[[#This Row],[Attrition]]="Yes",1,0)</f>
        <v>0</v>
      </c>
      <c r="AC41" t="str">
        <f ca="1">IF(EmployeeData[[#This Row],[Tenure Years]]&lt;1,"Less than 1 Year",IF(EmployeeData[[#This Row],[Tenure Years]]&lt;=3,"1-3 Years",IF(EmployeeData[[#This Row],[Tenure Years]]&lt;=5,"4-5 Years",IF(EmployeeData[[#This Row],[Tenure Years]]&lt;=10,"6-10 Years","More than 10 Years"))))</f>
        <v>4-5 Years</v>
      </c>
      <c r="AD41">
        <f>ROUND(AVERAGE(EmployeeData[[#This Row],[JobSatisfaction]],EmployeeData[[#This Row],[EnvironmentSatisfaction]],EmployeeData[[#This Row],[WorkLifeBalance]]),2)</f>
        <v>2.33</v>
      </c>
      <c r="AE41" t="str">
        <f>IF(EmployeeData[[#This Row],[Satisfaction Score]]&lt;2,"Low",IF(EmployeeData[[#This Row],[Satisfaction Score]]&lt;3,"Medium","High"))</f>
        <v>Medium</v>
      </c>
    </row>
    <row r="42" spans="1:31" x14ac:dyDescent="0.25">
      <c r="A42" t="s">
        <v>274</v>
      </c>
      <c r="B42" t="s">
        <v>275</v>
      </c>
      <c r="C42" t="s">
        <v>58</v>
      </c>
      <c r="D42">
        <v>43</v>
      </c>
      <c r="E42" t="s">
        <v>128</v>
      </c>
      <c r="F42" t="s">
        <v>271</v>
      </c>
      <c r="G42" s="1">
        <v>43093</v>
      </c>
      <c r="H42">
        <v>77435</v>
      </c>
      <c r="I42" t="s">
        <v>52</v>
      </c>
      <c r="J42" t="s">
        <v>61</v>
      </c>
      <c r="K42" t="s">
        <v>32</v>
      </c>
      <c r="L42" t="s">
        <v>43</v>
      </c>
      <c r="M42">
        <v>42</v>
      </c>
      <c r="N42" t="s">
        <v>34</v>
      </c>
      <c r="O42">
        <v>1</v>
      </c>
      <c r="P42">
        <v>2</v>
      </c>
      <c r="Q42">
        <v>2</v>
      </c>
      <c r="R42">
        <v>3</v>
      </c>
      <c r="S42">
        <v>4</v>
      </c>
      <c r="T42">
        <v>2</v>
      </c>
      <c r="U42">
        <v>23</v>
      </c>
      <c r="V42" t="s">
        <v>277</v>
      </c>
      <c r="W42" t="s">
        <v>45</v>
      </c>
      <c r="X42" s="1">
        <v>44197</v>
      </c>
      <c r="Y42" s="2" t="str">
        <f>IF(EmployeeData[[#This Row],[Age]]&lt;25,"Under 25",IF(EmployeeData[[#This Row],[Age]]&lt;=34,"25-34",IF(EmployeeData[[#This Row],[Age]]&lt;=44,"35-44",IF(EmployeeData[[#This Row],[Age]]&lt;=54,"45-54","55+"))))</f>
        <v>35-44</v>
      </c>
      <c r="Z42">
        <f ca="1">DATEDIF(EmployeeData[[#This Row],[DateOfJoining]],IF(AND(EmployeeData[[#This Row],[Attrition]]="Yes",EmployeeData[[#This Row],[LastWorkingDate]]&lt;&gt;""),EmployeeData[[#This Row],[LastWorkingDate]],TODAY()),"Y")</f>
        <v>3</v>
      </c>
      <c r="AA42" t="str">
        <f>IF(EmployeeData[[#This Row],[MonthlyIncome]]&lt;30000,"Low",IF(EmployeeData[[#This Row],[MonthlyIncome]]&lt;=60000,"Medium",IF(EmployeeData[[#This Row],[MonthlyIncome]]&lt;=100000,"High","Very High")))</f>
        <v>High</v>
      </c>
      <c r="AB42">
        <f>IF(EmployeeData[[#This Row],[Attrition]]="Yes",1,0)</f>
        <v>1</v>
      </c>
      <c r="AC42" t="str">
        <f ca="1">IF(EmployeeData[[#This Row],[Tenure Years]]&lt;1,"Less than 1 Year",IF(EmployeeData[[#This Row],[Tenure Years]]&lt;=3,"1-3 Years",IF(EmployeeData[[#This Row],[Tenure Years]]&lt;=5,"4-5 Years",IF(EmployeeData[[#This Row],[Tenure Years]]&lt;=10,"6-10 Years","More than 10 Years"))))</f>
        <v>1-3 Years</v>
      </c>
      <c r="AD42">
        <f>ROUND(AVERAGE(EmployeeData[[#This Row],[JobSatisfaction]],EmployeeData[[#This Row],[EnvironmentSatisfaction]],EmployeeData[[#This Row],[WorkLifeBalance]]),2)</f>
        <v>1.67</v>
      </c>
      <c r="AE42" t="str">
        <f>IF(EmployeeData[[#This Row],[Satisfaction Score]]&lt;2,"Low",IF(EmployeeData[[#This Row],[Satisfaction Score]]&lt;3,"Medium","High"))</f>
        <v>Low</v>
      </c>
    </row>
    <row r="43" spans="1:31" x14ac:dyDescent="0.25">
      <c r="A43" t="s">
        <v>279</v>
      </c>
      <c r="B43" t="s">
        <v>280</v>
      </c>
      <c r="C43" t="s">
        <v>58</v>
      </c>
      <c r="D43">
        <v>29</v>
      </c>
      <c r="E43" t="s">
        <v>27</v>
      </c>
      <c r="F43" t="s">
        <v>75</v>
      </c>
      <c r="G43" s="1">
        <v>44179</v>
      </c>
      <c r="H43">
        <v>121515</v>
      </c>
      <c r="I43" t="s">
        <v>30</v>
      </c>
      <c r="J43" t="s">
        <v>97</v>
      </c>
      <c r="K43" t="s">
        <v>32</v>
      </c>
      <c r="L43" t="s">
        <v>43</v>
      </c>
      <c r="M43">
        <v>18</v>
      </c>
      <c r="N43" t="s">
        <v>34</v>
      </c>
      <c r="O43">
        <v>1</v>
      </c>
      <c r="P43">
        <v>3</v>
      </c>
      <c r="Q43">
        <v>2</v>
      </c>
      <c r="R43">
        <v>3</v>
      </c>
      <c r="S43">
        <v>1</v>
      </c>
      <c r="T43">
        <v>2</v>
      </c>
      <c r="U43">
        <v>14</v>
      </c>
      <c r="V43" t="s">
        <v>283</v>
      </c>
      <c r="W43" t="s">
        <v>34</v>
      </c>
      <c r="Y43" s="2" t="str">
        <f>IF(EmployeeData[[#This Row],[Age]]&lt;25,"Under 25",IF(EmployeeData[[#This Row],[Age]]&lt;=34,"25-34",IF(EmployeeData[[#This Row],[Age]]&lt;=44,"35-44",IF(EmployeeData[[#This Row],[Age]]&lt;=54,"45-54","55+"))))</f>
        <v>25-34</v>
      </c>
      <c r="Z43">
        <f ca="1">DATEDIF(EmployeeData[[#This Row],[DateOfJoining]],IF(AND(EmployeeData[[#This Row],[Attrition]]="Yes",EmployeeData[[#This Row],[LastWorkingDate]]&lt;&gt;""),EmployeeData[[#This Row],[LastWorkingDate]],TODAY()),"Y")</f>
        <v>5</v>
      </c>
      <c r="AA43" t="str">
        <f>IF(EmployeeData[[#This Row],[MonthlyIncome]]&lt;30000,"Low",IF(EmployeeData[[#This Row],[MonthlyIncome]]&lt;=60000,"Medium",IF(EmployeeData[[#This Row],[MonthlyIncome]]&lt;=100000,"High","Very High")))</f>
        <v>Very High</v>
      </c>
      <c r="AB43">
        <f>IF(EmployeeData[[#This Row],[Attrition]]="Yes",1,0)</f>
        <v>0</v>
      </c>
      <c r="AC43" t="str">
        <f ca="1">IF(EmployeeData[[#This Row],[Tenure Years]]&lt;1,"Less than 1 Year",IF(EmployeeData[[#This Row],[Tenure Years]]&lt;=3,"1-3 Years",IF(EmployeeData[[#This Row],[Tenure Years]]&lt;=5,"4-5 Years",IF(EmployeeData[[#This Row],[Tenure Years]]&lt;=10,"6-10 Years","More than 10 Years"))))</f>
        <v>4-5 Years</v>
      </c>
      <c r="AD43">
        <f>ROUND(AVERAGE(EmployeeData[[#This Row],[JobSatisfaction]],EmployeeData[[#This Row],[EnvironmentSatisfaction]],EmployeeData[[#This Row],[WorkLifeBalance]]),2)</f>
        <v>2</v>
      </c>
      <c r="AE43" t="str">
        <f>IF(EmployeeData[[#This Row],[Satisfaction Score]]&lt;2,"Low",IF(EmployeeData[[#This Row],[Satisfaction Score]]&lt;3,"Medium","High"))</f>
        <v>Medium</v>
      </c>
    </row>
    <row r="44" spans="1:31" x14ac:dyDescent="0.25">
      <c r="A44" t="s">
        <v>284</v>
      </c>
      <c r="B44" t="s">
        <v>285</v>
      </c>
      <c r="C44" t="s">
        <v>49</v>
      </c>
      <c r="D44">
        <v>26</v>
      </c>
      <c r="E44" t="s">
        <v>5461</v>
      </c>
      <c r="F44" t="s">
        <v>5464</v>
      </c>
      <c r="G44" s="1">
        <v>43418</v>
      </c>
      <c r="H44">
        <v>115249</v>
      </c>
      <c r="I44" t="s">
        <v>42</v>
      </c>
      <c r="J44" t="s">
        <v>5459</v>
      </c>
      <c r="K44" t="s">
        <v>131</v>
      </c>
      <c r="L44" t="s">
        <v>62</v>
      </c>
      <c r="M44">
        <v>19</v>
      </c>
      <c r="N44" t="s">
        <v>45</v>
      </c>
      <c r="O44">
        <v>4</v>
      </c>
      <c r="P44">
        <v>1</v>
      </c>
      <c r="Q44">
        <v>2</v>
      </c>
      <c r="R44">
        <v>4</v>
      </c>
      <c r="S44">
        <v>2</v>
      </c>
      <c r="T44">
        <v>1</v>
      </c>
      <c r="U44">
        <v>18</v>
      </c>
      <c r="V44" t="s">
        <v>288</v>
      </c>
      <c r="W44" t="s">
        <v>45</v>
      </c>
      <c r="X44" s="1">
        <v>44806</v>
      </c>
      <c r="Y44" s="2" t="str">
        <f>IF(EmployeeData[[#This Row],[Age]]&lt;25,"Under 25",IF(EmployeeData[[#This Row],[Age]]&lt;=34,"25-34",IF(EmployeeData[[#This Row],[Age]]&lt;=44,"35-44",IF(EmployeeData[[#This Row],[Age]]&lt;=54,"45-54","55+"))))</f>
        <v>25-34</v>
      </c>
      <c r="Z44">
        <f ca="1">DATEDIF(EmployeeData[[#This Row],[DateOfJoining]],IF(AND(EmployeeData[[#This Row],[Attrition]]="Yes",EmployeeData[[#This Row],[LastWorkingDate]]&lt;&gt;""),EmployeeData[[#This Row],[LastWorkingDate]],TODAY()),"Y")</f>
        <v>3</v>
      </c>
      <c r="AA44" t="str">
        <f>IF(EmployeeData[[#This Row],[MonthlyIncome]]&lt;30000,"Low",IF(EmployeeData[[#This Row],[MonthlyIncome]]&lt;=60000,"Medium",IF(EmployeeData[[#This Row],[MonthlyIncome]]&lt;=100000,"High","Very High")))</f>
        <v>Very High</v>
      </c>
      <c r="AB44">
        <f>IF(EmployeeData[[#This Row],[Attrition]]="Yes",1,0)</f>
        <v>1</v>
      </c>
      <c r="AC44" t="str">
        <f ca="1">IF(EmployeeData[[#This Row],[Tenure Years]]&lt;1,"Less than 1 Year",IF(EmployeeData[[#This Row],[Tenure Years]]&lt;=3,"1-3 Years",IF(EmployeeData[[#This Row],[Tenure Years]]&lt;=5,"4-5 Years",IF(EmployeeData[[#This Row],[Tenure Years]]&lt;=10,"6-10 Years","More than 10 Years"))))</f>
        <v>1-3 Years</v>
      </c>
      <c r="AD44">
        <f>ROUND(AVERAGE(EmployeeData[[#This Row],[JobSatisfaction]],EmployeeData[[#This Row],[EnvironmentSatisfaction]],EmployeeData[[#This Row],[WorkLifeBalance]]),2)</f>
        <v>2.33</v>
      </c>
      <c r="AE44" t="str">
        <f>IF(EmployeeData[[#This Row],[Satisfaction Score]]&lt;2,"Low",IF(EmployeeData[[#This Row],[Satisfaction Score]]&lt;3,"Medium","High"))</f>
        <v>Medium</v>
      </c>
    </row>
    <row r="45" spans="1:31" x14ac:dyDescent="0.25">
      <c r="A45" t="s">
        <v>290</v>
      </c>
      <c r="B45" t="s">
        <v>291</v>
      </c>
      <c r="C45" t="s">
        <v>49</v>
      </c>
      <c r="D45">
        <v>48</v>
      </c>
      <c r="E45" t="s">
        <v>128</v>
      </c>
      <c r="F45" t="s">
        <v>226</v>
      </c>
      <c r="G45" s="1">
        <v>45817</v>
      </c>
      <c r="H45">
        <v>89056</v>
      </c>
      <c r="I45" t="s">
        <v>30</v>
      </c>
      <c r="J45" t="s">
        <v>61</v>
      </c>
      <c r="K45" t="s">
        <v>77</v>
      </c>
      <c r="L45" t="s">
        <v>33</v>
      </c>
      <c r="M45">
        <v>24</v>
      </c>
      <c r="N45" t="s">
        <v>34</v>
      </c>
      <c r="O45">
        <v>3</v>
      </c>
      <c r="P45">
        <v>3</v>
      </c>
      <c r="Q45">
        <v>3</v>
      </c>
      <c r="R45">
        <v>2</v>
      </c>
      <c r="S45">
        <v>3</v>
      </c>
      <c r="T45">
        <v>7</v>
      </c>
      <c r="U45">
        <v>18</v>
      </c>
      <c r="V45" t="s">
        <v>293</v>
      </c>
      <c r="W45" t="s">
        <v>34</v>
      </c>
      <c r="Y45" s="2" t="str">
        <f>IF(EmployeeData[[#This Row],[Age]]&lt;25,"Under 25",IF(EmployeeData[[#This Row],[Age]]&lt;=34,"25-34",IF(EmployeeData[[#This Row],[Age]]&lt;=44,"35-44",IF(EmployeeData[[#This Row],[Age]]&lt;=54,"45-54","55+"))))</f>
        <v>45-54</v>
      </c>
      <c r="Z45">
        <f ca="1">DATEDIF(EmployeeData[[#This Row],[DateOfJoining]],IF(AND(EmployeeData[[#This Row],[Attrition]]="Yes",EmployeeData[[#This Row],[LastWorkingDate]]&lt;&gt;""),EmployeeData[[#This Row],[LastWorkingDate]],TODAY()),"Y")</f>
        <v>1</v>
      </c>
      <c r="AA45" t="str">
        <f>IF(EmployeeData[[#This Row],[MonthlyIncome]]&lt;30000,"Low",IF(EmployeeData[[#This Row],[MonthlyIncome]]&lt;=60000,"Medium",IF(EmployeeData[[#This Row],[MonthlyIncome]]&lt;=100000,"High","Very High")))</f>
        <v>High</v>
      </c>
      <c r="AB45">
        <f>IF(EmployeeData[[#This Row],[Attrition]]="Yes",1,0)</f>
        <v>0</v>
      </c>
      <c r="AC45" t="str">
        <f ca="1">IF(EmployeeData[[#This Row],[Tenure Years]]&lt;1,"Less than 1 Year",IF(EmployeeData[[#This Row],[Tenure Years]]&lt;=3,"1-3 Years",IF(EmployeeData[[#This Row],[Tenure Years]]&lt;=5,"4-5 Years",IF(EmployeeData[[#This Row],[Tenure Years]]&lt;=10,"6-10 Years","More than 10 Years"))))</f>
        <v>1-3 Years</v>
      </c>
      <c r="AD45">
        <f>ROUND(AVERAGE(EmployeeData[[#This Row],[JobSatisfaction]],EmployeeData[[#This Row],[EnvironmentSatisfaction]],EmployeeData[[#This Row],[WorkLifeBalance]]),2)</f>
        <v>3</v>
      </c>
      <c r="AE45" t="str">
        <f>IF(EmployeeData[[#This Row],[Satisfaction Score]]&lt;2,"Low",IF(EmployeeData[[#This Row],[Satisfaction Score]]&lt;3,"Medium","High"))</f>
        <v>High</v>
      </c>
    </row>
    <row r="46" spans="1:31" x14ac:dyDescent="0.25">
      <c r="A46" t="s">
        <v>294</v>
      </c>
      <c r="B46" t="s">
        <v>295</v>
      </c>
      <c r="C46" t="s">
        <v>58</v>
      </c>
      <c r="D46">
        <v>24</v>
      </c>
      <c r="E46" t="s">
        <v>27</v>
      </c>
      <c r="F46" t="s">
        <v>50</v>
      </c>
      <c r="G46" s="1">
        <v>43880</v>
      </c>
      <c r="H46">
        <v>73043</v>
      </c>
      <c r="I46" t="s">
        <v>42</v>
      </c>
      <c r="J46" t="s">
        <v>61</v>
      </c>
      <c r="K46" t="s">
        <v>54</v>
      </c>
      <c r="L46" t="s">
        <v>62</v>
      </c>
      <c r="M46">
        <v>9</v>
      </c>
      <c r="N46" t="s">
        <v>34</v>
      </c>
      <c r="O46">
        <v>4</v>
      </c>
      <c r="P46">
        <v>4</v>
      </c>
      <c r="Q46">
        <v>4</v>
      </c>
      <c r="R46">
        <v>3</v>
      </c>
      <c r="S46">
        <v>5</v>
      </c>
      <c r="T46">
        <v>7</v>
      </c>
      <c r="U46">
        <v>17</v>
      </c>
      <c r="V46" t="s">
        <v>298</v>
      </c>
      <c r="W46" t="s">
        <v>34</v>
      </c>
      <c r="Y46" s="2" t="str">
        <f>IF(EmployeeData[[#This Row],[Age]]&lt;25,"Under 25",IF(EmployeeData[[#This Row],[Age]]&lt;=34,"25-34",IF(EmployeeData[[#This Row],[Age]]&lt;=44,"35-44",IF(EmployeeData[[#This Row],[Age]]&lt;=54,"45-54","55+"))))</f>
        <v>Under 25</v>
      </c>
      <c r="Z46">
        <f ca="1">DATEDIF(EmployeeData[[#This Row],[DateOfJoining]],IF(AND(EmployeeData[[#This Row],[Attrition]]="Yes",EmployeeData[[#This Row],[LastWorkingDate]]&lt;&gt;""),EmployeeData[[#This Row],[LastWorkingDate]],TODAY()),"Y")</f>
        <v>6</v>
      </c>
      <c r="AA46" t="str">
        <f>IF(EmployeeData[[#This Row],[MonthlyIncome]]&lt;30000,"Low",IF(EmployeeData[[#This Row],[MonthlyIncome]]&lt;=60000,"Medium",IF(EmployeeData[[#This Row],[MonthlyIncome]]&lt;=100000,"High","Very High")))</f>
        <v>High</v>
      </c>
      <c r="AB46">
        <f>IF(EmployeeData[[#This Row],[Attrition]]="Yes",1,0)</f>
        <v>0</v>
      </c>
      <c r="AC46" t="str">
        <f ca="1">IF(EmployeeData[[#This Row],[Tenure Years]]&lt;1,"Less than 1 Year",IF(EmployeeData[[#This Row],[Tenure Years]]&lt;=3,"1-3 Years",IF(EmployeeData[[#This Row],[Tenure Years]]&lt;=5,"4-5 Years",IF(EmployeeData[[#This Row],[Tenure Years]]&lt;=10,"6-10 Years","More than 10 Years"))))</f>
        <v>6-10 Years</v>
      </c>
      <c r="AD46">
        <f>ROUND(AVERAGE(EmployeeData[[#This Row],[JobSatisfaction]],EmployeeData[[#This Row],[EnvironmentSatisfaction]],EmployeeData[[#This Row],[WorkLifeBalance]]),2)</f>
        <v>4</v>
      </c>
      <c r="AE46" t="str">
        <f>IF(EmployeeData[[#This Row],[Satisfaction Score]]&lt;2,"Low",IF(EmployeeData[[#This Row],[Satisfaction Score]]&lt;3,"Medium","High"))</f>
        <v>High</v>
      </c>
    </row>
    <row r="47" spans="1:31" x14ac:dyDescent="0.25">
      <c r="A47" t="s">
        <v>299</v>
      </c>
      <c r="B47" t="s">
        <v>300</v>
      </c>
      <c r="C47" t="s">
        <v>49</v>
      </c>
      <c r="D47">
        <v>48</v>
      </c>
      <c r="E47" t="s">
        <v>128</v>
      </c>
      <c r="F47" t="s">
        <v>271</v>
      </c>
      <c r="G47" s="1">
        <v>46066</v>
      </c>
      <c r="H47">
        <v>67220</v>
      </c>
      <c r="I47" t="s">
        <v>52</v>
      </c>
      <c r="J47" t="s">
        <v>97</v>
      </c>
      <c r="K47" t="s">
        <v>113</v>
      </c>
      <c r="L47" t="s">
        <v>62</v>
      </c>
      <c r="M47">
        <v>44</v>
      </c>
      <c r="N47" t="s">
        <v>45</v>
      </c>
      <c r="O47">
        <v>4</v>
      </c>
      <c r="P47">
        <v>3</v>
      </c>
      <c r="Q47">
        <v>1</v>
      </c>
      <c r="R47">
        <v>5</v>
      </c>
      <c r="S47">
        <v>3</v>
      </c>
      <c r="T47">
        <v>4</v>
      </c>
      <c r="U47">
        <v>14</v>
      </c>
      <c r="V47" t="s">
        <v>302</v>
      </c>
      <c r="W47" t="s">
        <v>45</v>
      </c>
      <c r="X47" s="1">
        <v>46250</v>
      </c>
      <c r="Y47" s="2" t="str">
        <f>IF(EmployeeData[[#This Row],[Age]]&lt;25,"Under 25",IF(EmployeeData[[#This Row],[Age]]&lt;=34,"25-34",IF(EmployeeData[[#This Row],[Age]]&lt;=44,"35-44",IF(EmployeeData[[#This Row],[Age]]&lt;=54,"45-54","55+"))))</f>
        <v>45-54</v>
      </c>
      <c r="Z47">
        <f ca="1">DATEDIF(EmployeeData[[#This Row],[DateOfJoining]],IF(AND(EmployeeData[[#This Row],[Attrition]]="Yes",EmployeeData[[#This Row],[LastWorkingDate]]&lt;&gt;""),EmployeeData[[#This Row],[LastWorkingDate]],TODAY()),"Y")</f>
        <v>0</v>
      </c>
      <c r="AA47" t="str">
        <f>IF(EmployeeData[[#This Row],[MonthlyIncome]]&lt;30000,"Low",IF(EmployeeData[[#This Row],[MonthlyIncome]]&lt;=60000,"Medium",IF(EmployeeData[[#This Row],[MonthlyIncome]]&lt;=100000,"High","Very High")))</f>
        <v>High</v>
      </c>
      <c r="AB47">
        <f>IF(EmployeeData[[#This Row],[Attrition]]="Yes",1,0)</f>
        <v>1</v>
      </c>
      <c r="AC47" t="str">
        <f ca="1">IF(EmployeeData[[#This Row],[Tenure Years]]&lt;1,"Less than 1 Year",IF(EmployeeData[[#This Row],[Tenure Years]]&lt;=3,"1-3 Years",IF(EmployeeData[[#This Row],[Tenure Years]]&lt;=5,"4-5 Years",IF(EmployeeData[[#This Row],[Tenure Years]]&lt;=10,"6-10 Years","More than 10 Years"))))</f>
        <v>Less than 1 Year</v>
      </c>
      <c r="AD47">
        <f>ROUND(AVERAGE(EmployeeData[[#This Row],[JobSatisfaction]],EmployeeData[[#This Row],[EnvironmentSatisfaction]],EmployeeData[[#This Row],[WorkLifeBalance]]),2)</f>
        <v>2.67</v>
      </c>
      <c r="AE47" t="str">
        <f>IF(EmployeeData[[#This Row],[Satisfaction Score]]&lt;2,"Low",IF(EmployeeData[[#This Row],[Satisfaction Score]]&lt;3,"Medium","High"))</f>
        <v>Medium</v>
      </c>
    </row>
    <row r="48" spans="1:31" x14ac:dyDescent="0.25">
      <c r="A48" t="s">
        <v>304</v>
      </c>
      <c r="B48" t="s">
        <v>305</v>
      </c>
      <c r="C48" t="s">
        <v>58</v>
      </c>
      <c r="D48">
        <v>32</v>
      </c>
      <c r="E48" t="s">
        <v>94</v>
      </c>
      <c r="F48" t="s">
        <v>306</v>
      </c>
      <c r="G48" s="1">
        <v>41652</v>
      </c>
      <c r="H48">
        <v>128079</v>
      </c>
      <c r="I48" t="s">
        <v>5459</v>
      </c>
      <c r="J48" t="s">
        <v>61</v>
      </c>
      <c r="K48" t="s">
        <v>167</v>
      </c>
      <c r="L48" t="s">
        <v>33</v>
      </c>
      <c r="M48">
        <v>2</v>
      </c>
      <c r="N48" t="s">
        <v>45</v>
      </c>
      <c r="O48">
        <v>4</v>
      </c>
      <c r="P48">
        <v>3</v>
      </c>
      <c r="Q48">
        <v>2</v>
      </c>
      <c r="R48">
        <v>5</v>
      </c>
      <c r="S48">
        <v>0</v>
      </c>
      <c r="T48">
        <v>5</v>
      </c>
      <c r="U48">
        <v>12</v>
      </c>
      <c r="V48" t="s">
        <v>309</v>
      </c>
      <c r="W48" t="s">
        <v>45</v>
      </c>
      <c r="X48" s="1">
        <v>43087</v>
      </c>
      <c r="Y48" s="2" t="str">
        <f>IF(EmployeeData[[#This Row],[Age]]&lt;25,"Under 25",IF(EmployeeData[[#This Row],[Age]]&lt;=34,"25-34",IF(EmployeeData[[#This Row],[Age]]&lt;=44,"35-44",IF(EmployeeData[[#This Row],[Age]]&lt;=54,"45-54","55+"))))</f>
        <v>25-34</v>
      </c>
      <c r="Z48">
        <f ca="1">DATEDIF(EmployeeData[[#This Row],[DateOfJoining]],IF(AND(EmployeeData[[#This Row],[Attrition]]="Yes",EmployeeData[[#This Row],[LastWorkingDate]]&lt;&gt;""),EmployeeData[[#This Row],[LastWorkingDate]],TODAY()),"Y")</f>
        <v>3</v>
      </c>
      <c r="AA48" t="str">
        <f>IF(EmployeeData[[#This Row],[MonthlyIncome]]&lt;30000,"Low",IF(EmployeeData[[#This Row],[MonthlyIncome]]&lt;=60000,"Medium",IF(EmployeeData[[#This Row],[MonthlyIncome]]&lt;=100000,"High","Very High")))</f>
        <v>Very High</v>
      </c>
      <c r="AB48">
        <f>IF(EmployeeData[[#This Row],[Attrition]]="Yes",1,0)</f>
        <v>1</v>
      </c>
      <c r="AC48" t="str">
        <f ca="1">IF(EmployeeData[[#This Row],[Tenure Years]]&lt;1,"Less than 1 Year",IF(EmployeeData[[#This Row],[Tenure Years]]&lt;=3,"1-3 Years",IF(EmployeeData[[#This Row],[Tenure Years]]&lt;=5,"4-5 Years",IF(EmployeeData[[#This Row],[Tenure Years]]&lt;=10,"6-10 Years","More than 10 Years"))))</f>
        <v>1-3 Years</v>
      </c>
      <c r="AD48">
        <f>ROUND(AVERAGE(EmployeeData[[#This Row],[JobSatisfaction]],EmployeeData[[#This Row],[EnvironmentSatisfaction]],EmployeeData[[#This Row],[WorkLifeBalance]]),2)</f>
        <v>3</v>
      </c>
      <c r="AE48" t="str">
        <f>IF(EmployeeData[[#This Row],[Satisfaction Score]]&lt;2,"Low",IF(EmployeeData[[#This Row],[Satisfaction Score]]&lt;3,"Medium","High"))</f>
        <v>High</v>
      </c>
    </row>
    <row r="49" spans="1:31" x14ac:dyDescent="0.25">
      <c r="A49" t="s">
        <v>311</v>
      </c>
      <c r="B49" t="s">
        <v>312</v>
      </c>
      <c r="C49" t="s">
        <v>49</v>
      </c>
      <c r="D49">
        <v>30</v>
      </c>
      <c r="E49" t="s">
        <v>128</v>
      </c>
      <c r="F49" t="s">
        <v>226</v>
      </c>
      <c r="G49" s="1">
        <v>41716</v>
      </c>
      <c r="H49">
        <v>91350</v>
      </c>
      <c r="I49" t="s">
        <v>42</v>
      </c>
      <c r="J49" t="s">
        <v>61</v>
      </c>
      <c r="K49" t="s">
        <v>77</v>
      </c>
      <c r="L49" t="s">
        <v>43</v>
      </c>
      <c r="M49">
        <v>43</v>
      </c>
      <c r="N49" t="s">
        <v>34</v>
      </c>
      <c r="O49">
        <v>3</v>
      </c>
      <c r="P49">
        <v>1</v>
      </c>
      <c r="Q49">
        <v>2</v>
      </c>
      <c r="R49">
        <v>3</v>
      </c>
      <c r="S49">
        <v>5</v>
      </c>
      <c r="T49">
        <v>6</v>
      </c>
      <c r="U49">
        <v>18</v>
      </c>
      <c r="V49" t="s">
        <v>314</v>
      </c>
      <c r="W49" t="s">
        <v>34</v>
      </c>
      <c r="Y49" s="2" t="str">
        <f>IF(EmployeeData[[#This Row],[Age]]&lt;25,"Under 25",IF(EmployeeData[[#This Row],[Age]]&lt;=34,"25-34",IF(EmployeeData[[#This Row],[Age]]&lt;=44,"35-44",IF(EmployeeData[[#This Row],[Age]]&lt;=54,"45-54","55+"))))</f>
        <v>25-34</v>
      </c>
      <c r="Z49">
        <f ca="1">DATEDIF(EmployeeData[[#This Row],[DateOfJoining]],IF(AND(EmployeeData[[#This Row],[Attrition]]="Yes",EmployeeData[[#This Row],[LastWorkingDate]]&lt;&gt;""),EmployeeData[[#This Row],[LastWorkingDate]],TODAY()),"Y")</f>
        <v>12</v>
      </c>
      <c r="AA49" t="str">
        <f>IF(EmployeeData[[#This Row],[MonthlyIncome]]&lt;30000,"Low",IF(EmployeeData[[#This Row],[MonthlyIncome]]&lt;=60000,"Medium",IF(EmployeeData[[#This Row],[MonthlyIncome]]&lt;=100000,"High","Very High")))</f>
        <v>High</v>
      </c>
      <c r="AB49">
        <f>IF(EmployeeData[[#This Row],[Attrition]]="Yes",1,0)</f>
        <v>0</v>
      </c>
      <c r="AC49" t="str">
        <f ca="1">IF(EmployeeData[[#This Row],[Tenure Years]]&lt;1,"Less than 1 Year",IF(EmployeeData[[#This Row],[Tenure Years]]&lt;=3,"1-3 Years",IF(EmployeeData[[#This Row],[Tenure Years]]&lt;=5,"4-5 Years",IF(EmployeeData[[#This Row],[Tenure Years]]&lt;=10,"6-10 Years","More than 10 Years"))))</f>
        <v>More than 10 Years</v>
      </c>
      <c r="AD49">
        <f>ROUND(AVERAGE(EmployeeData[[#This Row],[JobSatisfaction]],EmployeeData[[#This Row],[EnvironmentSatisfaction]],EmployeeData[[#This Row],[WorkLifeBalance]]),2)</f>
        <v>2</v>
      </c>
      <c r="AE49" t="str">
        <f>IF(EmployeeData[[#This Row],[Satisfaction Score]]&lt;2,"Low",IF(EmployeeData[[#This Row],[Satisfaction Score]]&lt;3,"Medium","High"))</f>
        <v>Medium</v>
      </c>
    </row>
    <row r="50" spans="1:31" x14ac:dyDescent="0.25">
      <c r="A50" t="s">
        <v>315</v>
      </c>
      <c r="B50" t="s">
        <v>316</v>
      </c>
      <c r="C50" t="s">
        <v>58</v>
      </c>
      <c r="D50">
        <v>34</v>
      </c>
      <c r="E50" t="s">
        <v>94</v>
      </c>
      <c r="F50" t="s">
        <v>266</v>
      </c>
      <c r="G50" s="1">
        <v>43495</v>
      </c>
      <c r="H50">
        <v>128576</v>
      </c>
      <c r="I50" t="s">
        <v>52</v>
      </c>
      <c r="J50" t="s">
        <v>31</v>
      </c>
      <c r="K50" t="s">
        <v>83</v>
      </c>
      <c r="L50" t="s">
        <v>33</v>
      </c>
      <c r="M50">
        <v>27</v>
      </c>
      <c r="N50" t="s">
        <v>34</v>
      </c>
      <c r="O50">
        <v>4</v>
      </c>
      <c r="P50">
        <v>2</v>
      </c>
      <c r="Q50">
        <v>2</v>
      </c>
      <c r="R50">
        <v>3</v>
      </c>
      <c r="S50">
        <v>3</v>
      </c>
      <c r="T50">
        <v>4</v>
      </c>
      <c r="U50">
        <v>16</v>
      </c>
      <c r="V50" t="s">
        <v>319</v>
      </c>
      <c r="W50" t="s">
        <v>34</v>
      </c>
      <c r="Y50" s="2" t="str">
        <f>IF(EmployeeData[[#This Row],[Age]]&lt;25,"Under 25",IF(EmployeeData[[#This Row],[Age]]&lt;=34,"25-34",IF(EmployeeData[[#This Row],[Age]]&lt;=44,"35-44",IF(EmployeeData[[#This Row],[Age]]&lt;=54,"45-54","55+"))))</f>
        <v>25-34</v>
      </c>
      <c r="Z50">
        <f ca="1">DATEDIF(EmployeeData[[#This Row],[DateOfJoining]],IF(AND(EmployeeData[[#This Row],[Attrition]]="Yes",EmployeeData[[#This Row],[LastWorkingDate]]&lt;&gt;""),EmployeeData[[#This Row],[LastWorkingDate]],TODAY()),"Y")</f>
        <v>7</v>
      </c>
      <c r="AA50" t="str">
        <f>IF(EmployeeData[[#This Row],[MonthlyIncome]]&lt;30000,"Low",IF(EmployeeData[[#This Row],[MonthlyIncome]]&lt;=60000,"Medium",IF(EmployeeData[[#This Row],[MonthlyIncome]]&lt;=100000,"High","Very High")))</f>
        <v>Very High</v>
      </c>
      <c r="AB50">
        <f>IF(EmployeeData[[#This Row],[Attrition]]="Yes",1,0)</f>
        <v>0</v>
      </c>
      <c r="AC50" t="str">
        <f ca="1">IF(EmployeeData[[#This Row],[Tenure Years]]&lt;1,"Less than 1 Year",IF(EmployeeData[[#This Row],[Tenure Years]]&lt;=3,"1-3 Years",IF(EmployeeData[[#This Row],[Tenure Years]]&lt;=5,"4-5 Years",IF(EmployeeData[[#This Row],[Tenure Years]]&lt;=10,"6-10 Years","More than 10 Years"))))</f>
        <v>6-10 Years</v>
      </c>
      <c r="AD50">
        <f>ROUND(AVERAGE(EmployeeData[[#This Row],[JobSatisfaction]],EmployeeData[[#This Row],[EnvironmentSatisfaction]],EmployeeData[[#This Row],[WorkLifeBalance]]),2)</f>
        <v>2.67</v>
      </c>
      <c r="AE50" t="str">
        <f>IF(EmployeeData[[#This Row],[Satisfaction Score]]&lt;2,"Low",IF(EmployeeData[[#This Row],[Satisfaction Score]]&lt;3,"Medium","High"))</f>
        <v>Medium</v>
      </c>
    </row>
    <row r="51" spans="1:31" x14ac:dyDescent="0.25">
      <c r="A51" t="s">
        <v>320</v>
      </c>
      <c r="B51" t="s">
        <v>321</v>
      </c>
      <c r="C51" t="s">
        <v>58</v>
      </c>
      <c r="D51">
        <v>39</v>
      </c>
      <c r="E51" t="s">
        <v>197</v>
      </c>
      <c r="F51" t="s">
        <v>323</v>
      </c>
      <c r="G51" s="1">
        <v>43771</v>
      </c>
      <c r="H51">
        <v>54773</v>
      </c>
      <c r="I51" t="s">
        <v>52</v>
      </c>
      <c r="J51" t="s">
        <v>53</v>
      </c>
      <c r="K51" t="s">
        <v>200</v>
      </c>
      <c r="L51" t="s">
        <v>62</v>
      </c>
      <c r="M51">
        <v>23</v>
      </c>
      <c r="N51" t="s">
        <v>45</v>
      </c>
      <c r="O51">
        <v>3</v>
      </c>
      <c r="P51">
        <v>3</v>
      </c>
      <c r="Q51">
        <v>3</v>
      </c>
      <c r="R51">
        <v>3</v>
      </c>
      <c r="S51">
        <v>5</v>
      </c>
      <c r="T51">
        <v>0</v>
      </c>
      <c r="U51">
        <v>17</v>
      </c>
      <c r="V51" t="s">
        <v>325</v>
      </c>
      <c r="W51" t="s">
        <v>34</v>
      </c>
      <c r="Y51" s="2" t="str">
        <f>IF(EmployeeData[[#This Row],[Age]]&lt;25,"Under 25",IF(EmployeeData[[#This Row],[Age]]&lt;=34,"25-34",IF(EmployeeData[[#This Row],[Age]]&lt;=44,"35-44",IF(EmployeeData[[#This Row],[Age]]&lt;=54,"45-54","55+"))))</f>
        <v>35-44</v>
      </c>
      <c r="Z51">
        <f ca="1">DATEDIF(EmployeeData[[#This Row],[DateOfJoining]],IF(AND(EmployeeData[[#This Row],[Attrition]]="Yes",EmployeeData[[#This Row],[LastWorkingDate]]&lt;&gt;""),EmployeeData[[#This Row],[LastWorkingDate]],TODAY()),"Y")</f>
        <v>6</v>
      </c>
      <c r="AA51" t="str">
        <f>IF(EmployeeData[[#This Row],[MonthlyIncome]]&lt;30000,"Low",IF(EmployeeData[[#This Row],[MonthlyIncome]]&lt;=60000,"Medium",IF(EmployeeData[[#This Row],[MonthlyIncome]]&lt;=100000,"High","Very High")))</f>
        <v>Medium</v>
      </c>
      <c r="AB51">
        <f>IF(EmployeeData[[#This Row],[Attrition]]="Yes",1,0)</f>
        <v>0</v>
      </c>
      <c r="AC51" t="str">
        <f ca="1">IF(EmployeeData[[#This Row],[Tenure Years]]&lt;1,"Less than 1 Year",IF(EmployeeData[[#This Row],[Tenure Years]]&lt;=3,"1-3 Years",IF(EmployeeData[[#This Row],[Tenure Years]]&lt;=5,"4-5 Years",IF(EmployeeData[[#This Row],[Tenure Years]]&lt;=10,"6-10 Years","More than 10 Years"))))</f>
        <v>6-10 Years</v>
      </c>
      <c r="AD51">
        <f>ROUND(AVERAGE(EmployeeData[[#This Row],[JobSatisfaction]],EmployeeData[[#This Row],[EnvironmentSatisfaction]],EmployeeData[[#This Row],[WorkLifeBalance]]),2)</f>
        <v>3</v>
      </c>
      <c r="AE51" t="str">
        <f>IF(EmployeeData[[#This Row],[Satisfaction Score]]&lt;2,"Low",IF(EmployeeData[[#This Row],[Satisfaction Score]]&lt;3,"Medium","High"))</f>
        <v>High</v>
      </c>
    </row>
    <row r="52" spans="1:31" x14ac:dyDescent="0.25">
      <c r="A52" t="s">
        <v>326</v>
      </c>
      <c r="B52" t="s">
        <v>327</v>
      </c>
      <c r="C52" t="s">
        <v>49</v>
      </c>
      <c r="D52">
        <v>33</v>
      </c>
      <c r="E52" t="s">
        <v>128</v>
      </c>
      <c r="F52" t="s">
        <v>271</v>
      </c>
      <c r="G52" s="1">
        <v>42472</v>
      </c>
      <c r="H52">
        <v>105741</v>
      </c>
      <c r="I52" t="s">
        <v>42</v>
      </c>
      <c r="J52" t="s">
        <v>31</v>
      </c>
      <c r="K52" t="s">
        <v>98</v>
      </c>
      <c r="L52" t="s">
        <v>33</v>
      </c>
      <c r="M52">
        <v>37</v>
      </c>
      <c r="N52" t="s">
        <v>34</v>
      </c>
      <c r="O52">
        <v>2</v>
      </c>
      <c r="P52">
        <v>1</v>
      </c>
      <c r="Q52">
        <v>1</v>
      </c>
      <c r="R52">
        <v>3</v>
      </c>
      <c r="S52">
        <v>4</v>
      </c>
      <c r="T52">
        <v>0</v>
      </c>
      <c r="U52">
        <v>18</v>
      </c>
      <c r="V52" t="s">
        <v>329</v>
      </c>
      <c r="W52" t="s">
        <v>34</v>
      </c>
      <c r="Y52" s="2" t="str">
        <f>IF(EmployeeData[[#This Row],[Age]]&lt;25,"Under 25",IF(EmployeeData[[#This Row],[Age]]&lt;=34,"25-34",IF(EmployeeData[[#This Row],[Age]]&lt;=44,"35-44",IF(EmployeeData[[#This Row],[Age]]&lt;=54,"45-54","55+"))))</f>
        <v>25-34</v>
      </c>
      <c r="Z52">
        <f ca="1">DATEDIF(EmployeeData[[#This Row],[DateOfJoining]],IF(AND(EmployeeData[[#This Row],[Attrition]]="Yes",EmployeeData[[#This Row],[LastWorkingDate]]&lt;&gt;""),EmployeeData[[#This Row],[LastWorkingDate]],TODAY()),"Y")</f>
        <v>10</v>
      </c>
      <c r="AA52" t="str">
        <f>IF(EmployeeData[[#This Row],[MonthlyIncome]]&lt;30000,"Low",IF(EmployeeData[[#This Row],[MonthlyIncome]]&lt;=60000,"Medium",IF(EmployeeData[[#This Row],[MonthlyIncome]]&lt;=100000,"High","Very High")))</f>
        <v>Very High</v>
      </c>
      <c r="AB52">
        <f>IF(EmployeeData[[#This Row],[Attrition]]="Yes",1,0)</f>
        <v>0</v>
      </c>
      <c r="AC52" t="str">
        <f ca="1">IF(EmployeeData[[#This Row],[Tenure Years]]&lt;1,"Less than 1 Year",IF(EmployeeData[[#This Row],[Tenure Years]]&lt;=3,"1-3 Years",IF(EmployeeData[[#This Row],[Tenure Years]]&lt;=5,"4-5 Years",IF(EmployeeData[[#This Row],[Tenure Years]]&lt;=10,"6-10 Years","More than 10 Years"))))</f>
        <v>6-10 Years</v>
      </c>
      <c r="AD52">
        <f>ROUND(AVERAGE(EmployeeData[[#This Row],[JobSatisfaction]],EmployeeData[[#This Row],[EnvironmentSatisfaction]],EmployeeData[[#This Row],[WorkLifeBalance]]),2)</f>
        <v>1.33</v>
      </c>
      <c r="AE52" t="str">
        <f>IF(EmployeeData[[#This Row],[Satisfaction Score]]&lt;2,"Low",IF(EmployeeData[[#This Row],[Satisfaction Score]]&lt;3,"Medium","High"))</f>
        <v>Low</v>
      </c>
    </row>
    <row r="53" spans="1:31" x14ac:dyDescent="0.25">
      <c r="A53" t="s">
        <v>330</v>
      </c>
      <c r="B53" t="s">
        <v>331</v>
      </c>
      <c r="C53" t="s">
        <v>49</v>
      </c>
      <c r="D53">
        <v>35</v>
      </c>
      <c r="E53" t="s">
        <v>38</v>
      </c>
      <c r="F53" t="s">
        <v>792</v>
      </c>
      <c r="G53" s="1">
        <v>41765</v>
      </c>
      <c r="H53">
        <v>80183</v>
      </c>
      <c r="I53" t="s">
        <v>42</v>
      </c>
      <c r="J53" t="s">
        <v>143</v>
      </c>
      <c r="K53" t="s">
        <v>77</v>
      </c>
      <c r="L53" t="s">
        <v>43</v>
      </c>
      <c r="M53">
        <v>13</v>
      </c>
      <c r="N53" t="s">
        <v>34</v>
      </c>
      <c r="O53">
        <v>2</v>
      </c>
      <c r="P53">
        <v>1</v>
      </c>
      <c r="Q53">
        <v>4</v>
      </c>
      <c r="R53">
        <v>3</v>
      </c>
      <c r="S53">
        <v>3</v>
      </c>
      <c r="T53">
        <v>0</v>
      </c>
      <c r="U53">
        <v>12</v>
      </c>
      <c r="V53" t="s">
        <v>335</v>
      </c>
      <c r="W53" t="s">
        <v>34</v>
      </c>
      <c r="Y53" s="2" t="str">
        <f>IF(EmployeeData[[#This Row],[Age]]&lt;25,"Under 25",IF(EmployeeData[[#This Row],[Age]]&lt;=34,"25-34",IF(EmployeeData[[#This Row],[Age]]&lt;=44,"35-44",IF(EmployeeData[[#This Row],[Age]]&lt;=54,"45-54","55+"))))</f>
        <v>35-44</v>
      </c>
      <c r="Z53">
        <f ca="1">DATEDIF(EmployeeData[[#This Row],[DateOfJoining]],IF(AND(EmployeeData[[#This Row],[Attrition]]="Yes",EmployeeData[[#This Row],[LastWorkingDate]]&lt;&gt;""),EmployeeData[[#This Row],[LastWorkingDate]],TODAY()),"Y")</f>
        <v>12</v>
      </c>
      <c r="AA53" t="str">
        <f>IF(EmployeeData[[#This Row],[MonthlyIncome]]&lt;30000,"Low",IF(EmployeeData[[#This Row],[MonthlyIncome]]&lt;=60000,"Medium",IF(EmployeeData[[#This Row],[MonthlyIncome]]&lt;=100000,"High","Very High")))</f>
        <v>High</v>
      </c>
      <c r="AB53">
        <f>IF(EmployeeData[[#This Row],[Attrition]]="Yes",1,0)</f>
        <v>0</v>
      </c>
      <c r="AC53" t="str">
        <f ca="1">IF(EmployeeData[[#This Row],[Tenure Years]]&lt;1,"Less than 1 Year",IF(EmployeeData[[#This Row],[Tenure Years]]&lt;=3,"1-3 Years",IF(EmployeeData[[#This Row],[Tenure Years]]&lt;=5,"4-5 Years",IF(EmployeeData[[#This Row],[Tenure Years]]&lt;=10,"6-10 Years","More than 10 Years"))))</f>
        <v>More than 10 Years</v>
      </c>
      <c r="AD53">
        <f>ROUND(AVERAGE(EmployeeData[[#This Row],[JobSatisfaction]],EmployeeData[[#This Row],[EnvironmentSatisfaction]],EmployeeData[[#This Row],[WorkLifeBalance]]),2)</f>
        <v>2.33</v>
      </c>
      <c r="AE53" t="str">
        <f>IF(EmployeeData[[#This Row],[Satisfaction Score]]&lt;2,"Low",IF(EmployeeData[[#This Row],[Satisfaction Score]]&lt;3,"Medium","High"))</f>
        <v>Medium</v>
      </c>
    </row>
    <row r="54" spans="1:31" x14ac:dyDescent="0.25">
      <c r="A54" t="s">
        <v>336</v>
      </c>
      <c r="B54" t="s">
        <v>337</v>
      </c>
      <c r="C54" t="s">
        <v>58</v>
      </c>
      <c r="D54">
        <v>35</v>
      </c>
      <c r="E54" t="s">
        <v>94</v>
      </c>
      <c r="F54" t="s">
        <v>306</v>
      </c>
      <c r="G54" s="1">
        <v>41367</v>
      </c>
      <c r="H54">
        <v>61785</v>
      </c>
      <c r="I54" t="s">
        <v>30</v>
      </c>
      <c r="J54" t="s">
        <v>53</v>
      </c>
      <c r="K54" t="s">
        <v>32</v>
      </c>
      <c r="L54" t="s">
        <v>33</v>
      </c>
      <c r="M54">
        <v>14</v>
      </c>
      <c r="N54" t="s">
        <v>34</v>
      </c>
      <c r="O54">
        <v>4</v>
      </c>
      <c r="P54">
        <v>4</v>
      </c>
      <c r="Q54">
        <v>4</v>
      </c>
      <c r="R54">
        <v>3</v>
      </c>
      <c r="S54">
        <v>2</v>
      </c>
      <c r="T54">
        <v>3</v>
      </c>
      <c r="U54">
        <v>13</v>
      </c>
      <c r="V54" t="s">
        <v>339</v>
      </c>
      <c r="W54" t="s">
        <v>34</v>
      </c>
      <c r="Y54" s="2" t="str">
        <f>IF(EmployeeData[[#This Row],[Age]]&lt;25,"Under 25",IF(EmployeeData[[#This Row],[Age]]&lt;=34,"25-34",IF(EmployeeData[[#This Row],[Age]]&lt;=44,"35-44",IF(EmployeeData[[#This Row],[Age]]&lt;=54,"45-54","55+"))))</f>
        <v>35-44</v>
      </c>
      <c r="Z54">
        <f ca="1">DATEDIF(EmployeeData[[#This Row],[DateOfJoining]],IF(AND(EmployeeData[[#This Row],[Attrition]]="Yes",EmployeeData[[#This Row],[LastWorkingDate]]&lt;&gt;""),EmployeeData[[#This Row],[LastWorkingDate]],TODAY()),"Y")</f>
        <v>13</v>
      </c>
      <c r="AA54" t="str">
        <f>IF(EmployeeData[[#This Row],[MonthlyIncome]]&lt;30000,"Low",IF(EmployeeData[[#This Row],[MonthlyIncome]]&lt;=60000,"Medium",IF(EmployeeData[[#This Row],[MonthlyIncome]]&lt;=100000,"High","Very High")))</f>
        <v>High</v>
      </c>
      <c r="AB54">
        <f>IF(EmployeeData[[#This Row],[Attrition]]="Yes",1,0)</f>
        <v>0</v>
      </c>
      <c r="AC54" t="str">
        <f ca="1">IF(EmployeeData[[#This Row],[Tenure Years]]&lt;1,"Less than 1 Year",IF(EmployeeData[[#This Row],[Tenure Years]]&lt;=3,"1-3 Years",IF(EmployeeData[[#This Row],[Tenure Years]]&lt;=5,"4-5 Years",IF(EmployeeData[[#This Row],[Tenure Years]]&lt;=10,"6-10 Years","More than 10 Years"))))</f>
        <v>More than 10 Years</v>
      </c>
      <c r="AD54">
        <f>ROUND(AVERAGE(EmployeeData[[#This Row],[JobSatisfaction]],EmployeeData[[#This Row],[EnvironmentSatisfaction]],EmployeeData[[#This Row],[WorkLifeBalance]]),2)</f>
        <v>4</v>
      </c>
      <c r="AE54" t="str">
        <f>IF(EmployeeData[[#This Row],[Satisfaction Score]]&lt;2,"Low",IF(EmployeeData[[#This Row],[Satisfaction Score]]&lt;3,"Medium","High"))</f>
        <v>High</v>
      </c>
    </row>
    <row r="55" spans="1:31" x14ac:dyDescent="0.25">
      <c r="A55" t="s">
        <v>340</v>
      </c>
      <c r="B55" t="s">
        <v>341</v>
      </c>
      <c r="C55" t="s">
        <v>58</v>
      </c>
      <c r="D55">
        <v>43</v>
      </c>
      <c r="E55" t="s">
        <v>5461</v>
      </c>
      <c r="F55" t="s">
        <v>5463</v>
      </c>
      <c r="G55" s="1">
        <v>44203</v>
      </c>
      <c r="H55">
        <v>135716</v>
      </c>
      <c r="I55" t="s">
        <v>30</v>
      </c>
      <c r="J55" t="s">
        <v>97</v>
      </c>
      <c r="K55" t="s">
        <v>5459</v>
      </c>
      <c r="L55" t="s">
        <v>33</v>
      </c>
      <c r="M55">
        <v>29</v>
      </c>
      <c r="N55" t="s">
        <v>34</v>
      </c>
      <c r="O55">
        <v>1</v>
      </c>
      <c r="P55">
        <v>3</v>
      </c>
      <c r="Q55">
        <v>3</v>
      </c>
      <c r="R55">
        <v>3</v>
      </c>
      <c r="S55">
        <v>6</v>
      </c>
      <c r="T55">
        <v>6</v>
      </c>
      <c r="U55">
        <v>19</v>
      </c>
      <c r="V55" t="s">
        <v>343</v>
      </c>
      <c r="W55" t="s">
        <v>34</v>
      </c>
      <c r="Y55" s="2" t="str">
        <f>IF(EmployeeData[[#This Row],[Age]]&lt;25,"Under 25",IF(EmployeeData[[#This Row],[Age]]&lt;=34,"25-34",IF(EmployeeData[[#This Row],[Age]]&lt;=44,"35-44",IF(EmployeeData[[#This Row],[Age]]&lt;=54,"45-54","55+"))))</f>
        <v>35-44</v>
      </c>
      <c r="Z55">
        <f ca="1">DATEDIF(EmployeeData[[#This Row],[DateOfJoining]],IF(AND(EmployeeData[[#This Row],[Attrition]]="Yes",EmployeeData[[#This Row],[LastWorkingDate]]&lt;&gt;""),EmployeeData[[#This Row],[LastWorkingDate]],TODAY()),"Y")</f>
        <v>5</v>
      </c>
      <c r="AA55" t="str">
        <f>IF(EmployeeData[[#This Row],[MonthlyIncome]]&lt;30000,"Low",IF(EmployeeData[[#This Row],[MonthlyIncome]]&lt;=60000,"Medium",IF(EmployeeData[[#This Row],[MonthlyIncome]]&lt;=100000,"High","Very High")))</f>
        <v>Very High</v>
      </c>
      <c r="AB55">
        <f>IF(EmployeeData[[#This Row],[Attrition]]="Yes",1,0)</f>
        <v>0</v>
      </c>
      <c r="AC55" t="str">
        <f ca="1">IF(EmployeeData[[#This Row],[Tenure Years]]&lt;1,"Less than 1 Year",IF(EmployeeData[[#This Row],[Tenure Years]]&lt;=3,"1-3 Years",IF(EmployeeData[[#This Row],[Tenure Years]]&lt;=5,"4-5 Years",IF(EmployeeData[[#This Row],[Tenure Years]]&lt;=10,"6-10 Years","More than 10 Years"))))</f>
        <v>4-5 Years</v>
      </c>
      <c r="AD55">
        <f>ROUND(AVERAGE(EmployeeData[[#This Row],[JobSatisfaction]],EmployeeData[[#This Row],[EnvironmentSatisfaction]],EmployeeData[[#This Row],[WorkLifeBalance]]),2)</f>
        <v>2.33</v>
      </c>
      <c r="AE55" t="str">
        <f>IF(EmployeeData[[#This Row],[Satisfaction Score]]&lt;2,"Low",IF(EmployeeData[[#This Row],[Satisfaction Score]]&lt;3,"Medium","High"))</f>
        <v>Medium</v>
      </c>
    </row>
    <row r="56" spans="1:31" x14ac:dyDescent="0.25">
      <c r="A56" t="s">
        <v>344</v>
      </c>
      <c r="B56" t="s">
        <v>345</v>
      </c>
      <c r="C56" t="s">
        <v>49</v>
      </c>
      <c r="D56">
        <v>36</v>
      </c>
      <c r="E56" t="s">
        <v>38</v>
      </c>
      <c r="F56" t="s">
        <v>5460</v>
      </c>
      <c r="G56" s="1">
        <v>42518</v>
      </c>
      <c r="H56">
        <v>83128</v>
      </c>
      <c r="I56" t="s">
        <v>30</v>
      </c>
      <c r="J56" t="s">
        <v>61</v>
      </c>
      <c r="K56" t="s">
        <v>200</v>
      </c>
      <c r="L56" t="s">
        <v>33</v>
      </c>
      <c r="M56">
        <v>15</v>
      </c>
      <c r="N56" t="s">
        <v>34</v>
      </c>
      <c r="O56">
        <v>2</v>
      </c>
      <c r="P56">
        <v>1</v>
      </c>
      <c r="Q56">
        <v>3</v>
      </c>
      <c r="R56">
        <v>2</v>
      </c>
      <c r="S56">
        <v>5</v>
      </c>
      <c r="T56">
        <v>2</v>
      </c>
      <c r="U56">
        <v>22</v>
      </c>
      <c r="V56" t="s">
        <v>348</v>
      </c>
      <c r="W56" t="s">
        <v>34</v>
      </c>
      <c r="Y56" s="2" t="str">
        <f>IF(EmployeeData[[#This Row],[Age]]&lt;25,"Under 25",IF(EmployeeData[[#This Row],[Age]]&lt;=34,"25-34",IF(EmployeeData[[#This Row],[Age]]&lt;=44,"35-44",IF(EmployeeData[[#This Row],[Age]]&lt;=54,"45-54","55+"))))</f>
        <v>35-44</v>
      </c>
      <c r="Z56">
        <f ca="1">DATEDIF(EmployeeData[[#This Row],[DateOfJoining]],IF(AND(EmployeeData[[#This Row],[Attrition]]="Yes",EmployeeData[[#This Row],[LastWorkingDate]]&lt;&gt;""),EmployeeData[[#This Row],[LastWorkingDate]],TODAY()),"Y")</f>
        <v>10</v>
      </c>
      <c r="AA56" t="str">
        <f>IF(EmployeeData[[#This Row],[MonthlyIncome]]&lt;30000,"Low",IF(EmployeeData[[#This Row],[MonthlyIncome]]&lt;=60000,"Medium",IF(EmployeeData[[#This Row],[MonthlyIncome]]&lt;=100000,"High","Very High")))</f>
        <v>High</v>
      </c>
      <c r="AB56">
        <f>IF(EmployeeData[[#This Row],[Attrition]]="Yes",1,0)</f>
        <v>0</v>
      </c>
      <c r="AC56" t="str">
        <f ca="1">IF(EmployeeData[[#This Row],[Tenure Years]]&lt;1,"Less than 1 Year",IF(EmployeeData[[#This Row],[Tenure Years]]&lt;=3,"1-3 Years",IF(EmployeeData[[#This Row],[Tenure Years]]&lt;=5,"4-5 Years",IF(EmployeeData[[#This Row],[Tenure Years]]&lt;=10,"6-10 Years","More than 10 Years"))))</f>
        <v>6-10 Years</v>
      </c>
      <c r="AD56">
        <f>ROUND(AVERAGE(EmployeeData[[#This Row],[JobSatisfaction]],EmployeeData[[#This Row],[EnvironmentSatisfaction]],EmployeeData[[#This Row],[WorkLifeBalance]]),2)</f>
        <v>2</v>
      </c>
      <c r="AE56" t="str">
        <f>IF(EmployeeData[[#This Row],[Satisfaction Score]]&lt;2,"Low",IF(EmployeeData[[#This Row],[Satisfaction Score]]&lt;3,"Medium","High"))</f>
        <v>Medium</v>
      </c>
    </row>
    <row r="57" spans="1:31" x14ac:dyDescent="0.25">
      <c r="A57" t="s">
        <v>349</v>
      </c>
      <c r="B57" t="s">
        <v>350</v>
      </c>
      <c r="C57" t="s">
        <v>49</v>
      </c>
      <c r="D57">
        <v>42</v>
      </c>
      <c r="E57" t="s">
        <v>128</v>
      </c>
      <c r="F57" t="s">
        <v>123</v>
      </c>
      <c r="G57" s="1">
        <v>42630</v>
      </c>
      <c r="H57">
        <v>81915</v>
      </c>
      <c r="I57" t="s">
        <v>52</v>
      </c>
      <c r="J57" t="s">
        <v>53</v>
      </c>
      <c r="K57" t="s">
        <v>106</v>
      </c>
      <c r="L57" t="s">
        <v>33</v>
      </c>
      <c r="M57">
        <v>6</v>
      </c>
      <c r="N57" t="s">
        <v>34</v>
      </c>
      <c r="O57">
        <v>3</v>
      </c>
      <c r="P57">
        <v>3</v>
      </c>
      <c r="Q57">
        <v>1</v>
      </c>
      <c r="R57">
        <v>2</v>
      </c>
      <c r="S57">
        <v>0</v>
      </c>
      <c r="T57">
        <v>8</v>
      </c>
      <c r="U57">
        <v>11</v>
      </c>
      <c r="V57" t="s">
        <v>353</v>
      </c>
      <c r="W57" t="s">
        <v>34</v>
      </c>
      <c r="Y57" s="2" t="str">
        <f>IF(EmployeeData[[#This Row],[Age]]&lt;25,"Under 25",IF(EmployeeData[[#This Row],[Age]]&lt;=34,"25-34",IF(EmployeeData[[#This Row],[Age]]&lt;=44,"35-44",IF(EmployeeData[[#This Row],[Age]]&lt;=54,"45-54","55+"))))</f>
        <v>35-44</v>
      </c>
      <c r="Z57">
        <f ca="1">DATEDIF(EmployeeData[[#This Row],[DateOfJoining]],IF(AND(EmployeeData[[#This Row],[Attrition]]="Yes",EmployeeData[[#This Row],[LastWorkingDate]]&lt;&gt;""),EmployeeData[[#This Row],[LastWorkingDate]],TODAY()),"Y")</f>
        <v>9</v>
      </c>
      <c r="AA57" t="str">
        <f>IF(EmployeeData[[#This Row],[MonthlyIncome]]&lt;30000,"Low",IF(EmployeeData[[#This Row],[MonthlyIncome]]&lt;=60000,"Medium",IF(EmployeeData[[#This Row],[MonthlyIncome]]&lt;=100000,"High","Very High")))</f>
        <v>High</v>
      </c>
      <c r="AB57">
        <f>IF(EmployeeData[[#This Row],[Attrition]]="Yes",1,0)</f>
        <v>0</v>
      </c>
      <c r="AC57" t="str">
        <f ca="1">IF(EmployeeData[[#This Row],[Tenure Years]]&lt;1,"Less than 1 Year",IF(EmployeeData[[#This Row],[Tenure Years]]&lt;=3,"1-3 Years",IF(EmployeeData[[#This Row],[Tenure Years]]&lt;=5,"4-5 Years",IF(EmployeeData[[#This Row],[Tenure Years]]&lt;=10,"6-10 Years","More than 10 Years"))))</f>
        <v>6-10 Years</v>
      </c>
      <c r="AD57">
        <f>ROUND(AVERAGE(EmployeeData[[#This Row],[JobSatisfaction]],EmployeeData[[#This Row],[EnvironmentSatisfaction]],EmployeeData[[#This Row],[WorkLifeBalance]]),2)</f>
        <v>2.33</v>
      </c>
      <c r="AE57" t="str">
        <f>IF(EmployeeData[[#This Row],[Satisfaction Score]]&lt;2,"Low",IF(EmployeeData[[#This Row],[Satisfaction Score]]&lt;3,"Medium","High"))</f>
        <v>Medium</v>
      </c>
    </row>
    <row r="58" spans="1:31" x14ac:dyDescent="0.25">
      <c r="A58" t="s">
        <v>354</v>
      </c>
      <c r="B58" t="s">
        <v>355</v>
      </c>
      <c r="C58" t="s">
        <v>49</v>
      </c>
      <c r="D58">
        <v>27</v>
      </c>
      <c r="E58" t="s">
        <v>94</v>
      </c>
      <c r="F58" t="s">
        <v>356</v>
      </c>
      <c r="G58" s="1">
        <v>46056</v>
      </c>
      <c r="H58">
        <v>55327</v>
      </c>
      <c r="I58" t="s">
        <v>52</v>
      </c>
      <c r="J58" t="s">
        <v>61</v>
      </c>
      <c r="K58" t="s">
        <v>106</v>
      </c>
      <c r="L58" t="s">
        <v>33</v>
      </c>
      <c r="M58">
        <v>13</v>
      </c>
      <c r="N58" t="s">
        <v>34</v>
      </c>
      <c r="O58">
        <v>1</v>
      </c>
      <c r="P58">
        <v>1</v>
      </c>
      <c r="Q58">
        <v>3</v>
      </c>
      <c r="R58">
        <v>3</v>
      </c>
      <c r="S58">
        <v>3</v>
      </c>
      <c r="T58">
        <v>1</v>
      </c>
      <c r="U58">
        <v>17</v>
      </c>
      <c r="V58" t="s">
        <v>358</v>
      </c>
      <c r="W58" t="s">
        <v>45</v>
      </c>
      <c r="X58" s="1">
        <v>46224</v>
      </c>
      <c r="Y58" s="2" t="str">
        <f>IF(EmployeeData[[#This Row],[Age]]&lt;25,"Under 25",IF(EmployeeData[[#This Row],[Age]]&lt;=34,"25-34",IF(EmployeeData[[#This Row],[Age]]&lt;=44,"35-44",IF(EmployeeData[[#This Row],[Age]]&lt;=54,"45-54","55+"))))</f>
        <v>25-34</v>
      </c>
      <c r="Z58">
        <f ca="1">DATEDIF(EmployeeData[[#This Row],[DateOfJoining]],IF(AND(EmployeeData[[#This Row],[Attrition]]="Yes",EmployeeData[[#This Row],[LastWorkingDate]]&lt;&gt;""),EmployeeData[[#This Row],[LastWorkingDate]],TODAY()),"Y")</f>
        <v>0</v>
      </c>
      <c r="AA58" t="str">
        <f>IF(EmployeeData[[#This Row],[MonthlyIncome]]&lt;30000,"Low",IF(EmployeeData[[#This Row],[MonthlyIncome]]&lt;=60000,"Medium",IF(EmployeeData[[#This Row],[MonthlyIncome]]&lt;=100000,"High","Very High")))</f>
        <v>Medium</v>
      </c>
      <c r="AB58">
        <f>IF(EmployeeData[[#This Row],[Attrition]]="Yes",1,0)</f>
        <v>1</v>
      </c>
      <c r="AC58" t="str">
        <f ca="1">IF(EmployeeData[[#This Row],[Tenure Years]]&lt;1,"Less than 1 Year",IF(EmployeeData[[#This Row],[Tenure Years]]&lt;=3,"1-3 Years",IF(EmployeeData[[#This Row],[Tenure Years]]&lt;=5,"4-5 Years",IF(EmployeeData[[#This Row],[Tenure Years]]&lt;=10,"6-10 Years","More than 10 Years"))))</f>
        <v>Less than 1 Year</v>
      </c>
      <c r="AD58">
        <f>ROUND(AVERAGE(EmployeeData[[#This Row],[JobSatisfaction]],EmployeeData[[#This Row],[EnvironmentSatisfaction]],EmployeeData[[#This Row],[WorkLifeBalance]]),2)</f>
        <v>1.67</v>
      </c>
      <c r="AE58" t="str">
        <f>IF(EmployeeData[[#This Row],[Satisfaction Score]]&lt;2,"Low",IF(EmployeeData[[#This Row],[Satisfaction Score]]&lt;3,"Medium","High"))</f>
        <v>Low</v>
      </c>
    </row>
    <row r="59" spans="1:31" x14ac:dyDescent="0.25">
      <c r="A59" t="s">
        <v>360</v>
      </c>
      <c r="B59" t="s">
        <v>361</v>
      </c>
      <c r="C59" t="s">
        <v>49</v>
      </c>
      <c r="D59">
        <v>49</v>
      </c>
      <c r="E59" t="s">
        <v>94</v>
      </c>
      <c r="F59" t="s">
        <v>356</v>
      </c>
      <c r="G59" s="1">
        <v>44665</v>
      </c>
      <c r="H59">
        <v>104107</v>
      </c>
      <c r="I59" t="s">
        <v>42</v>
      </c>
      <c r="J59" t="s">
        <v>61</v>
      </c>
      <c r="K59" t="s">
        <v>54</v>
      </c>
      <c r="L59" t="s">
        <v>5459</v>
      </c>
      <c r="M59">
        <v>20</v>
      </c>
      <c r="N59" t="s">
        <v>45</v>
      </c>
      <c r="O59">
        <v>3</v>
      </c>
      <c r="P59">
        <v>2</v>
      </c>
      <c r="Q59">
        <v>1</v>
      </c>
      <c r="R59">
        <v>1</v>
      </c>
      <c r="S59">
        <v>3</v>
      </c>
      <c r="T59">
        <v>4</v>
      </c>
      <c r="U59">
        <v>23</v>
      </c>
      <c r="V59" t="s">
        <v>364</v>
      </c>
      <c r="W59" t="s">
        <v>34</v>
      </c>
      <c r="Y59" s="2" t="str">
        <f>IF(EmployeeData[[#This Row],[Age]]&lt;25,"Under 25",IF(EmployeeData[[#This Row],[Age]]&lt;=34,"25-34",IF(EmployeeData[[#This Row],[Age]]&lt;=44,"35-44",IF(EmployeeData[[#This Row],[Age]]&lt;=54,"45-54","55+"))))</f>
        <v>45-54</v>
      </c>
      <c r="Z59">
        <f ca="1">DATEDIF(EmployeeData[[#This Row],[DateOfJoining]],IF(AND(EmployeeData[[#This Row],[Attrition]]="Yes",EmployeeData[[#This Row],[LastWorkingDate]]&lt;&gt;""),EmployeeData[[#This Row],[LastWorkingDate]],TODAY()),"Y")</f>
        <v>4</v>
      </c>
      <c r="AA59" t="str">
        <f>IF(EmployeeData[[#This Row],[MonthlyIncome]]&lt;30000,"Low",IF(EmployeeData[[#This Row],[MonthlyIncome]]&lt;=60000,"Medium",IF(EmployeeData[[#This Row],[MonthlyIncome]]&lt;=100000,"High","Very High")))</f>
        <v>Very High</v>
      </c>
      <c r="AB59">
        <f>IF(EmployeeData[[#This Row],[Attrition]]="Yes",1,0)</f>
        <v>0</v>
      </c>
      <c r="AC59" t="str">
        <f ca="1">IF(EmployeeData[[#This Row],[Tenure Years]]&lt;1,"Less than 1 Year",IF(EmployeeData[[#This Row],[Tenure Years]]&lt;=3,"1-3 Years",IF(EmployeeData[[#This Row],[Tenure Years]]&lt;=5,"4-5 Years",IF(EmployeeData[[#This Row],[Tenure Years]]&lt;=10,"6-10 Years","More than 10 Years"))))</f>
        <v>4-5 Years</v>
      </c>
      <c r="AD59">
        <f>ROUND(AVERAGE(EmployeeData[[#This Row],[JobSatisfaction]],EmployeeData[[#This Row],[EnvironmentSatisfaction]],EmployeeData[[#This Row],[WorkLifeBalance]]),2)</f>
        <v>2</v>
      </c>
      <c r="AE59" t="str">
        <f>IF(EmployeeData[[#This Row],[Satisfaction Score]]&lt;2,"Low",IF(EmployeeData[[#This Row],[Satisfaction Score]]&lt;3,"Medium","High"))</f>
        <v>Medium</v>
      </c>
    </row>
    <row r="60" spans="1:31" x14ac:dyDescent="0.25">
      <c r="A60" t="s">
        <v>365</v>
      </c>
      <c r="B60" t="s">
        <v>366</v>
      </c>
      <c r="C60" t="s">
        <v>58</v>
      </c>
      <c r="D60">
        <v>35</v>
      </c>
      <c r="E60" t="s">
        <v>27</v>
      </c>
      <c r="F60" t="s">
        <v>75</v>
      </c>
      <c r="G60" s="1">
        <v>44121</v>
      </c>
      <c r="H60">
        <v>44219</v>
      </c>
      <c r="I60" t="s">
        <v>30</v>
      </c>
      <c r="J60" t="s">
        <v>61</v>
      </c>
      <c r="K60" t="s">
        <v>98</v>
      </c>
      <c r="L60" t="s">
        <v>33</v>
      </c>
      <c r="M60">
        <v>23</v>
      </c>
      <c r="N60" t="s">
        <v>45</v>
      </c>
      <c r="O60">
        <v>3</v>
      </c>
      <c r="P60">
        <v>4</v>
      </c>
      <c r="Q60">
        <v>4</v>
      </c>
      <c r="R60">
        <v>5</v>
      </c>
      <c r="S60">
        <v>4</v>
      </c>
      <c r="T60">
        <v>4</v>
      </c>
      <c r="U60">
        <v>18</v>
      </c>
      <c r="V60" t="s">
        <v>368</v>
      </c>
      <c r="W60" t="s">
        <v>34</v>
      </c>
      <c r="Y60" s="2" t="str">
        <f>IF(EmployeeData[[#This Row],[Age]]&lt;25,"Under 25",IF(EmployeeData[[#This Row],[Age]]&lt;=34,"25-34",IF(EmployeeData[[#This Row],[Age]]&lt;=44,"35-44",IF(EmployeeData[[#This Row],[Age]]&lt;=54,"45-54","55+"))))</f>
        <v>35-44</v>
      </c>
      <c r="Z60">
        <f ca="1">DATEDIF(EmployeeData[[#This Row],[DateOfJoining]],IF(AND(EmployeeData[[#This Row],[Attrition]]="Yes",EmployeeData[[#This Row],[LastWorkingDate]]&lt;&gt;""),EmployeeData[[#This Row],[LastWorkingDate]],TODAY()),"Y")</f>
        <v>5</v>
      </c>
      <c r="AA60" t="str">
        <f>IF(EmployeeData[[#This Row],[MonthlyIncome]]&lt;30000,"Low",IF(EmployeeData[[#This Row],[MonthlyIncome]]&lt;=60000,"Medium",IF(EmployeeData[[#This Row],[MonthlyIncome]]&lt;=100000,"High","Very High")))</f>
        <v>Medium</v>
      </c>
      <c r="AB60">
        <f>IF(EmployeeData[[#This Row],[Attrition]]="Yes",1,0)</f>
        <v>0</v>
      </c>
      <c r="AC60" t="str">
        <f ca="1">IF(EmployeeData[[#This Row],[Tenure Years]]&lt;1,"Less than 1 Year",IF(EmployeeData[[#This Row],[Tenure Years]]&lt;=3,"1-3 Years",IF(EmployeeData[[#This Row],[Tenure Years]]&lt;=5,"4-5 Years",IF(EmployeeData[[#This Row],[Tenure Years]]&lt;=10,"6-10 Years","More than 10 Years"))))</f>
        <v>4-5 Years</v>
      </c>
      <c r="AD60">
        <f>ROUND(AVERAGE(EmployeeData[[#This Row],[JobSatisfaction]],EmployeeData[[#This Row],[EnvironmentSatisfaction]],EmployeeData[[#This Row],[WorkLifeBalance]]),2)</f>
        <v>3.67</v>
      </c>
      <c r="AE60" t="str">
        <f>IF(EmployeeData[[#This Row],[Satisfaction Score]]&lt;2,"Low",IF(EmployeeData[[#This Row],[Satisfaction Score]]&lt;3,"Medium","High"))</f>
        <v>High</v>
      </c>
    </row>
    <row r="61" spans="1:31" x14ac:dyDescent="0.25">
      <c r="A61" t="s">
        <v>369</v>
      </c>
      <c r="B61" t="s">
        <v>370</v>
      </c>
      <c r="C61" t="s">
        <v>49</v>
      </c>
      <c r="D61">
        <v>40</v>
      </c>
      <c r="E61" t="s">
        <v>128</v>
      </c>
      <c r="F61" t="s">
        <v>226</v>
      </c>
      <c r="G61" s="1">
        <v>40914</v>
      </c>
      <c r="H61">
        <v>49314</v>
      </c>
      <c r="I61" t="s">
        <v>30</v>
      </c>
      <c r="J61" t="s">
        <v>61</v>
      </c>
      <c r="K61" t="s">
        <v>77</v>
      </c>
      <c r="L61" t="s">
        <v>62</v>
      </c>
      <c r="M61">
        <v>34</v>
      </c>
      <c r="N61" t="s">
        <v>34</v>
      </c>
      <c r="O61">
        <v>1</v>
      </c>
      <c r="P61">
        <v>3</v>
      </c>
      <c r="Q61">
        <v>3</v>
      </c>
      <c r="R61">
        <v>1</v>
      </c>
      <c r="S61">
        <v>2</v>
      </c>
      <c r="T61">
        <v>5</v>
      </c>
      <c r="U61">
        <v>13</v>
      </c>
      <c r="V61" t="s">
        <v>372</v>
      </c>
      <c r="W61" t="s">
        <v>34</v>
      </c>
      <c r="Y61" s="2" t="str">
        <f>IF(EmployeeData[[#This Row],[Age]]&lt;25,"Under 25",IF(EmployeeData[[#This Row],[Age]]&lt;=34,"25-34",IF(EmployeeData[[#This Row],[Age]]&lt;=44,"35-44",IF(EmployeeData[[#This Row],[Age]]&lt;=54,"45-54","55+"))))</f>
        <v>35-44</v>
      </c>
      <c r="Z61">
        <f ca="1">DATEDIF(EmployeeData[[#This Row],[DateOfJoining]],IF(AND(EmployeeData[[#This Row],[Attrition]]="Yes",EmployeeData[[#This Row],[LastWorkingDate]]&lt;&gt;""),EmployeeData[[#This Row],[LastWorkingDate]],TODAY()),"Y")</f>
        <v>14</v>
      </c>
      <c r="AA61" t="str">
        <f>IF(EmployeeData[[#This Row],[MonthlyIncome]]&lt;30000,"Low",IF(EmployeeData[[#This Row],[MonthlyIncome]]&lt;=60000,"Medium",IF(EmployeeData[[#This Row],[MonthlyIncome]]&lt;=100000,"High","Very High")))</f>
        <v>Medium</v>
      </c>
      <c r="AB61">
        <f>IF(EmployeeData[[#This Row],[Attrition]]="Yes",1,0)</f>
        <v>0</v>
      </c>
      <c r="AC61" t="str">
        <f ca="1">IF(EmployeeData[[#This Row],[Tenure Years]]&lt;1,"Less than 1 Year",IF(EmployeeData[[#This Row],[Tenure Years]]&lt;=3,"1-3 Years",IF(EmployeeData[[#This Row],[Tenure Years]]&lt;=5,"4-5 Years",IF(EmployeeData[[#This Row],[Tenure Years]]&lt;=10,"6-10 Years","More than 10 Years"))))</f>
        <v>More than 10 Years</v>
      </c>
      <c r="AD61">
        <f>ROUND(AVERAGE(EmployeeData[[#This Row],[JobSatisfaction]],EmployeeData[[#This Row],[EnvironmentSatisfaction]],EmployeeData[[#This Row],[WorkLifeBalance]]),2)</f>
        <v>2.33</v>
      </c>
      <c r="AE61" t="str">
        <f>IF(EmployeeData[[#This Row],[Satisfaction Score]]&lt;2,"Low",IF(EmployeeData[[#This Row],[Satisfaction Score]]&lt;3,"Medium","High"))</f>
        <v>Medium</v>
      </c>
    </row>
    <row r="62" spans="1:31" x14ac:dyDescent="0.25">
      <c r="A62" t="s">
        <v>373</v>
      </c>
      <c r="B62" t="s">
        <v>374</v>
      </c>
      <c r="C62" t="s">
        <v>58</v>
      </c>
      <c r="D62">
        <v>45</v>
      </c>
      <c r="E62" t="s">
        <v>128</v>
      </c>
      <c r="F62" t="s">
        <v>226</v>
      </c>
      <c r="G62" s="1">
        <v>42446</v>
      </c>
      <c r="H62">
        <v>58199</v>
      </c>
      <c r="I62" t="s">
        <v>30</v>
      </c>
      <c r="J62" t="s">
        <v>143</v>
      </c>
      <c r="K62" t="s">
        <v>83</v>
      </c>
      <c r="L62" t="s">
        <v>33</v>
      </c>
      <c r="M62">
        <v>15</v>
      </c>
      <c r="N62" t="s">
        <v>45</v>
      </c>
      <c r="O62">
        <v>1</v>
      </c>
      <c r="P62">
        <v>3</v>
      </c>
      <c r="Q62">
        <v>2</v>
      </c>
      <c r="R62">
        <v>3</v>
      </c>
      <c r="S62">
        <v>6</v>
      </c>
      <c r="T62">
        <v>0</v>
      </c>
      <c r="U62">
        <v>17</v>
      </c>
      <c r="V62" t="s">
        <v>376</v>
      </c>
      <c r="W62" t="s">
        <v>45</v>
      </c>
      <c r="X62" s="1">
        <v>46009</v>
      </c>
      <c r="Y62" s="2" t="str">
        <f>IF(EmployeeData[[#This Row],[Age]]&lt;25,"Under 25",IF(EmployeeData[[#This Row],[Age]]&lt;=34,"25-34",IF(EmployeeData[[#This Row],[Age]]&lt;=44,"35-44",IF(EmployeeData[[#This Row],[Age]]&lt;=54,"45-54","55+"))))</f>
        <v>45-54</v>
      </c>
      <c r="Z62">
        <f ca="1">DATEDIF(EmployeeData[[#This Row],[DateOfJoining]],IF(AND(EmployeeData[[#This Row],[Attrition]]="Yes",EmployeeData[[#This Row],[LastWorkingDate]]&lt;&gt;""),EmployeeData[[#This Row],[LastWorkingDate]],TODAY()),"Y")</f>
        <v>9</v>
      </c>
      <c r="AA62" t="str">
        <f>IF(EmployeeData[[#This Row],[MonthlyIncome]]&lt;30000,"Low",IF(EmployeeData[[#This Row],[MonthlyIncome]]&lt;=60000,"Medium",IF(EmployeeData[[#This Row],[MonthlyIncome]]&lt;=100000,"High","Very High")))</f>
        <v>Medium</v>
      </c>
      <c r="AB62">
        <f>IF(EmployeeData[[#This Row],[Attrition]]="Yes",1,0)</f>
        <v>1</v>
      </c>
      <c r="AC62" t="str">
        <f ca="1">IF(EmployeeData[[#This Row],[Tenure Years]]&lt;1,"Less than 1 Year",IF(EmployeeData[[#This Row],[Tenure Years]]&lt;=3,"1-3 Years",IF(EmployeeData[[#This Row],[Tenure Years]]&lt;=5,"4-5 Years",IF(EmployeeData[[#This Row],[Tenure Years]]&lt;=10,"6-10 Years","More than 10 Years"))))</f>
        <v>6-10 Years</v>
      </c>
      <c r="AD62">
        <f>ROUND(AVERAGE(EmployeeData[[#This Row],[JobSatisfaction]],EmployeeData[[#This Row],[EnvironmentSatisfaction]],EmployeeData[[#This Row],[WorkLifeBalance]]),2)</f>
        <v>2</v>
      </c>
      <c r="AE62" t="str">
        <f>IF(EmployeeData[[#This Row],[Satisfaction Score]]&lt;2,"Low",IF(EmployeeData[[#This Row],[Satisfaction Score]]&lt;3,"Medium","High"))</f>
        <v>Medium</v>
      </c>
    </row>
    <row r="63" spans="1:31" x14ac:dyDescent="0.25">
      <c r="A63" t="s">
        <v>378</v>
      </c>
      <c r="B63" t="s">
        <v>379</v>
      </c>
      <c r="C63" t="s">
        <v>58</v>
      </c>
      <c r="D63">
        <v>30</v>
      </c>
      <c r="E63" t="s">
        <v>27</v>
      </c>
      <c r="F63" t="s">
        <v>75</v>
      </c>
      <c r="G63" s="1">
        <v>44946</v>
      </c>
      <c r="H63">
        <v>87344</v>
      </c>
      <c r="I63" t="s">
        <v>52</v>
      </c>
      <c r="J63" t="s">
        <v>143</v>
      </c>
      <c r="K63" t="s">
        <v>5459</v>
      </c>
      <c r="L63" t="s">
        <v>62</v>
      </c>
      <c r="M63">
        <v>23</v>
      </c>
      <c r="N63" t="s">
        <v>45</v>
      </c>
      <c r="O63">
        <v>2</v>
      </c>
      <c r="P63">
        <v>1</v>
      </c>
      <c r="Q63">
        <v>2</v>
      </c>
      <c r="R63">
        <v>3</v>
      </c>
      <c r="S63">
        <v>3</v>
      </c>
      <c r="T63">
        <v>8</v>
      </c>
      <c r="U63">
        <v>12</v>
      </c>
      <c r="V63" t="s">
        <v>383</v>
      </c>
      <c r="W63" t="s">
        <v>45</v>
      </c>
      <c r="X63" s="1">
        <v>45796</v>
      </c>
      <c r="Y63" s="2" t="str">
        <f>IF(EmployeeData[[#This Row],[Age]]&lt;25,"Under 25",IF(EmployeeData[[#This Row],[Age]]&lt;=34,"25-34",IF(EmployeeData[[#This Row],[Age]]&lt;=44,"35-44",IF(EmployeeData[[#This Row],[Age]]&lt;=54,"45-54","55+"))))</f>
        <v>25-34</v>
      </c>
      <c r="Z63">
        <f ca="1">DATEDIF(EmployeeData[[#This Row],[DateOfJoining]],IF(AND(EmployeeData[[#This Row],[Attrition]]="Yes",EmployeeData[[#This Row],[LastWorkingDate]]&lt;&gt;""),EmployeeData[[#This Row],[LastWorkingDate]],TODAY()),"Y")</f>
        <v>2</v>
      </c>
      <c r="AA63" t="str">
        <f>IF(EmployeeData[[#This Row],[MonthlyIncome]]&lt;30000,"Low",IF(EmployeeData[[#This Row],[MonthlyIncome]]&lt;=60000,"Medium",IF(EmployeeData[[#This Row],[MonthlyIncome]]&lt;=100000,"High","Very High")))</f>
        <v>High</v>
      </c>
      <c r="AB63">
        <f>IF(EmployeeData[[#This Row],[Attrition]]="Yes",1,0)</f>
        <v>1</v>
      </c>
      <c r="AC63" t="str">
        <f ca="1">IF(EmployeeData[[#This Row],[Tenure Years]]&lt;1,"Less than 1 Year",IF(EmployeeData[[#This Row],[Tenure Years]]&lt;=3,"1-3 Years",IF(EmployeeData[[#This Row],[Tenure Years]]&lt;=5,"4-5 Years",IF(EmployeeData[[#This Row],[Tenure Years]]&lt;=10,"6-10 Years","More than 10 Years"))))</f>
        <v>1-3 Years</v>
      </c>
      <c r="AD63">
        <f>ROUND(AVERAGE(EmployeeData[[#This Row],[JobSatisfaction]],EmployeeData[[#This Row],[EnvironmentSatisfaction]],EmployeeData[[#This Row],[WorkLifeBalance]]),2)</f>
        <v>1.67</v>
      </c>
      <c r="AE63" t="str">
        <f>IF(EmployeeData[[#This Row],[Satisfaction Score]]&lt;2,"Low",IF(EmployeeData[[#This Row],[Satisfaction Score]]&lt;3,"Medium","High"))</f>
        <v>Low</v>
      </c>
    </row>
    <row r="64" spans="1:31" x14ac:dyDescent="0.25">
      <c r="A64" t="s">
        <v>385</v>
      </c>
      <c r="B64" t="s">
        <v>386</v>
      </c>
      <c r="C64" t="s">
        <v>58</v>
      </c>
      <c r="D64">
        <v>41</v>
      </c>
      <c r="E64" t="s">
        <v>5461</v>
      </c>
      <c r="F64" t="s">
        <v>5464</v>
      </c>
      <c r="G64" s="1">
        <v>42821</v>
      </c>
      <c r="H64">
        <v>122666</v>
      </c>
      <c r="I64" t="s">
        <v>30</v>
      </c>
      <c r="J64" t="s">
        <v>31</v>
      </c>
      <c r="K64" t="s">
        <v>77</v>
      </c>
      <c r="L64" t="s">
        <v>33</v>
      </c>
      <c r="M64">
        <v>23</v>
      </c>
      <c r="N64" t="s">
        <v>34</v>
      </c>
      <c r="O64">
        <v>1</v>
      </c>
      <c r="P64">
        <v>1</v>
      </c>
      <c r="Q64">
        <v>2</v>
      </c>
      <c r="R64">
        <v>4</v>
      </c>
      <c r="S64">
        <v>2</v>
      </c>
      <c r="T64">
        <v>4</v>
      </c>
      <c r="U64">
        <v>15</v>
      </c>
      <c r="V64" t="s">
        <v>389</v>
      </c>
      <c r="W64" t="s">
        <v>45</v>
      </c>
      <c r="X64" s="1">
        <v>46064</v>
      </c>
      <c r="Y64" s="2" t="str">
        <f>IF(EmployeeData[[#This Row],[Age]]&lt;25,"Under 25",IF(EmployeeData[[#This Row],[Age]]&lt;=34,"25-34",IF(EmployeeData[[#This Row],[Age]]&lt;=44,"35-44",IF(EmployeeData[[#This Row],[Age]]&lt;=54,"45-54","55+"))))</f>
        <v>35-44</v>
      </c>
      <c r="Z64">
        <f ca="1">DATEDIF(EmployeeData[[#This Row],[DateOfJoining]],IF(AND(EmployeeData[[#This Row],[Attrition]]="Yes",EmployeeData[[#This Row],[LastWorkingDate]]&lt;&gt;""),EmployeeData[[#This Row],[LastWorkingDate]],TODAY()),"Y")</f>
        <v>8</v>
      </c>
      <c r="AA64" t="str">
        <f>IF(EmployeeData[[#This Row],[MonthlyIncome]]&lt;30000,"Low",IF(EmployeeData[[#This Row],[MonthlyIncome]]&lt;=60000,"Medium",IF(EmployeeData[[#This Row],[MonthlyIncome]]&lt;=100000,"High","Very High")))</f>
        <v>Very High</v>
      </c>
      <c r="AB64">
        <f>IF(EmployeeData[[#This Row],[Attrition]]="Yes",1,0)</f>
        <v>1</v>
      </c>
      <c r="AC64" t="str">
        <f ca="1">IF(EmployeeData[[#This Row],[Tenure Years]]&lt;1,"Less than 1 Year",IF(EmployeeData[[#This Row],[Tenure Years]]&lt;=3,"1-3 Years",IF(EmployeeData[[#This Row],[Tenure Years]]&lt;=5,"4-5 Years",IF(EmployeeData[[#This Row],[Tenure Years]]&lt;=10,"6-10 Years","More than 10 Years"))))</f>
        <v>6-10 Years</v>
      </c>
      <c r="AD64">
        <f>ROUND(AVERAGE(EmployeeData[[#This Row],[JobSatisfaction]],EmployeeData[[#This Row],[EnvironmentSatisfaction]],EmployeeData[[#This Row],[WorkLifeBalance]]),2)</f>
        <v>1.33</v>
      </c>
      <c r="AE64" t="str">
        <f>IF(EmployeeData[[#This Row],[Satisfaction Score]]&lt;2,"Low",IF(EmployeeData[[#This Row],[Satisfaction Score]]&lt;3,"Medium","High"))</f>
        <v>Low</v>
      </c>
    </row>
    <row r="65" spans="1:31" x14ac:dyDescent="0.25">
      <c r="A65" t="s">
        <v>391</v>
      </c>
      <c r="B65" t="s">
        <v>392</v>
      </c>
      <c r="C65" t="s">
        <v>58</v>
      </c>
      <c r="D65">
        <v>34</v>
      </c>
      <c r="E65" t="s">
        <v>38</v>
      </c>
      <c r="F65" t="s">
        <v>5462</v>
      </c>
      <c r="G65" s="1">
        <v>41364</v>
      </c>
      <c r="H65">
        <v>46686</v>
      </c>
      <c r="I65" t="s">
        <v>30</v>
      </c>
      <c r="J65" t="s">
        <v>61</v>
      </c>
      <c r="K65" t="s">
        <v>32</v>
      </c>
      <c r="L65" t="s">
        <v>33</v>
      </c>
      <c r="M65">
        <v>35</v>
      </c>
      <c r="N65" t="s">
        <v>34</v>
      </c>
      <c r="O65">
        <v>1</v>
      </c>
      <c r="P65">
        <v>2</v>
      </c>
      <c r="Q65">
        <v>4</v>
      </c>
      <c r="R65">
        <v>3</v>
      </c>
      <c r="S65">
        <v>3</v>
      </c>
      <c r="T65">
        <v>2</v>
      </c>
      <c r="U65">
        <v>16</v>
      </c>
      <c r="V65" t="s">
        <v>394</v>
      </c>
      <c r="W65" t="s">
        <v>34</v>
      </c>
      <c r="Y65" s="2" t="str">
        <f>IF(EmployeeData[[#This Row],[Age]]&lt;25,"Under 25",IF(EmployeeData[[#This Row],[Age]]&lt;=34,"25-34",IF(EmployeeData[[#This Row],[Age]]&lt;=44,"35-44",IF(EmployeeData[[#This Row],[Age]]&lt;=54,"45-54","55+"))))</f>
        <v>25-34</v>
      </c>
      <c r="Z65">
        <f ca="1">DATEDIF(EmployeeData[[#This Row],[DateOfJoining]],IF(AND(EmployeeData[[#This Row],[Attrition]]="Yes",EmployeeData[[#This Row],[LastWorkingDate]]&lt;&gt;""),EmployeeData[[#This Row],[LastWorkingDate]],TODAY()),"Y")</f>
        <v>13</v>
      </c>
      <c r="AA65" t="str">
        <f>IF(EmployeeData[[#This Row],[MonthlyIncome]]&lt;30000,"Low",IF(EmployeeData[[#This Row],[MonthlyIncome]]&lt;=60000,"Medium",IF(EmployeeData[[#This Row],[MonthlyIncome]]&lt;=100000,"High","Very High")))</f>
        <v>Medium</v>
      </c>
      <c r="AB65">
        <f>IF(EmployeeData[[#This Row],[Attrition]]="Yes",1,0)</f>
        <v>0</v>
      </c>
      <c r="AC65" t="str">
        <f ca="1">IF(EmployeeData[[#This Row],[Tenure Years]]&lt;1,"Less than 1 Year",IF(EmployeeData[[#This Row],[Tenure Years]]&lt;=3,"1-3 Years",IF(EmployeeData[[#This Row],[Tenure Years]]&lt;=5,"4-5 Years",IF(EmployeeData[[#This Row],[Tenure Years]]&lt;=10,"6-10 Years","More than 10 Years"))))</f>
        <v>More than 10 Years</v>
      </c>
      <c r="AD65">
        <f>ROUND(AVERAGE(EmployeeData[[#This Row],[JobSatisfaction]],EmployeeData[[#This Row],[EnvironmentSatisfaction]],EmployeeData[[#This Row],[WorkLifeBalance]]),2)</f>
        <v>2.33</v>
      </c>
      <c r="AE65" t="str">
        <f>IF(EmployeeData[[#This Row],[Satisfaction Score]]&lt;2,"Low",IF(EmployeeData[[#This Row],[Satisfaction Score]]&lt;3,"Medium","High"))</f>
        <v>Medium</v>
      </c>
    </row>
    <row r="66" spans="1:31" x14ac:dyDescent="0.25">
      <c r="A66" t="s">
        <v>395</v>
      </c>
      <c r="B66" t="s">
        <v>396</v>
      </c>
      <c r="C66" t="s">
        <v>49</v>
      </c>
      <c r="D66">
        <v>32</v>
      </c>
      <c r="E66" t="s">
        <v>128</v>
      </c>
      <c r="F66" t="s">
        <v>226</v>
      </c>
      <c r="G66" s="1">
        <v>45691</v>
      </c>
      <c r="H66">
        <v>89640</v>
      </c>
      <c r="I66" t="s">
        <v>52</v>
      </c>
      <c r="J66" t="s">
        <v>31</v>
      </c>
      <c r="K66" t="s">
        <v>167</v>
      </c>
      <c r="L66" t="s">
        <v>33</v>
      </c>
      <c r="M66">
        <v>34</v>
      </c>
      <c r="N66" t="s">
        <v>45</v>
      </c>
      <c r="O66">
        <v>1</v>
      </c>
      <c r="P66">
        <v>2</v>
      </c>
      <c r="Q66">
        <v>4</v>
      </c>
      <c r="R66">
        <v>3</v>
      </c>
      <c r="S66">
        <v>5</v>
      </c>
      <c r="T66">
        <v>6</v>
      </c>
      <c r="U66">
        <v>23</v>
      </c>
      <c r="V66" t="s">
        <v>399</v>
      </c>
      <c r="W66" t="s">
        <v>45</v>
      </c>
      <c r="X66" s="1">
        <v>45771</v>
      </c>
      <c r="Y66" s="2" t="str">
        <f>IF(EmployeeData[[#This Row],[Age]]&lt;25,"Under 25",IF(EmployeeData[[#This Row],[Age]]&lt;=34,"25-34",IF(EmployeeData[[#This Row],[Age]]&lt;=44,"35-44",IF(EmployeeData[[#This Row],[Age]]&lt;=54,"45-54","55+"))))</f>
        <v>25-34</v>
      </c>
      <c r="Z66">
        <f ca="1">DATEDIF(EmployeeData[[#This Row],[DateOfJoining]],IF(AND(EmployeeData[[#This Row],[Attrition]]="Yes",EmployeeData[[#This Row],[LastWorkingDate]]&lt;&gt;""),EmployeeData[[#This Row],[LastWorkingDate]],TODAY()),"Y")</f>
        <v>0</v>
      </c>
      <c r="AA66" t="str">
        <f>IF(EmployeeData[[#This Row],[MonthlyIncome]]&lt;30000,"Low",IF(EmployeeData[[#This Row],[MonthlyIncome]]&lt;=60000,"Medium",IF(EmployeeData[[#This Row],[MonthlyIncome]]&lt;=100000,"High","Very High")))</f>
        <v>High</v>
      </c>
      <c r="AB66">
        <f>IF(EmployeeData[[#This Row],[Attrition]]="Yes",1,0)</f>
        <v>1</v>
      </c>
      <c r="AC66" t="str">
        <f ca="1">IF(EmployeeData[[#This Row],[Tenure Years]]&lt;1,"Less than 1 Year",IF(EmployeeData[[#This Row],[Tenure Years]]&lt;=3,"1-3 Years",IF(EmployeeData[[#This Row],[Tenure Years]]&lt;=5,"4-5 Years",IF(EmployeeData[[#This Row],[Tenure Years]]&lt;=10,"6-10 Years","More than 10 Years"))))</f>
        <v>Less than 1 Year</v>
      </c>
      <c r="AD66">
        <f>ROUND(AVERAGE(EmployeeData[[#This Row],[JobSatisfaction]],EmployeeData[[#This Row],[EnvironmentSatisfaction]],EmployeeData[[#This Row],[WorkLifeBalance]]),2)</f>
        <v>2.33</v>
      </c>
      <c r="AE66" t="str">
        <f>IF(EmployeeData[[#This Row],[Satisfaction Score]]&lt;2,"Low",IF(EmployeeData[[#This Row],[Satisfaction Score]]&lt;3,"Medium","High"))</f>
        <v>Medium</v>
      </c>
    </row>
    <row r="67" spans="1:31" x14ac:dyDescent="0.25">
      <c r="A67" t="s">
        <v>401</v>
      </c>
      <c r="B67" t="s">
        <v>402</v>
      </c>
      <c r="C67" t="s">
        <v>49</v>
      </c>
      <c r="D67">
        <v>55</v>
      </c>
      <c r="E67" t="s">
        <v>27</v>
      </c>
      <c r="F67" t="s">
        <v>59</v>
      </c>
      <c r="G67" s="1">
        <v>43370</v>
      </c>
      <c r="H67">
        <v>76207</v>
      </c>
      <c r="I67" t="s">
        <v>52</v>
      </c>
      <c r="J67" t="s">
        <v>143</v>
      </c>
      <c r="K67" t="s">
        <v>200</v>
      </c>
      <c r="L67" t="s">
        <v>62</v>
      </c>
      <c r="M67">
        <v>1</v>
      </c>
      <c r="N67" t="s">
        <v>34</v>
      </c>
      <c r="O67">
        <v>2</v>
      </c>
      <c r="P67">
        <v>3</v>
      </c>
      <c r="Q67">
        <v>4</v>
      </c>
      <c r="R67">
        <v>2</v>
      </c>
      <c r="S67">
        <v>5</v>
      </c>
      <c r="T67">
        <v>6</v>
      </c>
      <c r="U67">
        <v>14</v>
      </c>
      <c r="V67" t="s">
        <v>404</v>
      </c>
      <c r="W67" t="s">
        <v>45</v>
      </c>
      <c r="X67" s="1">
        <v>43813</v>
      </c>
      <c r="Y67" s="2" t="str">
        <f>IF(EmployeeData[[#This Row],[Age]]&lt;25,"Under 25",IF(EmployeeData[[#This Row],[Age]]&lt;=34,"25-34",IF(EmployeeData[[#This Row],[Age]]&lt;=44,"35-44",IF(EmployeeData[[#This Row],[Age]]&lt;=54,"45-54","55+"))))</f>
        <v>55+</v>
      </c>
      <c r="Z67">
        <f ca="1">DATEDIF(EmployeeData[[#This Row],[DateOfJoining]],IF(AND(EmployeeData[[#This Row],[Attrition]]="Yes",EmployeeData[[#This Row],[LastWorkingDate]]&lt;&gt;""),EmployeeData[[#This Row],[LastWorkingDate]],TODAY()),"Y")</f>
        <v>1</v>
      </c>
      <c r="AA67" t="str">
        <f>IF(EmployeeData[[#This Row],[MonthlyIncome]]&lt;30000,"Low",IF(EmployeeData[[#This Row],[MonthlyIncome]]&lt;=60000,"Medium",IF(EmployeeData[[#This Row],[MonthlyIncome]]&lt;=100000,"High","Very High")))</f>
        <v>High</v>
      </c>
      <c r="AB67">
        <f>IF(EmployeeData[[#This Row],[Attrition]]="Yes",1,0)</f>
        <v>1</v>
      </c>
      <c r="AC67" t="str">
        <f ca="1">IF(EmployeeData[[#This Row],[Tenure Years]]&lt;1,"Less than 1 Year",IF(EmployeeData[[#This Row],[Tenure Years]]&lt;=3,"1-3 Years",IF(EmployeeData[[#This Row],[Tenure Years]]&lt;=5,"4-5 Years",IF(EmployeeData[[#This Row],[Tenure Years]]&lt;=10,"6-10 Years","More than 10 Years"))))</f>
        <v>1-3 Years</v>
      </c>
      <c r="AD67">
        <f>ROUND(AVERAGE(EmployeeData[[#This Row],[JobSatisfaction]],EmployeeData[[#This Row],[EnvironmentSatisfaction]],EmployeeData[[#This Row],[WorkLifeBalance]]),2)</f>
        <v>3</v>
      </c>
      <c r="AE67" t="str">
        <f>IF(EmployeeData[[#This Row],[Satisfaction Score]]&lt;2,"Low",IF(EmployeeData[[#This Row],[Satisfaction Score]]&lt;3,"Medium","High"))</f>
        <v>High</v>
      </c>
    </row>
    <row r="68" spans="1:31" x14ac:dyDescent="0.25">
      <c r="A68" t="s">
        <v>406</v>
      </c>
      <c r="B68" t="s">
        <v>407</v>
      </c>
      <c r="C68" t="s">
        <v>49</v>
      </c>
      <c r="D68">
        <v>22</v>
      </c>
      <c r="E68" t="s">
        <v>27</v>
      </c>
      <c r="F68" t="s">
        <v>188</v>
      </c>
      <c r="G68" s="1">
        <v>44278</v>
      </c>
      <c r="H68">
        <v>60965</v>
      </c>
      <c r="I68" t="s">
        <v>30</v>
      </c>
      <c r="J68" t="s">
        <v>61</v>
      </c>
      <c r="K68" t="s">
        <v>113</v>
      </c>
      <c r="L68" t="s">
        <v>33</v>
      </c>
      <c r="M68">
        <v>18</v>
      </c>
      <c r="N68" t="s">
        <v>34</v>
      </c>
      <c r="O68">
        <v>1</v>
      </c>
      <c r="P68">
        <v>4</v>
      </c>
      <c r="Q68">
        <v>3</v>
      </c>
      <c r="R68">
        <v>2</v>
      </c>
      <c r="S68">
        <v>1</v>
      </c>
      <c r="T68">
        <v>4</v>
      </c>
      <c r="U68">
        <v>12</v>
      </c>
      <c r="V68" t="s">
        <v>409</v>
      </c>
      <c r="W68" t="s">
        <v>34</v>
      </c>
      <c r="Y68" s="2" t="str">
        <f>IF(EmployeeData[[#This Row],[Age]]&lt;25,"Under 25",IF(EmployeeData[[#This Row],[Age]]&lt;=34,"25-34",IF(EmployeeData[[#This Row],[Age]]&lt;=44,"35-44",IF(EmployeeData[[#This Row],[Age]]&lt;=54,"45-54","55+"))))</f>
        <v>Under 25</v>
      </c>
      <c r="Z68">
        <f ca="1">DATEDIF(EmployeeData[[#This Row],[DateOfJoining]],IF(AND(EmployeeData[[#This Row],[Attrition]]="Yes",EmployeeData[[#This Row],[LastWorkingDate]]&lt;&gt;""),EmployeeData[[#This Row],[LastWorkingDate]],TODAY()),"Y")</f>
        <v>5</v>
      </c>
      <c r="AA68" t="str">
        <f>IF(EmployeeData[[#This Row],[MonthlyIncome]]&lt;30000,"Low",IF(EmployeeData[[#This Row],[MonthlyIncome]]&lt;=60000,"Medium",IF(EmployeeData[[#This Row],[MonthlyIncome]]&lt;=100000,"High","Very High")))</f>
        <v>High</v>
      </c>
      <c r="AB68">
        <f>IF(EmployeeData[[#This Row],[Attrition]]="Yes",1,0)</f>
        <v>0</v>
      </c>
      <c r="AC68" t="str">
        <f ca="1">IF(EmployeeData[[#This Row],[Tenure Years]]&lt;1,"Less than 1 Year",IF(EmployeeData[[#This Row],[Tenure Years]]&lt;=3,"1-3 Years",IF(EmployeeData[[#This Row],[Tenure Years]]&lt;=5,"4-5 Years",IF(EmployeeData[[#This Row],[Tenure Years]]&lt;=10,"6-10 Years","More than 10 Years"))))</f>
        <v>4-5 Years</v>
      </c>
      <c r="AD68">
        <f>ROUND(AVERAGE(EmployeeData[[#This Row],[JobSatisfaction]],EmployeeData[[#This Row],[EnvironmentSatisfaction]],EmployeeData[[#This Row],[WorkLifeBalance]]),2)</f>
        <v>2.67</v>
      </c>
      <c r="AE68" t="str">
        <f>IF(EmployeeData[[#This Row],[Satisfaction Score]]&lt;2,"Low",IF(EmployeeData[[#This Row],[Satisfaction Score]]&lt;3,"Medium","High"))</f>
        <v>Medium</v>
      </c>
    </row>
    <row r="69" spans="1:31" x14ac:dyDescent="0.25">
      <c r="A69" t="s">
        <v>410</v>
      </c>
      <c r="B69" t="s">
        <v>411</v>
      </c>
      <c r="C69" t="s">
        <v>58</v>
      </c>
      <c r="D69">
        <v>43</v>
      </c>
      <c r="E69" t="s">
        <v>412</v>
      </c>
      <c r="F69" t="s">
        <v>828</v>
      </c>
      <c r="G69" s="1">
        <v>45573</v>
      </c>
      <c r="H69">
        <v>66180</v>
      </c>
      <c r="I69" t="s">
        <v>42</v>
      </c>
      <c r="J69" t="s">
        <v>31</v>
      </c>
      <c r="K69" t="s">
        <v>98</v>
      </c>
      <c r="L69" t="s">
        <v>62</v>
      </c>
      <c r="M69">
        <v>6</v>
      </c>
      <c r="N69" t="s">
        <v>34</v>
      </c>
      <c r="O69">
        <v>2</v>
      </c>
      <c r="P69">
        <v>2</v>
      </c>
      <c r="Q69">
        <v>1</v>
      </c>
      <c r="R69">
        <v>3</v>
      </c>
      <c r="S69">
        <v>4</v>
      </c>
      <c r="T69">
        <v>3</v>
      </c>
      <c r="U69">
        <v>12</v>
      </c>
      <c r="V69" t="s">
        <v>415</v>
      </c>
      <c r="W69" t="s">
        <v>45</v>
      </c>
      <c r="X69" s="1">
        <v>46189</v>
      </c>
      <c r="Y69" s="2" t="str">
        <f>IF(EmployeeData[[#This Row],[Age]]&lt;25,"Under 25",IF(EmployeeData[[#This Row],[Age]]&lt;=34,"25-34",IF(EmployeeData[[#This Row],[Age]]&lt;=44,"35-44",IF(EmployeeData[[#This Row],[Age]]&lt;=54,"45-54","55+"))))</f>
        <v>35-44</v>
      </c>
      <c r="Z69">
        <f ca="1">DATEDIF(EmployeeData[[#This Row],[DateOfJoining]],IF(AND(EmployeeData[[#This Row],[Attrition]]="Yes",EmployeeData[[#This Row],[LastWorkingDate]]&lt;&gt;""),EmployeeData[[#This Row],[LastWorkingDate]],TODAY()),"Y")</f>
        <v>1</v>
      </c>
      <c r="AA69" t="str">
        <f>IF(EmployeeData[[#This Row],[MonthlyIncome]]&lt;30000,"Low",IF(EmployeeData[[#This Row],[MonthlyIncome]]&lt;=60000,"Medium",IF(EmployeeData[[#This Row],[MonthlyIncome]]&lt;=100000,"High","Very High")))</f>
        <v>High</v>
      </c>
      <c r="AB69">
        <f>IF(EmployeeData[[#This Row],[Attrition]]="Yes",1,0)</f>
        <v>1</v>
      </c>
      <c r="AC69" t="str">
        <f ca="1">IF(EmployeeData[[#This Row],[Tenure Years]]&lt;1,"Less than 1 Year",IF(EmployeeData[[#This Row],[Tenure Years]]&lt;=3,"1-3 Years",IF(EmployeeData[[#This Row],[Tenure Years]]&lt;=5,"4-5 Years",IF(EmployeeData[[#This Row],[Tenure Years]]&lt;=10,"6-10 Years","More than 10 Years"))))</f>
        <v>1-3 Years</v>
      </c>
      <c r="AD69">
        <f>ROUND(AVERAGE(EmployeeData[[#This Row],[JobSatisfaction]],EmployeeData[[#This Row],[EnvironmentSatisfaction]],EmployeeData[[#This Row],[WorkLifeBalance]]),2)</f>
        <v>1.67</v>
      </c>
      <c r="AE69" t="str">
        <f>IF(EmployeeData[[#This Row],[Satisfaction Score]]&lt;2,"Low",IF(EmployeeData[[#This Row],[Satisfaction Score]]&lt;3,"Medium","High"))</f>
        <v>Low</v>
      </c>
    </row>
    <row r="70" spans="1:31" x14ac:dyDescent="0.25">
      <c r="A70" t="s">
        <v>417</v>
      </c>
      <c r="B70" t="s">
        <v>418</v>
      </c>
      <c r="C70" t="s">
        <v>49</v>
      </c>
      <c r="D70">
        <v>39</v>
      </c>
      <c r="E70" t="s">
        <v>5461</v>
      </c>
      <c r="F70" t="s">
        <v>5464</v>
      </c>
      <c r="G70" s="1">
        <v>41402</v>
      </c>
      <c r="H70">
        <v>141093</v>
      </c>
      <c r="I70" t="s">
        <v>52</v>
      </c>
      <c r="J70" t="s">
        <v>61</v>
      </c>
      <c r="K70" t="s">
        <v>54</v>
      </c>
      <c r="L70" t="s">
        <v>33</v>
      </c>
      <c r="M70">
        <v>1</v>
      </c>
      <c r="N70" t="s">
        <v>34</v>
      </c>
      <c r="O70">
        <v>3</v>
      </c>
      <c r="P70">
        <v>2</v>
      </c>
      <c r="Q70">
        <v>4</v>
      </c>
      <c r="R70">
        <v>2</v>
      </c>
      <c r="S70">
        <v>6</v>
      </c>
      <c r="T70">
        <v>1</v>
      </c>
      <c r="U70">
        <v>20</v>
      </c>
      <c r="V70" t="s">
        <v>420</v>
      </c>
      <c r="W70" t="s">
        <v>34</v>
      </c>
      <c r="Y70" s="2" t="str">
        <f>IF(EmployeeData[[#This Row],[Age]]&lt;25,"Under 25",IF(EmployeeData[[#This Row],[Age]]&lt;=34,"25-34",IF(EmployeeData[[#This Row],[Age]]&lt;=44,"35-44",IF(EmployeeData[[#This Row],[Age]]&lt;=54,"45-54","55+"))))</f>
        <v>35-44</v>
      </c>
      <c r="Z70">
        <f ca="1">DATEDIF(EmployeeData[[#This Row],[DateOfJoining]],IF(AND(EmployeeData[[#This Row],[Attrition]]="Yes",EmployeeData[[#This Row],[LastWorkingDate]]&lt;&gt;""),EmployeeData[[#This Row],[LastWorkingDate]],TODAY()),"Y")</f>
        <v>13</v>
      </c>
      <c r="AA70" t="str">
        <f>IF(EmployeeData[[#This Row],[MonthlyIncome]]&lt;30000,"Low",IF(EmployeeData[[#This Row],[MonthlyIncome]]&lt;=60000,"Medium",IF(EmployeeData[[#This Row],[MonthlyIncome]]&lt;=100000,"High","Very High")))</f>
        <v>Very High</v>
      </c>
      <c r="AB70">
        <f>IF(EmployeeData[[#This Row],[Attrition]]="Yes",1,0)</f>
        <v>0</v>
      </c>
      <c r="AC70" t="str">
        <f ca="1">IF(EmployeeData[[#This Row],[Tenure Years]]&lt;1,"Less than 1 Year",IF(EmployeeData[[#This Row],[Tenure Years]]&lt;=3,"1-3 Years",IF(EmployeeData[[#This Row],[Tenure Years]]&lt;=5,"4-5 Years",IF(EmployeeData[[#This Row],[Tenure Years]]&lt;=10,"6-10 Years","More than 10 Years"))))</f>
        <v>More than 10 Years</v>
      </c>
      <c r="AD70">
        <f>ROUND(AVERAGE(EmployeeData[[#This Row],[JobSatisfaction]],EmployeeData[[#This Row],[EnvironmentSatisfaction]],EmployeeData[[#This Row],[WorkLifeBalance]]),2)</f>
        <v>3</v>
      </c>
      <c r="AE70" t="str">
        <f>IF(EmployeeData[[#This Row],[Satisfaction Score]]&lt;2,"Low",IF(EmployeeData[[#This Row],[Satisfaction Score]]&lt;3,"Medium","High"))</f>
        <v>High</v>
      </c>
    </row>
    <row r="71" spans="1:31" x14ac:dyDescent="0.25">
      <c r="A71" t="s">
        <v>421</v>
      </c>
      <c r="B71" t="s">
        <v>422</v>
      </c>
      <c r="C71" t="s">
        <v>49</v>
      </c>
      <c r="D71">
        <v>44</v>
      </c>
      <c r="E71" t="s">
        <v>128</v>
      </c>
      <c r="F71" t="s">
        <v>123</v>
      </c>
      <c r="G71" s="1">
        <v>41609</v>
      </c>
      <c r="H71">
        <v>66980</v>
      </c>
      <c r="I71" t="s">
        <v>30</v>
      </c>
      <c r="J71" t="s">
        <v>5459</v>
      </c>
      <c r="K71" t="s">
        <v>98</v>
      </c>
      <c r="L71" t="s">
        <v>33</v>
      </c>
      <c r="M71">
        <v>31</v>
      </c>
      <c r="N71" t="s">
        <v>34</v>
      </c>
      <c r="O71">
        <v>1</v>
      </c>
      <c r="P71">
        <v>2</v>
      </c>
      <c r="Q71">
        <v>3</v>
      </c>
      <c r="R71">
        <v>4</v>
      </c>
      <c r="S71">
        <v>2</v>
      </c>
      <c r="T71">
        <v>3</v>
      </c>
      <c r="U71">
        <v>22</v>
      </c>
      <c r="V71" t="s">
        <v>425</v>
      </c>
      <c r="W71" t="s">
        <v>34</v>
      </c>
      <c r="Y71" s="2" t="str">
        <f>IF(EmployeeData[[#This Row],[Age]]&lt;25,"Under 25",IF(EmployeeData[[#This Row],[Age]]&lt;=34,"25-34",IF(EmployeeData[[#This Row],[Age]]&lt;=44,"35-44",IF(EmployeeData[[#This Row],[Age]]&lt;=54,"45-54","55+"))))</f>
        <v>35-44</v>
      </c>
      <c r="Z71">
        <f ca="1">DATEDIF(EmployeeData[[#This Row],[DateOfJoining]],IF(AND(EmployeeData[[#This Row],[Attrition]]="Yes",EmployeeData[[#This Row],[LastWorkingDate]]&lt;&gt;""),EmployeeData[[#This Row],[LastWorkingDate]],TODAY()),"Y")</f>
        <v>12</v>
      </c>
      <c r="AA71" t="str">
        <f>IF(EmployeeData[[#This Row],[MonthlyIncome]]&lt;30000,"Low",IF(EmployeeData[[#This Row],[MonthlyIncome]]&lt;=60000,"Medium",IF(EmployeeData[[#This Row],[MonthlyIncome]]&lt;=100000,"High","Very High")))</f>
        <v>High</v>
      </c>
      <c r="AB71">
        <f>IF(EmployeeData[[#This Row],[Attrition]]="Yes",1,0)</f>
        <v>0</v>
      </c>
      <c r="AC71" t="str">
        <f ca="1">IF(EmployeeData[[#This Row],[Tenure Years]]&lt;1,"Less than 1 Year",IF(EmployeeData[[#This Row],[Tenure Years]]&lt;=3,"1-3 Years",IF(EmployeeData[[#This Row],[Tenure Years]]&lt;=5,"4-5 Years",IF(EmployeeData[[#This Row],[Tenure Years]]&lt;=10,"6-10 Years","More than 10 Years"))))</f>
        <v>More than 10 Years</v>
      </c>
      <c r="AD71">
        <f>ROUND(AVERAGE(EmployeeData[[#This Row],[JobSatisfaction]],EmployeeData[[#This Row],[EnvironmentSatisfaction]],EmployeeData[[#This Row],[WorkLifeBalance]]),2)</f>
        <v>2</v>
      </c>
      <c r="AE71" t="str">
        <f>IF(EmployeeData[[#This Row],[Satisfaction Score]]&lt;2,"Low",IF(EmployeeData[[#This Row],[Satisfaction Score]]&lt;3,"Medium","High"))</f>
        <v>Medium</v>
      </c>
    </row>
    <row r="72" spans="1:31" x14ac:dyDescent="0.25">
      <c r="A72" t="s">
        <v>426</v>
      </c>
      <c r="B72" t="s">
        <v>427</v>
      </c>
      <c r="C72" t="s">
        <v>58</v>
      </c>
      <c r="D72">
        <v>26</v>
      </c>
      <c r="E72" t="s">
        <v>27</v>
      </c>
      <c r="F72" t="s">
        <v>75</v>
      </c>
      <c r="G72" s="1">
        <v>44868</v>
      </c>
      <c r="H72">
        <v>77201</v>
      </c>
      <c r="I72" t="s">
        <v>30</v>
      </c>
      <c r="J72" t="s">
        <v>31</v>
      </c>
      <c r="K72" t="s">
        <v>200</v>
      </c>
      <c r="L72" t="s">
        <v>62</v>
      </c>
      <c r="M72">
        <v>41</v>
      </c>
      <c r="N72" t="s">
        <v>45</v>
      </c>
      <c r="O72">
        <v>4</v>
      </c>
      <c r="P72">
        <v>2</v>
      </c>
      <c r="Q72">
        <v>2</v>
      </c>
      <c r="R72">
        <v>5</v>
      </c>
      <c r="S72">
        <v>5</v>
      </c>
      <c r="T72">
        <v>4</v>
      </c>
      <c r="U72">
        <v>11</v>
      </c>
      <c r="V72" t="s">
        <v>429</v>
      </c>
      <c r="W72" t="s">
        <v>45</v>
      </c>
      <c r="X72" s="1">
        <v>45799</v>
      </c>
      <c r="Y72" s="2" t="str">
        <f>IF(EmployeeData[[#This Row],[Age]]&lt;25,"Under 25",IF(EmployeeData[[#This Row],[Age]]&lt;=34,"25-34",IF(EmployeeData[[#This Row],[Age]]&lt;=44,"35-44",IF(EmployeeData[[#This Row],[Age]]&lt;=54,"45-54","55+"))))</f>
        <v>25-34</v>
      </c>
      <c r="Z72">
        <f ca="1">DATEDIF(EmployeeData[[#This Row],[DateOfJoining]],IF(AND(EmployeeData[[#This Row],[Attrition]]="Yes",EmployeeData[[#This Row],[LastWorkingDate]]&lt;&gt;""),EmployeeData[[#This Row],[LastWorkingDate]],TODAY()),"Y")</f>
        <v>2</v>
      </c>
      <c r="AA72" t="str">
        <f>IF(EmployeeData[[#This Row],[MonthlyIncome]]&lt;30000,"Low",IF(EmployeeData[[#This Row],[MonthlyIncome]]&lt;=60000,"Medium",IF(EmployeeData[[#This Row],[MonthlyIncome]]&lt;=100000,"High","Very High")))</f>
        <v>High</v>
      </c>
      <c r="AB72">
        <f>IF(EmployeeData[[#This Row],[Attrition]]="Yes",1,0)</f>
        <v>1</v>
      </c>
      <c r="AC72" t="str">
        <f ca="1">IF(EmployeeData[[#This Row],[Tenure Years]]&lt;1,"Less than 1 Year",IF(EmployeeData[[#This Row],[Tenure Years]]&lt;=3,"1-3 Years",IF(EmployeeData[[#This Row],[Tenure Years]]&lt;=5,"4-5 Years",IF(EmployeeData[[#This Row],[Tenure Years]]&lt;=10,"6-10 Years","More than 10 Years"))))</f>
        <v>1-3 Years</v>
      </c>
      <c r="AD72">
        <f>ROUND(AVERAGE(EmployeeData[[#This Row],[JobSatisfaction]],EmployeeData[[#This Row],[EnvironmentSatisfaction]],EmployeeData[[#This Row],[WorkLifeBalance]]),2)</f>
        <v>2.67</v>
      </c>
      <c r="AE72" t="str">
        <f>IF(EmployeeData[[#This Row],[Satisfaction Score]]&lt;2,"Low",IF(EmployeeData[[#This Row],[Satisfaction Score]]&lt;3,"Medium","High"))</f>
        <v>Medium</v>
      </c>
    </row>
    <row r="73" spans="1:31" x14ac:dyDescent="0.25">
      <c r="A73" t="s">
        <v>431</v>
      </c>
      <c r="B73" t="s">
        <v>432</v>
      </c>
      <c r="C73" t="s">
        <v>58</v>
      </c>
      <c r="D73">
        <v>38</v>
      </c>
      <c r="E73" t="s">
        <v>197</v>
      </c>
      <c r="F73" t="s">
        <v>323</v>
      </c>
      <c r="G73" s="1">
        <v>42430</v>
      </c>
      <c r="H73">
        <v>75285</v>
      </c>
      <c r="I73" t="s">
        <v>52</v>
      </c>
      <c r="J73" t="s">
        <v>31</v>
      </c>
      <c r="K73" t="s">
        <v>83</v>
      </c>
      <c r="L73" t="s">
        <v>5459</v>
      </c>
      <c r="M73">
        <v>11</v>
      </c>
      <c r="N73" t="s">
        <v>34</v>
      </c>
      <c r="O73">
        <v>3</v>
      </c>
      <c r="P73">
        <v>4</v>
      </c>
      <c r="Q73">
        <v>2</v>
      </c>
      <c r="R73">
        <v>2</v>
      </c>
      <c r="S73">
        <v>6</v>
      </c>
      <c r="T73">
        <v>6</v>
      </c>
      <c r="U73">
        <v>15</v>
      </c>
      <c r="V73" t="s">
        <v>435</v>
      </c>
      <c r="W73" t="s">
        <v>34</v>
      </c>
      <c r="Y73" s="2" t="str">
        <f>IF(EmployeeData[[#This Row],[Age]]&lt;25,"Under 25",IF(EmployeeData[[#This Row],[Age]]&lt;=34,"25-34",IF(EmployeeData[[#This Row],[Age]]&lt;=44,"35-44",IF(EmployeeData[[#This Row],[Age]]&lt;=54,"45-54","55+"))))</f>
        <v>35-44</v>
      </c>
      <c r="Z73">
        <f ca="1">DATEDIF(EmployeeData[[#This Row],[DateOfJoining]],IF(AND(EmployeeData[[#This Row],[Attrition]]="Yes",EmployeeData[[#This Row],[LastWorkingDate]]&lt;&gt;""),EmployeeData[[#This Row],[LastWorkingDate]],TODAY()),"Y")</f>
        <v>10</v>
      </c>
      <c r="AA73" t="str">
        <f>IF(EmployeeData[[#This Row],[MonthlyIncome]]&lt;30000,"Low",IF(EmployeeData[[#This Row],[MonthlyIncome]]&lt;=60000,"Medium",IF(EmployeeData[[#This Row],[MonthlyIncome]]&lt;=100000,"High","Very High")))</f>
        <v>High</v>
      </c>
      <c r="AB73">
        <f>IF(EmployeeData[[#This Row],[Attrition]]="Yes",1,0)</f>
        <v>0</v>
      </c>
      <c r="AC73" t="str">
        <f ca="1">IF(EmployeeData[[#This Row],[Tenure Years]]&lt;1,"Less than 1 Year",IF(EmployeeData[[#This Row],[Tenure Years]]&lt;=3,"1-3 Years",IF(EmployeeData[[#This Row],[Tenure Years]]&lt;=5,"4-5 Years",IF(EmployeeData[[#This Row],[Tenure Years]]&lt;=10,"6-10 Years","More than 10 Years"))))</f>
        <v>6-10 Years</v>
      </c>
      <c r="AD73">
        <f>ROUND(AVERAGE(EmployeeData[[#This Row],[JobSatisfaction]],EmployeeData[[#This Row],[EnvironmentSatisfaction]],EmployeeData[[#This Row],[WorkLifeBalance]]),2)</f>
        <v>3</v>
      </c>
      <c r="AE73" t="str">
        <f>IF(EmployeeData[[#This Row],[Satisfaction Score]]&lt;2,"Low",IF(EmployeeData[[#This Row],[Satisfaction Score]]&lt;3,"Medium","High"))</f>
        <v>High</v>
      </c>
    </row>
    <row r="74" spans="1:31" x14ac:dyDescent="0.25">
      <c r="A74" t="s">
        <v>436</v>
      </c>
      <c r="B74" t="s">
        <v>437</v>
      </c>
      <c r="C74" t="s">
        <v>58</v>
      </c>
      <c r="D74">
        <v>38</v>
      </c>
      <c r="E74" t="s">
        <v>38</v>
      </c>
      <c r="F74" t="s">
        <v>5462</v>
      </c>
      <c r="G74" s="1">
        <v>41498</v>
      </c>
      <c r="H74">
        <v>78352</v>
      </c>
      <c r="I74" t="s">
        <v>52</v>
      </c>
      <c r="J74" t="s">
        <v>31</v>
      </c>
      <c r="K74" t="s">
        <v>167</v>
      </c>
      <c r="L74" t="s">
        <v>43</v>
      </c>
      <c r="M74">
        <v>4</v>
      </c>
      <c r="N74" t="s">
        <v>34</v>
      </c>
      <c r="O74">
        <v>4</v>
      </c>
      <c r="P74">
        <v>1</v>
      </c>
      <c r="Q74">
        <v>3</v>
      </c>
      <c r="R74">
        <v>3</v>
      </c>
      <c r="S74">
        <v>2</v>
      </c>
      <c r="T74">
        <v>5</v>
      </c>
      <c r="U74">
        <v>23</v>
      </c>
      <c r="V74" t="s">
        <v>440</v>
      </c>
      <c r="W74" t="s">
        <v>34</v>
      </c>
      <c r="Y74" s="2" t="str">
        <f>IF(EmployeeData[[#This Row],[Age]]&lt;25,"Under 25",IF(EmployeeData[[#This Row],[Age]]&lt;=34,"25-34",IF(EmployeeData[[#This Row],[Age]]&lt;=44,"35-44",IF(EmployeeData[[#This Row],[Age]]&lt;=54,"45-54","55+"))))</f>
        <v>35-44</v>
      </c>
      <c r="Z74">
        <f ca="1">DATEDIF(EmployeeData[[#This Row],[DateOfJoining]],IF(AND(EmployeeData[[#This Row],[Attrition]]="Yes",EmployeeData[[#This Row],[LastWorkingDate]]&lt;&gt;""),EmployeeData[[#This Row],[LastWorkingDate]],TODAY()),"Y")</f>
        <v>13</v>
      </c>
      <c r="AA74" t="str">
        <f>IF(EmployeeData[[#This Row],[MonthlyIncome]]&lt;30000,"Low",IF(EmployeeData[[#This Row],[MonthlyIncome]]&lt;=60000,"Medium",IF(EmployeeData[[#This Row],[MonthlyIncome]]&lt;=100000,"High","Very High")))</f>
        <v>High</v>
      </c>
      <c r="AB74">
        <f>IF(EmployeeData[[#This Row],[Attrition]]="Yes",1,0)</f>
        <v>0</v>
      </c>
      <c r="AC74" t="str">
        <f ca="1">IF(EmployeeData[[#This Row],[Tenure Years]]&lt;1,"Less than 1 Year",IF(EmployeeData[[#This Row],[Tenure Years]]&lt;=3,"1-3 Years",IF(EmployeeData[[#This Row],[Tenure Years]]&lt;=5,"4-5 Years",IF(EmployeeData[[#This Row],[Tenure Years]]&lt;=10,"6-10 Years","More than 10 Years"))))</f>
        <v>More than 10 Years</v>
      </c>
      <c r="AD74">
        <f>ROUND(AVERAGE(EmployeeData[[#This Row],[JobSatisfaction]],EmployeeData[[#This Row],[EnvironmentSatisfaction]],EmployeeData[[#This Row],[WorkLifeBalance]]),2)</f>
        <v>2.67</v>
      </c>
      <c r="AE74" t="str">
        <f>IF(EmployeeData[[#This Row],[Satisfaction Score]]&lt;2,"Low",IF(EmployeeData[[#This Row],[Satisfaction Score]]&lt;3,"Medium","High"))</f>
        <v>Medium</v>
      </c>
    </row>
    <row r="75" spans="1:31" x14ac:dyDescent="0.25">
      <c r="A75" t="s">
        <v>441</v>
      </c>
      <c r="B75" t="s">
        <v>442</v>
      </c>
      <c r="C75" t="s">
        <v>49</v>
      </c>
      <c r="D75">
        <v>23</v>
      </c>
      <c r="E75" t="s">
        <v>27</v>
      </c>
      <c r="F75" t="s">
        <v>188</v>
      </c>
      <c r="G75" s="1">
        <v>44585</v>
      </c>
      <c r="H75">
        <v>123660</v>
      </c>
      <c r="I75" t="s">
        <v>30</v>
      </c>
      <c r="J75" t="s">
        <v>31</v>
      </c>
      <c r="K75" t="s">
        <v>200</v>
      </c>
      <c r="L75" t="s">
        <v>62</v>
      </c>
      <c r="M75">
        <v>23</v>
      </c>
      <c r="N75" t="s">
        <v>34</v>
      </c>
      <c r="O75">
        <v>3</v>
      </c>
      <c r="P75">
        <v>1</v>
      </c>
      <c r="Q75">
        <v>1</v>
      </c>
      <c r="R75">
        <v>3</v>
      </c>
      <c r="S75">
        <v>5</v>
      </c>
      <c r="T75">
        <v>8</v>
      </c>
      <c r="U75">
        <v>17</v>
      </c>
      <c r="V75" t="s">
        <v>444</v>
      </c>
      <c r="W75" t="s">
        <v>34</v>
      </c>
      <c r="Y75" s="2" t="str">
        <f>IF(EmployeeData[[#This Row],[Age]]&lt;25,"Under 25",IF(EmployeeData[[#This Row],[Age]]&lt;=34,"25-34",IF(EmployeeData[[#This Row],[Age]]&lt;=44,"35-44",IF(EmployeeData[[#This Row],[Age]]&lt;=54,"45-54","55+"))))</f>
        <v>Under 25</v>
      </c>
      <c r="Z75">
        <f ca="1">DATEDIF(EmployeeData[[#This Row],[DateOfJoining]],IF(AND(EmployeeData[[#This Row],[Attrition]]="Yes",EmployeeData[[#This Row],[LastWorkingDate]]&lt;&gt;""),EmployeeData[[#This Row],[LastWorkingDate]],TODAY()),"Y")</f>
        <v>4</v>
      </c>
      <c r="AA75" t="str">
        <f>IF(EmployeeData[[#This Row],[MonthlyIncome]]&lt;30000,"Low",IF(EmployeeData[[#This Row],[MonthlyIncome]]&lt;=60000,"Medium",IF(EmployeeData[[#This Row],[MonthlyIncome]]&lt;=100000,"High","Very High")))</f>
        <v>Very High</v>
      </c>
      <c r="AB75">
        <f>IF(EmployeeData[[#This Row],[Attrition]]="Yes",1,0)</f>
        <v>0</v>
      </c>
      <c r="AC75" t="str">
        <f ca="1">IF(EmployeeData[[#This Row],[Tenure Years]]&lt;1,"Less than 1 Year",IF(EmployeeData[[#This Row],[Tenure Years]]&lt;=3,"1-3 Years",IF(EmployeeData[[#This Row],[Tenure Years]]&lt;=5,"4-5 Years",IF(EmployeeData[[#This Row],[Tenure Years]]&lt;=10,"6-10 Years","More than 10 Years"))))</f>
        <v>4-5 Years</v>
      </c>
      <c r="AD75">
        <f>ROUND(AVERAGE(EmployeeData[[#This Row],[JobSatisfaction]],EmployeeData[[#This Row],[EnvironmentSatisfaction]],EmployeeData[[#This Row],[WorkLifeBalance]]),2)</f>
        <v>1.67</v>
      </c>
      <c r="AE75" t="str">
        <f>IF(EmployeeData[[#This Row],[Satisfaction Score]]&lt;2,"Low",IF(EmployeeData[[#This Row],[Satisfaction Score]]&lt;3,"Medium","High"))</f>
        <v>Low</v>
      </c>
    </row>
    <row r="76" spans="1:31" x14ac:dyDescent="0.25">
      <c r="A76" t="s">
        <v>445</v>
      </c>
      <c r="B76" t="s">
        <v>446</v>
      </c>
      <c r="C76" t="s">
        <v>58</v>
      </c>
      <c r="D76">
        <v>46</v>
      </c>
      <c r="E76" t="s">
        <v>197</v>
      </c>
      <c r="F76" t="s">
        <v>323</v>
      </c>
      <c r="G76" s="1">
        <v>42355</v>
      </c>
      <c r="H76">
        <v>110164</v>
      </c>
      <c r="I76" t="s">
        <v>42</v>
      </c>
      <c r="J76" t="s">
        <v>31</v>
      </c>
      <c r="K76" t="s">
        <v>77</v>
      </c>
      <c r="L76" t="s">
        <v>62</v>
      </c>
      <c r="M76">
        <v>37</v>
      </c>
      <c r="N76" t="s">
        <v>45</v>
      </c>
      <c r="O76">
        <v>4</v>
      </c>
      <c r="P76">
        <v>2</v>
      </c>
      <c r="Q76">
        <v>2</v>
      </c>
      <c r="R76">
        <v>3</v>
      </c>
      <c r="S76">
        <v>1</v>
      </c>
      <c r="T76">
        <v>0</v>
      </c>
      <c r="U76">
        <v>16</v>
      </c>
      <c r="V76" t="s">
        <v>449</v>
      </c>
      <c r="W76" t="s">
        <v>45</v>
      </c>
      <c r="X76" s="1">
        <v>43106</v>
      </c>
      <c r="Y76" s="2" t="str">
        <f>IF(EmployeeData[[#This Row],[Age]]&lt;25,"Under 25",IF(EmployeeData[[#This Row],[Age]]&lt;=34,"25-34",IF(EmployeeData[[#This Row],[Age]]&lt;=44,"35-44",IF(EmployeeData[[#This Row],[Age]]&lt;=54,"45-54","55+"))))</f>
        <v>45-54</v>
      </c>
      <c r="Z76">
        <f ca="1">DATEDIF(EmployeeData[[#This Row],[DateOfJoining]],IF(AND(EmployeeData[[#This Row],[Attrition]]="Yes",EmployeeData[[#This Row],[LastWorkingDate]]&lt;&gt;""),EmployeeData[[#This Row],[LastWorkingDate]],TODAY()),"Y")</f>
        <v>2</v>
      </c>
      <c r="AA76" t="str">
        <f>IF(EmployeeData[[#This Row],[MonthlyIncome]]&lt;30000,"Low",IF(EmployeeData[[#This Row],[MonthlyIncome]]&lt;=60000,"Medium",IF(EmployeeData[[#This Row],[MonthlyIncome]]&lt;=100000,"High","Very High")))</f>
        <v>Very High</v>
      </c>
      <c r="AB76">
        <f>IF(EmployeeData[[#This Row],[Attrition]]="Yes",1,0)</f>
        <v>1</v>
      </c>
      <c r="AC76" t="str">
        <f ca="1">IF(EmployeeData[[#This Row],[Tenure Years]]&lt;1,"Less than 1 Year",IF(EmployeeData[[#This Row],[Tenure Years]]&lt;=3,"1-3 Years",IF(EmployeeData[[#This Row],[Tenure Years]]&lt;=5,"4-5 Years",IF(EmployeeData[[#This Row],[Tenure Years]]&lt;=10,"6-10 Years","More than 10 Years"))))</f>
        <v>1-3 Years</v>
      </c>
      <c r="AD76">
        <f>ROUND(AVERAGE(EmployeeData[[#This Row],[JobSatisfaction]],EmployeeData[[#This Row],[EnvironmentSatisfaction]],EmployeeData[[#This Row],[WorkLifeBalance]]),2)</f>
        <v>2.67</v>
      </c>
      <c r="AE76" t="str">
        <f>IF(EmployeeData[[#This Row],[Satisfaction Score]]&lt;2,"Low",IF(EmployeeData[[#This Row],[Satisfaction Score]]&lt;3,"Medium","High"))</f>
        <v>Medium</v>
      </c>
    </row>
    <row r="77" spans="1:31" x14ac:dyDescent="0.25">
      <c r="A77" t="s">
        <v>451</v>
      </c>
      <c r="B77" t="s">
        <v>452</v>
      </c>
      <c r="C77" t="s">
        <v>58</v>
      </c>
      <c r="D77">
        <v>36</v>
      </c>
      <c r="E77" t="s">
        <v>27</v>
      </c>
      <c r="F77" t="s">
        <v>50</v>
      </c>
      <c r="G77" s="1">
        <v>44639</v>
      </c>
      <c r="H77">
        <v>64670</v>
      </c>
      <c r="I77" t="s">
        <v>42</v>
      </c>
      <c r="J77" t="s">
        <v>53</v>
      </c>
      <c r="K77" t="s">
        <v>98</v>
      </c>
      <c r="L77" t="s">
        <v>33</v>
      </c>
      <c r="M77">
        <v>41</v>
      </c>
      <c r="N77" t="s">
        <v>34</v>
      </c>
      <c r="O77">
        <v>4</v>
      </c>
      <c r="P77">
        <v>2</v>
      </c>
      <c r="Q77">
        <v>2</v>
      </c>
      <c r="R77">
        <v>3</v>
      </c>
      <c r="S77">
        <v>2</v>
      </c>
      <c r="T77">
        <v>2</v>
      </c>
      <c r="U77">
        <v>20</v>
      </c>
      <c r="V77" t="s">
        <v>5459</v>
      </c>
      <c r="W77" t="s">
        <v>34</v>
      </c>
      <c r="Y77" s="2" t="str">
        <f>IF(EmployeeData[[#This Row],[Age]]&lt;25,"Under 25",IF(EmployeeData[[#This Row],[Age]]&lt;=34,"25-34",IF(EmployeeData[[#This Row],[Age]]&lt;=44,"35-44",IF(EmployeeData[[#This Row],[Age]]&lt;=54,"45-54","55+"))))</f>
        <v>35-44</v>
      </c>
      <c r="Z77">
        <f ca="1">DATEDIF(EmployeeData[[#This Row],[DateOfJoining]],IF(AND(EmployeeData[[#This Row],[Attrition]]="Yes",EmployeeData[[#This Row],[LastWorkingDate]]&lt;&gt;""),EmployeeData[[#This Row],[LastWorkingDate]],TODAY()),"Y")</f>
        <v>4</v>
      </c>
      <c r="AA77" t="str">
        <f>IF(EmployeeData[[#This Row],[MonthlyIncome]]&lt;30000,"Low",IF(EmployeeData[[#This Row],[MonthlyIncome]]&lt;=60000,"Medium",IF(EmployeeData[[#This Row],[MonthlyIncome]]&lt;=100000,"High","Very High")))</f>
        <v>High</v>
      </c>
      <c r="AB77">
        <f>IF(EmployeeData[[#This Row],[Attrition]]="Yes",1,0)</f>
        <v>0</v>
      </c>
      <c r="AC77" t="str">
        <f ca="1">IF(EmployeeData[[#This Row],[Tenure Years]]&lt;1,"Less than 1 Year",IF(EmployeeData[[#This Row],[Tenure Years]]&lt;=3,"1-3 Years",IF(EmployeeData[[#This Row],[Tenure Years]]&lt;=5,"4-5 Years",IF(EmployeeData[[#This Row],[Tenure Years]]&lt;=10,"6-10 Years","More than 10 Years"))))</f>
        <v>4-5 Years</v>
      </c>
      <c r="AD77">
        <f>ROUND(AVERAGE(EmployeeData[[#This Row],[JobSatisfaction]],EmployeeData[[#This Row],[EnvironmentSatisfaction]],EmployeeData[[#This Row],[WorkLifeBalance]]),2)</f>
        <v>2.67</v>
      </c>
      <c r="AE77" t="str">
        <f>IF(EmployeeData[[#This Row],[Satisfaction Score]]&lt;2,"Low",IF(EmployeeData[[#This Row],[Satisfaction Score]]&lt;3,"Medium","High"))</f>
        <v>Medium</v>
      </c>
    </row>
    <row r="78" spans="1:31" x14ac:dyDescent="0.25">
      <c r="A78" t="s">
        <v>455</v>
      </c>
      <c r="B78" t="s">
        <v>456</v>
      </c>
      <c r="C78" t="s">
        <v>58</v>
      </c>
      <c r="D78">
        <v>19</v>
      </c>
      <c r="E78" t="s">
        <v>27</v>
      </c>
      <c r="F78" t="s">
        <v>75</v>
      </c>
      <c r="G78" s="1">
        <v>45727</v>
      </c>
      <c r="H78">
        <v>106575</v>
      </c>
      <c r="I78" t="s">
        <v>42</v>
      </c>
      <c r="J78" t="s">
        <v>31</v>
      </c>
      <c r="K78" t="s">
        <v>106</v>
      </c>
      <c r="L78" t="s">
        <v>62</v>
      </c>
      <c r="M78">
        <v>39</v>
      </c>
      <c r="N78" t="s">
        <v>34</v>
      </c>
      <c r="O78">
        <v>1</v>
      </c>
      <c r="P78">
        <v>3</v>
      </c>
      <c r="Q78">
        <v>3</v>
      </c>
      <c r="R78">
        <v>3</v>
      </c>
      <c r="S78">
        <v>5</v>
      </c>
      <c r="T78">
        <v>5</v>
      </c>
      <c r="U78">
        <v>15</v>
      </c>
      <c r="V78" t="s">
        <v>459</v>
      </c>
      <c r="W78" t="s">
        <v>45</v>
      </c>
      <c r="X78" s="1">
        <v>46251</v>
      </c>
      <c r="Y78" s="2" t="str">
        <f>IF(EmployeeData[[#This Row],[Age]]&lt;25,"Under 25",IF(EmployeeData[[#This Row],[Age]]&lt;=34,"25-34",IF(EmployeeData[[#This Row],[Age]]&lt;=44,"35-44",IF(EmployeeData[[#This Row],[Age]]&lt;=54,"45-54","55+"))))</f>
        <v>Under 25</v>
      </c>
      <c r="Z78">
        <f ca="1">DATEDIF(EmployeeData[[#This Row],[DateOfJoining]],IF(AND(EmployeeData[[#This Row],[Attrition]]="Yes",EmployeeData[[#This Row],[LastWorkingDate]]&lt;&gt;""),EmployeeData[[#This Row],[LastWorkingDate]],TODAY()),"Y")</f>
        <v>1</v>
      </c>
      <c r="AA78" t="str">
        <f>IF(EmployeeData[[#This Row],[MonthlyIncome]]&lt;30000,"Low",IF(EmployeeData[[#This Row],[MonthlyIncome]]&lt;=60000,"Medium",IF(EmployeeData[[#This Row],[MonthlyIncome]]&lt;=100000,"High","Very High")))</f>
        <v>Very High</v>
      </c>
      <c r="AB78">
        <f>IF(EmployeeData[[#This Row],[Attrition]]="Yes",1,0)</f>
        <v>1</v>
      </c>
      <c r="AC78" t="str">
        <f ca="1">IF(EmployeeData[[#This Row],[Tenure Years]]&lt;1,"Less than 1 Year",IF(EmployeeData[[#This Row],[Tenure Years]]&lt;=3,"1-3 Years",IF(EmployeeData[[#This Row],[Tenure Years]]&lt;=5,"4-5 Years",IF(EmployeeData[[#This Row],[Tenure Years]]&lt;=10,"6-10 Years","More than 10 Years"))))</f>
        <v>1-3 Years</v>
      </c>
      <c r="AD78">
        <f>ROUND(AVERAGE(EmployeeData[[#This Row],[JobSatisfaction]],EmployeeData[[#This Row],[EnvironmentSatisfaction]],EmployeeData[[#This Row],[WorkLifeBalance]]),2)</f>
        <v>2.33</v>
      </c>
      <c r="AE78" t="str">
        <f>IF(EmployeeData[[#This Row],[Satisfaction Score]]&lt;2,"Low",IF(EmployeeData[[#This Row],[Satisfaction Score]]&lt;3,"Medium","High"))</f>
        <v>Medium</v>
      </c>
    </row>
    <row r="79" spans="1:31" x14ac:dyDescent="0.25">
      <c r="A79" t="s">
        <v>461</v>
      </c>
      <c r="B79" t="s">
        <v>462</v>
      </c>
      <c r="C79" t="s">
        <v>58</v>
      </c>
      <c r="D79">
        <v>19</v>
      </c>
      <c r="E79" t="s">
        <v>128</v>
      </c>
      <c r="F79" t="s">
        <v>271</v>
      </c>
      <c r="G79" s="1">
        <v>41763</v>
      </c>
      <c r="H79">
        <v>88184</v>
      </c>
      <c r="I79" t="s">
        <v>52</v>
      </c>
      <c r="J79" t="s">
        <v>5459</v>
      </c>
      <c r="K79" t="s">
        <v>83</v>
      </c>
      <c r="L79" t="s">
        <v>62</v>
      </c>
      <c r="M79">
        <v>35</v>
      </c>
      <c r="N79" t="s">
        <v>34</v>
      </c>
      <c r="O79">
        <v>2</v>
      </c>
      <c r="P79">
        <v>4</v>
      </c>
      <c r="Q79">
        <v>2</v>
      </c>
      <c r="R79">
        <v>4</v>
      </c>
      <c r="S79">
        <v>4</v>
      </c>
      <c r="T79">
        <v>4</v>
      </c>
      <c r="U79">
        <v>23</v>
      </c>
      <c r="V79" t="s">
        <v>466</v>
      </c>
      <c r="W79" t="s">
        <v>34</v>
      </c>
      <c r="Y79" s="2" t="str">
        <f>IF(EmployeeData[[#This Row],[Age]]&lt;25,"Under 25",IF(EmployeeData[[#This Row],[Age]]&lt;=34,"25-34",IF(EmployeeData[[#This Row],[Age]]&lt;=44,"35-44",IF(EmployeeData[[#This Row],[Age]]&lt;=54,"45-54","55+"))))</f>
        <v>Under 25</v>
      </c>
      <c r="Z79">
        <f ca="1">DATEDIF(EmployeeData[[#This Row],[DateOfJoining]],IF(AND(EmployeeData[[#This Row],[Attrition]]="Yes",EmployeeData[[#This Row],[LastWorkingDate]]&lt;&gt;""),EmployeeData[[#This Row],[LastWorkingDate]],TODAY()),"Y")</f>
        <v>12</v>
      </c>
      <c r="AA79" t="str">
        <f>IF(EmployeeData[[#This Row],[MonthlyIncome]]&lt;30000,"Low",IF(EmployeeData[[#This Row],[MonthlyIncome]]&lt;=60000,"Medium",IF(EmployeeData[[#This Row],[MonthlyIncome]]&lt;=100000,"High","Very High")))</f>
        <v>High</v>
      </c>
      <c r="AB79">
        <f>IF(EmployeeData[[#This Row],[Attrition]]="Yes",1,0)</f>
        <v>0</v>
      </c>
      <c r="AC79" t="str">
        <f ca="1">IF(EmployeeData[[#This Row],[Tenure Years]]&lt;1,"Less than 1 Year",IF(EmployeeData[[#This Row],[Tenure Years]]&lt;=3,"1-3 Years",IF(EmployeeData[[#This Row],[Tenure Years]]&lt;=5,"4-5 Years",IF(EmployeeData[[#This Row],[Tenure Years]]&lt;=10,"6-10 Years","More than 10 Years"))))</f>
        <v>More than 10 Years</v>
      </c>
      <c r="AD79">
        <f>ROUND(AVERAGE(EmployeeData[[#This Row],[JobSatisfaction]],EmployeeData[[#This Row],[EnvironmentSatisfaction]],EmployeeData[[#This Row],[WorkLifeBalance]]),2)</f>
        <v>2.67</v>
      </c>
      <c r="AE79" t="str">
        <f>IF(EmployeeData[[#This Row],[Satisfaction Score]]&lt;2,"Low",IF(EmployeeData[[#This Row],[Satisfaction Score]]&lt;3,"Medium","High"))</f>
        <v>Medium</v>
      </c>
    </row>
    <row r="80" spans="1:31" x14ac:dyDescent="0.25">
      <c r="A80" t="s">
        <v>467</v>
      </c>
      <c r="B80" t="s">
        <v>468</v>
      </c>
      <c r="C80" t="s">
        <v>49</v>
      </c>
      <c r="D80">
        <v>45</v>
      </c>
      <c r="E80" t="s">
        <v>5461</v>
      </c>
      <c r="F80" t="s">
        <v>483</v>
      </c>
      <c r="G80" s="1">
        <v>45528</v>
      </c>
      <c r="H80">
        <v>138038</v>
      </c>
      <c r="I80" t="s">
        <v>42</v>
      </c>
      <c r="J80" t="s">
        <v>31</v>
      </c>
      <c r="K80" t="s">
        <v>83</v>
      </c>
      <c r="L80" t="s">
        <v>43</v>
      </c>
      <c r="M80">
        <v>11</v>
      </c>
      <c r="N80" t="s">
        <v>34</v>
      </c>
      <c r="O80">
        <v>3</v>
      </c>
      <c r="P80">
        <v>3</v>
      </c>
      <c r="Q80">
        <v>3</v>
      </c>
      <c r="R80">
        <v>2</v>
      </c>
      <c r="S80">
        <v>6</v>
      </c>
      <c r="T80">
        <v>5</v>
      </c>
      <c r="U80">
        <v>17</v>
      </c>
      <c r="V80" t="s">
        <v>471</v>
      </c>
      <c r="W80" t="s">
        <v>34</v>
      </c>
      <c r="Y80" s="2" t="str">
        <f>IF(EmployeeData[[#This Row],[Age]]&lt;25,"Under 25",IF(EmployeeData[[#This Row],[Age]]&lt;=34,"25-34",IF(EmployeeData[[#This Row],[Age]]&lt;=44,"35-44",IF(EmployeeData[[#This Row],[Age]]&lt;=54,"45-54","55+"))))</f>
        <v>45-54</v>
      </c>
      <c r="Z80">
        <f ca="1">DATEDIF(EmployeeData[[#This Row],[DateOfJoining]],IF(AND(EmployeeData[[#This Row],[Attrition]]="Yes",EmployeeData[[#This Row],[LastWorkingDate]]&lt;&gt;""),EmployeeData[[#This Row],[LastWorkingDate]],TODAY()),"Y")</f>
        <v>2</v>
      </c>
      <c r="AA80" t="str">
        <f>IF(EmployeeData[[#This Row],[MonthlyIncome]]&lt;30000,"Low",IF(EmployeeData[[#This Row],[MonthlyIncome]]&lt;=60000,"Medium",IF(EmployeeData[[#This Row],[MonthlyIncome]]&lt;=100000,"High","Very High")))</f>
        <v>Very High</v>
      </c>
      <c r="AB80">
        <f>IF(EmployeeData[[#This Row],[Attrition]]="Yes",1,0)</f>
        <v>0</v>
      </c>
      <c r="AC80" t="str">
        <f ca="1">IF(EmployeeData[[#This Row],[Tenure Years]]&lt;1,"Less than 1 Year",IF(EmployeeData[[#This Row],[Tenure Years]]&lt;=3,"1-3 Years",IF(EmployeeData[[#This Row],[Tenure Years]]&lt;=5,"4-5 Years",IF(EmployeeData[[#This Row],[Tenure Years]]&lt;=10,"6-10 Years","More than 10 Years"))))</f>
        <v>1-3 Years</v>
      </c>
      <c r="AD80">
        <f>ROUND(AVERAGE(EmployeeData[[#This Row],[JobSatisfaction]],EmployeeData[[#This Row],[EnvironmentSatisfaction]],EmployeeData[[#This Row],[WorkLifeBalance]]),2)</f>
        <v>3</v>
      </c>
      <c r="AE80" t="str">
        <f>IF(EmployeeData[[#This Row],[Satisfaction Score]]&lt;2,"Low",IF(EmployeeData[[#This Row],[Satisfaction Score]]&lt;3,"Medium","High"))</f>
        <v>High</v>
      </c>
    </row>
    <row r="81" spans="1:31" x14ac:dyDescent="0.25">
      <c r="A81" t="s">
        <v>472</v>
      </c>
      <c r="B81" t="s">
        <v>473</v>
      </c>
      <c r="C81" t="s">
        <v>5459</v>
      </c>
      <c r="D81">
        <v>41</v>
      </c>
      <c r="E81" t="s">
        <v>27</v>
      </c>
      <c r="F81" t="s">
        <v>50</v>
      </c>
      <c r="G81" s="1">
        <v>42339</v>
      </c>
      <c r="H81">
        <v>73181</v>
      </c>
      <c r="I81" t="s">
        <v>30</v>
      </c>
      <c r="J81" t="s">
        <v>61</v>
      </c>
      <c r="K81" t="s">
        <v>83</v>
      </c>
      <c r="L81" t="s">
        <v>33</v>
      </c>
      <c r="M81">
        <v>22</v>
      </c>
      <c r="N81" t="s">
        <v>34</v>
      </c>
      <c r="O81">
        <v>2</v>
      </c>
      <c r="P81">
        <v>3</v>
      </c>
      <c r="Q81">
        <v>1</v>
      </c>
      <c r="R81">
        <v>2</v>
      </c>
      <c r="S81">
        <v>5</v>
      </c>
      <c r="T81">
        <v>0</v>
      </c>
      <c r="U81">
        <v>14</v>
      </c>
      <c r="V81" t="s">
        <v>476</v>
      </c>
      <c r="W81" t="s">
        <v>34</v>
      </c>
      <c r="Y81" s="2" t="str">
        <f>IF(EmployeeData[[#This Row],[Age]]&lt;25,"Under 25",IF(EmployeeData[[#This Row],[Age]]&lt;=34,"25-34",IF(EmployeeData[[#This Row],[Age]]&lt;=44,"35-44",IF(EmployeeData[[#This Row],[Age]]&lt;=54,"45-54","55+"))))</f>
        <v>35-44</v>
      </c>
      <c r="Z81">
        <f ca="1">DATEDIF(EmployeeData[[#This Row],[DateOfJoining]],IF(AND(EmployeeData[[#This Row],[Attrition]]="Yes",EmployeeData[[#This Row],[LastWorkingDate]]&lt;&gt;""),EmployeeData[[#This Row],[LastWorkingDate]],TODAY()),"Y")</f>
        <v>10</v>
      </c>
      <c r="AA81" t="str">
        <f>IF(EmployeeData[[#This Row],[MonthlyIncome]]&lt;30000,"Low",IF(EmployeeData[[#This Row],[MonthlyIncome]]&lt;=60000,"Medium",IF(EmployeeData[[#This Row],[MonthlyIncome]]&lt;=100000,"High","Very High")))</f>
        <v>High</v>
      </c>
      <c r="AB81">
        <f>IF(EmployeeData[[#This Row],[Attrition]]="Yes",1,0)</f>
        <v>0</v>
      </c>
      <c r="AC81" t="str">
        <f ca="1">IF(EmployeeData[[#This Row],[Tenure Years]]&lt;1,"Less than 1 Year",IF(EmployeeData[[#This Row],[Tenure Years]]&lt;=3,"1-3 Years",IF(EmployeeData[[#This Row],[Tenure Years]]&lt;=5,"4-5 Years",IF(EmployeeData[[#This Row],[Tenure Years]]&lt;=10,"6-10 Years","More than 10 Years"))))</f>
        <v>6-10 Years</v>
      </c>
      <c r="AD81">
        <f>ROUND(AVERAGE(EmployeeData[[#This Row],[JobSatisfaction]],EmployeeData[[#This Row],[EnvironmentSatisfaction]],EmployeeData[[#This Row],[WorkLifeBalance]]),2)</f>
        <v>2</v>
      </c>
      <c r="AE81" t="str">
        <f>IF(EmployeeData[[#This Row],[Satisfaction Score]]&lt;2,"Low",IF(EmployeeData[[#This Row],[Satisfaction Score]]&lt;3,"Medium","High"))</f>
        <v>Medium</v>
      </c>
    </row>
    <row r="82" spans="1:31" x14ac:dyDescent="0.25">
      <c r="A82" t="s">
        <v>477</v>
      </c>
      <c r="B82" t="s">
        <v>478</v>
      </c>
      <c r="C82" t="s">
        <v>49</v>
      </c>
      <c r="D82">
        <v>29</v>
      </c>
      <c r="E82" t="s">
        <v>128</v>
      </c>
      <c r="F82" t="s">
        <v>123</v>
      </c>
      <c r="G82" s="1">
        <v>45185</v>
      </c>
      <c r="H82">
        <v>68376</v>
      </c>
      <c r="I82" t="s">
        <v>52</v>
      </c>
      <c r="J82" t="s">
        <v>31</v>
      </c>
      <c r="K82" t="s">
        <v>113</v>
      </c>
      <c r="L82" t="s">
        <v>62</v>
      </c>
      <c r="M82">
        <v>27</v>
      </c>
      <c r="N82" t="s">
        <v>34</v>
      </c>
      <c r="O82">
        <v>3</v>
      </c>
      <c r="P82">
        <v>2</v>
      </c>
      <c r="Q82">
        <v>2</v>
      </c>
      <c r="R82">
        <v>3</v>
      </c>
      <c r="S82">
        <v>4</v>
      </c>
      <c r="T82">
        <v>5</v>
      </c>
      <c r="U82">
        <v>21</v>
      </c>
      <c r="V82" t="s">
        <v>480</v>
      </c>
      <c r="W82" t="s">
        <v>34</v>
      </c>
      <c r="Y82" s="2" t="str">
        <f>IF(EmployeeData[[#This Row],[Age]]&lt;25,"Under 25",IF(EmployeeData[[#This Row],[Age]]&lt;=34,"25-34",IF(EmployeeData[[#This Row],[Age]]&lt;=44,"35-44",IF(EmployeeData[[#This Row],[Age]]&lt;=54,"45-54","55+"))))</f>
        <v>25-34</v>
      </c>
      <c r="Z82">
        <f ca="1">DATEDIF(EmployeeData[[#This Row],[DateOfJoining]],IF(AND(EmployeeData[[#This Row],[Attrition]]="Yes",EmployeeData[[#This Row],[LastWorkingDate]]&lt;&gt;""),EmployeeData[[#This Row],[LastWorkingDate]],TODAY()),"Y")</f>
        <v>2</v>
      </c>
      <c r="AA82" t="str">
        <f>IF(EmployeeData[[#This Row],[MonthlyIncome]]&lt;30000,"Low",IF(EmployeeData[[#This Row],[MonthlyIncome]]&lt;=60000,"Medium",IF(EmployeeData[[#This Row],[MonthlyIncome]]&lt;=100000,"High","Very High")))</f>
        <v>High</v>
      </c>
      <c r="AB82">
        <f>IF(EmployeeData[[#This Row],[Attrition]]="Yes",1,0)</f>
        <v>0</v>
      </c>
      <c r="AC82" t="str">
        <f ca="1">IF(EmployeeData[[#This Row],[Tenure Years]]&lt;1,"Less than 1 Year",IF(EmployeeData[[#This Row],[Tenure Years]]&lt;=3,"1-3 Years",IF(EmployeeData[[#This Row],[Tenure Years]]&lt;=5,"4-5 Years",IF(EmployeeData[[#This Row],[Tenure Years]]&lt;=10,"6-10 Years","More than 10 Years"))))</f>
        <v>1-3 Years</v>
      </c>
      <c r="AD82">
        <f>ROUND(AVERAGE(EmployeeData[[#This Row],[JobSatisfaction]],EmployeeData[[#This Row],[EnvironmentSatisfaction]],EmployeeData[[#This Row],[WorkLifeBalance]]),2)</f>
        <v>2.33</v>
      </c>
      <c r="AE82" t="str">
        <f>IF(EmployeeData[[#This Row],[Satisfaction Score]]&lt;2,"Low",IF(EmployeeData[[#This Row],[Satisfaction Score]]&lt;3,"Medium","High"))</f>
        <v>Medium</v>
      </c>
    </row>
    <row r="83" spans="1:31" x14ac:dyDescent="0.25">
      <c r="A83" t="s">
        <v>481</v>
      </c>
      <c r="B83" t="s">
        <v>482</v>
      </c>
      <c r="C83" t="s">
        <v>49</v>
      </c>
      <c r="D83">
        <v>37</v>
      </c>
      <c r="E83" t="s">
        <v>5461</v>
      </c>
      <c r="F83" t="s">
        <v>483</v>
      </c>
      <c r="G83" s="1">
        <v>44705</v>
      </c>
      <c r="H83">
        <v>49410</v>
      </c>
      <c r="I83" t="s">
        <v>42</v>
      </c>
      <c r="J83" t="s">
        <v>143</v>
      </c>
      <c r="K83" t="s">
        <v>32</v>
      </c>
      <c r="L83" t="s">
        <v>5459</v>
      </c>
      <c r="M83">
        <v>21</v>
      </c>
      <c r="N83" t="s">
        <v>45</v>
      </c>
      <c r="O83">
        <v>2</v>
      </c>
      <c r="P83">
        <v>2</v>
      </c>
      <c r="Q83">
        <v>4</v>
      </c>
      <c r="R83">
        <v>3</v>
      </c>
      <c r="S83">
        <v>2</v>
      </c>
      <c r="T83">
        <v>4</v>
      </c>
      <c r="U83">
        <v>12</v>
      </c>
      <c r="V83" t="s">
        <v>486</v>
      </c>
      <c r="W83" t="s">
        <v>45</v>
      </c>
      <c r="X83" s="1">
        <v>45492</v>
      </c>
      <c r="Y83" s="2" t="str">
        <f>IF(EmployeeData[[#This Row],[Age]]&lt;25,"Under 25",IF(EmployeeData[[#This Row],[Age]]&lt;=34,"25-34",IF(EmployeeData[[#This Row],[Age]]&lt;=44,"35-44",IF(EmployeeData[[#This Row],[Age]]&lt;=54,"45-54","55+"))))</f>
        <v>35-44</v>
      </c>
      <c r="Z83">
        <f ca="1">DATEDIF(EmployeeData[[#This Row],[DateOfJoining]],IF(AND(EmployeeData[[#This Row],[Attrition]]="Yes",EmployeeData[[#This Row],[LastWorkingDate]]&lt;&gt;""),EmployeeData[[#This Row],[LastWorkingDate]],TODAY()),"Y")</f>
        <v>2</v>
      </c>
      <c r="AA83" t="str">
        <f>IF(EmployeeData[[#This Row],[MonthlyIncome]]&lt;30000,"Low",IF(EmployeeData[[#This Row],[MonthlyIncome]]&lt;=60000,"Medium",IF(EmployeeData[[#This Row],[MonthlyIncome]]&lt;=100000,"High","Very High")))</f>
        <v>Medium</v>
      </c>
      <c r="AB83">
        <f>IF(EmployeeData[[#This Row],[Attrition]]="Yes",1,0)</f>
        <v>1</v>
      </c>
      <c r="AC83" t="str">
        <f ca="1">IF(EmployeeData[[#This Row],[Tenure Years]]&lt;1,"Less than 1 Year",IF(EmployeeData[[#This Row],[Tenure Years]]&lt;=3,"1-3 Years",IF(EmployeeData[[#This Row],[Tenure Years]]&lt;=5,"4-5 Years",IF(EmployeeData[[#This Row],[Tenure Years]]&lt;=10,"6-10 Years","More than 10 Years"))))</f>
        <v>1-3 Years</v>
      </c>
      <c r="AD83">
        <f>ROUND(AVERAGE(EmployeeData[[#This Row],[JobSatisfaction]],EmployeeData[[#This Row],[EnvironmentSatisfaction]],EmployeeData[[#This Row],[WorkLifeBalance]]),2)</f>
        <v>2.67</v>
      </c>
      <c r="AE83" t="str">
        <f>IF(EmployeeData[[#This Row],[Satisfaction Score]]&lt;2,"Low",IF(EmployeeData[[#This Row],[Satisfaction Score]]&lt;3,"Medium","High"))</f>
        <v>Medium</v>
      </c>
    </row>
    <row r="84" spans="1:31" x14ac:dyDescent="0.25">
      <c r="A84" t="s">
        <v>488</v>
      </c>
      <c r="B84" t="s">
        <v>489</v>
      </c>
      <c r="C84" t="s">
        <v>58</v>
      </c>
      <c r="D84">
        <v>38</v>
      </c>
      <c r="E84" t="s">
        <v>5461</v>
      </c>
      <c r="F84" t="s">
        <v>483</v>
      </c>
      <c r="G84" s="1">
        <v>41532</v>
      </c>
      <c r="H84">
        <v>116323</v>
      </c>
      <c r="I84" t="s">
        <v>52</v>
      </c>
      <c r="J84" t="s">
        <v>31</v>
      </c>
      <c r="K84" t="s">
        <v>77</v>
      </c>
      <c r="L84" t="s">
        <v>33</v>
      </c>
      <c r="M84">
        <v>32</v>
      </c>
      <c r="N84" t="s">
        <v>34</v>
      </c>
      <c r="O84">
        <v>4</v>
      </c>
      <c r="P84">
        <v>2</v>
      </c>
      <c r="Q84">
        <v>4</v>
      </c>
      <c r="R84">
        <v>4</v>
      </c>
      <c r="S84">
        <v>0</v>
      </c>
      <c r="T84">
        <v>6</v>
      </c>
      <c r="U84">
        <v>11</v>
      </c>
      <c r="V84" t="s">
        <v>491</v>
      </c>
      <c r="W84" t="s">
        <v>34</v>
      </c>
      <c r="Y84" s="2" t="str">
        <f>IF(EmployeeData[[#This Row],[Age]]&lt;25,"Under 25",IF(EmployeeData[[#This Row],[Age]]&lt;=34,"25-34",IF(EmployeeData[[#This Row],[Age]]&lt;=44,"35-44",IF(EmployeeData[[#This Row],[Age]]&lt;=54,"45-54","55+"))))</f>
        <v>35-44</v>
      </c>
      <c r="Z84">
        <f ca="1">DATEDIF(EmployeeData[[#This Row],[DateOfJoining]],IF(AND(EmployeeData[[#This Row],[Attrition]]="Yes",EmployeeData[[#This Row],[LastWorkingDate]]&lt;&gt;""),EmployeeData[[#This Row],[LastWorkingDate]],TODAY()),"Y")</f>
        <v>12</v>
      </c>
      <c r="AA84" t="str">
        <f>IF(EmployeeData[[#This Row],[MonthlyIncome]]&lt;30000,"Low",IF(EmployeeData[[#This Row],[MonthlyIncome]]&lt;=60000,"Medium",IF(EmployeeData[[#This Row],[MonthlyIncome]]&lt;=100000,"High","Very High")))</f>
        <v>Very High</v>
      </c>
      <c r="AB84">
        <f>IF(EmployeeData[[#This Row],[Attrition]]="Yes",1,0)</f>
        <v>0</v>
      </c>
      <c r="AC84" t="str">
        <f ca="1">IF(EmployeeData[[#This Row],[Tenure Years]]&lt;1,"Less than 1 Year",IF(EmployeeData[[#This Row],[Tenure Years]]&lt;=3,"1-3 Years",IF(EmployeeData[[#This Row],[Tenure Years]]&lt;=5,"4-5 Years",IF(EmployeeData[[#This Row],[Tenure Years]]&lt;=10,"6-10 Years","More than 10 Years"))))</f>
        <v>More than 10 Years</v>
      </c>
      <c r="AD84">
        <f>ROUND(AVERAGE(EmployeeData[[#This Row],[JobSatisfaction]],EmployeeData[[#This Row],[EnvironmentSatisfaction]],EmployeeData[[#This Row],[WorkLifeBalance]]),2)</f>
        <v>3.33</v>
      </c>
      <c r="AE84" t="str">
        <f>IF(EmployeeData[[#This Row],[Satisfaction Score]]&lt;2,"Low",IF(EmployeeData[[#This Row],[Satisfaction Score]]&lt;3,"Medium","High"))</f>
        <v>High</v>
      </c>
    </row>
    <row r="85" spans="1:31" x14ac:dyDescent="0.25">
      <c r="A85" t="s">
        <v>492</v>
      </c>
      <c r="B85" t="s">
        <v>493</v>
      </c>
      <c r="C85" t="s">
        <v>58</v>
      </c>
      <c r="D85">
        <v>40</v>
      </c>
      <c r="E85" t="s">
        <v>38</v>
      </c>
      <c r="F85" t="s">
        <v>5460</v>
      </c>
      <c r="G85" s="1">
        <v>41323</v>
      </c>
      <c r="H85">
        <v>39877</v>
      </c>
      <c r="I85" t="s">
        <v>52</v>
      </c>
      <c r="J85" t="s">
        <v>53</v>
      </c>
      <c r="K85" t="s">
        <v>54</v>
      </c>
      <c r="L85" t="s">
        <v>62</v>
      </c>
      <c r="M85">
        <v>17</v>
      </c>
      <c r="N85" t="s">
        <v>34</v>
      </c>
      <c r="O85">
        <v>1</v>
      </c>
      <c r="P85">
        <v>2</v>
      </c>
      <c r="Q85">
        <v>4</v>
      </c>
      <c r="R85">
        <v>3</v>
      </c>
      <c r="S85">
        <v>5</v>
      </c>
      <c r="T85">
        <v>6</v>
      </c>
      <c r="U85">
        <v>22</v>
      </c>
      <c r="V85" t="s">
        <v>496</v>
      </c>
      <c r="W85" t="s">
        <v>34</v>
      </c>
      <c r="Y85" s="2" t="str">
        <f>IF(EmployeeData[[#This Row],[Age]]&lt;25,"Under 25",IF(EmployeeData[[#This Row],[Age]]&lt;=34,"25-34",IF(EmployeeData[[#This Row],[Age]]&lt;=44,"35-44",IF(EmployeeData[[#This Row],[Age]]&lt;=54,"45-54","55+"))))</f>
        <v>35-44</v>
      </c>
      <c r="Z85">
        <f ca="1">DATEDIF(EmployeeData[[#This Row],[DateOfJoining]],IF(AND(EmployeeData[[#This Row],[Attrition]]="Yes",EmployeeData[[#This Row],[LastWorkingDate]]&lt;&gt;""),EmployeeData[[#This Row],[LastWorkingDate]],TODAY()),"Y")</f>
        <v>13</v>
      </c>
      <c r="AA85" t="str">
        <f>IF(EmployeeData[[#This Row],[MonthlyIncome]]&lt;30000,"Low",IF(EmployeeData[[#This Row],[MonthlyIncome]]&lt;=60000,"Medium",IF(EmployeeData[[#This Row],[MonthlyIncome]]&lt;=100000,"High","Very High")))</f>
        <v>Medium</v>
      </c>
      <c r="AB85">
        <f>IF(EmployeeData[[#This Row],[Attrition]]="Yes",1,0)</f>
        <v>0</v>
      </c>
      <c r="AC85" t="str">
        <f ca="1">IF(EmployeeData[[#This Row],[Tenure Years]]&lt;1,"Less than 1 Year",IF(EmployeeData[[#This Row],[Tenure Years]]&lt;=3,"1-3 Years",IF(EmployeeData[[#This Row],[Tenure Years]]&lt;=5,"4-5 Years",IF(EmployeeData[[#This Row],[Tenure Years]]&lt;=10,"6-10 Years","More than 10 Years"))))</f>
        <v>More than 10 Years</v>
      </c>
      <c r="AD85">
        <f>ROUND(AVERAGE(EmployeeData[[#This Row],[JobSatisfaction]],EmployeeData[[#This Row],[EnvironmentSatisfaction]],EmployeeData[[#This Row],[WorkLifeBalance]]),2)</f>
        <v>2.33</v>
      </c>
      <c r="AE85" t="str">
        <f>IF(EmployeeData[[#This Row],[Satisfaction Score]]&lt;2,"Low",IF(EmployeeData[[#This Row],[Satisfaction Score]]&lt;3,"Medium","High"))</f>
        <v>Medium</v>
      </c>
    </row>
    <row r="86" spans="1:31" x14ac:dyDescent="0.25">
      <c r="A86" t="s">
        <v>497</v>
      </c>
      <c r="B86" t="s">
        <v>498</v>
      </c>
      <c r="C86" t="s">
        <v>58</v>
      </c>
      <c r="D86">
        <v>21</v>
      </c>
      <c r="E86" t="s">
        <v>128</v>
      </c>
      <c r="F86" t="s">
        <v>123</v>
      </c>
      <c r="G86" s="1">
        <v>41695</v>
      </c>
      <c r="H86">
        <v>107220</v>
      </c>
      <c r="I86" t="s">
        <v>52</v>
      </c>
      <c r="J86" t="s">
        <v>97</v>
      </c>
      <c r="K86" t="s">
        <v>113</v>
      </c>
      <c r="L86" t="s">
        <v>33</v>
      </c>
      <c r="M86">
        <v>2</v>
      </c>
      <c r="N86" t="s">
        <v>45</v>
      </c>
      <c r="O86">
        <v>1</v>
      </c>
      <c r="P86">
        <v>3</v>
      </c>
      <c r="Q86">
        <v>4</v>
      </c>
      <c r="R86">
        <v>3</v>
      </c>
      <c r="S86">
        <v>4</v>
      </c>
      <c r="T86">
        <v>1</v>
      </c>
      <c r="U86">
        <v>17</v>
      </c>
      <c r="V86" t="s">
        <v>501</v>
      </c>
      <c r="W86" t="s">
        <v>45</v>
      </c>
      <c r="X86" s="1">
        <v>42275</v>
      </c>
      <c r="Y86" s="2" t="str">
        <f>IF(EmployeeData[[#This Row],[Age]]&lt;25,"Under 25",IF(EmployeeData[[#This Row],[Age]]&lt;=34,"25-34",IF(EmployeeData[[#This Row],[Age]]&lt;=44,"35-44",IF(EmployeeData[[#This Row],[Age]]&lt;=54,"45-54","55+"))))</f>
        <v>Under 25</v>
      </c>
      <c r="Z86">
        <f ca="1">DATEDIF(EmployeeData[[#This Row],[DateOfJoining]],IF(AND(EmployeeData[[#This Row],[Attrition]]="Yes",EmployeeData[[#This Row],[LastWorkingDate]]&lt;&gt;""),EmployeeData[[#This Row],[LastWorkingDate]],TODAY()),"Y")</f>
        <v>1</v>
      </c>
      <c r="AA86" t="str">
        <f>IF(EmployeeData[[#This Row],[MonthlyIncome]]&lt;30000,"Low",IF(EmployeeData[[#This Row],[MonthlyIncome]]&lt;=60000,"Medium",IF(EmployeeData[[#This Row],[MonthlyIncome]]&lt;=100000,"High","Very High")))</f>
        <v>Very High</v>
      </c>
      <c r="AB86">
        <f>IF(EmployeeData[[#This Row],[Attrition]]="Yes",1,0)</f>
        <v>1</v>
      </c>
      <c r="AC86" t="str">
        <f ca="1">IF(EmployeeData[[#This Row],[Tenure Years]]&lt;1,"Less than 1 Year",IF(EmployeeData[[#This Row],[Tenure Years]]&lt;=3,"1-3 Years",IF(EmployeeData[[#This Row],[Tenure Years]]&lt;=5,"4-5 Years",IF(EmployeeData[[#This Row],[Tenure Years]]&lt;=10,"6-10 Years","More than 10 Years"))))</f>
        <v>1-3 Years</v>
      </c>
      <c r="AD86">
        <f>ROUND(AVERAGE(EmployeeData[[#This Row],[JobSatisfaction]],EmployeeData[[#This Row],[EnvironmentSatisfaction]],EmployeeData[[#This Row],[WorkLifeBalance]]),2)</f>
        <v>2.67</v>
      </c>
      <c r="AE86" t="str">
        <f>IF(EmployeeData[[#This Row],[Satisfaction Score]]&lt;2,"Low",IF(EmployeeData[[#This Row],[Satisfaction Score]]&lt;3,"Medium","High"))</f>
        <v>Medium</v>
      </c>
    </row>
    <row r="87" spans="1:31" x14ac:dyDescent="0.25">
      <c r="A87" t="s">
        <v>503</v>
      </c>
      <c r="B87" t="s">
        <v>504</v>
      </c>
      <c r="C87" t="s">
        <v>49</v>
      </c>
      <c r="D87">
        <v>29</v>
      </c>
      <c r="E87" t="s">
        <v>412</v>
      </c>
      <c r="F87" t="s">
        <v>1093</v>
      </c>
      <c r="G87" s="1">
        <v>43026</v>
      </c>
      <c r="H87">
        <v>57612</v>
      </c>
      <c r="I87" t="s">
        <v>30</v>
      </c>
      <c r="J87" t="s">
        <v>53</v>
      </c>
      <c r="K87" t="s">
        <v>98</v>
      </c>
      <c r="L87" t="s">
        <v>43</v>
      </c>
      <c r="M87">
        <v>20</v>
      </c>
      <c r="N87" t="s">
        <v>34</v>
      </c>
      <c r="O87">
        <v>4</v>
      </c>
      <c r="P87">
        <v>1</v>
      </c>
      <c r="Q87">
        <v>3</v>
      </c>
      <c r="R87">
        <v>4</v>
      </c>
      <c r="S87">
        <v>3</v>
      </c>
      <c r="T87">
        <v>7</v>
      </c>
      <c r="U87">
        <v>15</v>
      </c>
      <c r="V87" t="s">
        <v>508</v>
      </c>
      <c r="W87" t="s">
        <v>34</v>
      </c>
      <c r="Y87" s="2" t="str">
        <f>IF(EmployeeData[[#This Row],[Age]]&lt;25,"Under 25",IF(EmployeeData[[#This Row],[Age]]&lt;=34,"25-34",IF(EmployeeData[[#This Row],[Age]]&lt;=44,"35-44",IF(EmployeeData[[#This Row],[Age]]&lt;=54,"45-54","55+"))))</f>
        <v>25-34</v>
      </c>
      <c r="Z87">
        <f ca="1">DATEDIF(EmployeeData[[#This Row],[DateOfJoining]],IF(AND(EmployeeData[[#This Row],[Attrition]]="Yes",EmployeeData[[#This Row],[LastWorkingDate]]&lt;&gt;""),EmployeeData[[#This Row],[LastWorkingDate]],TODAY()),"Y")</f>
        <v>8</v>
      </c>
      <c r="AA87" t="str">
        <f>IF(EmployeeData[[#This Row],[MonthlyIncome]]&lt;30000,"Low",IF(EmployeeData[[#This Row],[MonthlyIncome]]&lt;=60000,"Medium",IF(EmployeeData[[#This Row],[MonthlyIncome]]&lt;=100000,"High","Very High")))</f>
        <v>Medium</v>
      </c>
      <c r="AB87">
        <f>IF(EmployeeData[[#This Row],[Attrition]]="Yes",1,0)</f>
        <v>0</v>
      </c>
      <c r="AC87" t="str">
        <f ca="1">IF(EmployeeData[[#This Row],[Tenure Years]]&lt;1,"Less than 1 Year",IF(EmployeeData[[#This Row],[Tenure Years]]&lt;=3,"1-3 Years",IF(EmployeeData[[#This Row],[Tenure Years]]&lt;=5,"4-5 Years",IF(EmployeeData[[#This Row],[Tenure Years]]&lt;=10,"6-10 Years","More than 10 Years"))))</f>
        <v>6-10 Years</v>
      </c>
      <c r="AD87">
        <f>ROUND(AVERAGE(EmployeeData[[#This Row],[JobSatisfaction]],EmployeeData[[#This Row],[EnvironmentSatisfaction]],EmployeeData[[#This Row],[WorkLifeBalance]]),2)</f>
        <v>2.67</v>
      </c>
      <c r="AE87" t="str">
        <f>IF(EmployeeData[[#This Row],[Satisfaction Score]]&lt;2,"Low",IF(EmployeeData[[#This Row],[Satisfaction Score]]&lt;3,"Medium","High"))</f>
        <v>Medium</v>
      </c>
    </row>
    <row r="88" spans="1:31" x14ac:dyDescent="0.25">
      <c r="A88" t="s">
        <v>509</v>
      </c>
      <c r="B88" t="s">
        <v>510</v>
      </c>
      <c r="C88" t="s">
        <v>49</v>
      </c>
      <c r="D88">
        <v>28</v>
      </c>
      <c r="E88" t="s">
        <v>27</v>
      </c>
      <c r="F88" t="s">
        <v>75</v>
      </c>
      <c r="G88" s="1">
        <v>45157</v>
      </c>
      <c r="H88">
        <v>83185</v>
      </c>
      <c r="I88" t="s">
        <v>52</v>
      </c>
      <c r="J88" t="s">
        <v>31</v>
      </c>
      <c r="K88" t="s">
        <v>200</v>
      </c>
      <c r="L88" t="s">
        <v>43</v>
      </c>
      <c r="M88">
        <v>36</v>
      </c>
      <c r="N88" t="s">
        <v>34</v>
      </c>
      <c r="O88">
        <v>4</v>
      </c>
      <c r="P88">
        <v>4</v>
      </c>
      <c r="Q88">
        <v>2</v>
      </c>
      <c r="R88">
        <v>5</v>
      </c>
      <c r="S88">
        <v>3</v>
      </c>
      <c r="T88">
        <v>6</v>
      </c>
      <c r="U88">
        <v>15</v>
      </c>
      <c r="V88" t="s">
        <v>513</v>
      </c>
      <c r="W88" t="s">
        <v>34</v>
      </c>
      <c r="Y88" s="2" t="str">
        <f>IF(EmployeeData[[#This Row],[Age]]&lt;25,"Under 25",IF(EmployeeData[[#This Row],[Age]]&lt;=34,"25-34",IF(EmployeeData[[#This Row],[Age]]&lt;=44,"35-44",IF(EmployeeData[[#This Row],[Age]]&lt;=54,"45-54","55+"))))</f>
        <v>25-34</v>
      </c>
      <c r="Z88">
        <f ca="1">DATEDIF(EmployeeData[[#This Row],[DateOfJoining]],IF(AND(EmployeeData[[#This Row],[Attrition]]="Yes",EmployeeData[[#This Row],[LastWorkingDate]]&lt;&gt;""),EmployeeData[[#This Row],[LastWorkingDate]],TODAY()),"Y")</f>
        <v>3</v>
      </c>
      <c r="AA88" t="str">
        <f>IF(EmployeeData[[#This Row],[MonthlyIncome]]&lt;30000,"Low",IF(EmployeeData[[#This Row],[MonthlyIncome]]&lt;=60000,"Medium",IF(EmployeeData[[#This Row],[MonthlyIncome]]&lt;=100000,"High","Very High")))</f>
        <v>High</v>
      </c>
      <c r="AB88">
        <f>IF(EmployeeData[[#This Row],[Attrition]]="Yes",1,0)</f>
        <v>0</v>
      </c>
      <c r="AC88" t="str">
        <f ca="1">IF(EmployeeData[[#This Row],[Tenure Years]]&lt;1,"Less than 1 Year",IF(EmployeeData[[#This Row],[Tenure Years]]&lt;=3,"1-3 Years",IF(EmployeeData[[#This Row],[Tenure Years]]&lt;=5,"4-5 Years",IF(EmployeeData[[#This Row],[Tenure Years]]&lt;=10,"6-10 Years","More than 10 Years"))))</f>
        <v>1-3 Years</v>
      </c>
      <c r="AD88">
        <f>ROUND(AVERAGE(EmployeeData[[#This Row],[JobSatisfaction]],EmployeeData[[#This Row],[EnvironmentSatisfaction]],EmployeeData[[#This Row],[WorkLifeBalance]]),2)</f>
        <v>3.33</v>
      </c>
      <c r="AE88" t="str">
        <f>IF(EmployeeData[[#This Row],[Satisfaction Score]]&lt;2,"Low",IF(EmployeeData[[#This Row],[Satisfaction Score]]&lt;3,"Medium","High"))</f>
        <v>High</v>
      </c>
    </row>
    <row r="89" spans="1:31" x14ac:dyDescent="0.25">
      <c r="A89" t="s">
        <v>514</v>
      </c>
      <c r="B89" t="s">
        <v>515</v>
      </c>
      <c r="C89" t="s">
        <v>58</v>
      </c>
      <c r="D89">
        <v>26</v>
      </c>
      <c r="E89" t="s">
        <v>27</v>
      </c>
      <c r="F89" t="s">
        <v>75</v>
      </c>
      <c r="G89" s="1">
        <v>45094</v>
      </c>
      <c r="H89">
        <v>100031</v>
      </c>
      <c r="I89" t="s">
        <v>52</v>
      </c>
      <c r="J89" t="s">
        <v>53</v>
      </c>
      <c r="K89" t="s">
        <v>83</v>
      </c>
      <c r="L89" t="s">
        <v>43</v>
      </c>
      <c r="M89">
        <v>5</v>
      </c>
      <c r="N89" t="s">
        <v>34</v>
      </c>
      <c r="O89">
        <v>1</v>
      </c>
      <c r="P89">
        <v>3</v>
      </c>
      <c r="Q89">
        <v>2</v>
      </c>
      <c r="R89">
        <v>3</v>
      </c>
      <c r="S89">
        <v>1</v>
      </c>
      <c r="T89">
        <v>6</v>
      </c>
      <c r="U89">
        <v>15</v>
      </c>
      <c r="V89" t="s">
        <v>517</v>
      </c>
      <c r="W89" t="s">
        <v>34</v>
      </c>
      <c r="Y89" s="2" t="str">
        <f>IF(EmployeeData[[#This Row],[Age]]&lt;25,"Under 25",IF(EmployeeData[[#This Row],[Age]]&lt;=34,"25-34",IF(EmployeeData[[#This Row],[Age]]&lt;=44,"35-44",IF(EmployeeData[[#This Row],[Age]]&lt;=54,"45-54","55+"))))</f>
        <v>25-34</v>
      </c>
      <c r="Z89">
        <f ca="1">DATEDIF(EmployeeData[[#This Row],[DateOfJoining]],IF(AND(EmployeeData[[#This Row],[Attrition]]="Yes",EmployeeData[[#This Row],[LastWorkingDate]]&lt;&gt;""),EmployeeData[[#This Row],[LastWorkingDate]],TODAY()),"Y")</f>
        <v>3</v>
      </c>
      <c r="AA89" t="str">
        <f>IF(EmployeeData[[#This Row],[MonthlyIncome]]&lt;30000,"Low",IF(EmployeeData[[#This Row],[MonthlyIncome]]&lt;=60000,"Medium",IF(EmployeeData[[#This Row],[MonthlyIncome]]&lt;=100000,"High","Very High")))</f>
        <v>Very High</v>
      </c>
      <c r="AB89">
        <f>IF(EmployeeData[[#This Row],[Attrition]]="Yes",1,0)</f>
        <v>0</v>
      </c>
      <c r="AC89" t="str">
        <f ca="1">IF(EmployeeData[[#This Row],[Tenure Years]]&lt;1,"Less than 1 Year",IF(EmployeeData[[#This Row],[Tenure Years]]&lt;=3,"1-3 Years",IF(EmployeeData[[#This Row],[Tenure Years]]&lt;=5,"4-5 Years",IF(EmployeeData[[#This Row],[Tenure Years]]&lt;=10,"6-10 Years","More than 10 Years"))))</f>
        <v>1-3 Years</v>
      </c>
      <c r="AD89">
        <f>ROUND(AVERAGE(EmployeeData[[#This Row],[JobSatisfaction]],EmployeeData[[#This Row],[EnvironmentSatisfaction]],EmployeeData[[#This Row],[WorkLifeBalance]]),2)</f>
        <v>2</v>
      </c>
      <c r="AE89" t="str">
        <f>IF(EmployeeData[[#This Row],[Satisfaction Score]]&lt;2,"Low",IF(EmployeeData[[#This Row],[Satisfaction Score]]&lt;3,"Medium","High"))</f>
        <v>Medium</v>
      </c>
    </row>
    <row r="90" spans="1:31" x14ac:dyDescent="0.25">
      <c r="A90" t="s">
        <v>518</v>
      </c>
      <c r="B90" t="s">
        <v>519</v>
      </c>
      <c r="C90" t="s">
        <v>58</v>
      </c>
      <c r="D90">
        <v>30</v>
      </c>
      <c r="E90" t="s">
        <v>128</v>
      </c>
      <c r="F90" t="s">
        <v>271</v>
      </c>
      <c r="G90" s="1">
        <v>43295</v>
      </c>
      <c r="H90">
        <v>100585</v>
      </c>
      <c r="I90" t="s">
        <v>42</v>
      </c>
      <c r="J90" t="s">
        <v>31</v>
      </c>
      <c r="K90" t="s">
        <v>54</v>
      </c>
      <c r="L90" t="s">
        <v>5459</v>
      </c>
      <c r="M90">
        <v>39</v>
      </c>
      <c r="N90" t="s">
        <v>45</v>
      </c>
      <c r="O90">
        <v>1</v>
      </c>
      <c r="P90">
        <v>1</v>
      </c>
      <c r="Q90">
        <v>4</v>
      </c>
      <c r="R90">
        <v>1</v>
      </c>
      <c r="S90">
        <v>3</v>
      </c>
      <c r="T90">
        <v>2</v>
      </c>
      <c r="U90">
        <v>13</v>
      </c>
      <c r="V90" t="s">
        <v>522</v>
      </c>
      <c r="W90" t="s">
        <v>45</v>
      </c>
      <c r="X90" s="1">
        <v>43724</v>
      </c>
      <c r="Y90" s="2" t="str">
        <f>IF(EmployeeData[[#This Row],[Age]]&lt;25,"Under 25",IF(EmployeeData[[#This Row],[Age]]&lt;=34,"25-34",IF(EmployeeData[[#This Row],[Age]]&lt;=44,"35-44",IF(EmployeeData[[#This Row],[Age]]&lt;=54,"45-54","55+"))))</f>
        <v>25-34</v>
      </c>
      <c r="Z90">
        <f ca="1">DATEDIF(EmployeeData[[#This Row],[DateOfJoining]],IF(AND(EmployeeData[[#This Row],[Attrition]]="Yes",EmployeeData[[#This Row],[LastWorkingDate]]&lt;&gt;""),EmployeeData[[#This Row],[LastWorkingDate]],TODAY()),"Y")</f>
        <v>1</v>
      </c>
      <c r="AA90" t="str">
        <f>IF(EmployeeData[[#This Row],[MonthlyIncome]]&lt;30000,"Low",IF(EmployeeData[[#This Row],[MonthlyIncome]]&lt;=60000,"Medium",IF(EmployeeData[[#This Row],[MonthlyIncome]]&lt;=100000,"High","Very High")))</f>
        <v>Very High</v>
      </c>
      <c r="AB90">
        <f>IF(EmployeeData[[#This Row],[Attrition]]="Yes",1,0)</f>
        <v>1</v>
      </c>
      <c r="AC90" t="str">
        <f ca="1">IF(EmployeeData[[#This Row],[Tenure Years]]&lt;1,"Less than 1 Year",IF(EmployeeData[[#This Row],[Tenure Years]]&lt;=3,"1-3 Years",IF(EmployeeData[[#This Row],[Tenure Years]]&lt;=5,"4-5 Years",IF(EmployeeData[[#This Row],[Tenure Years]]&lt;=10,"6-10 Years","More than 10 Years"))))</f>
        <v>1-3 Years</v>
      </c>
      <c r="AD90">
        <f>ROUND(AVERAGE(EmployeeData[[#This Row],[JobSatisfaction]],EmployeeData[[#This Row],[EnvironmentSatisfaction]],EmployeeData[[#This Row],[WorkLifeBalance]]),2)</f>
        <v>2</v>
      </c>
      <c r="AE90" t="str">
        <f>IF(EmployeeData[[#This Row],[Satisfaction Score]]&lt;2,"Low",IF(EmployeeData[[#This Row],[Satisfaction Score]]&lt;3,"Medium","High"))</f>
        <v>Medium</v>
      </c>
    </row>
    <row r="91" spans="1:31" x14ac:dyDescent="0.25">
      <c r="A91" t="s">
        <v>524</v>
      </c>
      <c r="B91" t="s">
        <v>525</v>
      </c>
      <c r="C91" t="s">
        <v>49</v>
      </c>
      <c r="D91">
        <v>37</v>
      </c>
      <c r="E91" t="s">
        <v>38</v>
      </c>
      <c r="F91" t="s">
        <v>5465</v>
      </c>
      <c r="G91" s="1">
        <v>44628</v>
      </c>
      <c r="H91">
        <v>35856</v>
      </c>
      <c r="I91" t="s">
        <v>42</v>
      </c>
      <c r="J91" t="s">
        <v>5459</v>
      </c>
      <c r="K91" t="s">
        <v>113</v>
      </c>
      <c r="L91" t="s">
        <v>33</v>
      </c>
      <c r="M91">
        <v>7</v>
      </c>
      <c r="N91" t="s">
        <v>34</v>
      </c>
      <c r="O91">
        <v>1</v>
      </c>
      <c r="P91">
        <v>4</v>
      </c>
      <c r="Q91">
        <v>2</v>
      </c>
      <c r="R91">
        <v>4</v>
      </c>
      <c r="S91">
        <v>4</v>
      </c>
      <c r="T91">
        <v>0</v>
      </c>
      <c r="U91">
        <v>13</v>
      </c>
      <c r="V91" t="s">
        <v>528</v>
      </c>
      <c r="W91" t="s">
        <v>34</v>
      </c>
      <c r="Y91" s="2" t="str">
        <f>IF(EmployeeData[[#This Row],[Age]]&lt;25,"Under 25",IF(EmployeeData[[#This Row],[Age]]&lt;=34,"25-34",IF(EmployeeData[[#This Row],[Age]]&lt;=44,"35-44",IF(EmployeeData[[#This Row],[Age]]&lt;=54,"45-54","55+"))))</f>
        <v>35-44</v>
      </c>
      <c r="Z91">
        <f ca="1">DATEDIF(EmployeeData[[#This Row],[DateOfJoining]],IF(AND(EmployeeData[[#This Row],[Attrition]]="Yes",EmployeeData[[#This Row],[LastWorkingDate]]&lt;&gt;""),EmployeeData[[#This Row],[LastWorkingDate]],TODAY()),"Y")</f>
        <v>4</v>
      </c>
      <c r="AA91" t="str">
        <f>IF(EmployeeData[[#This Row],[MonthlyIncome]]&lt;30000,"Low",IF(EmployeeData[[#This Row],[MonthlyIncome]]&lt;=60000,"Medium",IF(EmployeeData[[#This Row],[MonthlyIncome]]&lt;=100000,"High","Very High")))</f>
        <v>Medium</v>
      </c>
      <c r="AB91">
        <f>IF(EmployeeData[[#This Row],[Attrition]]="Yes",1,0)</f>
        <v>0</v>
      </c>
      <c r="AC91" t="str">
        <f ca="1">IF(EmployeeData[[#This Row],[Tenure Years]]&lt;1,"Less than 1 Year",IF(EmployeeData[[#This Row],[Tenure Years]]&lt;=3,"1-3 Years",IF(EmployeeData[[#This Row],[Tenure Years]]&lt;=5,"4-5 Years",IF(EmployeeData[[#This Row],[Tenure Years]]&lt;=10,"6-10 Years","More than 10 Years"))))</f>
        <v>4-5 Years</v>
      </c>
      <c r="AD91">
        <f>ROUND(AVERAGE(EmployeeData[[#This Row],[JobSatisfaction]],EmployeeData[[#This Row],[EnvironmentSatisfaction]],EmployeeData[[#This Row],[WorkLifeBalance]]),2)</f>
        <v>2.33</v>
      </c>
      <c r="AE91" t="str">
        <f>IF(EmployeeData[[#This Row],[Satisfaction Score]]&lt;2,"Low",IF(EmployeeData[[#This Row],[Satisfaction Score]]&lt;3,"Medium","High"))</f>
        <v>Medium</v>
      </c>
    </row>
    <row r="92" spans="1:31" x14ac:dyDescent="0.25">
      <c r="A92" t="s">
        <v>529</v>
      </c>
      <c r="B92" t="s">
        <v>530</v>
      </c>
      <c r="C92" t="s">
        <v>49</v>
      </c>
      <c r="D92">
        <v>21</v>
      </c>
      <c r="E92" t="s">
        <v>128</v>
      </c>
      <c r="F92" t="s">
        <v>123</v>
      </c>
      <c r="G92" s="1">
        <v>45306</v>
      </c>
      <c r="H92">
        <v>34418</v>
      </c>
      <c r="I92" t="s">
        <v>42</v>
      </c>
      <c r="J92" t="s">
        <v>31</v>
      </c>
      <c r="K92" t="s">
        <v>98</v>
      </c>
      <c r="L92" t="s">
        <v>43</v>
      </c>
      <c r="M92">
        <v>9</v>
      </c>
      <c r="N92" t="s">
        <v>45</v>
      </c>
      <c r="O92">
        <v>1</v>
      </c>
      <c r="P92">
        <v>1</v>
      </c>
      <c r="Q92">
        <v>3</v>
      </c>
      <c r="R92">
        <v>4</v>
      </c>
      <c r="S92">
        <v>0</v>
      </c>
      <c r="T92">
        <v>2</v>
      </c>
      <c r="U92">
        <v>25</v>
      </c>
      <c r="V92" t="s">
        <v>533</v>
      </c>
      <c r="W92" t="s">
        <v>45</v>
      </c>
      <c r="X92" s="1">
        <v>46106</v>
      </c>
      <c r="Y92" s="2" t="str">
        <f>IF(EmployeeData[[#This Row],[Age]]&lt;25,"Under 25",IF(EmployeeData[[#This Row],[Age]]&lt;=34,"25-34",IF(EmployeeData[[#This Row],[Age]]&lt;=44,"35-44",IF(EmployeeData[[#This Row],[Age]]&lt;=54,"45-54","55+"))))</f>
        <v>Under 25</v>
      </c>
      <c r="Z92">
        <f ca="1">DATEDIF(EmployeeData[[#This Row],[DateOfJoining]],IF(AND(EmployeeData[[#This Row],[Attrition]]="Yes",EmployeeData[[#This Row],[LastWorkingDate]]&lt;&gt;""),EmployeeData[[#This Row],[LastWorkingDate]],TODAY()),"Y")</f>
        <v>2</v>
      </c>
      <c r="AA92" t="str">
        <f>IF(EmployeeData[[#This Row],[MonthlyIncome]]&lt;30000,"Low",IF(EmployeeData[[#This Row],[MonthlyIncome]]&lt;=60000,"Medium",IF(EmployeeData[[#This Row],[MonthlyIncome]]&lt;=100000,"High","Very High")))</f>
        <v>Medium</v>
      </c>
      <c r="AB92">
        <f>IF(EmployeeData[[#This Row],[Attrition]]="Yes",1,0)</f>
        <v>1</v>
      </c>
      <c r="AC92" t="str">
        <f ca="1">IF(EmployeeData[[#This Row],[Tenure Years]]&lt;1,"Less than 1 Year",IF(EmployeeData[[#This Row],[Tenure Years]]&lt;=3,"1-3 Years",IF(EmployeeData[[#This Row],[Tenure Years]]&lt;=5,"4-5 Years",IF(EmployeeData[[#This Row],[Tenure Years]]&lt;=10,"6-10 Years","More than 10 Years"))))</f>
        <v>1-3 Years</v>
      </c>
      <c r="AD92">
        <f>ROUND(AVERAGE(EmployeeData[[#This Row],[JobSatisfaction]],EmployeeData[[#This Row],[EnvironmentSatisfaction]],EmployeeData[[#This Row],[WorkLifeBalance]]),2)</f>
        <v>1.67</v>
      </c>
      <c r="AE92" t="str">
        <f>IF(EmployeeData[[#This Row],[Satisfaction Score]]&lt;2,"Low",IF(EmployeeData[[#This Row],[Satisfaction Score]]&lt;3,"Medium","High"))</f>
        <v>Low</v>
      </c>
    </row>
    <row r="93" spans="1:31" x14ac:dyDescent="0.25">
      <c r="A93" t="s">
        <v>535</v>
      </c>
      <c r="B93" t="s">
        <v>536</v>
      </c>
      <c r="C93" t="s">
        <v>58</v>
      </c>
      <c r="D93">
        <v>37</v>
      </c>
      <c r="E93" t="s">
        <v>5459</v>
      </c>
      <c r="F93" t="s">
        <v>356</v>
      </c>
      <c r="G93" s="1">
        <v>44342</v>
      </c>
      <c r="H93">
        <v>125374</v>
      </c>
      <c r="I93" t="s">
        <v>42</v>
      </c>
      <c r="J93" t="s">
        <v>61</v>
      </c>
      <c r="K93" t="s">
        <v>5459</v>
      </c>
      <c r="L93" t="s">
        <v>43</v>
      </c>
      <c r="M93">
        <v>7</v>
      </c>
      <c r="N93" t="s">
        <v>45</v>
      </c>
      <c r="O93">
        <v>1</v>
      </c>
      <c r="P93">
        <v>3</v>
      </c>
      <c r="Q93">
        <v>4</v>
      </c>
      <c r="R93">
        <v>2</v>
      </c>
      <c r="S93">
        <v>5</v>
      </c>
      <c r="T93">
        <v>4</v>
      </c>
      <c r="U93">
        <v>22</v>
      </c>
      <c r="V93" t="s">
        <v>539</v>
      </c>
      <c r="W93" t="s">
        <v>45</v>
      </c>
      <c r="X93" s="1">
        <v>45500</v>
      </c>
      <c r="Y93" s="2" t="str">
        <f>IF(EmployeeData[[#This Row],[Age]]&lt;25,"Under 25",IF(EmployeeData[[#This Row],[Age]]&lt;=34,"25-34",IF(EmployeeData[[#This Row],[Age]]&lt;=44,"35-44",IF(EmployeeData[[#This Row],[Age]]&lt;=54,"45-54","55+"))))</f>
        <v>35-44</v>
      </c>
      <c r="Z93">
        <f ca="1">DATEDIF(EmployeeData[[#This Row],[DateOfJoining]],IF(AND(EmployeeData[[#This Row],[Attrition]]="Yes",EmployeeData[[#This Row],[LastWorkingDate]]&lt;&gt;""),EmployeeData[[#This Row],[LastWorkingDate]],TODAY()),"Y")</f>
        <v>3</v>
      </c>
      <c r="AA93" t="str">
        <f>IF(EmployeeData[[#This Row],[MonthlyIncome]]&lt;30000,"Low",IF(EmployeeData[[#This Row],[MonthlyIncome]]&lt;=60000,"Medium",IF(EmployeeData[[#This Row],[MonthlyIncome]]&lt;=100000,"High","Very High")))</f>
        <v>Very High</v>
      </c>
      <c r="AB93">
        <f>IF(EmployeeData[[#This Row],[Attrition]]="Yes",1,0)</f>
        <v>1</v>
      </c>
      <c r="AC93" t="str">
        <f ca="1">IF(EmployeeData[[#This Row],[Tenure Years]]&lt;1,"Less than 1 Year",IF(EmployeeData[[#This Row],[Tenure Years]]&lt;=3,"1-3 Years",IF(EmployeeData[[#This Row],[Tenure Years]]&lt;=5,"4-5 Years",IF(EmployeeData[[#This Row],[Tenure Years]]&lt;=10,"6-10 Years","More than 10 Years"))))</f>
        <v>1-3 Years</v>
      </c>
      <c r="AD93">
        <f>ROUND(AVERAGE(EmployeeData[[#This Row],[JobSatisfaction]],EmployeeData[[#This Row],[EnvironmentSatisfaction]],EmployeeData[[#This Row],[WorkLifeBalance]]),2)</f>
        <v>2.67</v>
      </c>
      <c r="AE93" t="str">
        <f>IF(EmployeeData[[#This Row],[Satisfaction Score]]&lt;2,"Low",IF(EmployeeData[[#This Row],[Satisfaction Score]]&lt;3,"Medium","High"))</f>
        <v>Medium</v>
      </c>
    </row>
    <row r="94" spans="1:31" x14ac:dyDescent="0.25">
      <c r="A94" t="s">
        <v>541</v>
      </c>
      <c r="B94" t="s">
        <v>542</v>
      </c>
      <c r="C94" t="s">
        <v>58</v>
      </c>
      <c r="D94">
        <v>47</v>
      </c>
      <c r="E94" t="s">
        <v>94</v>
      </c>
      <c r="F94" t="s">
        <v>306</v>
      </c>
      <c r="G94" s="1">
        <v>41292</v>
      </c>
      <c r="H94">
        <v>117345</v>
      </c>
      <c r="I94" t="s">
        <v>30</v>
      </c>
      <c r="J94" t="s">
        <v>61</v>
      </c>
      <c r="K94" t="s">
        <v>83</v>
      </c>
      <c r="L94" t="s">
        <v>43</v>
      </c>
      <c r="M94">
        <v>26</v>
      </c>
      <c r="N94" t="s">
        <v>34</v>
      </c>
      <c r="O94">
        <v>3</v>
      </c>
      <c r="P94">
        <v>1</v>
      </c>
      <c r="Q94">
        <v>1</v>
      </c>
      <c r="R94">
        <v>4</v>
      </c>
      <c r="S94">
        <v>2</v>
      </c>
      <c r="T94">
        <v>0</v>
      </c>
      <c r="U94">
        <v>14</v>
      </c>
      <c r="V94" t="s">
        <v>5459</v>
      </c>
      <c r="W94" t="s">
        <v>34</v>
      </c>
      <c r="Y94" s="2" t="str">
        <f>IF(EmployeeData[[#This Row],[Age]]&lt;25,"Under 25",IF(EmployeeData[[#This Row],[Age]]&lt;=34,"25-34",IF(EmployeeData[[#This Row],[Age]]&lt;=44,"35-44",IF(EmployeeData[[#This Row],[Age]]&lt;=54,"45-54","55+"))))</f>
        <v>45-54</v>
      </c>
      <c r="Z94">
        <f ca="1">DATEDIF(EmployeeData[[#This Row],[DateOfJoining]],IF(AND(EmployeeData[[#This Row],[Attrition]]="Yes",EmployeeData[[#This Row],[LastWorkingDate]]&lt;&gt;""),EmployeeData[[#This Row],[LastWorkingDate]],TODAY()),"Y")</f>
        <v>13</v>
      </c>
      <c r="AA94" t="str">
        <f>IF(EmployeeData[[#This Row],[MonthlyIncome]]&lt;30000,"Low",IF(EmployeeData[[#This Row],[MonthlyIncome]]&lt;=60000,"Medium",IF(EmployeeData[[#This Row],[MonthlyIncome]]&lt;=100000,"High","Very High")))</f>
        <v>Very High</v>
      </c>
      <c r="AB94">
        <f>IF(EmployeeData[[#This Row],[Attrition]]="Yes",1,0)</f>
        <v>0</v>
      </c>
      <c r="AC94" t="str">
        <f ca="1">IF(EmployeeData[[#This Row],[Tenure Years]]&lt;1,"Less than 1 Year",IF(EmployeeData[[#This Row],[Tenure Years]]&lt;=3,"1-3 Years",IF(EmployeeData[[#This Row],[Tenure Years]]&lt;=5,"4-5 Years",IF(EmployeeData[[#This Row],[Tenure Years]]&lt;=10,"6-10 Years","More than 10 Years"))))</f>
        <v>More than 10 Years</v>
      </c>
      <c r="AD94">
        <f>ROUND(AVERAGE(EmployeeData[[#This Row],[JobSatisfaction]],EmployeeData[[#This Row],[EnvironmentSatisfaction]],EmployeeData[[#This Row],[WorkLifeBalance]]),2)</f>
        <v>1.67</v>
      </c>
      <c r="AE94" t="str">
        <f>IF(EmployeeData[[#This Row],[Satisfaction Score]]&lt;2,"Low",IF(EmployeeData[[#This Row],[Satisfaction Score]]&lt;3,"Medium","High"))</f>
        <v>Low</v>
      </c>
    </row>
    <row r="95" spans="1:31" x14ac:dyDescent="0.25">
      <c r="A95" t="s">
        <v>544</v>
      </c>
      <c r="B95" t="s">
        <v>545</v>
      </c>
      <c r="C95" t="s">
        <v>58</v>
      </c>
      <c r="D95">
        <v>34</v>
      </c>
      <c r="E95" t="s">
        <v>5459</v>
      </c>
      <c r="F95" t="s">
        <v>5462</v>
      </c>
      <c r="G95" s="1">
        <v>41823</v>
      </c>
      <c r="H95">
        <v>58778</v>
      </c>
      <c r="I95" t="s">
        <v>30</v>
      </c>
      <c r="J95" t="s">
        <v>31</v>
      </c>
      <c r="K95" t="s">
        <v>5459</v>
      </c>
      <c r="L95" t="s">
        <v>62</v>
      </c>
      <c r="M95">
        <v>23</v>
      </c>
      <c r="N95" t="s">
        <v>34</v>
      </c>
      <c r="O95">
        <v>2</v>
      </c>
      <c r="P95">
        <v>4</v>
      </c>
      <c r="Q95">
        <v>3</v>
      </c>
      <c r="R95">
        <v>3</v>
      </c>
      <c r="S95">
        <v>3</v>
      </c>
      <c r="T95">
        <v>5</v>
      </c>
      <c r="U95">
        <v>22</v>
      </c>
      <c r="V95" t="s">
        <v>547</v>
      </c>
      <c r="W95" t="s">
        <v>34</v>
      </c>
      <c r="Y95" s="2" t="str">
        <f>IF(EmployeeData[[#This Row],[Age]]&lt;25,"Under 25",IF(EmployeeData[[#This Row],[Age]]&lt;=34,"25-34",IF(EmployeeData[[#This Row],[Age]]&lt;=44,"35-44",IF(EmployeeData[[#This Row],[Age]]&lt;=54,"45-54","55+"))))</f>
        <v>25-34</v>
      </c>
      <c r="Z95">
        <f ca="1">DATEDIF(EmployeeData[[#This Row],[DateOfJoining]],IF(AND(EmployeeData[[#This Row],[Attrition]]="Yes",EmployeeData[[#This Row],[LastWorkingDate]]&lt;&gt;""),EmployeeData[[#This Row],[LastWorkingDate]],TODAY()),"Y")</f>
        <v>12</v>
      </c>
      <c r="AA95" t="str">
        <f>IF(EmployeeData[[#This Row],[MonthlyIncome]]&lt;30000,"Low",IF(EmployeeData[[#This Row],[MonthlyIncome]]&lt;=60000,"Medium",IF(EmployeeData[[#This Row],[MonthlyIncome]]&lt;=100000,"High","Very High")))</f>
        <v>Medium</v>
      </c>
      <c r="AB95">
        <f>IF(EmployeeData[[#This Row],[Attrition]]="Yes",1,0)</f>
        <v>0</v>
      </c>
      <c r="AC95" t="str">
        <f ca="1">IF(EmployeeData[[#This Row],[Tenure Years]]&lt;1,"Less than 1 Year",IF(EmployeeData[[#This Row],[Tenure Years]]&lt;=3,"1-3 Years",IF(EmployeeData[[#This Row],[Tenure Years]]&lt;=5,"4-5 Years",IF(EmployeeData[[#This Row],[Tenure Years]]&lt;=10,"6-10 Years","More than 10 Years"))))</f>
        <v>More than 10 Years</v>
      </c>
      <c r="AD95">
        <f>ROUND(AVERAGE(EmployeeData[[#This Row],[JobSatisfaction]],EmployeeData[[#This Row],[EnvironmentSatisfaction]],EmployeeData[[#This Row],[WorkLifeBalance]]),2)</f>
        <v>3</v>
      </c>
      <c r="AE95" t="str">
        <f>IF(EmployeeData[[#This Row],[Satisfaction Score]]&lt;2,"Low",IF(EmployeeData[[#This Row],[Satisfaction Score]]&lt;3,"Medium","High"))</f>
        <v>High</v>
      </c>
    </row>
    <row r="96" spans="1:31" x14ac:dyDescent="0.25">
      <c r="A96" t="s">
        <v>548</v>
      </c>
      <c r="B96" t="s">
        <v>549</v>
      </c>
      <c r="C96" t="s">
        <v>58</v>
      </c>
      <c r="D96">
        <v>23</v>
      </c>
      <c r="E96" t="s">
        <v>27</v>
      </c>
      <c r="F96" t="s">
        <v>50</v>
      </c>
      <c r="G96" s="1">
        <v>41295</v>
      </c>
      <c r="H96">
        <v>63104</v>
      </c>
      <c r="I96" t="s">
        <v>42</v>
      </c>
      <c r="J96" t="s">
        <v>97</v>
      </c>
      <c r="K96" t="s">
        <v>32</v>
      </c>
      <c r="L96" t="s">
        <v>43</v>
      </c>
      <c r="M96">
        <v>41</v>
      </c>
      <c r="N96" t="s">
        <v>34</v>
      </c>
      <c r="O96">
        <v>2</v>
      </c>
      <c r="P96">
        <v>2</v>
      </c>
      <c r="Q96">
        <v>3</v>
      </c>
      <c r="R96">
        <v>2</v>
      </c>
      <c r="S96">
        <v>6</v>
      </c>
      <c r="T96">
        <v>6</v>
      </c>
      <c r="U96">
        <v>20</v>
      </c>
      <c r="V96" t="s">
        <v>551</v>
      </c>
      <c r="W96" t="s">
        <v>34</v>
      </c>
      <c r="Y96" s="2" t="str">
        <f>IF(EmployeeData[[#This Row],[Age]]&lt;25,"Under 25",IF(EmployeeData[[#This Row],[Age]]&lt;=34,"25-34",IF(EmployeeData[[#This Row],[Age]]&lt;=44,"35-44",IF(EmployeeData[[#This Row],[Age]]&lt;=54,"45-54","55+"))))</f>
        <v>Under 25</v>
      </c>
      <c r="Z96">
        <f ca="1">DATEDIF(EmployeeData[[#This Row],[DateOfJoining]],IF(AND(EmployeeData[[#This Row],[Attrition]]="Yes",EmployeeData[[#This Row],[LastWorkingDate]]&lt;&gt;""),EmployeeData[[#This Row],[LastWorkingDate]],TODAY()),"Y")</f>
        <v>13</v>
      </c>
      <c r="AA96" t="str">
        <f>IF(EmployeeData[[#This Row],[MonthlyIncome]]&lt;30000,"Low",IF(EmployeeData[[#This Row],[MonthlyIncome]]&lt;=60000,"Medium",IF(EmployeeData[[#This Row],[MonthlyIncome]]&lt;=100000,"High","Very High")))</f>
        <v>High</v>
      </c>
      <c r="AB96">
        <f>IF(EmployeeData[[#This Row],[Attrition]]="Yes",1,0)</f>
        <v>0</v>
      </c>
      <c r="AC96" t="str">
        <f ca="1">IF(EmployeeData[[#This Row],[Tenure Years]]&lt;1,"Less than 1 Year",IF(EmployeeData[[#This Row],[Tenure Years]]&lt;=3,"1-3 Years",IF(EmployeeData[[#This Row],[Tenure Years]]&lt;=5,"4-5 Years",IF(EmployeeData[[#This Row],[Tenure Years]]&lt;=10,"6-10 Years","More than 10 Years"))))</f>
        <v>More than 10 Years</v>
      </c>
      <c r="AD96">
        <f>ROUND(AVERAGE(EmployeeData[[#This Row],[JobSatisfaction]],EmployeeData[[#This Row],[EnvironmentSatisfaction]],EmployeeData[[#This Row],[WorkLifeBalance]]),2)</f>
        <v>2.33</v>
      </c>
      <c r="AE96" t="str">
        <f>IF(EmployeeData[[#This Row],[Satisfaction Score]]&lt;2,"Low",IF(EmployeeData[[#This Row],[Satisfaction Score]]&lt;3,"Medium","High"))</f>
        <v>Medium</v>
      </c>
    </row>
    <row r="97" spans="1:31" x14ac:dyDescent="0.25">
      <c r="A97" t="s">
        <v>552</v>
      </c>
      <c r="B97" t="s">
        <v>553</v>
      </c>
      <c r="C97" t="s">
        <v>49</v>
      </c>
      <c r="D97">
        <v>22</v>
      </c>
      <c r="E97" t="s">
        <v>5461</v>
      </c>
      <c r="F97" t="s">
        <v>261</v>
      </c>
      <c r="G97" s="1">
        <v>45923</v>
      </c>
      <c r="H97">
        <v>105484</v>
      </c>
      <c r="I97" t="s">
        <v>5459</v>
      </c>
      <c r="J97" t="s">
        <v>61</v>
      </c>
      <c r="K97" t="s">
        <v>131</v>
      </c>
      <c r="L97" t="s">
        <v>62</v>
      </c>
      <c r="M97">
        <v>15</v>
      </c>
      <c r="N97" t="s">
        <v>45</v>
      </c>
      <c r="O97">
        <v>1</v>
      </c>
      <c r="P97">
        <v>1</v>
      </c>
      <c r="Q97">
        <v>4</v>
      </c>
      <c r="R97">
        <v>3</v>
      </c>
      <c r="S97">
        <v>0</v>
      </c>
      <c r="T97">
        <v>3</v>
      </c>
      <c r="U97">
        <v>17</v>
      </c>
      <c r="V97" t="s">
        <v>558</v>
      </c>
      <c r="W97" t="s">
        <v>45</v>
      </c>
      <c r="X97" s="1">
        <v>46222</v>
      </c>
      <c r="Y97" s="2" t="str">
        <f>IF(EmployeeData[[#This Row],[Age]]&lt;25,"Under 25",IF(EmployeeData[[#This Row],[Age]]&lt;=34,"25-34",IF(EmployeeData[[#This Row],[Age]]&lt;=44,"35-44",IF(EmployeeData[[#This Row],[Age]]&lt;=54,"45-54","55+"))))</f>
        <v>Under 25</v>
      </c>
      <c r="Z97">
        <f ca="1">DATEDIF(EmployeeData[[#This Row],[DateOfJoining]],IF(AND(EmployeeData[[#This Row],[Attrition]]="Yes",EmployeeData[[#This Row],[LastWorkingDate]]&lt;&gt;""),EmployeeData[[#This Row],[LastWorkingDate]],TODAY()),"Y")</f>
        <v>0</v>
      </c>
      <c r="AA97" t="str">
        <f>IF(EmployeeData[[#This Row],[MonthlyIncome]]&lt;30000,"Low",IF(EmployeeData[[#This Row],[MonthlyIncome]]&lt;=60000,"Medium",IF(EmployeeData[[#This Row],[MonthlyIncome]]&lt;=100000,"High","Very High")))</f>
        <v>Very High</v>
      </c>
      <c r="AB97">
        <f>IF(EmployeeData[[#This Row],[Attrition]]="Yes",1,0)</f>
        <v>1</v>
      </c>
      <c r="AC97" t="str">
        <f ca="1">IF(EmployeeData[[#This Row],[Tenure Years]]&lt;1,"Less than 1 Year",IF(EmployeeData[[#This Row],[Tenure Years]]&lt;=3,"1-3 Years",IF(EmployeeData[[#This Row],[Tenure Years]]&lt;=5,"4-5 Years",IF(EmployeeData[[#This Row],[Tenure Years]]&lt;=10,"6-10 Years","More than 10 Years"))))</f>
        <v>Less than 1 Year</v>
      </c>
      <c r="AD97">
        <f>ROUND(AVERAGE(EmployeeData[[#This Row],[JobSatisfaction]],EmployeeData[[#This Row],[EnvironmentSatisfaction]],EmployeeData[[#This Row],[WorkLifeBalance]]),2)</f>
        <v>2</v>
      </c>
      <c r="AE97" t="str">
        <f>IF(EmployeeData[[#This Row],[Satisfaction Score]]&lt;2,"Low",IF(EmployeeData[[#This Row],[Satisfaction Score]]&lt;3,"Medium","High"))</f>
        <v>Medium</v>
      </c>
    </row>
    <row r="98" spans="1:31" x14ac:dyDescent="0.25">
      <c r="A98" t="s">
        <v>560</v>
      </c>
      <c r="B98" t="s">
        <v>561</v>
      </c>
      <c r="C98" t="s">
        <v>49</v>
      </c>
      <c r="D98">
        <v>30</v>
      </c>
      <c r="E98" t="s">
        <v>27</v>
      </c>
      <c r="F98" t="s">
        <v>50</v>
      </c>
      <c r="G98" s="1">
        <v>43685</v>
      </c>
      <c r="H98">
        <v>53350</v>
      </c>
      <c r="I98" t="s">
        <v>30</v>
      </c>
      <c r="J98" t="s">
        <v>143</v>
      </c>
      <c r="K98" t="s">
        <v>5459</v>
      </c>
      <c r="L98" t="s">
        <v>43</v>
      </c>
      <c r="M98">
        <v>44</v>
      </c>
      <c r="N98" t="s">
        <v>45</v>
      </c>
      <c r="O98">
        <v>3</v>
      </c>
      <c r="P98">
        <v>4</v>
      </c>
      <c r="Q98">
        <v>4</v>
      </c>
      <c r="R98">
        <v>3</v>
      </c>
      <c r="S98">
        <v>6</v>
      </c>
      <c r="T98">
        <v>7</v>
      </c>
      <c r="U98">
        <v>13</v>
      </c>
      <c r="V98" t="s">
        <v>565</v>
      </c>
      <c r="W98" t="s">
        <v>34</v>
      </c>
      <c r="Y98" s="2" t="str">
        <f>IF(EmployeeData[[#This Row],[Age]]&lt;25,"Under 25",IF(EmployeeData[[#This Row],[Age]]&lt;=34,"25-34",IF(EmployeeData[[#This Row],[Age]]&lt;=44,"35-44",IF(EmployeeData[[#This Row],[Age]]&lt;=54,"45-54","55+"))))</f>
        <v>25-34</v>
      </c>
      <c r="Z98">
        <f ca="1">DATEDIF(EmployeeData[[#This Row],[DateOfJoining]],IF(AND(EmployeeData[[#This Row],[Attrition]]="Yes",EmployeeData[[#This Row],[LastWorkingDate]]&lt;&gt;""),EmployeeData[[#This Row],[LastWorkingDate]],TODAY()),"Y")</f>
        <v>7</v>
      </c>
      <c r="AA98" t="str">
        <f>IF(EmployeeData[[#This Row],[MonthlyIncome]]&lt;30000,"Low",IF(EmployeeData[[#This Row],[MonthlyIncome]]&lt;=60000,"Medium",IF(EmployeeData[[#This Row],[MonthlyIncome]]&lt;=100000,"High","Very High")))</f>
        <v>Medium</v>
      </c>
      <c r="AB98">
        <f>IF(EmployeeData[[#This Row],[Attrition]]="Yes",1,0)</f>
        <v>0</v>
      </c>
      <c r="AC98" t="str">
        <f ca="1">IF(EmployeeData[[#This Row],[Tenure Years]]&lt;1,"Less than 1 Year",IF(EmployeeData[[#This Row],[Tenure Years]]&lt;=3,"1-3 Years",IF(EmployeeData[[#This Row],[Tenure Years]]&lt;=5,"4-5 Years",IF(EmployeeData[[#This Row],[Tenure Years]]&lt;=10,"6-10 Years","More than 10 Years"))))</f>
        <v>6-10 Years</v>
      </c>
      <c r="AD98">
        <f>ROUND(AVERAGE(EmployeeData[[#This Row],[JobSatisfaction]],EmployeeData[[#This Row],[EnvironmentSatisfaction]],EmployeeData[[#This Row],[WorkLifeBalance]]),2)</f>
        <v>3.67</v>
      </c>
      <c r="AE98" t="str">
        <f>IF(EmployeeData[[#This Row],[Satisfaction Score]]&lt;2,"Low",IF(EmployeeData[[#This Row],[Satisfaction Score]]&lt;3,"Medium","High"))</f>
        <v>High</v>
      </c>
    </row>
    <row r="99" spans="1:31" x14ac:dyDescent="0.25">
      <c r="A99" t="s">
        <v>566</v>
      </c>
      <c r="B99" t="s">
        <v>567</v>
      </c>
      <c r="C99" t="s">
        <v>58</v>
      </c>
      <c r="D99">
        <v>32</v>
      </c>
      <c r="E99" t="s">
        <v>5461</v>
      </c>
      <c r="F99" t="s">
        <v>89</v>
      </c>
      <c r="G99" s="1">
        <v>43771</v>
      </c>
      <c r="H99">
        <v>76111</v>
      </c>
      <c r="I99" t="s">
        <v>52</v>
      </c>
      <c r="J99" t="s">
        <v>61</v>
      </c>
      <c r="K99" t="s">
        <v>83</v>
      </c>
      <c r="L99" t="s">
        <v>33</v>
      </c>
      <c r="M99">
        <v>12</v>
      </c>
      <c r="N99" t="s">
        <v>34</v>
      </c>
      <c r="O99">
        <v>2</v>
      </c>
      <c r="P99">
        <v>3</v>
      </c>
      <c r="Q99">
        <v>1</v>
      </c>
      <c r="R99">
        <v>4</v>
      </c>
      <c r="S99">
        <v>1</v>
      </c>
      <c r="T99">
        <v>0</v>
      </c>
      <c r="U99">
        <v>23</v>
      </c>
      <c r="V99" t="s">
        <v>569</v>
      </c>
      <c r="W99" t="s">
        <v>34</v>
      </c>
      <c r="Y99" s="2" t="str">
        <f>IF(EmployeeData[[#This Row],[Age]]&lt;25,"Under 25",IF(EmployeeData[[#This Row],[Age]]&lt;=34,"25-34",IF(EmployeeData[[#This Row],[Age]]&lt;=44,"35-44",IF(EmployeeData[[#This Row],[Age]]&lt;=54,"45-54","55+"))))</f>
        <v>25-34</v>
      </c>
      <c r="Z99">
        <f ca="1">DATEDIF(EmployeeData[[#This Row],[DateOfJoining]],IF(AND(EmployeeData[[#This Row],[Attrition]]="Yes",EmployeeData[[#This Row],[LastWorkingDate]]&lt;&gt;""),EmployeeData[[#This Row],[LastWorkingDate]],TODAY()),"Y")</f>
        <v>6</v>
      </c>
      <c r="AA99" t="str">
        <f>IF(EmployeeData[[#This Row],[MonthlyIncome]]&lt;30000,"Low",IF(EmployeeData[[#This Row],[MonthlyIncome]]&lt;=60000,"Medium",IF(EmployeeData[[#This Row],[MonthlyIncome]]&lt;=100000,"High","Very High")))</f>
        <v>High</v>
      </c>
      <c r="AB99">
        <f>IF(EmployeeData[[#This Row],[Attrition]]="Yes",1,0)</f>
        <v>0</v>
      </c>
      <c r="AC99" t="str">
        <f ca="1">IF(EmployeeData[[#This Row],[Tenure Years]]&lt;1,"Less than 1 Year",IF(EmployeeData[[#This Row],[Tenure Years]]&lt;=3,"1-3 Years",IF(EmployeeData[[#This Row],[Tenure Years]]&lt;=5,"4-5 Years",IF(EmployeeData[[#This Row],[Tenure Years]]&lt;=10,"6-10 Years","More than 10 Years"))))</f>
        <v>6-10 Years</v>
      </c>
      <c r="AD99">
        <f>ROUND(AVERAGE(EmployeeData[[#This Row],[JobSatisfaction]],EmployeeData[[#This Row],[EnvironmentSatisfaction]],EmployeeData[[#This Row],[WorkLifeBalance]]),2)</f>
        <v>2</v>
      </c>
      <c r="AE99" t="str">
        <f>IF(EmployeeData[[#This Row],[Satisfaction Score]]&lt;2,"Low",IF(EmployeeData[[#This Row],[Satisfaction Score]]&lt;3,"Medium","High"))</f>
        <v>Medium</v>
      </c>
    </row>
    <row r="100" spans="1:31" x14ac:dyDescent="0.25">
      <c r="A100" t="s">
        <v>570</v>
      </c>
      <c r="B100" t="s">
        <v>571</v>
      </c>
      <c r="C100" t="s">
        <v>49</v>
      </c>
      <c r="D100">
        <v>39</v>
      </c>
      <c r="E100" t="s">
        <v>197</v>
      </c>
      <c r="F100" t="s">
        <v>573</v>
      </c>
      <c r="G100" s="1">
        <v>41139</v>
      </c>
      <c r="H100">
        <v>101128</v>
      </c>
      <c r="I100" t="s">
        <v>52</v>
      </c>
      <c r="J100" t="s">
        <v>31</v>
      </c>
      <c r="K100" t="s">
        <v>32</v>
      </c>
      <c r="L100" t="s">
        <v>43</v>
      </c>
      <c r="M100">
        <v>32</v>
      </c>
      <c r="N100" t="s">
        <v>45</v>
      </c>
      <c r="O100">
        <v>2</v>
      </c>
      <c r="P100">
        <v>4</v>
      </c>
      <c r="Q100">
        <v>1</v>
      </c>
      <c r="R100">
        <v>3</v>
      </c>
      <c r="S100">
        <v>2</v>
      </c>
      <c r="T100">
        <v>4</v>
      </c>
      <c r="U100">
        <v>11</v>
      </c>
      <c r="V100" t="s">
        <v>575</v>
      </c>
      <c r="W100" t="s">
        <v>45</v>
      </c>
      <c r="X100" s="1">
        <v>43746</v>
      </c>
      <c r="Y100" s="2" t="str">
        <f>IF(EmployeeData[[#This Row],[Age]]&lt;25,"Under 25",IF(EmployeeData[[#This Row],[Age]]&lt;=34,"25-34",IF(EmployeeData[[#This Row],[Age]]&lt;=44,"35-44",IF(EmployeeData[[#This Row],[Age]]&lt;=54,"45-54","55+"))))</f>
        <v>35-44</v>
      </c>
      <c r="Z100">
        <f ca="1">DATEDIF(EmployeeData[[#This Row],[DateOfJoining]],IF(AND(EmployeeData[[#This Row],[Attrition]]="Yes",EmployeeData[[#This Row],[LastWorkingDate]]&lt;&gt;""),EmployeeData[[#This Row],[LastWorkingDate]],TODAY()),"Y")</f>
        <v>7</v>
      </c>
      <c r="AA100" t="str">
        <f>IF(EmployeeData[[#This Row],[MonthlyIncome]]&lt;30000,"Low",IF(EmployeeData[[#This Row],[MonthlyIncome]]&lt;=60000,"Medium",IF(EmployeeData[[#This Row],[MonthlyIncome]]&lt;=100000,"High","Very High")))</f>
        <v>Very High</v>
      </c>
      <c r="AB100">
        <f>IF(EmployeeData[[#This Row],[Attrition]]="Yes",1,0)</f>
        <v>1</v>
      </c>
      <c r="AC100" t="str">
        <f ca="1">IF(EmployeeData[[#This Row],[Tenure Years]]&lt;1,"Less than 1 Year",IF(EmployeeData[[#This Row],[Tenure Years]]&lt;=3,"1-3 Years",IF(EmployeeData[[#This Row],[Tenure Years]]&lt;=5,"4-5 Years",IF(EmployeeData[[#This Row],[Tenure Years]]&lt;=10,"6-10 Years","More than 10 Years"))))</f>
        <v>6-10 Years</v>
      </c>
      <c r="AD100">
        <f>ROUND(AVERAGE(EmployeeData[[#This Row],[JobSatisfaction]],EmployeeData[[#This Row],[EnvironmentSatisfaction]],EmployeeData[[#This Row],[WorkLifeBalance]]),2)</f>
        <v>2.33</v>
      </c>
      <c r="AE100" t="str">
        <f>IF(EmployeeData[[#This Row],[Satisfaction Score]]&lt;2,"Low",IF(EmployeeData[[#This Row],[Satisfaction Score]]&lt;3,"Medium","High"))</f>
        <v>Medium</v>
      </c>
    </row>
    <row r="101" spans="1:31" x14ac:dyDescent="0.25">
      <c r="A101" t="s">
        <v>577</v>
      </c>
      <c r="B101" t="s">
        <v>578</v>
      </c>
      <c r="C101" t="s">
        <v>58</v>
      </c>
      <c r="D101">
        <v>43</v>
      </c>
      <c r="E101" t="s">
        <v>5461</v>
      </c>
      <c r="F101" t="s">
        <v>5464</v>
      </c>
      <c r="G101" s="1">
        <v>45638</v>
      </c>
      <c r="H101">
        <v>76064</v>
      </c>
      <c r="I101" t="s">
        <v>52</v>
      </c>
      <c r="J101" t="s">
        <v>61</v>
      </c>
      <c r="K101" t="s">
        <v>106</v>
      </c>
      <c r="L101" t="s">
        <v>33</v>
      </c>
      <c r="M101">
        <v>24</v>
      </c>
      <c r="N101" t="s">
        <v>45</v>
      </c>
      <c r="O101">
        <v>1</v>
      </c>
      <c r="P101">
        <v>2</v>
      </c>
      <c r="Q101">
        <v>4</v>
      </c>
      <c r="R101">
        <v>1</v>
      </c>
      <c r="S101">
        <v>5</v>
      </c>
      <c r="T101">
        <v>5</v>
      </c>
      <c r="U101">
        <v>18</v>
      </c>
      <c r="V101" t="s">
        <v>581</v>
      </c>
      <c r="W101" t="s">
        <v>45</v>
      </c>
      <c r="X101" s="1">
        <v>45728</v>
      </c>
      <c r="Y101" s="2" t="str">
        <f>IF(EmployeeData[[#This Row],[Age]]&lt;25,"Under 25",IF(EmployeeData[[#This Row],[Age]]&lt;=34,"25-34",IF(EmployeeData[[#This Row],[Age]]&lt;=44,"35-44",IF(EmployeeData[[#This Row],[Age]]&lt;=54,"45-54","55+"))))</f>
        <v>35-44</v>
      </c>
      <c r="Z101">
        <f ca="1">DATEDIF(EmployeeData[[#This Row],[DateOfJoining]],IF(AND(EmployeeData[[#This Row],[Attrition]]="Yes",EmployeeData[[#This Row],[LastWorkingDate]]&lt;&gt;""),EmployeeData[[#This Row],[LastWorkingDate]],TODAY()),"Y")</f>
        <v>0</v>
      </c>
      <c r="AA101" t="str">
        <f>IF(EmployeeData[[#This Row],[MonthlyIncome]]&lt;30000,"Low",IF(EmployeeData[[#This Row],[MonthlyIncome]]&lt;=60000,"Medium",IF(EmployeeData[[#This Row],[MonthlyIncome]]&lt;=100000,"High","Very High")))</f>
        <v>High</v>
      </c>
      <c r="AB101">
        <f>IF(EmployeeData[[#This Row],[Attrition]]="Yes",1,0)</f>
        <v>1</v>
      </c>
      <c r="AC101" t="str">
        <f ca="1">IF(EmployeeData[[#This Row],[Tenure Years]]&lt;1,"Less than 1 Year",IF(EmployeeData[[#This Row],[Tenure Years]]&lt;=3,"1-3 Years",IF(EmployeeData[[#This Row],[Tenure Years]]&lt;=5,"4-5 Years",IF(EmployeeData[[#This Row],[Tenure Years]]&lt;=10,"6-10 Years","More than 10 Years"))))</f>
        <v>Less than 1 Year</v>
      </c>
      <c r="AD101">
        <f>ROUND(AVERAGE(EmployeeData[[#This Row],[JobSatisfaction]],EmployeeData[[#This Row],[EnvironmentSatisfaction]],EmployeeData[[#This Row],[WorkLifeBalance]]),2)</f>
        <v>2.33</v>
      </c>
      <c r="AE101" t="str">
        <f>IF(EmployeeData[[#This Row],[Satisfaction Score]]&lt;2,"Low",IF(EmployeeData[[#This Row],[Satisfaction Score]]&lt;3,"Medium","High"))</f>
        <v>Medium</v>
      </c>
    </row>
    <row r="102" spans="1:31" x14ac:dyDescent="0.25">
      <c r="A102" t="s">
        <v>583</v>
      </c>
      <c r="B102" t="s">
        <v>584</v>
      </c>
      <c r="C102" t="s">
        <v>58</v>
      </c>
      <c r="D102">
        <v>38</v>
      </c>
      <c r="E102" t="s">
        <v>128</v>
      </c>
      <c r="F102" t="s">
        <v>271</v>
      </c>
      <c r="G102" s="1">
        <v>45100</v>
      </c>
      <c r="H102">
        <v>56964</v>
      </c>
      <c r="I102" t="s">
        <v>42</v>
      </c>
      <c r="J102" t="s">
        <v>31</v>
      </c>
      <c r="K102" t="s">
        <v>77</v>
      </c>
      <c r="L102" t="s">
        <v>62</v>
      </c>
      <c r="M102">
        <v>27</v>
      </c>
      <c r="N102" t="s">
        <v>34</v>
      </c>
      <c r="O102">
        <v>3</v>
      </c>
      <c r="P102">
        <v>1</v>
      </c>
      <c r="Q102">
        <v>2</v>
      </c>
      <c r="R102">
        <v>3</v>
      </c>
      <c r="S102">
        <v>2</v>
      </c>
      <c r="T102">
        <v>5</v>
      </c>
      <c r="U102">
        <v>21</v>
      </c>
      <c r="V102" t="s">
        <v>586</v>
      </c>
      <c r="W102" t="s">
        <v>34</v>
      </c>
      <c r="Y102" s="2" t="str">
        <f>IF(EmployeeData[[#This Row],[Age]]&lt;25,"Under 25",IF(EmployeeData[[#This Row],[Age]]&lt;=34,"25-34",IF(EmployeeData[[#This Row],[Age]]&lt;=44,"35-44",IF(EmployeeData[[#This Row],[Age]]&lt;=54,"45-54","55+"))))</f>
        <v>35-44</v>
      </c>
      <c r="Z102">
        <f ca="1">DATEDIF(EmployeeData[[#This Row],[DateOfJoining]],IF(AND(EmployeeData[[#This Row],[Attrition]]="Yes",EmployeeData[[#This Row],[LastWorkingDate]]&lt;&gt;""),EmployeeData[[#This Row],[LastWorkingDate]],TODAY()),"Y")</f>
        <v>3</v>
      </c>
      <c r="AA102" t="str">
        <f>IF(EmployeeData[[#This Row],[MonthlyIncome]]&lt;30000,"Low",IF(EmployeeData[[#This Row],[MonthlyIncome]]&lt;=60000,"Medium",IF(EmployeeData[[#This Row],[MonthlyIncome]]&lt;=100000,"High","Very High")))</f>
        <v>Medium</v>
      </c>
      <c r="AB102">
        <f>IF(EmployeeData[[#This Row],[Attrition]]="Yes",1,0)</f>
        <v>0</v>
      </c>
      <c r="AC102" t="str">
        <f ca="1">IF(EmployeeData[[#This Row],[Tenure Years]]&lt;1,"Less than 1 Year",IF(EmployeeData[[#This Row],[Tenure Years]]&lt;=3,"1-3 Years",IF(EmployeeData[[#This Row],[Tenure Years]]&lt;=5,"4-5 Years",IF(EmployeeData[[#This Row],[Tenure Years]]&lt;=10,"6-10 Years","More than 10 Years"))))</f>
        <v>1-3 Years</v>
      </c>
      <c r="AD102">
        <f>ROUND(AVERAGE(EmployeeData[[#This Row],[JobSatisfaction]],EmployeeData[[#This Row],[EnvironmentSatisfaction]],EmployeeData[[#This Row],[WorkLifeBalance]]),2)</f>
        <v>2</v>
      </c>
      <c r="AE102" t="str">
        <f>IF(EmployeeData[[#This Row],[Satisfaction Score]]&lt;2,"Low",IF(EmployeeData[[#This Row],[Satisfaction Score]]&lt;3,"Medium","High"))</f>
        <v>Medium</v>
      </c>
    </row>
    <row r="103" spans="1:31" x14ac:dyDescent="0.25">
      <c r="A103" t="s">
        <v>587</v>
      </c>
      <c r="B103" t="s">
        <v>588</v>
      </c>
      <c r="C103" t="s">
        <v>49</v>
      </c>
      <c r="D103">
        <v>29</v>
      </c>
      <c r="E103" t="s">
        <v>38</v>
      </c>
      <c r="F103" t="s">
        <v>5465</v>
      </c>
      <c r="G103" s="1">
        <v>43752</v>
      </c>
      <c r="H103">
        <v>70003</v>
      </c>
      <c r="I103" t="s">
        <v>30</v>
      </c>
      <c r="J103" t="s">
        <v>97</v>
      </c>
      <c r="K103" t="s">
        <v>200</v>
      </c>
      <c r="L103" t="s">
        <v>43</v>
      </c>
      <c r="M103">
        <v>40</v>
      </c>
      <c r="N103" t="s">
        <v>34</v>
      </c>
      <c r="O103">
        <v>1</v>
      </c>
      <c r="P103">
        <v>4</v>
      </c>
      <c r="Q103">
        <v>1</v>
      </c>
      <c r="R103">
        <v>1</v>
      </c>
      <c r="S103">
        <v>6</v>
      </c>
      <c r="T103">
        <v>8</v>
      </c>
      <c r="U103">
        <v>14</v>
      </c>
      <c r="V103" t="s">
        <v>590</v>
      </c>
      <c r="W103" t="s">
        <v>45</v>
      </c>
      <c r="X103" s="1">
        <v>44815</v>
      </c>
      <c r="Y103" s="2" t="str">
        <f>IF(EmployeeData[[#This Row],[Age]]&lt;25,"Under 25",IF(EmployeeData[[#This Row],[Age]]&lt;=34,"25-34",IF(EmployeeData[[#This Row],[Age]]&lt;=44,"35-44",IF(EmployeeData[[#This Row],[Age]]&lt;=54,"45-54","55+"))))</f>
        <v>25-34</v>
      </c>
      <c r="Z103">
        <f ca="1">DATEDIF(EmployeeData[[#This Row],[DateOfJoining]],IF(AND(EmployeeData[[#This Row],[Attrition]]="Yes",EmployeeData[[#This Row],[LastWorkingDate]]&lt;&gt;""),EmployeeData[[#This Row],[LastWorkingDate]],TODAY()),"Y")</f>
        <v>2</v>
      </c>
      <c r="AA103" t="str">
        <f>IF(EmployeeData[[#This Row],[MonthlyIncome]]&lt;30000,"Low",IF(EmployeeData[[#This Row],[MonthlyIncome]]&lt;=60000,"Medium",IF(EmployeeData[[#This Row],[MonthlyIncome]]&lt;=100000,"High","Very High")))</f>
        <v>High</v>
      </c>
      <c r="AB103">
        <f>IF(EmployeeData[[#This Row],[Attrition]]="Yes",1,0)</f>
        <v>1</v>
      </c>
      <c r="AC103" t="str">
        <f ca="1">IF(EmployeeData[[#This Row],[Tenure Years]]&lt;1,"Less than 1 Year",IF(EmployeeData[[#This Row],[Tenure Years]]&lt;=3,"1-3 Years",IF(EmployeeData[[#This Row],[Tenure Years]]&lt;=5,"4-5 Years",IF(EmployeeData[[#This Row],[Tenure Years]]&lt;=10,"6-10 Years","More than 10 Years"))))</f>
        <v>1-3 Years</v>
      </c>
      <c r="AD103">
        <f>ROUND(AVERAGE(EmployeeData[[#This Row],[JobSatisfaction]],EmployeeData[[#This Row],[EnvironmentSatisfaction]],EmployeeData[[#This Row],[WorkLifeBalance]]),2)</f>
        <v>2</v>
      </c>
      <c r="AE103" t="str">
        <f>IF(EmployeeData[[#This Row],[Satisfaction Score]]&lt;2,"Low",IF(EmployeeData[[#This Row],[Satisfaction Score]]&lt;3,"Medium","High"))</f>
        <v>Medium</v>
      </c>
    </row>
    <row r="104" spans="1:31" x14ac:dyDescent="0.25">
      <c r="A104" t="s">
        <v>592</v>
      </c>
      <c r="B104" t="s">
        <v>593</v>
      </c>
      <c r="C104" t="s">
        <v>58</v>
      </c>
      <c r="D104">
        <v>22</v>
      </c>
      <c r="E104" t="s">
        <v>27</v>
      </c>
      <c r="F104" t="s">
        <v>50</v>
      </c>
      <c r="G104" s="1">
        <v>46196</v>
      </c>
      <c r="H104">
        <v>91781</v>
      </c>
      <c r="I104" t="s">
        <v>5459</v>
      </c>
      <c r="J104" t="s">
        <v>61</v>
      </c>
      <c r="K104" t="s">
        <v>106</v>
      </c>
      <c r="L104" t="s">
        <v>43</v>
      </c>
      <c r="M104">
        <v>40</v>
      </c>
      <c r="N104" t="s">
        <v>34</v>
      </c>
      <c r="O104">
        <v>2</v>
      </c>
      <c r="P104">
        <v>2</v>
      </c>
      <c r="Q104">
        <v>3</v>
      </c>
      <c r="R104">
        <v>3</v>
      </c>
      <c r="S104">
        <v>0</v>
      </c>
      <c r="T104">
        <v>4</v>
      </c>
      <c r="U104">
        <v>11</v>
      </c>
      <c r="V104" t="s">
        <v>597</v>
      </c>
      <c r="W104" t="s">
        <v>45</v>
      </c>
      <c r="X104" s="1">
        <v>46222</v>
      </c>
      <c r="Y104" s="2" t="str">
        <f>IF(EmployeeData[[#This Row],[Age]]&lt;25,"Under 25",IF(EmployeeData[[#This Row],[Age]]&lt;=34,"25-34",IF(EmployeeData[[#This Row],[Age]]&lt;=44,"35-44",IF(EmployeeData[[#This Row],[Age]]&lt;=54,"45-54","55+"))))</f>
        <v>Under 25</v>
      </c>
      <c r="Z104">
        <f ca="1">DATEDIF(EmployeeData[[#This Row],[DateOfJoining]],IF(AND(EmployeeData[[#This Row],[Attrition]]="Yes",EmployeeData[[#This Row],[LastWorkingDate]]&lt;&gt;""),EmployeeData[[#This Row],[LastWorkingDate]],TODAY()),"Y")</f>
        <v>0</v>
      </c>
      <c r="AA104" t="str">
        <f>IF(EmployeeData[[#This Row],[MonthlyIncome]]&lt;30000,"Low",IF(EmployeeData[[#This Row],[MonthlyIncome]]&lt;=60000,"Medium",IF(EmployeeData[[#This Row],[MonthlyIncome]]&lt;=100000,"High","Very High")))</f>
        <v>High</v>
      </c>
      <c r="AB104">
        <f>IF(EmployeeData[[#This Row],[Attrition]]="Yes",1,0)</f>
        <v>1</v>
      </c>
      <c r="AC104" t="str">
        <f ca="1">IF(EmployeeData[[#This Row],[Tenure Years]]&lt;1,"Less than 1 Year",IF(EmployeeData[[#This Row],[Tenure Years]]&lt;=3,"1-3 Years",IF(EmployeeData[[#This Row],[Tenure Years]]&lt;=5,"4-5 Years",IF(EmployeeData[[#This Row],[Tenure Years]]&lt;=10,"6-10 Years","More than 10 Years"))))</f>
        <v>Less than 1 Year</v>
      </c>
      <c r="AD104">
        <f>ROUND(AVERAGE(EmployeeData[[#This Row],[JobSatisfaction]],EmployeeData[[#This Row],[EnvironmentSatisfaction]],EmployeeData[[#This Row],[WorkLifeBalance]]),2)</f>
        <v>2.33</v>
      </c>
      <c r="AE104" t="str">
        <f>IF(EmployeeData[[#This Row],[Satisfaction Score]]&lt;2,"Low",IF(EmployeeData[[#This Row],[Satisfaction Score]]&lt;3,"Medium","High"))</f>
        <v>Medium</v>
      </c>
    </row>
    <row r="105" spans="1:31" x14ac:dyDescent="0.25">
      <c r="A105" t="s">
        <v>599</v>
      </c>
      <c r="B105" t="s">
        <v>600</v>
      </c>
      <c r="C105" t="s">
        <v>58</v>
      </c>
      <c r="D105">
        <v>19</v>
      </c>
      <c r="E105" t="s">
        <v>27</v>
      </c>
      <c r="F105" t="s">
        <v>188</v>
      </c>
      <c r="G105" s="1">
        <v>41196</v>
      </c>
      <c r="H105">
        <v>73101</v>
      </c>
      <c r="I105" t="s">
        <v>42</v>
      </c>
      <c r="J105" t="s">
        <v>143</v>
      </c>
      <c r="K105" t="s">
        <v>32</v>
      </c>
      <c r="L105" t="s">
        <v>43</v>
      </c>
      <c r="M105">
        <v>21</v>
      </c>
      <c r="N105" t="s">
        <v>34</v>
      </c>
      <c r="O105">
        <v>4</v>
      </c>
      <c r="P105">
        <v>2</v>
      </c>
      <c r="Q105">
        <v>3</v>
      </c>
      <c r="R105">
        <v>3</v>
      </c>
      <c r="S105">
        <v>3</v>
      </c>
      <c r="T105">
        <v>6</v>
      </c>
      <c r="U105">
        <v>13</v>
      </c>
      <c r="V105" t="s">
        <v>603</v>
      </c>
      <c r="W105" t="s">
        <v>34</v>
      </c>
      <c r="Y105" s="2" t="str">
        <f>IF(EmployeeData[[#This Row],[Age]]&lt;25,"Under 25",IF(EmployeeData[[#This Row],[Age]]&lt;=34,"25-34",IF(EmployeeData[[#This Row],[Age]]&lt;=44,"35-44",IF(EmployeeData[[#This Row],[Age]]&lt;=54,"45-54","55+"))))</f>
        <v>Under 25</v>
      </c>
      <c r="Z105">
        <f ca="1">DATEDIF(EmployeeData[[#This Row],[DateOfJoining]],IF(AND(EmployeeData[[#This Row],[Attrition]]="Yes",EmployeeData[[#This Row],[LastWorkingDate]]&lt;&gt;""),EmployeeData[[#This Row],[LastWorkingDate]],TODAY()),"Y")</f>
        <v>13</v>
      </c>
      <c r="AA105" t="str">
        <f>IF(EmployeeData[[#This Row],[MonthlyIncome]]&lt;30000,"Low",IF(EmployeeData[[#This Row],[MonthlyIncome]]&lt;=60000,"Medium",IF(EmployeeData[[#This Row],[MonthlyIncome]]&lt;=100000,"High","Very High")))</f>
        <v>High</v>
      </c>
      <c r="AB105">
        <f>IF(EmployeeData[[#This Row],[Attrition]]="Yes",1,0)</f>
        <v>0</v>
      </c>
      <c r="AC105" t="str">
        <f ca="1">IF(EmployeeData[[#This Row],[Tenure Years]]&lt;1,"Less than 1 Year",IF(EmployeeData[[#This Row],[Tenure Years]]&lt;=3,"1-3 Years",IF(EmployeeData[[#This Row],[Tenure Years]]&lt;=5,"4-5 Years",IF(EmployeeData[[#This Row],[Tenure Years]]&lt;=10,"6-10 Years","More than 10 Years"))))</f>
        <v>More than 10 Years</v>
      </c>
      <c r="AD105">
        <f>ROUND(AVERAGE(EmployeeData[[#This Row],[JobSatisfaction]],EmployeeData[[#This Row],[EnvironmentSatisfaction]],EmployeeData[[#This Row],[WorkLifeBalance]]),2)</f>
        <v>3</v>
      </c>
      <c r="AE105" t="str">
        <f>IF(EmployeeData[[#This Row],[Satisfaction Score]]&lt;2,"Low",IF(EmployeeData[[#This Row],[Satisfaction Score]]&lt;3,"Medium","High"))</f>
        <v>High</v>
      </c>
    </row>
    <row r="106" spans="1:31" x14ac:dyDescent="0.25">
      <c r="A106" t="s">
        <v>604</v>
      </c>
      <c r="B106" t="s">
        <v>5459</v>
      </c>
      <c r="C106" t="s">
        <v>49</v>
      </c>
      <c r="D106">
        <v>23</v>
      </c>
      <c r="E106" t="s">
        <v>27</v>
      </c>
      <c r="F106" t="s">
        <v>50</v>
      </c>
      <c r="G106" s="1">
        <v>41813</v>
      </c>
      <c r="H106">
        <v>125921</v>
      </c>
      <c r="I106" t="s">
        <v>52</v>
      </c>
      <c r="J106" t="s">
        <v>97</v>
      </c>
      <c r="K106" t="s">
        <v>167</v>
      </c>
      <c r="L106" t="s">
        <v>43</v>
      </c>
      <c r="M106">
        <v>19</v>
      </c>
      <c r="N106" t="s">
        <v>34</v>
      </c>
      <c r="O106">
        <v>3</v>
      </c>
      <c r="P106">
        <v>2</v>
      </c>
      <c r="Q106">
        <v>1</v>
      </c>
      <c r="R106">
        <v>3</v>
      </c>
      <c r="S106">
        <v>1</v>
      </c>
      <c r="T106">
        <v>0</v>
      </c>
      <c r="U106">
        <v>22</v>
      </c>
      <c r="V106" t="s">
        <v>606</v>
      </c>
      <c r="W106" t="s">
        <v>34</v>
      </c>
      <c r="Y106" s="2" t="str">
        <f>IF(EmployeeData[[#This Row],[Age]]&lt;25,"Under 25",IF(EmployeeData[[#This Row],[Age]]&lt;=34,"25-34",IF(EmployeeData[[#This Row],[Age]]&lt;=44,"35-44",IF(EmployeeData[[#This Row],[Age]]&lt;=54,"45-54","55+"))))</f>
        <v>Under 25</v>
      </c>
      <c r="Z106">
        <f ca="1">DATEDIF(EmployeeData[[#This Row],[DateOfJoining]],IF(AND(EmployeeData[[#This Row],[Attrition]]="Yes",EmployeeData[[#This Row],[LastWorkingDate]]&lt;&gt;""),EmployeeData[[#This Row],[LastWorkingDate]],TODAY()),"Y")</f>
        <v>12</v>
      </c>
      <c r="AA106" t="str">
        <f>IF(EmployeeData[[#This Row],[MonthlyIncome]]&lt;30000,"Low",IF(EmployeeData[[#This Row],[MonthlyIncome]]&lt;=60000,"Medium",IF(EmployeeData[[#This Row],[MonthlyIncome]]&lt;=100000,"High","Very High")))</f>
        <v>Very High</v>
      </c>
      <c r="AB106">
        <f>IF(EmployeeData[[#This Row],[Attrition]]="Yes",1,0)</f>
        <v>0</v>
      </c>
      <c r="AC106" t="str">
        <f ca="1">IF(EmployeeData[[#This Row],[Tenure Years]]&lt;1,"Less than 1 Year",IF(EmployeeData[[#This Row],[Tenure Years]]&lt;=3,"1-3 Years",IF(EmployeeData[[#This Row],[Tenure Years]]&lt;=5,"4-5 Years",IF(EmployeeData[[#This Row],[Tenure Years]]&lt;=10,"6-10 Years","More than 10 Years"))))</f>
        <v>More than 10 Years</v>
      </c>
      <c r="AD106">
        <f>ROUND(AVERAGE(EmployeeData[[#This Row],[JobSatisfaction]],EmployeeData[[#This Row],[EnvironmentSatisfaction]],EmployeeData[[#This Row],[WorkLifeBalance]]),2)</f>
        <v>2</v>
      </c>
      <c r="AE106" t="str">
        <f>IF(EmployeeData[[#This Row],[Satisfaction Score]]&lt;2,"Low",IF(EmployeeData[[#This Row],[Satisfaction Score]]&lt;3,"Medium","High"))</f>
        <v>Medium</v>
      </c>
    </row>
    <row r="107" spans="1:31" x14ac:dyDescent="0.25">
      <c r="A107" t="s">
        <v>607</v>
      </c>
      <c r="B107" t="s">
        <v>608</v>
      </c>
      <c r="C107" t="s">
        <v>49</v>
      </c>
      <c r="D107">
        <v>42</v>
      </c>
      <c r="E107" t="s">
        <v>94</v>
      </c>
      <c r="F107" t="s">
        <v>306</v>
      </c>
      <c r="G107" s="1">
        <v>41149</v>
      </c>
      <c r="H107">
        <v>55169</v>
      </c>
      <c r="I107" t="s">
        <v>30</v>
      </c>
      <c r="J107" t="s">
        <v>31</v>
      </c>
      <c r="K107" t="s">
        <v>167</v>
      </c>
      <c r="L107" t="s">
        <v>43</v>
      </c>
      <c r="M107">
        <v>6</v>
      </c>
      <c r="N107" t="s">
        <v>45</v>
      </c>
      <c r="O107">
        <v>4</v>
      </c>
      <c r="P107">
        <v>3</v>
      </c>
      <c r="Q107">
        <v>4</v>
      </c>
      <c r="R107">
        <v>4</v>
      </c>
      <c r="S107">
        <v>2</v>
      </c>
      <c r="T107">
        <v>5</v>
      </c>
      <c r="U107">
        <v>20</v>
      </c>
      <c r="V107" t="s">
        <v>611</v>
      </c>
      <c r="W107" t="s">
        <v>34</v>
      </c>
      <c r="Y107" s="2" t="str">
        <f>IF(EmployeeData[[#This Row],[Age]]&lt;25,"Under 25",IF(EmployeeData[[#This Row],[Age]]&lt;=34,"25-34",IF(EmployeeData[[#This Row],[Age]]&lt;=44,"35-44",IF(EmployeeData[[#This Row],[Age]]&lt;=54,"45-54","55+"))))</f>
        <v>35-44</v>
      </c>
      <c r="Z107">
        <f ca="1">DATEDIF(EmployeeData[[#This Row],[DateOfJoining]],IF(AND(EmployeeData[[#This Row],[Attrition]]="Yes",EmployeeData[[#This Row],[LastWorkingDate]]&lt;&gt;""),EmployeeData[[#This Row],[LastWorkingDate]],TODAY()),"Y")</f>
        <v>14</v>
      </c>
      <c r="AA107" t="str">
        <f>IF(EmployeeData[[#This Row],[MonthlyIncome]]&lt;30000,"Low",IF(EmployeeData[[#This Row],[MonthlyIncome]]&lt;=60000,"Medium",IF(EmployeeData[[#This Row],[MonthlyIncome]]&lt;=100000,"High","Very High")))</f>
        <v>Medium</v>
      </c>
      <c r="AB107">
        <f>IF(EmployeeData[[#This Row],[Attrition]]="Yes",1,0)</f>
        <v>0</v>
      </c>
      <c r="AC107" t="str">
        <f ca="1">IF(EmployeeData[[#This Row],[Tenure Years]]&lt;1,"Less than 1 Year",IF(EmployeeData[[#This Row],[Tenure Years]]&lt;=3,"1-3 Years",IF(EmployeeData[[#This Row],[Tenure Years]]&lt;=5,"4-5 Years",IF(EmployeeData[[#This Row],[Tenure Years]]&lt;=10,"6-10 Years","More than 10 Years"))))</f>
        <v>More than 10 Years</v>
      </c>
      <c r="AD107">
        <f>ROUND(AVERAGE(EmployeeData[[#This Row],[JobSatisfaction]],EmployeeData[[#This Row],[EnvironmentSatisfaction]],EmployeeData[[#This Row],[WorkLifeBalance]]),2)</f>
        <v>3.67</v>
      </c>
      <c r="AE107" t="str">
        <f>IF(EmployeeData[[#This Row],[Satisfaction Score]]&lt;2,"Low",IF(EmployeeData[[#This Row],[Satisfaction Score]]&lt;3,"Medium","High"))</f>
        <v>High</v>
      </c>
    </row>
    <row r="108" spans="1:31" x14ac:dyDescent="0.25">
      <c r="A108" t="s">
        <v>612</v>
      </c>
      <c r="B108" t="s">
        <v>613</v>
      </c>
      <c r="C108" t="s">
        <v>58</v>
      </c>
      <c r="D108">
        <v>35</v>
      </c>
      <c r="E108" t="s">
        <v>27</v>
      </c>
      <c r="F108" t="s">
        <v>50</v>
      </c>
      <c r="G108" s="1">
        <v>41142</v>
      </c>
      <c r="H108">
        <v>116295</v>
      </c>
      <c r="I108" t="s">
        <v>30</v>
      </c>
      <c r="J108" t="s">
        <v>61</v>
      </c>
      <c r="K108" t="s">
        <v>167</v>
      </c>
      <c r="L108" t="s">
        <v>43</v>
      </c>
      <c r="M108">
        <v>19</v>
      </c>
      <c r="N108" t="s">
        <v>45</v>
      </c>
      <c r="O108">
        <v>2</v>
      </c>
      <c r="P108">
        <v>4</v>
      </c>
      <c r="Q108">
        <v>4</v>
      </c>
      <c r="R108">
        <v>4</v>
      </c>
      <c r="S108">
        <v>2</v>
      </c>
      <c r="T108">
        <v>0</v>
      </c>
      <c r="U108">
        <v>15</v>
      </c>
      <c r="V108" t="s">
        <v>615</v>
      </c>
      <c r="W108" t="s">
        <v>45</v>
      </c>
      <c r="X108" s="1">
        <v>42704</v>
      </c>
      <c r="Y108" s="2" t="str">
        <f>IF(EmployeeData[[#This Row],[Age]]&lt;25,"Under 25",IF(EmployeeData[[#This Row],[Age]]&lt;=34,"25-34",IF(EmployeeData[[#This Row],[Age]]&lt;=44,"35-44",IF(EmployeeData[[#This Row],[Age]]&lt;=54,"45-54","55+"))))</f>
        <v>35-44</v>
      </c>
      <c r="Z108">
        <f ca="1">DATEDIF(EmployeeData[[#This Row],[DateOfJoining]],IF(AND(EmployeeData[[#This Row],[Attrition]]="Yes",EmployeeData[[#This Row],[LastWorkingDate]]&lt;&gt;""),EmployeeData[[#This Row],[LastWorkingDate]],TODAY()),"Y")</f>
        <v>4</v>
      </c>
      <c r="AA108" t="str">
        <f>IF(EmployeeData[[#This Row],[MonthlyIncome]]&lt;30000,"Low",IF(EmployeeData[[#This Row],[MonthlyIncome]]&lt;=60000,"Medium",IF(EmployeeData[[#This Row],[MonthlyIncome]]&lt;=100000,"High","Very High")))</f>
        <v>Very High</v>
      </c>
      <c r="AB108">
        <f>IF(EmployeeData[[#This Row],[Attrition]]="Yes",1,0)</f>
        <v>1</v>
      </c>
      <c r="AC108" t="str">
        <f ca="1">IF(EmployeeData[[#This Row],[Tenure Years]]&lt;1,"Less than 1 Year",IF(EmployeeData[[#This Row],[Tenure Years]]&lt;=3,"1-3 Years",IF(EmployeeData[[#This Row],[Tenure Years]]&lt;=5,"4-5 Years",IF(EmployeeData[[#This Row],[Tenure Years]]&lt;=10,"6-10 Years","More than 10 Years"))))</f>
        <v>4-5 Years</v>
      </c>
      <c r="AD108">
        <f>ROUND(AVERAGE(EmployeeData[[#This Row],[JobSatisfaction]],EmployeeData[[#This Row],[EnvironmentSatisfaction]],EmployeeData[[#This Row],[WorkLifeBalance]]),2)</f>
        <v>3.33</v>
      </c>
      <c r="AE108" t="str">
        <f>IF(EmployeeData[[#This Row],[Satisfaction Score]]&lt;2,"Low",IF(EmployeeData[[#This Row],[Satisfaction Score]]&lt;3,"Medium","High"))</f>
        <v>High</v>
      </c>
    </row>
    <row r="109" spans="1:31" x14ac:dyDescent="0.25">
      <c r="A109" t="s">
        <v>617</v>
      </c>
      <c r="B109" t="s">
        <v>618</v>
      </c>
      <c r="C109" t="s">
        <v>49</v>
      </c>
      <c r="D109">
        <v>50</v>
      </c>
      <c r="E109" t="s">
        <v>27</v>
      </c>
      <c r="F109" t="s">
        <v>59</v>
      </c>
      <c r="G109" s="1">
        <v>41167</v>
      </c>
      <c r="H109">
        <v>83084</v>
      </c>
      <c r="I109" t="s">
        <v>30</v>
      </c>
      <c r="J109" t="s">
        <v>5459</v>
      </c>
      <c r="K109" t="s">
        <v>131</v>
      </c>
      <c r="L109" t="s">
        <v>62</v>
      </c>
      <c r="M109">
        <v>41</v>
      </c>
      <c r="N109" t="s">
        <v>34</v>
      </c>
      <c r="O109">
        <v>1</v>
      </c>
      <c r="P109">
        <v>4</v>
      </c>
      <c r="Q109">
        <v>1</v>
      </c>
      <c r="R109">
        <v>3</v>
      </c>
      <c r="S109">
        <v>2</v>
      </c>
      <c r="T109">
        <v>7</v>
      </c>
      <c r="U109">
        <v>11</v>
      </c>
      <c r="V109" t="s">
        <v>620</v>
      </c>
      <c r="W109" t="s">
        <v>34</v>
      </c>
      <c r="Y109" s="2" t="str">
        <f>IF(EmployeeData[[#This Row],[Age]]&lt;25,"Under 25",IF(EmployeeData[[#This Row],[Age]]&lt;=34,"25-34",IF(EmployeeData[[#This Row],[Age]]&lt;=44,"35-44",IF(EmployeeData[[#This Row],[Age]]&lt;=54,"45-54","55+"))))</f>
        <v>45-54</v>
      </c>
      <c r="Z109">
        <f ca="1">DATEDIF(EmployeeData[[#This Row],[DateOfJoining]],IF(AND(EmployeeData[[#This Row],[Attrition]]="Yes",EmployeeData[[#This Row],[LastWorkingDate]]&lt;&gt;""),EmployeeData[[#This Row],[LastWorkingDate]],TODAY()),"Y")</f>
        <v>13</v>
      </c>
      <c r="AA109" t="str">
        <f>IF(EmployeeData[[#This Row],[MonthlyIncome]]&lt;30000,"Low",IF(EmployeeData[[#This Row],[MonthlyIncome]]&lt;=60000,"Medium",IF(EmployeeData[[#This Row],[MonthlyIncome]]&lt;=100000,"High","Very High")))</f>
        <v>High</v>
      </c>
      <c r="AB109">
        <f>IF(EmployeeData[[#This Row],[Attrition]]="Yes",1,0)</f>
        <v>0</v>
      </c>
      <c r="AC109" t="str">
        <f ca="1">IF(EmployeeData[[#This Row],[Tenure Years]]&lt;1,"Less than 1 Year",IF(EmployeeData[[#This Row],[Tenure Years]]&lt;=3,"1-3 Years",IF(EmployeeData[[#This Row],[Tenure Years]]&lt;=5,"4-5 Years",IF(EmployeeData[[#This Row],[Tenure Years]]&lt;=10,"6-10 Years","More than 10 Years"))))</f>
        <v>More than 10 Years</v>
      </c>
      <c r="AD109">
        <f>ROUND(AVERAGE(EmployeeData[[#This Row],[JobSatisfaction]],EmployeeData[[#This Row],[EnvironmentSatisfaction]],EmployeeData[[#This Row],[WorkLifeBalance]]),2)</f>
        <v>2</v>
      </c>
      <c r="AE109" t="str">
        <f>IF(EmployeeData[[#This Row],[Satisfaction Score]]&lt;2,"Low",IF(EmployeeData[[#This Row],[Satisfaction Score]]&lt;3,"Medium","High"))</f>
        <v>Medium</v>
      </c>
    </row>
    <row r="110" spans="1:31" x14ac:dyDescent="0.25">
      <c r="A110" t="s">
        <v>621</v>
      </c>
      <c r="B110" t="s">
        <v>622</v>
      </c>
      <c r="C110" t="s">
        <v>49</v>
      </c>
      <c r="D110">
        <v>40</v>
      </c>
      <c r="E110" t="s">
        <v>5459</v>
      </c>
      <c r="F110" t="s">
        <v>59</v>
      </c>
      <c r="G110" s="1">
        <v>41865</v>
      </c>
      <c r="H110">
        <v>60258</v>
      </c>
      <c r="I110" t="s">
        <v>52</v>
      </c>
      <c r="J110" t="s">
        <v>61</v>
      </c>
      <c r="K110" t="s">
        <v>106</v>
      </c>
      <c r="L110" t="s">
        <v>33</v>
      </c>
      <c r="M110">
        <v>36</v>
      </c>
      <c r="N110" t="s">
        <v>45</v>
      </c>
      <c r="O110">
        <v>1</v>
      </c>
      <c r="P110">
        <v>3</v>
      </c>
      <c r="Q110">
        <v>4</v>
      </c>
      <c r="R110">
        <v>3</v>
      </c>
      <c r="S110">
        <v>3</v>
      </c>
      <c r="T110">
        <v>0</v>
      </c>
      <c r="U110">
        <v>18</v>
      </c>
      <c r="V110" t="s">
        <v>625</v>
      </c>
      <c r="W110" t="s">
        <v>45</v>
      </c>
      <c r="X110" s="1">
        <v>42665</v>
      </c>
      <c r="Y110" s="2" t="str">
        <f>IF(EmployeeData[[#This Row],[Age]]&lt;25,"Under 25",IF(EmployeeData[[#This Row],[Age]]&lt;=34,"25-34",IF(EmployeeData[[#This Row],[Age]]&lt;=44,"35-44",IF(EmployeeData[[#This Row],[Age]]&lt;=54,"45-54","55+"))))</f>
        <v>35-44</v>
      </c>
      <c r="Z110">
        <f ca="1">DATEDIF(EmployeeData[[#This Row],[DateOfJoining]],IF(AND(EmployeeData[[#This Row],[Attrition]]="Yes",EmployeeData[[#This Row],[LastWorkingDate]]&lt;&gt;""),EmployeeData[[#This Row],[LastWorkingDate]],TODAY()),"Y")</f>
        <v>2</v>
      </c>
      <c r="AA110" t="str">
        <f>IF(EmployeeData[[#This Row],[MonthlyIncome]]&lt;30000,"Low",IF(EmployeeData[[#This Row],[MonthlyIncome]]&lt;=60000,"Medium",IF(EmployeeData[[#This Row],[MonthlyIncome]]&lt;=100000,"High","Very High")))</f>
        <v>High</v>
      </c>
      <c r="AB110">
        <f>IF(EmployeeData[[#This Row],[Attrition]]="Yes",1,0)</f>
        <v>1</v>
      </c>
      <c r="AC110" t="str">
        <f ca="1">IF(EmployeeData[[#This Row],[Tenure Years]]&lt;1,"Less than 1 Year",IF(EmployeeData[[#This Row],[Tenure Years]]&lt;=3,"1-3 Years",IF(EmployeeData[[#This Row],[Tenure Years]]&lt;=5,"4-5 Years",IF(EmployeeData[[#This Row],[Tenure Years]]&lt;=10,"6-10 Years","More than 10 Years"))))</f>
        <v>1-3 Years</v>
      </c>
      <c r="AD110">
        <f>ROUND(AVERAGE(EmployeeData[[#This Row],[JobSatisfaction]],EmployeeData[[#This Row],[EnvironmentSatisfaction]],EmployeeData[[#This Row],[WorkLifeBalance]]),2)</f>
        <v>2.67</v>
      </c>
      <c r="AE110" t="str">
        <f>IF(EmployeeData[[#This Row],[Satisfaction Score]]&lt;2,"Low",IF(EmployeeData[[#This Row],[Satisfaction Score]]&lt;3,"Medium","High"))</f>
        <v>Medium</v>
      </c>
    </row>
    <row r="111" spans="1:31" x14ac:dyDescent="0.25">
      <c r="A111" t="s">
        <v>627</v>
      </c>
      <c r="B111" t="s">
        <v>628</v>
      </c>
      <c r="C111" t="s">
        <v>49</v>
      </c>
      <c r="D111">
        <v>45</v>
      </c>
      <c r="E111" t="s">
        <v>128</v>
      </c>
      <c r="F111" t="s">
        <v>226</v>
      </c>
      <c r="G111" s="1">
        <v>44615</v>
      </c>
      <c r="H111">
        <v>95189</v>
      </c>
      <c r="I111" t="s">
        <v>42</v>
      </c>
      <c r="J111" t="s">
        <v>31</v>
      </c>
      <c r="K111" t="s">
        <v>98</v>
      </c>
      <c r="L111" t="s">
        <v>62</v>
      </c>
      <c r="M111">
        <v>17</v>
      </c>
      <c r="N111" t="s">
        <v>34</v>
      </c>
      <c r="O111">
        <v>4</v>
      </c>
      <c r="P111">
        <v>3</v>
      </c>
      <c r="Q111">
        <v>4</v>
      </c>
      <c r="R111">
        <v>1</v>
      </c>
      <c r="S111">
        <v>1</v>
      </c>
      <c r="T111">
        <v>1</v>
      </c>
      <c r="U111">
        <v>12</v>
      </c>
      <c r="V111" t="s">
        <v>631</v>
      </c>
      <c r="W111" t="s">
        <v>34</v>
      </c>
      <c r="Y111" s="2" t="str">
        <f>IF(EmployeeData[[#This Row],[Age]]&lt;25,"Under 25",IF(EmployeeData[[#This Row],[Age]]&lt;=34,"25-34",IF(EmployeeData[[#This Row],[Age]]&lt;=44,"35-44",IF(EmployeeData[[#This Row],[Age]]&lt;=54,"45-54","55+"))))</f>
        <v>45-54</v>
      </c>
      <c r="Z111">
        <f ca="1">DATEDIF(EmployeeData[[#This Row],[DateOfJoining]],IF(AND(EmployeeData[[#This Row],[Attrition]]="Yes",EmployeeData[[#This Row],[LastWorkingDate]]&lt;&gt;""),EmployeeData[[#This Row],[LastWorkingDate]],TODAY()),"Y")</f>
        <v>4</v>
      </c>
      <c r="AA111" t="str">
        <f>IF(EmployeeData[[#This Row],[MonthlyIncome]]&lt;30000,"Low",IF(EmployeeData[[#This Row],[MonthlyIncome]]&lt;=60000,"Medium",IF(EmployeeData[[#This Row],[MonthlyIncome]]&lt;=100000,"High","Very High")))</f>
        <v>High</v>
      </c>
      <c r="AB111">
        <f>IF(EmployeeData[[#This Row],[Attrition]]="Yes",1,0)</f>
        <v>0</v>
      </c>
      <c r="AC111" t="str">
        <f ca="1">IF(EmployeeData[[#This Row],[Tenure Years]]&lt;1,"Less than 1 Year",IF(EmployeeData[[#This Row],[Tenure Years]]&lt;=3,"1-3 Years",IF(EmployeeData[[#This Row],[Tenure Years]]&lt;=5,"4-5 Years",IF(EmployeeData[[#This Row],[Tenure Years]]&lt;=10,"6-10 Years","More than 10 Years"))))</f>
        <v>4-5 Years</v>
      </c>
      <c r="AD111">
        <f>ROUND(AVERAGE(EmployeeData[[#This Row],[JobSatisfaction]],EmployeeData[[#This Row],[EnvironmentSatisfaction]],EmployeeData[[#This Row],[WorkLifeBalance]]),2)</f>
        <v>3.67</v>
      </c>
      <c r="AE111" t="str">
        <f>IF(EmployeeData[[#This Row],[Satisfaction Score]]&lt;2,"Low",IF(EmployeeData[[#This Row],[Satisfaction Score]]&lt;3,"Medium","High"))</f>
        <v>High</v>
      </c>
    </row>
    <row r="112" spans="1:31" x14ac:dyDescent="0.25">
      <c r="A112" t="s">
        <v>632</v>
      </c>
      <c r="B112" t="s">
        <v>633</v>
      </c>
      <c r="C112" t="s">
        <v>58</v>
      </c>
      <c r="D112">
        <v>38</v>
      </c>
      <c r="E112" t="s">
        <v>5461</v>
      </c>
      <c r="F112" t="s">
        <v>483</v>
      </c>
      <c r="G112" s="1">
        <v>45673</v>
      </c>
      <c r="H112">
        <v>126530</v>
      </c>
      <c r="I112" t="s">
        <v>30</v>
      </c>
      <c r="J112" t="s">
        <v>31</v>
      </c>
      <c r="K112" t="s">
        <v>54</v>
      </c>
      <c r="L112" t="s">
        <v>62</v>
      </c>
      <c r="M112">
        <v>42</v>
      </c>
      <c r="N112" t="s">
        <v>34</v>
      </c>
      <c r="O112">
        <v>1</v>
      </c>
      <c r="P112">
        <v>3</v>
      </c>
      <c r="Q112">
        <v>2</v>
      </c>
      <c r="R112">
        <v>3</v>
      </c>
      <c r="S112">
        <v>3</v>
      </c>
      <c r="T112">
        <v>8</v>
      </c>
      <c r="U112">
        <v>11</v>
      </c>
      <c r="V112" t="s">
        <v>635</v>
      </c>
      <c r="W112" t="s">
        <v>45</v>
      </c>
      <c r="X112" s="1">
        <v>46187</v>
      </c>
      <c r="Y112" s="2" t="str">
        <f>IF(EmployeeData[[#This Row],[Age]]&lt;25,"Under 25",IF(EmployeeData[[#This Row],[Age]]&lt;=34,"25-34",IF(EmployeeData[[#This Row],[Age]]&lt;=44,"35-44",IF(EmployeeData[[#This Row],[Age]]&lt;=54,"45-54","55+"))))</f>
        <v>35-44</v>
      </c>
      <c r="Z112">
        <f ca="1">DATEDIF(EmployeeData[[#This Row],[DateOfJoining]],IF(AND(EmployeeData[[#This Row],[Attrition]]="Yes",EmployeeData[[#This Row],[LastWorkingDate]]&lt;&gt;""),EmployeeData[[#This Row],[LastWorkingDate]],TODAY()),"Y")</f>
        <v>1</v>
      </c>
      <c r="AA112" t="str">
        <f>IF(EmployeeData[[#This Row],[MonthlyIncome]]&lt;30000,"Low",IF(EmployeeData[[#This Row],[MonthlyIncome]]&lt;=60000,"Medium",IF(EmployeeData[[#This Row],[MonthlyIncome]]&lt;=100000,"High","Very High")))</f>
        <v>Very High</v>
      </c>
      <c r="AB112">
        <f>IF(EmployeeData[[#This Row],[Attrition]]="Yes",1,0)</f>
        <v>1</v>
      </c>
      <c r="AC112" t="str">
        <f ca="1">IF(EmployeeData[[#This Row],[Tenure Years]]&lt;1,"Less than 1 Year",IF(EmployeeData[[#This Row],[Tenure Years]]&lt;=3,"1-3 Years",IF(EmployeeData[[#This Row],[Tenure Years]]&lt;=5,"4-5 Years",IF(EmployeeData[[#This Row],[Tenure Years]]&lt;=10,"6-10 Years","More than 10 Years"))))</f>
        <v>1-3 Years</v>
      </c>
      <c r="AD112">
        <f>ROUND(AVERAGE(EmployeeData[[#This Row],[JobSatisfaction]],EmployeeData[[#This Row],[EnvironmentSatisfaction]],EmployeeData[[#This Row],[WorkLifeBalance]]),2)</f>
        <v>2</v>
      </c>
      <c r="AE112" t="str">
        <f>IF(EmployeeData[[#This Row],[Satisfaction Score]]&lt;2,"Low",IF(EmployeeData[[#This Row],[Satisfaction Score]]&lt;3,"Medium","High"))</f>
        <v>Medium</v>
      </c>
    </row>
    <row r="113" spans="1:31" x14ac:dyDescent="0.25">
      <c r="A113" t="s">
        <v>637</v>
      </c>
      <c r="B113" t="s">
        <v>638</v>
      </c>
      <c r="C113" t="s">
        <v>58</v>
      </c>
      <c r="D113">
        <v>28</v>
      </c>
      <c r="E113" t="s">
        <v>94</v>
      </c>
      <c r="F113" t="s">
        <v>639</v>
      </c>
      <c r="G113" s="1">
        <v>44685</v>
      </c>
      <c r="H113">
        <v>96227</v>
      </c>
      <c r="I113" t="s">
        <v>42</v>
      </c>
      <c r="J113" t="s">
        <v>61</v>
      </c>
      <c r="K113" t="s">
        <v>98</v>
      </c>
      <c r="L113" t="s">
        <v>62</v>
      </c>
      <c r="M113">
        <v>38</v>
      </c>
      <c r="N113" t="s">
        <v>34</v>
      </c>
      <c r="O113">
        <v>1</v>
      </c>
      <c r="P113">
        <v>2</v>
      </c>
      <c r="Q113">
        <v>3</v>
      </c>
      <c r="R113">
        <v>3</v>
      </c>
      <c r="S113">
        <v>5</v>
      </c>
      <c r="T113">
        <v>1</v>
      </c>
      <c r="U113">
        <v>21</v>
      </c>
      <c r="V113" t="s">
        <v>641</v>
      </c>
      <c r="W113" t="s">
        <v>34</v>
      </c>
      <c r="Y113" s="2" t="str">
        <f>IF(EmployeeData[[#This Row],[Age]]&lt;25,"Under 25",IF(EmployeeData[[#This Row],[Age]]&lt;=34,"25-34",IF(EmployeeData[[#This Row],[Age]]&lt;=44,"35-44",IF(EmployeeData[[#This Row],[Age]]&lt;=54,"45-54","55+"))))</f>
        <v>25-34</v>
      </c>
      <c r="Z113">
        <f ca="1">DATEDIF(EmployeeData[[#This Row],[DateOfJoining]],IF(AND(EmployeeData[[#This Row],[Attrition]]="Yes",EmployeeData[[#This Row],[LastWorkingDate]]&lt;&gt;""),EmployeeData[[#This Row],[LastWorkingDate]],TODAY()),"Y")</f>
        <v>4</v>
      </c>
      <c r="AA113" t="str">
        <f>IF(EmployeeData[[#This Row],[MonthlyIncome]]&lt;30000,"Low",IF(EmployeeData[[#This Row],[MonthlyIncome]]&lt;=60000,"Medium",IF(EmployeeData[[#This Row],[MonthlyIncome]]&lt;=100000,"High","Very High")))</f>
        <v>High</v>
      </c>
      <c r="AB113">
        <f>IF(EmployeeData[[#This Row],[Attrition]]="Yes",1,0)</f>
        <v>0</v>
      </c>
      <c r="AC113" t="str">
        <f ca="1">IF(EmployeeData[[#This Row],[Tenure Years]]&lt;1,"Less than 1 Year",IF(EmployeeData[[#This Row],[Tenure Years]]&lt;=3,"1-3 Years",IF(EmployeeData[[#This Row],[Tenure Years]]&lt;=5,"4-5 Years",IF(EmployeeData[[#This Row],[Tenure Years]]&lt;=10,"6-10 Years","More than 10 Years"))))</f>
        <v>4-5 Years</v>
      </c>
      <c r="AD113">
        <f>ROUND(AVERAGE(EmployeeData[[#This Row],[JobSatisfaction]],EmployeeData[[#This Row],[EnvironmentSatisfaction]],EmployeeData[[#This Row],[WorkLifeBalance]]),2)</f>
        <v>2</v>
      </c>
      <c r="AE113" t="str">
        <f>IF(EmployeeData[[#This Row],[Satisfaction Score]]&lt;2,"Low",IF(EmployeeData[[#This Row],[Satisfaction Score]]&lt;3,"Medium","High"))</f>
        <v>Medium</v>
      </c>
    </row>
    <row r="114" spans="1:31" x14ac:dyDescent="0.25">
      <c r="A114" t="s">
        <v>642</v>
      </c>
      <c r="B114" t="s">
        <v>643</v>
      </c>
      <c r="C114" t="s">
        <v>49</v>
      </c>
      <c r="D114">
        <v>19</v>
      </c>
      <c r="E114" t="s">
        <v>5461</v>
      </c>
      <c r="F114" t="s">
        <v>5463</v>
      </c>
      <c r="G114" s="1">
        <v>45921</v>
      </c>
      <c r="H114">
        <v>118667</v>
      </c>
      <c r="I114" t="s">
        <v>5459</v>
      </c>
      <c r="J114" t="s">
        <v>31</v>
      </c>
      <c r="K114" t="s">
        <v>83</v>
      </c>
      <c r="L114" t="s">
        <v>43</v>
      </c>
      <c r="M114">
        <v>2</v>
      </c>
      <c r="N114" t="s">
        <v>34</v>
      </c>
      <c r="O114">
        <v>1</v>
      </c>
      <c r="P114">
        <v>4</v>
      </c>
      <c r="Q114">
        <v>3</v>
      </c>
      <c r="R114">
        <v>5</v>
      </c>
      <c r="S114">
        <v>4</v>
      </c>
      <c r="T114">
        <v>5</v>
      </c>
      <c r="U114">
        <v>19</v>
      </c>
      <c r="V114" t="s">
        <v>645</v>
      </c>
      <c r="W114" t="s">
        <v>34</v>
      </c>
      <c r="Y114" s="2" t="str">
        <f>IF(EmployeeData[[#This Row],[Age]]&lt;25,"Under 25",IF(EmployeeData[[#This Row],[Age]]&lt;=34,"25-34",IF(EmployeeData[[#This Row],[Age]]&lt;=44,"35-44",IF(EmployeeData[[#This Row],[Age]]&lt;=54,"45-54","55+"))))</f>
        <v>Under 25</v>
      </c>
      <c r="Z114">
        <f ca="1">DATEDIF(EmployeeData[[#This Row],[DateOfJoining]],IF(AND(EmployeeData[[#This Row],[Attrition]]="Yes",EmployeeData[[#This Row],[LastWorkingDate]]&lt;&gt;""),EmployeeData[[#This Row],[LastWorkingDate]],TODAY()),"Y")</f>
        <v>0</v>
      </c>
      <c r="AA114" t="str">
        <f>IF(EmployeeData[[#This Row],[MonthlyIncome]]&lt;30000,"Low",IF(EmployeeData[[#This Row],[MonthlyIncome]]&lt;=60000,"Medium",IF(EmployeeData[[#This Row],[MonthlyIncome]]&lt;=100000,"High","Very High")))</f>
        <v>Very High</v>
      </c>
      <c r="AB114">
        <f>IF(EmployeeData[[#This Row],[Attrition]]="Yes",1,0)</f>
        <v>0</v>
      </c>
      <c r="AC114" t="str">
        <f ca="1">IF(EmployeeData[[#This Row],[Tenure Years]]&lt;1,"Less than 1 Year",IF(EmployeeData[[#This Row],[Tenure Years]]&lt;=3,"1-3 Years",IF(EmployeeData[[#This Row],[Tenure Years]]&lt;=5,"4-5 Years",IF(EmployeeData[[#This Row],[Tenure Years]]&lt;=10,"6-10 Years","More than 10 Years"))))</f>
        <v>Less than 1 Year</v>
      </c>
      <c r="AD114">
        <f>ROUND(AVERAGE(EmployeeData[[#This Row],[JobSatisfaction]],EmployeeData[[#This Row],[EnvironmentSatisfaction]],EmployeeData[[#This Row],[WorkLifeBalance]]),2)</f>
        <v>2.67</v>
      </c>
      <c r="AE114" t="str">
        <f>IF(EmployeeData[[#This Row],[Satisfaction Score]]&lt;2,"Low",IF(EmployeeData[[#This Row],[Satisfaction Score]]&lt;3,"Medium","High"))</f>
        <v>Medium</v>
      </c>
    </row>
    <row r="115" spans="1:31" x14ac:dyDescent="0.25">
      <c r="A115" t="s">
        <v>646</v>
      </c>
      <c r="B115" t="s">
        <v>647</v>
      </c>
      <c r="C115" t="s">
        <v>58</v>
      </c>
      <c r="D115">
        <v>54</v>
      </c>
      <c r="E115" t="s">
        <v>128</v>
      </c>
      <c r="F115" t="s">
        <v>271</v>
      </c>
      <c r="G115" s="1">
        <v>44906</v>
      </c>
      <c r="H115">
        <v>62799</v>
      </c>
      <c r="I115" t="s">
        <v>30</v>
      </c>
      <c r="J115" t="s">
        <v>31</v>
      </c>
      <c r="K115" t="s">
        <v>98</v>
      </c>
      <c r="L115" t="s">
        <v>33</v>
      </c>
      <c r="M115">
        <v>8</v>
      </c>
      <c r="N115" t="s">
        <v>34</v>
      </c>
      <c r="O115">
        <v>2</v>
      </c>
      <c r="P115">
        <v>2</v>
      </c>
      <c r="Q115">
        <v>3</v>
      </c>
      <c r="R115">
        <v>5</v>
      </c>
      <c r="S115">
        <v>5</v>
      </c>
      <c r="T115">
        <v>6</v>
      </c>
      <c r="U115">
        <v>21</v>
      </c>
      <c r="V115" t="s">
        <v>649</v>
      </c>
      <c r="W115" t="s">
        <v>34</v>
      </c>
      <c r="Y115" s="2" t="str">
        <f>IF(EmployeeData[[#This Row],[Age]]&lt;25,"Under 25",IF(EmployeeData[[#This Row],[Age]]&lt;=34,"25-34",IF(EmployeeData[[#This Row],[Age]]&lt;=44,"35-44",IF(EmployeeData[[#This Row],[Age]]&lt;=54,"45-54","55+"))))</f>
        <v>45-54</v>
      </c>
      <c r="Z115">
        <f ca="1">DATEDIF(EmployeeData[[#This Row],[DateOfJoining]],IF(AND(EmployeeData[[#This Row],[Attrition]]="Yes",EmployeeData[[#This Row],[LastWorkingDate]]&lt;&gt;""),EmployeeData[[#This Row],[LastWorkingDate]],TODAY()),"Y")</f>
        <v>3</v>
      </c>
      <c r="AA115" t="str">
        <f>IF(EmployeeData[[#This Row],[MonthlyIncome]]&lt;30000,"Low",IF(EmployeeData[[#This Row],[MonthlyIncome]]&lt;=60000,"Medium",IF(EmployeeData[[#This Row],[MonthlyIncome]]&lt;=100000,"High","Very High")))</f>
        <v>High</v>
      </c>
      <c r="AB115">
        <f>IF(EmployeeData[[#This Row],[Attrition]]="Yes",1,0)</f>
        <v>0</v>
      </c>
      <c r="AC115" t="str">
        <f ca="1">IF(EmployeeData[[#This Row],[Tenure Years]]&lt;1,"Less than 1 Year",IF(EmployeeData[[#This Row],[Tenure Years]]&lt;=3,"1-3 Years",IF(EmployeeData[[#This Row],[Tenure Years]]&lt;=5,"4-5 Years",IF(EmployeeData[[#This Row],[Tenure Years]]&lt;=10,"6-10 Years","More than 10 Years"))))</f>
        <v>1-3 Years</v>
      </c>
      <c r="AD115">
        <f>ROUND(AVERAGE(EmployeeData[[#This Row],[JobSatisfaction]],EmployeeData[[#This Row],[EnvironmentSatisfaction]],EmployeeData[[#This Row],[WorkLifeBalance]]),2)</f>
        <v>2.33</v>
      </c>
      <c r="AE115" t="str">
        <f>IF(EmployeeData[[#This Row],[Satisfaction Score]]&lt;2,"Low",IF(EmployeeData[[#This Row],[Satisfaction Score]]&lt;3,"Medium","High"))</f>
        <v>Medium</v>
      </c>
    </row>
    <row r="116" spans="1:31" x14ac:dyDescent="0.25">
      <c r="A116" t="s">
        <v>650</v>
      </c>
      <c r="B116" t="s">
        <v>651</v>
      </c>
      <c r="C116" t="s">
        <v>49</v>
      </c>
      <c r="D116">
        <v>28</v>
      </c>
      <c r="E116" t="s">
        <v>128</v>
      </c>
      <c r="F116" t="s">
        <v>255</v>
      </c>
      <c r="G116" s="1">
        <v>46181</v>
      </c>
      <c r="H116">
        <v>85543</v>
      </c>
      <c r="I116" t="s">
        <v>30</v>
      </c>
      <c r="J116" t="s">
        <v>31</v>
      </c>
      <c r="K116" t="s">
        <v>77</v>
      </c>
      <c r="L116" t="s">
        <v>5459</v>
      </c>
      <c r="M116">
        <v>25</v>
      </c>
      <c r="N116" t="s">
        <v>34</v>
      </c>
      <c r="O116">
        <v>3</v>
      </c>
      <c r="P116">
        <v>3</v>
      </c>
      <c r="Q116">
        <v>2</v>
      </c>
      <c r="R116">
        <v>3</v>
      </c>
      <c r="S116">
        <v>1</v>
      </c>
      <c r="T116">
        <v>3</v>
      </c>
      <c r="U116">
        <v>17</v>
      </c>
      <c r="V116" t="s">
        <v>653</v>
      </c>
      <c r="W116" t="s">
        <v>34</v>
      </c>
      <c r="Y116" s="2" t="str">
        <f>IF(EmployeeData[[#This Row],[Age]]&lt;25,"Under 25",IF(EmployeeData[[#This Row],[Age]]&lt;=34,"25-34",IF(EmployeeData[[#This Row],[Age]]&lt;=44,"35-44",IF(EmployeeData[[#This Row],[Age]]&lt;=54,"45-54","55+"))))</f>
        <v>25-34</v>
      </c>
      <c r="Z116">
        <f ca="1">DATEDIF(EmployeeData[[#This Row],[DateOfJoining]],IF(AND(EmployeeData[[#This Row],[Attrition]]="Yes",EmployeeData[[#This Row],[LastWorkingDate]]&lt;&gt;""),EmployeeData[[#This Row],[LastWorkingDate]],TODAY()),"Y")</f>
        <v>0</v>
      </c>
      <c r="AA116" t="str">
        <f>IF(EmployeeData[[#This Row],[MonthlyIncome]]&lt;30000,"Low",IF(EmployeeData[[#This Row],[MonthlyIncome]]&lt;=60000,"Medium",IF(EmployeeData[[#This Row],[MonthlyIncome]]&lt;=100000,"High","Very High")))</f>
        <v>High</v>
      </c>
      <c r="AB116">
        <f>IF(EmployeeData[[#This Row],[Attrition]]="Yes",1,0)</f>
        <v>0</v>
      </c>
      <c r="AC116" t="str">
        <f ca="1">IF(EmployeeData[[#This Row],[Tenure Years]]&lt;1,"Less than 1 Year",IF(EmployeeData[[#This Row],[Tenure Years]]&lt;=3,"1-3 Years",IF(EmployeeData[[#This Row],[Tenure Years]]&lt;=5,"4-5 Years",IF(EmployeeData[[#This Row],[Tenure Years]]&lt;=10,"6-10 Years","More than 10 Years"))))</f>
        <v>Less than 1 Year</v>
      </c>
      <c r="AD116">
        <f>ROUND(AVERAGE(EmployeeData[[#This Row],[JobSatisfaction]],EmployeeData[[#This Row],[EnvironmentSatisfaction]],EmployeeData[[#This Row],[WorkLifeBalance]]),2)</f>
        <v>2.67</v>
      </c>
      <c r="AE116" t="str">
        <f>IF(EmployeeData[[#This Row],[Satisfaction Score]]&lt;2,"Low",IF(EmployeeData[[#This Row],[Satisfaction Score]]&lt;3,"Medium","High"))</f>
        <v>Medium</v>
      </c>
    </row>
    <row r="117" spans="1:31" x14ac:dyDescent="0.25">
      <c r="A117" t="s">
        <v>654</v>
      </c>
      <c r="B117" t="s">
        <v>655</v>
      </c>
      <c r="C117" t="s">
        <v>49</v>
      </c>
      <c r="D117">
        <v>35</v>
      </c>
      <c r="E117" t="s">
        <v>5461</v>
      </c>
      <c r="F117" t="s">
        <v>5464</v>
      </c>
      <c r="G117" s="1">
        <v>43403</v>
      </c>
      <c r="H117">
        <v>138171</v>
      </c>
      <c r="I117" t="s">
        <v>42</v>
      </c>
      <c r="J117" t="s">
        <v>97</v>
      </c>
      <c r="K117" t="s">
        <v>54</v>
      </c>
      <c r="L117" t="s">
        <v>33</v>
      </c>
      <c r="M117">
        <v>23</v>
      </c>
      <c r="N117" t="s">
        <v>34</v>
      </c>
      <c r="O117">
        <v>2</v>
      </c>
      <c r="P117">
        <v>4</v>
      </c>
      <c r="Q117">
        <v>3</v>
      </c>
      <c r="R117">
        <v>4</v>
      </c>
      <c r="S117">
        <v>0</v>
      </c>
      <c r="T117">
        <v>2</v>
      </c>
      <c r="U117">
        <v>14</v>
      </c>
      <c r="V117" t="s">
        <v>657</v>
      </c>
      <c r="W117" t="s">
        <v>34</v>
      </c>
      <c r="Y117" s="2" t="str">
        <f>IF(EmployeeData[[#This Row],[Age]]&lt;25,"Under 25",IF(EmployeeData[[#This Row],[Age]]&lt;=34,"25-34",IF(EmployeeData[[#This Row],[Age]]&lt;=44,"35-44",IF(EmployeeData[[#This Row],[Age]]&lt;=54,"45-54","55+"))))</f>
        <v>35-44</v>
      </c>
      <c r="Z117">
        <f ca="1">DATEDIF(EmployeeData[[#This Row],[DateOfJoining]],IF(AND(EmployeeData[[#This Row],[Attrition]]="Yes",EmployeeData[[#This Row],[LastWorkingDate]]&lt;&gt;""),EmployeeData[[#This Row],[LastWorkingDate]],TODAY()),"Y")</f>
        <v>7</v>
      </c>
      <c r="AA117" t="str">
        <f>IF(EmployeeData[[#This Row],[MonthlyIncome]]&lt;30000,"Low",IF(EmployeeData[[#This Row],[MonthlyIncome]]&lt;=60000,"Medium",IF(EmployeeData[[#This Row],[MonthlyIncome]]&lt;=100000,"High","Very High")))</f>
        <v>Very High</v>
      </c>
      <c r="AB117">
        <f>IF(EmployeeData[[#This Row],[Attrition]]="Yes",1,0)</f>
        <v>0</v>
      </c>
      <c r="AC117" t="str">
        <f ca="1">IF(EmployeeData[[#This Row],[Tenure Years]]&lt;1,"Less than 1 Year",IF(EmployeeData[[#This Row],[Tenure Years]]&lt;=3,"1-3 Years",IF(EmployeeData[[#This Row],[Tenure Years]]&lt;=5,"4-5 Years",IF(EmployeeData[[#This Row],[Tenure Years]]&lt;=10,"6-10 Years","More than 10 Years"))))</f>
        <v>6-10 Years</v>
      </c>
      <c r="AD117">
        <f>ROUND(AVERAGE(EmployeeData[[#This Row],[JobSatisfaction]],EmployeeData[[#This Row],[EnvironmentSatisfaction]],EmployeeData[[#This Row],[WorkLifeBalance]]),2)</f>
        <v>3</v>
      </c>
      <c r="AE117" t="str">
        <f>IF(EmployeeData[[#This Row],[Satisfaction Score]]&lt;2,"Low",IF(EmployeeData[[#This Row],[Satisfaction Score]]&lt;3,"Medium","High"))</f>
        <v>High</v>
      </c>
    </row>
    <row r="118" spans="1:31" x14ac:dyDescent="0.25">
      <c r="A118" t="s">
        <v>658</v>
      </c>
      <c r="B118" t="s">
        <v>659</v>
      </c>
      <c r="C118" t="s">
        <v>58</v>
      </c>
      <c r="D118">
        <v>23</v>
      </c>
      <c r="E118" t="s">
        <v>128</v>
      </c>
      <c r="F118" t="s">
        <v>226</v>
      </c>
      <c r="G118" s="1">
        <v>41193</v>
      </c>
      <c r="H118">
        <v>100953</v>
      </c>
      <c r="I118" t="s">
        <v>30</v>
      </c>
      <c r="J118" t="s">
        <v>31</v>
      </c>
      <c r="K118" t="s">
        <v>167</v>
      </c>
      <c r="L118" t="s">
        <v>62</v>
      </c>
      <c r="M118">
        <v>9</v>
      </c>
      <c r="N118" t="s">
        <v>45</v>
      </c>
      <c r="O118">
        <v>2</v>
      </c>
      <c r="P118">
        <v>3</v>
      </c>
      <c r="Q118">
        <v>1</v>
      </c>
      <c r="R118">
        <v>1</v>
      </c>
      <c r="S118">
        <v>3</v>
      </c>
      <c r="T118">
        <v>8</v>
      </c>
      <c r="U118">
        <v>20</v>
      </c>
      <c r="V118" t="s">
        <v>661</v>
      </c>
      <c r="W118" t="s">
        <v>45</v>
      </c>
      <c r="X118" s="1">
        <v>44072</v>
      </c>
      <c r="Y118" s="2" t="str">
        <f>IF(EmployeeData[[#This Row],[Age]]&lt;25,"Under 25",IF(EmployeeData[[#This Row],[Age]]&lt;=34,"25-34",IF(EmployeeData[[#This Row],[Age]]&lt;=44,"35-44",IF(EmployeeData[[#This Row],[Age]]&lt;=54,"45-54","55+"))))</f>
        <v>Under 25</v>
      </c>
      <c r="Z118">
        <f ca="1">DATEDIF(EmployeeData[[#This Row],[DateOfJoining]],IF(AND(EmployeeData[[#This Row],[Attrition]]="Yes",EmployeeData[[#This Row],[LastWorkingDate]]&lt;&gt;""),EmployeeData[[#This Row],[LastWorkingDate]],TODAY()),"Y")</f>
        <v>7</v>
      </c>
      <c r="AA118" t="str">
        <f>IF(EmployeeData[[#This Row],[MonthlyIncome]]&lt;30000,"Low",IF(EmployeeData[[#This Row],[MonthlyIncome]]&lt;=60000,"Medium",IF(EmployeeData[[#This Row],[MonthlyIncome]]&lt;=100000,"High","Very High")))</f>
        <v>Very High</v>
      </c>
      <c r="AB118">
        <f>IF(EmployeeData[[#This Row],[Attrition]]="Yes",1,0)</f>
        <v>1</v>
      </c>
      <c r="AC118" t="str">
        <f ca="1">IF(EmployeeData[[#This Row],[Tenure Years]]&lt;1,"Less than 1 Year",IF(EmployeeData[[#This Row],[Tenure Years]]&lt;=3,"1-3 Years",IF(EmployeeData[[#This Row],[Tenure Years]]&lt;=5,"4-5 Years",IF(EmployeeData[[#This Row],[Tenure Years]]&lt;=10,"6-10 Years","More than 10 Years"))))</f>
        <v>6-10 Years</v>
      </c>
      <c r="AD118">
        <f>ROUND(AVERAGE(EmployeeData[[#This Row],[JobSatisfaction]],EmployeeData[[#This Row],[EnvironmentSatisfaction]],EmployeeData[[#This Row],[WorkLifeBalance]]),2)</f>
        <v>2</v>
      </c>
      <c r="AE118" t="str">
        <f>IF(EmployeeData[[#This Row],[Satisfaction Score]]&lt;2,"Low",IF(EmployeeData[[#This Row],[Satisfaction Score]]&lt;3,"Medium","High"))</f>
        <v>Medium</v>
      </c>
    </row>
    <row r="119" spans="1:31" x14ac:dyDescent="0.25">
      <c r="A119" t="s">
        <v>663</v>
      </c>
      <c r="B119" t="s">
        <v>664</v>
      </c>
      <c r="C119" t="s">
        <v>49</v>
      </c>
      <c r="D119">
        <v>40</v>
      </c>
      <c r="E119" t="s">
        <v>38</v>
      </c>
      <c r="F119" t="s">
        <v>5460</v>
      </c>
      <c r="G119" s="1">
        <v>45954</v>
      </c>
      <c r="H119">
        <v>29461</v>
      </c>
      <c r="I119" t="s">
        <v>30</v>
      </c>
      <c r="J119" t="s">
        <v>5459</v>
      </c>
      <c r="K119" t="s">
        <v>200</v>
      </c>
      <c r="L119" t="s">
        <v>62</v>
      </c>
      <c r="M119">
        <v>27</v>
      </c>
      <c r="N119" t="s">
        <v>34</v>
      </c>
      <c r="O119">
        <v>3</v>
      </c>
      <c r="P119">
        <v>1</v>
      </c>
      <c r="Q119">
        <v>3</v>
      </c>
      <c r="R119">
        <v>4</v>
      </c>
      <c r="S119">
        <v>1</v>
      </c>
      <c r="T119">
        <v>4</v>
      </c>
      <c r="U119">
        <v>24</v>
      </c>
      <c r="V119" t="s">
        <v>667</v>
      </c>
      <c r="W119" t="s">
        <v>34</v>
      </c>
      <c r="Y119" s="2" t="str">
        <f>IF(EmployeeData[[#This Row],[Age]]&lt;25,"Under 25",IF(EmployeeData[[#This Row],[Age]]&lt;=34,"25-34",IF(EmployeeData[[#This Row],[Age]]&lt;=44,"35-44",IF(EmployeeData[[#This Row],[Age]]&lt;=54,"45-54","55+"))))</f>
        <v>35-44</v>
      </c>
      <c r="Z119">
        <f ca="1">DATEDIF(EmployeeData[[#This Row],[DateOfJoining]],IF(AND(EmployeeData[[#This Row],[Attrition]]="Yes",EmployeeData[[#This Row],[LastWorkingDate]]&lt;&gt;""),EmployeeData[[#This Row],[LastWorkingDate]],TODAY()),"Y")</f>
        <v>0</v>
      </c>
      <c r="AA119" t="str">
        <f>IF(EmployeeData[[#This Row],[MonthlyIncome]]&lt;30000,"Low",IF(EmployeeData[[#This Row],[MonthlyIncome]]&lt;=60000,"Medium",IF(EmployeeData[[#This Row],[MonthlyIncome]]&lt;=100000,"High","Very High")))</f>
        <v>Low</v>
      </c>
      <c r="AB119">
        <f>IF(EmployeeData[[#This Row],[Attrition]]="Yes",1,0)</f>
        <v>0</v>
      </c>
      <c r="AC119" t="str">
        <f ca="1">IF(EmployeeData[[#This Row],[Tenure Years]]&lt;1,"Less than 1 Year",IF(EmployeeData[[#This Row],[Tenure Years]]&lt;=3,"1-3 Years",IF(EmployeeData[[#This Row],[Tenure Years]]&lt;=5,"4-5 Years",IF(EmployeeData[[#This Row],[Tenure Years]]&lt;=10,"6-10 Years","More than 10 Years"))))</f>
        <v>Less than 1 Year</v>
      </c>
      <c r="AD119">
        <f>ROUND(AVERAGE(EmployeeData[[#This Row],[JobSatisfaction]],EmployeeData[[#This Row],[EnvironmentSatisfaction]],EmployeeData[[#This Row],[WorkLifeBalance]]),2)</f>
        <v>2.33</v>
      </c>
      <c r="AE119" t="str">
        <f>IF(EmployeeData[[#This Row],[Satisfaction Score]]&lt;2,"Low",IF(EmployeeData[[#This Row],[Satisfaction Score]]&lt;3,"Medium","High"))</f>
        <v>Medium</v>
      </c>
    </row>
    <row r="120" spans="1:31" x14ac:dyDescent="0.25">
      <c r="A120" t="s">
        <v>668</v>
      </c>
      <c r="B120" t="s">
        <v>669</v>
      </c>
      <c r="C120" t="s">
        <v>58</v>
      </c>
      <c r="D120">
        <v>36</v>
      </c>
      <c r="E120" t="s">
        <v>27</v>
      </c>
      <c r="F120" t="s">
        <v>59</v>
      </c>
      <c r="G120" s="1">
        <v>45510</v>
      </c>
      <c r="H120">
        <v>89071</v>
      </c>
      <c r="I120" t="s">
        <v>42</v>
      </c>
      <c r="J120" t="s">
        <v>61</v>
      </c>
      <c r="K120" t="s">
        <v>200</v>
      </c>
      <c r="L120" t="s">
        <v>43</v>
      </c>
      <c r="M120">
        <v>31</v>
      </c>
      <c r="N120" t="s">
        <v>34</v>
      </c>
      <c r="O120">
        <v>4</v>
      </c>
      <c r="P120">
        <v>1</v>
      </c>
      <c r="Q120">
        <v>4</v>
      </c>
      <c r="R120">
        <v>3</v>
      </c>
      <c r="S120">
        <v>1</v>
      </c>
      <c r="T120">
        <v>1</v>
      </c>
      <c r="U120">
        <v>23</v>
      </c>
      <c r="V120" t="s">
        <v>671</v>
      </c>
      <c r="W120" t="s">
        <v>34</v>
      </c>
      <c r="Y120" s="2" t="str">
        <f>IF(EmployeeData[[#This Row],[Age]]&lt;25,"Under 25",IF(EmployeeData[[#This Row],[Age]]&lt;=34,"25-34",IF(EmployeeData[[#This Row],[Age]]&lt;=44,"35-44",IF(EmployeeData[[#This Row],[Age]]&lt;=54,"45-54","55+"))))</f>
        <v>35-44</v>
      </c>
      <c r="Z120">
        <f ca="1">DATEDIF(EmployeeData[[#This Row],[DateOfJoining]],IF(AND(EmployeeData[[#This Row],[Attrition]]="Yes",EmployeeData[[#This Row],[LastWorkingDate]]&lt;&gt;""),EmployeeData[[#This Row],[LastWorkingDate]],TODAY()),"Y")</f>
        <v>2</v>
      </c>
      <c r="AA120" t="str">
        <f>IF(EmployeeData[[#This Row],[MonthlyIncome]]&lt;30000,"Low",IF(EmployeeData[[#This Row],[MonthlyIncome]]&lt;=60000,"Medium",IF(EmployeeData[[#This Row],[MonthlyIncome]]&lt;=100000,"High","Very High")))</f>
        <v>High</v>
      </c>
      <c r="AB120">
        <f>IF(EmployeeData[[#This Row],[Attrition]]="Yes",1,0)</f>
        <v>0</v>
      </c>
      <c r="AC120" t="str">
        <f ca="1">IF(EmployeeData[[#This Row],[Tenure Years]]&lt;1,"Less than 1 Year",IF(EmployeeData[[#This Row],[Tenure Years]]&lt;=3,"1-3 Years",IF(EmployeeData[[#This Row],[Tenure Years]]&lt;=5,"4-5 Years",IF(EmployeeData[[#This Row],[Tenure Years]]&lt;=10,"6-10 Years","More than 10 Years"))))</f>
        <v>1-3 Years</v>
      </c>
      <c r="AD120">
        <f>ROUND(AVERAGE(EmployeeData[[#This Row],[JobSatisfaction]],EmployeeData[[#This Row],[EnvironmentSatisfaction]],EmployeeData[[#This Row],[WorkLifeBalance]]),2)</f>
        <v>3</v>
      </c>
      <c r="AE120" t="str">
        <f>IF(EmployeeData[[#This Row],[Satisfaction Score]]&lt;2,"Low",IF(EmployeeData[[#This Row],[Satisfaction Score]]&lt;3,"Medium","High"))</f>
        <v>High</v>
      </c>
    </row>
    <row r="121" spans="1:31" x14ac:dyDescent="0.25">
      <c r="A121" t="s">
        <v>672</v>
      </c>
      <c r="B121" t="s">
        <v>673</v>
      </c>
      <c r="C121" t="s">
        <v>49</v>
      </c>
      <c r="D121">
        <v>24</v>
      </c>
      <c r="E121" t="s">
        <v>27</v>
      </c>
      <c r="F121" t="s">
        <v>59</v>
      </c>
      <c r="G121" s="1">
        <v>41345</v>
      </c>
      <c r="H121">
        <v>70171</v>
      </c>
      <c r="I121" t="s">
        <v>30</v>
      </c>
      <c r="J121" t="s">
        <v>31</v>
      </c>
      <c r="K121" t="s">
        <v>77</v>
      </c>
      <c r="L121" t="s">
        <v>43</v>
      </c>
      <c r="M121">
        <v>16</v>
      </c>
      <c r="N121" t="s">
        <v>34</v>
      </c>
      <c r="O121">
        <v>3</v>
      </c>
      <c r="P121">
        <v>2</v>
      </c>
      <c r="Q121">
        <v>1</v>
      </c>
      <c r="R121">
        <v>3</v>
      </c>
      <c r="S121">
        <v>0</v>
      </c>
      <c r="T121">
        <v>5</v>
      </c>
      <c r="U121">
        <v>18</v>
      </c>
      <c r="V121" t="s">
        <v>676</v>
      </c>
      <c r="W121" t="s">
        <v>34</v>
      </c>
      <c r="Y121" s="2" t="str">
        <f>IF(EmployeeData[[#This Row],[Age]]&lt;25,"Under 25",IF(EmployeeData[[#This Row],[Age]]&lt;=34,"25-34",IF(EmployeeData[[#This Row],[Age]]&lt;=44,"35-44",IF(EmployeeData[[#This Row],[Age]]&lt;=54,"45-54","55+"))))</f>
        <v>Under 25</v>
      </c>
      <c r="Z121">
        <f ca="1">DATEDIF(EmployeeData[[#This Row],[DateOfJoining]],IF(AND(EmployeeData[[#This Row],[Attrition]]="Yes",EmployeeData[[#This Row],[LastWorkingDate]]&lt;&gt;""),EmployeeData[[#This Row],[LastWorkingDate]],TODAY()),"Y")</f>
        <v>13</v>
      </c>
      <c r="AA121" t="str">
        <f>IF(EmployeeData[[#This Row],[MonthlyIncome]]&lt;30000,"Low",IF(EmployeeData[[#This Row],[MonthlyIncome]]&lt;=60000,"Medium",IF(EmployeeData[[#This Row],[MonthlyIncome]]&lt;=100000,"High","Very High")))</f>
        <v>High</v>
      </c>
      <c r="AB121">
        <f>IF(EmployeeData[[#This Row],[Attrition]]="Yes",1,0)</f>
        <v>0</v>
      </c>
      <c r="AC121" t="str">
        <f ca="1">IF(EmployeeData[[#This Row],[Tenure Years]]&lt;1,"Less than 1 Year",IF(EmployeeData[[#This Row],[Tenure Years]]&lt;=3,"1-3 Years",IF(EmployeeData[[#This Row],[Tenure Years]]&lt;=5,"4-5 Years",IF(EmployeeData[[#This Row],[Tenure Years]]&lt;=10,"6-10 Years","More than 10 Years"))))</f>
        <v>More than 10 Years</v>
      </c>
      <c r="AD121">
        <f>ROUND(AVERAGE(EmployeeData[[#This Row],[JobSatisfaction]],EmployeeData[[#This Row],[EnvironmentSatisfaction]],EmployeeData[[#This Row],[WorkLifeBalance]]),2)</f>
        <v>2</v>
      </c>
      <c r="AE121" t="str">
        <f>IF(EmployeeData[[#This Row],[Satisfaction Score]]&lt;2,"Low",IF(EmployeeData[[#This Row],[Satisfaction Score]]&lt;3,"Medium","High"))</f>
        <v>Medium</v>
      </c>
    </row>
    <row r="122" spans="1:31" x14ac:dyDescent="0.25">
      <c r="A122" t="s">
        <v>677</v>
      </c>
      <c r="B122" t="s">
        <v>678</v>
      </c>
      <c r="C122" t="s">
        <v>58</v>
      </c>
      <c r="D122">
        <v>29</v>
      </c>
      <c r="E122" t="s">
        <v>27</v>
      </c>
      <c r="F122" t="s">
        <v>59</v>
      </c>
      <c r="G122" s="1">
        <v>40929</v>
      </c>
      <c r="H122">
        <v>125338</v>
      </c>
      <c r="I122" t="s">
        <v>52</v>
      </c>
      <c r="J122" t="s">
        <v>31</v>
      </c>
      <c r="K122" t="s">
        <v>113</v>
      </c>
      <c r="L122" t="s">
        <v>62</v>
      </c>
      <c r="M122">
        <v>8</v>
      </c>
      <c r="N122" t="s">
        <v>34</v>
      </c>
      <c r="O122">
        <v>2</v>
      </c>
      <c r="P122">
        <v>3</v>
      </c>
      <c r="Q122">
        <v>3</v>
      </c>
      <c r="R122">
        <v>3</v>
      </c>
      <c r="S122">
        <v>6</v>
      </c>
      <c r="T122">
        <v>0</v>
      </c>
      <c r="U122">
        <v>20</v>
      </c>
      <c r="V122" t="s">
        <v>680</v>
      </c>
      <c r="W122" t="s">
        <v>45</v>
      </c>
      <c r="X122" s="1">
        <v>45886</v>
      </c>
      <c r="Y122" s="2" t="str">
        <f>IF(EmployeeData[[#This Row],[Age]]&lt;25,"Under 25",IF(EmployeeData[[#This Row],[Age]]&lt;=34,"25-34",IF(EmployeeData[[#This Row],[Age]]&lt;=44,"35-44",IF(EmployeeData[[#This Row],[Age]]&lt;=54,"45-54","55+"))))</f>
        <v>25-34</v>
      </c>
      <c r="Z122">
        <f ca="1">DATEDIF(EmployeeData[[#This Row],[DateOfJoining]],IF(AND(EmployeeData[[#This Row],[Attrition]]="Yes",EmployeeData[[#This Row],[LastWorkingDate]]&lt;&gt;""),EmployeeData[[#This Row],[LastWorkingDate]],TODAY()),"Y")</f>
        <v>13</v>
      </c>
      <c r="AA122" t="str">
        <f>IF(EmployeeData[[#This Row],[MonthlyIncome]]&lt;30000,"Low",IF(EmployeeData[[#This Row],[MonthlyIncome]]&lt;=60000,"Medium",IF(EmployeeData[[#This Row],[MonthlyIncome]]&lt;=100000,"High","Very High")))</f>
        <v>Very High</v>
      </c>
      <c r="AB122">
        <f>IF(EmployeeData[[#This Row],[Attrition]]="Yes",1,0)</f>
        <v>1</v>
      </c>
      <c r="AC122" t="str">
        <f ca="1">IF(EmployeeData[[#This Row],[Tenure Years]]&lt;1,"Less than 1 Year",IF(EmployeeData[[#This Row],[Tenure Years]]&lt;=3,"1-3 Years",IF(EmployeeData[[#This Row],[Tenure Years]]&lt;=5,"4-5 Years",IF(EmployeeData[[#This Row],[Tenure Years]]&lt;=10,"6-10 Years","More than 10 Years"))))</f>
        <v>More than 10 Years</v>
      </c>
      <c r="AD122">
        <f>ROUND(AVERAGE(EmployeeData[[#This Row],[JobSatisfaction]],EmployeeData[[#This Row],[EnvironmentSatisfaction]],EmployeeData[[#This Row],[WorkLifeBalance]]),2)</f>
        <v>2.67</v>
      </c>
      <c r="AE122" t="str">
        <f>IF(EmployeeData[[#This Row],[Satisfaction Score]]&lt;2,"Low",IF(EmployeeData[[#This Row],[Satisfaction Score]]&lt;3,"Medium","High"))</f>
        <v>Medium</v>
      </c>
    </row>
    <row r="123" spans="1:31" x14ac:dyDescent="0.25">
      <c r="A123" t="s">
        <v>682</v>
      </c>
      <c r="B123" t="s">
        <v>683</v>
      </c>
      <c r="C123" t="s">
        <v>49</v>
      </c>
      <c r="D123">
        <v>42</v>
      </c>
      <c r="E123" t="s">
        <v>27</v>
      </c>
      <c r="F123" t="s">
        <v>188</v>
      </c>
      <c r="G123" s="1">
        <v>41571</v>
      </c>
      <c r="H123">
        <v>63205</v>
      </c>
      <c r="I123" t="s">
        <v>30</v>
      </c>
      <c r="J123" t="s">
        <v>31</v>
      </c>
      <c r="K123" t="s">
        <v>106</v>
      </c>
      <c r="L123" t="s">
        <v>43</v>
      </c>
      <c r="M123">
        <v>36</v>
      </c>
      <c r="N123" t="s">
        <v>34</v>
      </c>
      <c r="O123">
        <v>4</v>
      </c>
      <c r="P123">
        <v>4</v>
      </c>
      <c r="Q123">
        <v>2</v>
      </c>
      <c r="R123">
        <v>3</v>
      </c>
      <c r="S123">
        <v>5</v>
      </c>
      <c r="T123">
        <v>4</v>
      </c>
      <c r="U123">
        <v>23</v>
      </c>
      <c r="V123" t="s">
        <v>685</v>
      </c>
      <c r="W123" t="s">
        <v>34</v>
      </c>
      <c r="Y123" s="2" t="str">
        <f>IF(EmployeeData[[#This Row],[Age]]&lt;25,"Under 25",IF(EmployeeData[[#This Row],[Age]]&lt;=34,"25-34",IF(EmployeeData[[#This Row],[Age]]&lt;=44,"35-44",IF(EmployeeData[[#This Row],[Age]]&lt;=54,"45-54","55+"))))</f>
        <v>35-44</v>
      </c>
      <c r="Z123">
        <f ca="1">DATEDIF(EmployeeData[[#This Row],[DateOfJoining]],IF(AND(EmployeeData[[#This Row],[Attrition]]="Yes",EmployeeData[[#This Row],[LastWorkingDate]]&lt;&gt;""),EmployeeData[[#This Row],[LastWorkingDate]],TODAY()),"Y")</f>
        <v>12</v>
      </c>
      <c r="AA123" t="str">
        <f>IF(EmployeeData[[#This Row],[MonthlyIncome]]&lt;30000,"Low",IF(EmployeeData[[#This Row],[MonthlyIncome]]&lt;=60000,"Medium",IF(EmployeeData[[#This Row],[MonthlyIncome]]&lt;=100000,"High","Very High")))</f>
        <v>High</v>
      </c>
      <c r="AB123">
        <f>IF(EmployeeData[[#This Row],[Attrition]]="Yes",1,0)</f>
        <v>0</v>
      </c>
      <c r="AC123" t="str">
        <f ca="1">IF(EmployeeData[[#This Row],[Tenure Years]]&lt;1,"Less than 1 Year",IF(EmployeeData[[#This Row],[Tenure Years]]&lt;=3,"1-3 Years",IF(EmployeeData[[#This Row],[Tenure Years]]&lt;=5,"4-5 Years",IF(EmployeeData[[#This Row],[Tenure Years]]&lt;=10,"6-10 Years","More than 10 Years"))))</f>
        <v>More than 10 Years</v>
      </c>
      <c r="AD123">
        <f>ROUND(AVERAGE(EmployeeData[[#This Row],[JobSatisfaction]],EmployeeData[[#This Row],[EnvironmentSatisfaction]],EmployeeData[[#This Row],[WorkLifeBalance]]),2)</f>
        <v>3.33</v>
      </c>
      <c r="AE123" t="str">
        <f>IF(EmployeeData[[#This Row],[Satisfaction Score]]&lt;2,"Low",IF(EmployeeData[[#This Row],[Satisfaction Score]]&lt;3,"Medium","High"))</f>
        <v>High</v>
      </c>
    </row>
    <row r="124" spans="1:31" x14ac:dyDescent="0.25">
      <c r="A124" t="s">
        <v>686</v>
      </c>
      <c r="B124" t="s">
        <v>687</v>
      </c>
      <c r="C124" t="s">
        <v>49</v>
      </c>
      <c r="D124">
        <v>21</v>
      </c>
      <c r="E124" t="s">
        <v>197</v>
      </c>
      <c r="F124" t="s">
        <v>323</v>
      </c>
      <c r="G124" s="1">
        <v>41609</v>
      </c>
      <c r="H124">
        <v>58581</v>
      </c>
      <c r="I124" t="s">
        <v>42</v>
      </c>
      <c r="J124" t="s">
        <v>61</v>
      </c>
      <c r="K124" t="s">
        <v>98</v>
      </c>
      <c r="L124" t="s">
        <v>43</v>
      </c>
      <c r="M124">
        <v>23</v>
      </c>
      <c r="N124" t="s">
        <v>45</v>
      </c>
      <c r="O124">
        <v>1</v>
      </c>
      <c r="P124">
        <v>1</v>
      </c>
      <c r="Q124">
        <v>3</v>
      </c>
      <c r="R124">
        <v>3</v>
      </c>
      <c r="S124">
        <v>0</v>
      </c>
      <c r="T124">
        <v>0</v>
      </c>
      <c r="U124">
        <v>18</v>
      </c>
      <c r="V124" t="s">
        <v>688</v>
      </c>
      <c r="W124" t="s">
        <v>45</v>
      </c>
      <c r="X124" s="1">
        <v>44822</v>
      </c>
      <c r="Y124" s="2" t="str">
        <f>IF(EmployeeData[[#This Row],[Age]]&lt;25,"Under 25",IF(EmployeeData[[#This Row],[Age]]&lt;=34,"25-34",IF(EmployeeData[[#This Row],[Age]]&lt;=44,"35-44",IF(EmployeeData[[#This Row],[Age]]&lt;=54,"45-54","55+"))))</f>
        <v>Under 25</v>
      </c>
      <c r="Z124">
        <f ca="1">DATEDIF(EmployeeData[[#This Row],[DateOfJoining]],IF(AND(EmployeeData[[#This Row],[Attrition]]="Yes",EmployeeData[[#This Row],[LastWorkingDate]]&lt;&gt;""),EmployeeData[[#This Row],[LastWorkingDate]],TODAY()),"Y")</f>
        <v>8</v>
      </c>
      <c r="AA124" t="str">
        <f>IF(EmployeeData[[#This Row],[MonthlyIncome]]&lt;30000,"Low",IF(EmployeeData[[#This Row],[MonthlyIncome]]&lt;=60000,"Medium",IF(EmployeeData[[#This Row],[MonthlyIncome]]&lt;=100000,"High","Very High")))</f>
        <v>Medium</v>
      </c>
      <c r="AB124">
        <f>IF(EmployeeData[[#This Row],[Attrition]]="Yes",1,0)</f>
        <v>1</v>
      </c>
      <c r="AC124" t="str">
        <f ca="1">IF(EmployeeData[[#This Row],[Tenure Years]]&lt;1,"Less than 1 Year",IF(EmployeeData[[#This Row],[Tenure Years]]&lt;=3,"1-3 Years",IF(EmployeeData[[#This Row],[Tenure Years]]&lt;=5,"4-5 Years",IF(EmployeeData[[#This Row],[Tenure Years]]&lt;=10,"6-10 Years","More than 10 Years"))))</f>
        <v>6-10 Years</v>
      </c>
      <c r="AD124">
        <f>ROUND(AVERAGE(EmployeeData[[#This Row],[JobSatisfaction]],EmployeeData[[#This Row],[EnvironmentSatisfaction]],EmployeeData[[#This Row],[WorkLifeBalance]]),2)</f>
        <v>1.67</v>
      </c>
      <c r="AE124" t="str">
        <f>IF(EmployeeData[[#This Row],[Satisfaction Score]]&lt;2,"Low",IF(EmployeeData[[#This Row],[Satisfaction Score]]&lt;3,"Medium","High"))</f>
        <v>Low</v>
      </c>
    </row>
    <row r="125" spans="1:31" x14ac:dyDescent="0.25">
      <c r="A125" t="s">
        <v>690</v>
      </c>
      <c r="B125" t="s">
        <v>691</v>
      </c>
      <c r="C125" t="s">
        <v>49</v>
      </c>
      <c r="D125">
        <v>31</v>
      </c>
      <c r="E125" t="s">
        <v>5459</v>
      </c>
      <c r="F125" t="s">
        <v>50</v>
      </c>
      <c r="G125" s="1">
        <v>46026</v>
      </c>
      <c r="H125">
        <v>76833</v>
      </c>
      <c r="I125" t="s">
        <v>42</v>
      </c>
      <c r="J125" t="s">
        <v>61</v>
      </c>
      <c r="K125" t="s">
        <v>54</v>
      </c>
      <c r="L125" t="s">
        <v>62</v>
      </c>
      <c r="M125">
        <v>31</v>
      </c>
      <c r="N125" t="s">
        <v>34</v>
      </c>
      <c r="O125">
        <v>1</v>
      </c>
      <c r="P125">
        <v>2</v>
      </c>
      <c r="Q125">
        <v>1</v>
      </c>
      <c r="R125">
        <v>3</v>
      </c>
      <c r="S125">
        <v>2</v>
      </c>
      <c r="T125">
        <v>2</v>
      </c>
      <c r="U125">
        <v>13</v>
      </c>
      <c r="V125" t="s">
        <v>694</v>
      </c>
      <c r="W125" t="s">
        <v>45</v>
      </c>
      <c r="X125" s="1">
        <v>46132</v>
      </c>
      <c r="Y125" s="2" t="str">
        <f>IF(EmployeeData[[#This Row],[Age]]&lt;25,"Under 25",IF(EmployeeData[[#This Row],[Age]]&lt;=34,"25-34",IF(EmployeeData[[#This Row],[Age]]&lt;=44,"35-44",IF(EmployeeData[[#This Row],[Age]]&lt;=54,"45-54","55+"))))</f>
        <v>25-34</v>
      </c>
      <c r="Z125">
        <f ca="1">DATEDIF(EmployeeData[[#This Row],[DateOfJoining]],IF(AND(EmployeeData[[#This Row],[Attrition]]="Yes",EmployeeData[[#This Row],[LastWorkingDate]]&lt;&gt;""),EmployeeData[[#This Row],[LastWorkingDate]],TODAY()),"Y")</f>
        <v>0</v>
      </c>
      <c r="AA125" t="str">
        <f>IF(EmployeeData[[#This Row],[MonthlyIncome]]&lt;30000,"Low",IF(EmployeeData[[#This Row],[MonthlyIncome]]&lt;=60000,"Medium",IF(EmployeeData[[#This Row],[MonthlyIncome]]&lt;=100000,"High","Very High")))</f>
        <v>High</v>
      </c>
      <c r="AB125">
        <f>IF(EmployeeData[[#This Row],[Attrition]]="Yes",1,0)</f>
        <v>1</v>
      </c>
      <c r="AC125" t="str">
        <f ca="1">IF(EmployeeData[[#This Row],[Tenure Years]]&lt;1,"Less than 1 Year",IF(EmployeeData[[#This Row],[Tenure Years]]&lt;=3,"1-3 Years",IF(EmployeeData[[#This Row],[Tenure Years]]&lt;=5,"4-5 Years",IF(EmployeeData[[#This Row],[Tenure Years]]&lt;=10,"6-10 Years","More than 10 Years"))))</f>
        <v>Less than 1 Year</v>
      </c>
      <c r="AD125">
        <f>ROUND(AVERAGE(EmployeeData[[#This Row],[JobSatisfaction]],EmployeeData[[#This Row],[EnvironmentSatisfaction]],EmployeeData[[#This Row],[WorkLifeBalance]]),2)</f>
        <v>1.33</v>
      </c>
      <c r="AE125" t="str">
        <f>IF(EmployeeData[[#This Row],[Satisfaction Score]]&lt;2,"Low",IF(EmployeeData[[#This Row],[Satisfaction Score]]&lt;3,"Medium","High"))</f>
        <v>Low</v>
      </c>
    </row>
    <row r="126" spans="1:31" x14ac:dyDescent="0.25">
      <c r="A126" t="s">
        <v>696</v>
      </c>
      <c r="B126" t="s">
        <v>697</v>
      </c>
      <c r="C126" t="s">
        <v>49</v>
      </c>
      <c r="D126">
        <v>35</v>
      </c>
      <c r="E126" t="s">
        <v>128</v>
      </c>
      <c r="F126" t="s">
        <v>226</v>
      </c>
      <c r="G126" s="1">
        <v>45413</v>
      </c>
      <c r="H126">
        <v>96753</v>
      </c>
      <c r="I126" t="s">
        <v>52</v>
      </c>
      <c r="J126" t="s">
        <v>61</v>
      </c>
      <c r="K126" t="s">
        <v>83</v>
      </c>
      <c r="L126" t="s">
        <v>43</v>
      </c>
      <c r="M126">
        <v>24</v>
      </c>
      <c r="N126" t="s">
        <v>34</v>
      </c>
      <c r="O126">
        <v>1</v>
      </c>
      <c r="P126">
        <v>3</v>
      </c>
      <c r="Q126">
        <v>3</v>
      </c>
      <c r="R126">
        <v>3</v>
      </c>
      <c r="S126">
        <v>1</v>
      </c>
      <c r="T126">
        <v>2</v>
      </c>
      <c r="U126">
        <v>25</v>
      </c>
      <c r="V126" t="s">
        <v>699</v>
      </c>
      <c r="W126" t="s">
        <v>34</v>
      </c>
      <c r="Y126" s="2" t="str">
        <f>IF(EmployeeData[[#This Row],[Age]]&lt;25,"Under 25",IF(EmployeeData[[#This Row],[Age]]&lt;=34,"25-34",IF(EmployeeData[[#This Row],[Age]]&lt;=44,"35-44",IF(EmployeeData[[#This Row],[Age]]&lt;=54,"45-54","55+"))))</f>
        <v>35-44</v>
      </c>
      <c r="Z126">
        <f ca="1">DATEDIF(EmployeeData[[#This Row],[DateOfJoining]],IF(AND(EmployeeData[[#This Row],[Attrition]]="Yes",EmployeeData[[#This Row],[LastWorkingDate]]&lt;&gt;""),EmployeeData[[#This Row],[LastWorkingDate]],TODAY()),"Y")</f>
        <v>2</v>
      </c>
      <c r="AA126" t="str">
        <f>IF(EmployeeData[[#This Row],[MonthlyIncome]]&lt;30000,"Low",IF(EmployeeData[[#This Row],[MonthlyIncome]]&lt;=60000,"Medium",IF(EmployeeData[[#This Row],[MonthlyIncome]]&lt;=100000,"High","Very High")))</f>
        <v>High</v>
      </c>
      <c r="AB126">
        <f>IF(EmployeeData[[#This Row],[Attrition]]="Yes",1,0)</f>
        <v>0</v>
      </c>
      <c r="AC126" t="str">
        <f ca="1">IF(EmployeeData[[#This Row],[Tenure Years]]&lt;1,"Less than 1 Year",IF(EmployeeData[[#This Row],[Tenure Years]]&lt;=3,"1-3 Years",IF(EmployeeData[[#This Row],[Tenure Years]]&lt;=5,"4-5 Years",IF(EmployeeData[[#This Row],[Tenure Years]]&lt;=10,"6-10 Years","More than 10 Years"))))</f>
        <v>1-3 Years</v>
      </c>
      <c r="AD126">
        <f>ROUND(AVERAGE(EmployeeData[[#This Row],[JobSatisfaction]],EmployeeData[[#This Row],[EnvironmentSatisfaction]],EmployeeData[[#This Row],[WorkLifeBalance]]),2)</f>
        <v>2.33</v>
      </c>
      <c r="AE126" t="str">
        <f>IF(EmployeeData[[#This Row],[Satisfaction Score]]&lt;2,"Low",IF(EmployeeData[[#This Row],[Satisfaction Score]]&lt;3,"Medium","High"))</f>
        <v>Medium</v>
      </c>
    </row>
    <row r="127" spans="1:31" x14ac:dyDescent="0.25">
      <c r="A127" t="s">
        <v>700</v>
      </c>
      <c r="B127" t="s">
        <v>701</v>
      </c>
      <c r="C127" t="s">
        <v>49</v>
      </c>
      <c r="D127">
        <v>27</v>
      </c>
      <c r="E127" t="s">
        <v>128</v>
      </c>
      <c r="F127" t="s">
        <v>255</v>
      </c>
      <c r="G127" s="1">
        <v>44738</v>
      </c>
      <c r="H127">
        <v>37107</v>
      </c>
      <c r="I127" t="s">
        <v>52</v>
      </c>
      <c r="J127" t="s">
        <v>31</v>
      </c>
      <c r="K127" t="s">
        <v>167</v>
      </c>
      <c r="L127" t="s">
        <v>33</v>
      </c>
      <c r="M127">
        <v>4</v>
      </c>
      <c r="N127" t="s">
        <v>34</v>
      </c>
      <c r="O127">
        <v>2</v>
      </c>
      <c r="P127">
        <v>1</v>
      </c>
      <c r="Q127">
        <v>2</v>
      </c>
      <c r="R127">
        <v>2</v>
      </c>
      <c r="S127">
        <v>5</v>
      </c>
      <c r="T127">
        <v>0</v>
      </c>
      <c r="U127">
        <v>17</v>
      </c>
      <c r="V127" t="s">
        <v>703</v>
      </c>
      <c r="W127" t="s">
        <v>34</v>
      </c>
      <c r="Y127" s="2" t="str">
        <f>IF(EmployeeData[[#This Row],[Age]]&lt;25,"Under 25",IF(EmployeeData[[#This Row],[Age]]&lt;=34,"25-34",IF(EmployeeData[[#This Row],[Age]]&lt;=44,"35-44",IF(EmployeeData[[#This Row],[Age]]&lt;=54,"45-54","55+"))))</f>
        <v>25-34</v>
      </c>
      <c r="Z127">
        <f ca="1">DATEDIF(EmployeeData[[#This Row],[DateOfJoining]],IF(AND(EmployeeData[[#This Row],[Attrition]]="Yes",EmployeeData[[#This Row],[LastWorkingDate]]&lt;&gt;""),EmployeeData[[#This Row],[LastWorkingDate]],TODAY()),"Y")</f>
        <v>4</v>
      </c>
      <c r="AA127" t="str">
        <f>IF(EmployeeData[[#This Row],[MonthlyIncome]]&lt;30000,"Low",IF(EmployeeData[[#This Row],[MonthlyIncome]]&lt;=60000,"Medium",IF(EmployeeData[[#This Row],[MonthlyIncome]]&lt;=100000,"High","Very High")))</f>
        <v>Medium</v>
      </c>
      <c r="AB127">
        <f>IF(EmployeeData[[#This Row],[Attrition]]="Yes",1,0)</f>
        <v>0</v>
      </c>
      <c r="AC127" t="str">
        <f ca="1">IF(EmployeeData[[#This Row],[Tenure Years]]&lt;1,"Less than 1 Year",IF(EmployeeData[[#This Row],[Tenure Years]]&lt;=3,"1-3 Years",IF(EmployeeData[[#This Row],[Tenure Years]]&lt;=5,"4-5 Years",IF(EmployeeData[[#This Row],[Tenure Years]]&lt;=10,"6-10 Years","More than 10 Years"))))</f>
        <v>4-5 Years</v>
      </c>
      <c r="AD127">
        <f>ROUND(AVERAGE(EmployeeData[[#This Row],[JobSatisfaction]],EmployeeData[[#This Row],[EnvironmentSatisfaction]],EmployeeData[[#This Row],[WorkLifeBalance]]),2)</f>
        <v>1.67</v>
      </c>
      <c r="AE127" t="str">
        <f>IF(EmployeeData[[#This Row],[Satisfaction Score]]&lt;2,"Low",IF(EmployeeData[[#This Row],[Satisfaction Score]]&lt;3,"Medium","High"))</f>
        <v>Low</v>
      </c>
    </row>
    <row r="128" spans="1:31" x14ac:dyDescent="0.25">
      <c r="A128" t="s">
        <v>704</v>
      </c>
      <c r="B128" t="s">
        <v>705</v>
      </c>
      <c r="C128" t="s">
        <v>58</v>
      </c>
      <c r="D128">
        <v>19</v>
      </c>
      <c r="E128" t="s">
        <v>94</v>
      </c>
      <c r="F128" t="s">
        <v>639</v>
      </c>
      <c r="G128" s="1">
        <v>40848</v>
      </c>
      <c r="H128">
        <v>136200</v>
      </c>
      <c r="I128" t="s">
        <v>30</v>
      </c>
      <c r="J128" t="s">
        <v>53</v>
      </c>
      <c r="K128" t="s">
        <v>106</v>
      </c>
      <c r="L128" t="s">
        <v>33</v>
      </c>
      <c r="M128">
        <v>8</v>
      </c>
      <c r="N128" t="s">
        <v>34</v>
      </c>
      <c r="O128">
        <v>2</v>
      </c>
      <c r="P128">
        <v>2</v>
      </c>
      <c r="Q128">
        <v>1</v>
      </c>
      <c r="R128">
        <v>3</v>
      </c>
      <c r="S128">
        <v>4</v>
      </c>
      <c r="T128">
        <v>8</v>
      </c>
      <c r="U128">
        <v>11</v>
      </c>
      <c r="V128" t="s">
        <v>708</v>
      </c>
      <c r="W128" t="s">
        <v>34</v>
      </c>
      <c r="Y128" s="2" t="str">
        <f>IF(EmployeeData[[#This Row],[Age]]&lt;25,"Under 25",IF(EmployeeData[[#This Row],[Age]]&lt;=34,"25-34",IF(EmployeeData[[#This Row],[Age]]&lt;=44,"35-44",IF(EmployeeData[[#This Row],[Age]]&lt;=54,"45-54","55+"))))</f>
        <v>Under 25</v>
      </c>
      <c r="Z128">
        <f ca="1">DATEDIF(EmployeeData[[#This Row],[DateOfJoining]],IF(AND(EmployeeData[[#This Row],[Attrition]]="Yes",EmployeeData[[#This Row],[LastWorkingDate]]&lt;&gt;""),EmployeeData[[#This Row],[LastWorkingDate]],TODAY()),"Y")</f>
        <v>14</v>
      </c>
      <c r="AA128" t="str">
        <f>IF(EmployeeData[[#This Row],[MonthlyIncome]]&lt;30000,"Low",IF(EmployeeData[[#This Row],[MonthlyIncome]]&lt;=60000,"Medium",IF(EmployeeData[[#This Row],[MonthlyIncome]]&lt;=100000,"High","Very High")))</f>
        <v>Very High</v>
      </c>
      <c r="AB128">
        <f>IF(EmployeeData[[#This Row],[Attrition]]="Yes",1,0)</f>
        <v>0</v>
      </c>
      <c r="AC128" t="str">
        <f ca="1">IF(EmployeeData[[#This Row],[Tenure Years]]&lt;1,"Less than 1 Year",IF(EmployeeData[[#This Row],[Tenure Years]]&lt;=3,"1-3 Years",IF(EmployeeData[[#This Row],[Tenure Years]]&lt;=5,"4-5 Years",IF(EmployeeData[[#This Row],[Tenure Years]]&lt;=10,"6-10 Years","More than 10 Years"))))</f>
        <v>More than 10 Years</v>
      </c>
      <c r="AD128">
        <f>ROUND(AVERAGE(EmployeeData[[#This Row],[JobSatisfaction]],EmployeeData[[#This Row],[EnvironmentSatisfaction]],EmployeeData[[#This Row],[WorkLifeBalance]]),2)</f>
        <v>1.67</v>
      </c>
      <c r="AE128" t="str">
        <f>IF(EmployeeData[[#This Row],[Satisfaction Score]]&lt;2,"Low",IF(EmployeeData[[#This Row],[Satisfaction Score]]&lt;3,"Medium","High"))</f>
        <v>Low</v>
      </c>
    </row>
    <row r="129" spans="1:31" x14ac:dyDescent="0.25">
      <c r="A129" t="s">
        <v>709</v>
      </c>
      <c r="B129" t="s">
        <v>710</v>
      </c>
      <c r="C129" t="s">
        <v>49</v>
      </c>
      <c r="D129">
        <v>34</v>
      </c>
      <c r="E129" t="s">
        <v>94</v>
      </c>
      <c r="F129" t="s">
        <v>356</v>
      </c>
      <c r="G129" s="1">
        <v>42997</v>
      </c>
      <c r="H129">
        <v>132515</v>
      </c>
      <c r="I129" t="s">
        <v>42</v>
      </c>
      <c r="J129" t="s">
        <v>97</v>
      </c>
      <c r="K129" t="s">
        <v>83</v>
      </c>
      <c r="L129" t="s">
        <v>43</v>
      </c>
      <c r="M129">
        <v>4</v>
      </c>
      <c r="N129" t="s">
        <v>34</v>
      </c>
      <c r="O129">
        <v>1</v>
      </c>
      <c r="P129">
        <v>1</v>
      </c>
      <c r="Q129">
        <v>4</v>
      </c>
      <c r="R129">
        <v>4</v>
      </c>
      <c r="S129">
        <v>5</v>
      </c>
      <c r="T129">
        <v>6</v>
      </c>
      <c r="U129">
        <v>21</v>
      </c>
      <c r="V129" t="s">
        <v>712</v>
      </c>
      <c r="W129" t="s">
        <v>34</v>
      </c>
      <c r="Y129" s="2" t="str">
        <f>IF(EmployeeData[[#This Row],[Age]]&lt;25,"Under 25",IF(EmployeeData[[#This Row],[Age]]&lt;=34,"25-34",IF(EmployeeData[[#This Row],[Age]]&lt;=44,"35-44",IF(EmployeeData[[#This Row],[Age]]&lt;=54,"45-54","55+"))))</f>
        <v>25-34</v>
      </c>
      <c r="Z129">
        <f ca="1">DATEDIF(EmployeeData[[#This Row],[DateOfJoining]],IF(AND(EmployeeData[[#This Row],[Attrition]]="Yes",EmployeeData[[#This Row],[LastWorkingDate]]&lt;&gt;""),EmployeeData[[#This Row],[LastWorkingDate]],TODAY()),"Y")</f>
        <v>8</v>
      </c>
      <c r="AA129" t="str">
        <f>IF(EmployeeData[[#This Row],[MonthlyIncome]]&lt;30000,"Low",IF(EmployeeData[[#This Row],[MonthlyIncome]]&lt;=60000,"Medium",IF(EmployeeData[[#This Row],[MonthlyIncome]]&lt;=100000,"High","Very High")))</f>
        <v>Very High</v>
      </c>
      <c r="AB129">
        <f>IF(EmployeeData[[#This Row],[Attrition]]="Yes",1,0)</f>
        <v>0</v>
      </c>
      <c r="AC129" t="str">
        <f ca="1">IF(EmployeeData[[#This Row],[Tenure Years]]&lt;1,"Less than 1 Year",IF(EmployeeData[[#This Row],[Tenure Years]]&lt;=3,"1-3 Years",IF(EmployeeData[[#This Row],[Tenure Years]]&lt;=5,"4-5 Years",IF(EmployeeData[[#This Row],[Tenure Years]]&lt;=10,"6-10 Years","More than 10 Years"))))</f>
        <v>6-10 Years</v>
      </c>
      <c r="AD129">
        <f>ROUND(AVERAGE(EmployeeData[[#This Row],[JobSatisfaction]],EmployeeData[[#This Row],[EnvironmentSatisfaction]],EmployeeData[[#This Row],[WorkLifeBalance]]),2)</f>
        <v>2</v>
      </c>
      <c r="AE129" t="str">
        <f>IF(EmployeeData[[#This Row],[Satisfaction Score]]&lt;2,"Low",IF(EmployeeData[[#This Row],[Satisfaction Score]]&lt;3,"Medium","High"))</f>
        <v>Medium</v>
      </c>
    </row>
    <row r="130" spans="1:31" x14ac:dyDescent="0.25">
      <c r="A130" t="s">
        <v>713</v>
      </c>
      <c r="B130" t="s">
        <v>714</v>
      </c>
      <c r="C130" t="s">
        <v>49</v>
      </c>
      <c r="D130">
        <v>36</v>
      </c>
      <c r="E130" t="s">
        <v>5461</v>
      </c>
      <c r="F130" t="s">
        <v>5464</v>
      </c>
      <c r="G130" s="1">
        <v>45215</v>
      </c>
      <c r="H130">
        <v>107774</v>
      </c>
      <c r="I130" t="s">
        <v>30</v>
      </c>
      <c r="J130" t="s">
        <v>31</v>
      </c>
      <c r="K130" t="s">
        <v>83</v>
      </c>
      <c r="L130" t="s">
        <v>62</v>
      </c>
      <c r="M130">
        <v>16</v>
      </c>
      <c r="N130" t="s">
        <v>45</v>
      </c>
      <c r="O130">
        <v>3</v>
      </c>
      <c r="P130">
        <v>2</v>
      </c>
      <c r="Q130">
        <v>3</v>
      </c>
      <c r="R130">
        <v>3</v>
      </c>
      <c r="S130">
        <v>6</v>
      </c>
      <c r="T130">
        <v>2</v>
      </c>
      <c r="U130">
        <v>11</v>
      </c>
      <c r="V130" t="s">
        <v>716</v>
      </c>
      <c r="W130" t="s">
        <v>34</v>
      </c>
      <c r="Y130" s="2" t="str">
        <f>IF(EmployeeData[[#This Row],[Age]]&lt;25,"Under 25",IF(EmployeeData[[#This Row],[Age]]&lt;=34,"25-34",IF(EmployeeData[[#This Row],[Age]]&lt;=44,"35-44",IF(EmployeeData[[#This Row],[Age]]&lt;=54,"45-54","55+"))))</f>
        <v>35-44</v>
      </c>
      <c r="Z130">
        <f ca="1">DATEDIF(EmployeeData[[#This Row],[DateOfJoining]],IF(AND(EmployeeData[[#This Row],[Attrition]]="Yes",EmployeeData[[#This Row],[LastWorkingDate]]&lt;&gt;""),EmployeeData[[#This Row],[LastWorkingDate]],TODAY()),"Y")</f>
        <v>2</v>
      </c>
      <c r="AA130" t="str">
        <f>IF(EmployeeData[[#This Row],[MonthlyIncome]]&lt;30000,"Low",IF(EmployeeData[[#This Row],[MonthlyIncome]]&lt;=60000,"Medium",IF(EmployeeData[[#This Row],[MonthlyIncome]]&lt;=100000,"High","Very High")))</f>
        <v>Very High</v>
      </c>
      <c r="AB130">
        <f>IF(EmployeeData[[#This Row],[Attrition]]="Yes",1,0)</f>
        <v>0</v>
      </c>
      <c r="AC130" t="str">
        <f ca="1">IF(EmployeeData[[#This Row],[Tenure Years]]&lt;1,"Less than 1 Year",IF(EmployeeData[[#This Row],[Tenure Years]]&lt;=3,"1-3 Years",IF(EmployeeData[[#This Row],[Tenure Years]]&lt;=5,"4-5 Years",IF(EmployeeData[[#This Row],[Tenure Years]]&lt;=10,"6-10 Years","More than 10 Years"))))</f>
        <v>1-3 Years</v>
      </c>
      <c r="AD130">
        <f>ROUND(AVERAGE(EmployeeData[[#This Row],[JobSatisfaction]],EmployeeData[[#This Row],[EnvironmentSatisfaction]],EmployeeData[[#This Row],[WorkLifeBalance]]),2)</f>
        <v>2.67</v>
      </c>
      <c r="AE130" t="str">
        <f>IF(EmployeeData[[#This Row],[Satisfaction Score]]&lt;2,"Low",IF(EmployeeData[[#This Row],[Satisfaction Score]]&lt;3,"Medium","High"))</f>
        <v>Medium</v>
      </c>
    </row>
    <row r="131" spans="1:31" x14ac:dyDescent="0.25">
      <c r="A131" t="s">
        <v>717</v>
      </c>
      <c r="B131" t="s">
        <v>718</v>
      </c>
      <c r="C131" t="s">
        <v>58</v>
      </c>
      <c r="D131">
        <v>37</v>
      </c>
      <c r="E131" t="s">
        <v>5461</v>
      </c>
      <c r="F131" t="s">
        <v>89</v>
      </c>
      <c r="G131" s="1">
        <v>43195</v>
      </c>
      <c r="H131">
        <v>103865</v>
      </c>
      <c r="I131" t="s">
        <v>30</v>
      </c>
      <c r="J131" t="s">
        <v>61</v>
      </c>
      <c r="K131" t="s">
        <v>98</v>
      </c>
      <c r="L131" t="s">
        <v>43</v>
      </c>
      <c r="M131">
        <v>33</v>
      </c>
      <c r="N131" t="s">
        <v>34</v>
      </c>
      <c r="O131">
        <v>2</v>
      </c>
      <c r="P131">
        <v>1</v>
      </c>
      <c r="Q131">
        <v>2</v>
      </c>
      <c r="R131">
        <v>4</v>
      </c>
      <c r="S131">
        <v>4</v>
      </c>
      <c r="T131">
        <v>5</v>
      </c>
      <c r="U131">
        <v>14</v>
      </c>
      <c r="V131" t="s">
        <v>720</v>
      </c>
      <c r="W131" t="s">
        <v>34</v>
      </c>
      <c r="Y131" s="2" t="str">
        <f>IF(EmployeeData[[#This Row],[Age]]&lt;25,"Under 25",IF(EmployeeData[[#This Row],[Age]]&lt;=34,"25-34",IF(EmployeeData[[#This Row],[Age]]&lt;=44,"35-44",IF(EmployeeData[[#This Row],[Age]]&lt;=54,"45-54","55+"))))</f>
        <v>35-44</v>
      </c>
      <c r="Z131">
        <f ca="1">DATEDIF(EmployeeData[[#This Row],[DateOfJoining]],IF(AND(EmployeeData[[#This Row],[Attrition]]="Yes",EmployeeData[[#This Row],[LastWorkingDate]]&lt;&gt;""),EmployeeData[[#This Row],[LastWorkingDate]],TODAY()),"Y")</f>
        <v>8</v>
      </c>
      <c r="AA131" t="str">
        <f>IF(EmployeeData[[#This Row],[MonthlyIncome]]&lt;30000,"Low",IF(EmployeeData[[#This Row],[MonthlyIncome]]&lt;=60000,"Medium",IF(EmployeeData[[#This Row],[MonthlyIncome]]&lt;=100000,"High","Very High")))</f>
        <v>Very High</v>
      </c>
      <c r="AB131">
        <f>IF(EmployeeData[[#This Row],[Attrition]]="Yes",1,0)</f>
        <v>0</v>
      </c>
      <c r="AC131" t="str">
        <f ca="1">IF(EmployeeData[[#This Row],[Tenure Years]]&lt;1,"Less than 1 Year",IF(EmployeeData[[#This Row],[Tenure Years]]&lt;=3,"1-3 Years",IF(EmployeeData[[#This Row],[Tenure Years]]&lt;=5,"4-5 Years",IF(EmployeeData[[#This Row],[Tenure Years]]&lt;=10,"6-10 Years","More than 10 Years"))))</f>
        <v>6-10 Years</v>
      </c>
      <c r="AD131">
        <f>ROUND(AVERAGE(EmployeeData[[#This Row],[JobSatisfaction]],EmployeeData[[#This Row],[EnvironmentSatisfaction]],EmployeeData[[#This Row],[WorkLifeBalance]]),2)</f>
        <v>1.67</v>
      </c>
      <c r="AE131" t="str">
        <f>IF(EmployeeData[[#This Row],[Satisfaction Score]]&lt;2,"Low",IF(EmployeeData[[#This Row],[Satisfaction Score]]&lt;3,"Medium","High"))</f>
        <v>Low</v>
      </c>
    </row>
    <row r="132" spans="1:31" x14ac:dyDescent="0.25">
      <c r="A132" t="s">
        <v>721</v>
      </c>
      <c r="B132" t="s">
        <v>722</v>
      </c>
      <c r="C132" t="s">
        <v>49</v>
      </c>
      <c r="D132">
        <v>41</v>
      </c>
      <c r="E132" t="s">
        <v>128</v>
      </c>
      <c r="F132" t="s">
        <v>255</v>
      </c>
      <c r="G132" s="1">
        <v>43583</v>
      </c>
      <c r="H132">
        <v>45292</v>
      </c>
      <c r="I132" t="s">
        <v>30</v>
      </c>
      <c r="J132" t="s">
        <v>31</v>
      </c>
      <c r="K132" t="s">
        <v>113</v>
      </c>
      <c r="L132" t="s">
        <v>43</v>
      </c>
      <c r="M132">
        <v>43</v>
      </c>
      <c r="N132" t="s">
        <v>45</v>
      </c>
      <c r="O132">
        <v>3</v>
      </c>
      <c r="P132">
        <v>4</v>
      </c>
      <c r="Q132">
        <v>4</v>
      </c>
      <c r="R132">
        <v>3</v>
      </c>
      <c r="S132">
        <v>3</v>
      </c>
      <c r="T132">
        <v>4</v>
      </c>
      <c r="U132">
        <v>22</v>
      </c>
      <c r="V132" t="s">
        <v>724</v>
      </c>
      <c r="W132" t="s">
        <v>34</v>
      </c>
      <c r="Y132" s="2" t="str">
        <f>IF(EmployeeData[[#This Row],[Age]]&lt;25,"Under 25",IF(EmployeeData[[#This Row],[Age]]&lt;=34,"25-34",IF(EmployeeData[[#This Row],[Age]]&lt;=44,"35-44",IF(EmployeeData[[#This Row],[Age]]&lt;=54,"45-54","55+"))))</f>
        <v>35-44</v>
      </c>
      <c r="Z132">
        <f ca="1">DATEDIF(EmployeeData[[#This Row],[DateOfJoining]],IF(AND(EmployeeData[[#This Row],[Attrition]]="Yes",EmployeeData[[#This Row],[LastWorkingDate]]&lt;&gt;""),EmployeeData[[#This Row],[LastWorkingDate]],TODAY()),"Y")</f>
        <v>7</v>
      </c>
      <c r="AA132" t="str">
        <f>IF(EmployeeData[[#This Row],[MonthlyIncome]]&lt;30000,"Low",IF(EmployeeData[[#This Row],[MonthlyIncome]]&lt;=60000,"Medium",IF(EmployeeData[[#This Row],[MonthlyIncome]]&lt;=100000,"High","Very High")))</f>
        <v>Medium</v>
      </c>
      <c r="AB132">
        <f>IF(EmployeeData[[#This Row],[Attrition]]="Yes",1,0)</f>
        <v>0</v>
      </c>
      <c r="AC132" t="str">
        <f ca="1">IF(EmployeeData[[#This Row],[Tenure Years]]&lt;1,"Less than 1 Year",IF(EmployeeData[[#This Row],[Tenure Years]]&lt;=3,"1-3 Years",IF(EmployeeData[[#This Row],[Tenure Years]]&lt;=5,"4-5 Years",IF(EmployeeData[[#This Row],[Tenure Years]]&lt;=10,"6-10 Years","More than 10 Years"))))</f>
        <v>6-10 Years</v>
      </c>
      <c r="AD132">
        <f>ROUND(AVERAGE(EmployeeData[[#This Row],[JobSatisfaction]],EmployeeData[[#This Row],[EnvironmentSatisfaction]],EmployeeData[[#This Row],[WorkLifeBalance]]),2)</f>
        <v>3.67</v>
      </c>
      <c r="AE132" t="str">
        <f>IF(EmployeeData[[#This Row],[Satisfaction Score]]&lt;2,"Low",IF(EmployeeData[[#This Row],[Satisfaction Score]]&lt;3,"Medium","High"))</f>
        <v>High</v>
      </c>
    </row>
    <row r="133" spans="1:31" x14ac:dyDescent="0.25">
      <c r="A133" t="s">
        <v>725</v>
      </c>
      <c r="B133" t="s">
        <v>726</v>
      </c>
      <c r="C133" t="s">
        <v>49</v>
      </c>
      <c r="D133">
        <v>34</v>
      </c>
      <c r="E133" t="s">
        <v>5461</v>
      </c>
      <c r="F133" t="s">
        <v>5463</v>
      </c>
      <c r="G133" s="1">
        <v>44478</v>
      </c>
      <c r="H133">
        <v>53467</v>
      </c>
      <c r="I133" t="s">
        <v>42</v>
      </c>
      <c r="J133" t="s">
        <v>143</v>
      </c>
      <c r="K133" t="s">
        <v>200</v>
      </c>
      <c r="L133" t="s">
        <v>33</v>
      </c>
      <c r="M133">
        <v>33</v>
      </c>
      <c r="N133" t="s">
        <v>34</v>
      </c>
      <c r="O133">
        <v>1</v>
      </c>
      <c r="P133">
        <v>1</v>
      </c>
      <c r="Q133">
        <v>1</v>
      </c>
      <c r="R133">
        <v>2</v>
      </c>
      <c r="S133">
        <v>6</v>
      </c>
      <c r="T133">
        <v>6</v>
      </c>
      <c r="U133">
        <v>19</v>
      </c>
      <c r="V133" t="s">
        <v>729</v>
      </c>
      <c r="W133" t="s">
        <v>34</v>
      </c>
      <c r="Y133" s="2" t="str">
        <f>IF(EmployeeData[[#This Row],[Age]]&lt;25,"Under 25",IF(EmployeeData[[#This Row],[Age]]&lt;=34,"25-34",IF(EmployeeData[[#This Row],[Age]]&lt;=44,"35-44",IF(EmployeeData[[#This Row],[Age]]&lt;=54,"45-54","55+"))))</f>
        <v>25-34</v>
      </c>
      <c r="Z133">
        <f ca="1">DATEDIF(EmployeeData[[#This Row],[DateOfJoining]],IF(AND(EmployeeData[[#This Row],[Attrition]]="Yes",EmployeeData[[#This Row],[LastWorkingDate]]&lt;&gt;""),EmployeeData[[#This Row],[LastWorkingDate]],TODAY()),"Y")</f>
        <v>4</v>
      </c>
      <c r="AA133" t="str">
        <f>IF(EmployeeData[[#This Row],[MonthlyIncome]]&lt;30000,"Low",IF(EmployeeData[[#This Row],[MonthlyIncome]]&lt;=60000,"Medium",IF(EmployeeData[[#This Row],[MonthlyIncome]]&lt;=100000,"High","Very High")))</f>
        <v>Medium</v>
      </c>
      <c r="AB133">
        <f>IF(EmployeeData[[#This Row],[Attrition]]="Yes",1,0)</f>
        <v>0</v>
      </c>
      <c r="AC133" t="str">
        <f ca="1">IF(EmployeeData[[#This Row],[Tenure Years]]&lt;1,"Less than 1 Year",IF(EmployeeData[[#This Row],[Tenure Years]]&lt;=3,"1-3 Years",IF(EmployeeData[[#This Row],[Tenure Years]]&lt;=5,"4-5 Years",IF(EmployeeData[[#This Row],[Tenure Years]]&lt;=10,"6-10 Years","More than 10 Years"))))</f>
        <v>4-5 Years</v>
      </c>
      <c r="AD133">
        <f>ROUND(AVERAGE(EmployeeData[[#This Row],[JobSatisfaction]],EmployeeData[[#This Row],[EnvironmentSatisfaction]],EmployeeData[[#This Row],[WorkLifeBalance]]),2)</f>
        <v>1</v>
      </c>
      <c r="AE133" t="str">
        <f>IF(EmployeeData[[#This Row],[Satisfaction Score]]&lt;2,"Low",IF(EmployeeData[[#This Row],[Satisfaction Score]]&lt;3,"Medium","High"))</f>
        <v>Low</v>
      </c>
    </row>
    <row r="134" spans="1:31" x14ac:dyDescent="0.25">
      <c r="A134" t="s">
        <v>730</v>
      </c>
      <c r="B134" t="s">
        <v>731</v>
      </c>
      <c r="C134" t="s">
        <v>49</v>
      </c>
      <c r="D134">
        <v>31</v>
      </c>
      <c r="E134" t="s">
        <v>5461</v>
      </c>
      <c r="F134" t="s">
        <v>89</v>
      </c>
      <c r="G134" s="1">
        <v>45510</v>
      </c>
      <c r="H134">
        <v>48338</v>
      </c>
      <c r="I134" t="s">
        <v>42</v>
      </c>
      <c r="J134" t="s">
        <v>31</v>
      </c>
      <c r="K134" t="s">
        <v>98</v>
      </c>
      <c r="L134" t="s">
        <v>43</v>
      </c>
      <c r="M134">
        <v>43</v>
      </c>
      <c r="N134" t="s">
        <v>34</v>
      </c>
      <c r="O134">
        <v>3</v>
      </c>
      <c r="P134">
        <v>3</v>
      </c>
      <c r="Q134">
        <v>2</v>
      </c>
      <c r="R134">
        <v>3</v>
      </c>
      <c r="S134">
        <v>0</v>
      </c>
      <c r="T134">
        <v>7</v>
      </c>
      <c r="U134">
        <v>16</v>
      </c>
      <c r="V134" t="s">
        <v>732</v>
      </c>
      <c r="W134" t="s">
        <v>45</v>
      </c>
      <c r="X134" s="1">
        <v>45903</v>
      </c>
      <c r="Y134" s="2" t="str">
        <f>IF(EmployeeData[[#This Row],[Age]]&lt;25,"Under 25",IF(EmployeeData[[#This Row],[Age]]&lt;=34,"25-34",IF(EmployeeData[[#This Row],[Age]]&lt;=44,"35-44",IF(EmployeeData[[#This Row],[Age]]&lt;=54,"45-54","55+"))))</f>
        <v>25-34</v>
      </c>
      <c r="Z134">
        <f ca="1">DATEDIF(EmployeeData[[#This Row],[DateOfJoining]],IF(AND(EmployeeData[[#This Row],[Attrition]]="Yes",EmployeeData[[#This Row],[LastWorkingDate]]&lt;&gt;""),EmployeeData[[#This Row],[LastWorkingDate]],TODAY()),"Y")</f>
        <v>1</v>
      </c>
      <c r="AA134" t="str">
        <f>IF(EmployeeData[[#This Row],[MonthlyIncome]]&lt;30000,"Low",IF(EmployeeData[[#This Row],[MonthlyIncome]]&lt;=60000,"Medium",IF(EmployeeData[[#This Row],[MonthlyIncome]]&lt;=100000,"High","Very High")))</f>
        <v>Medium</v>
      </c>
      <c r="AB134">
        <f>IF(EmployeeData[[#This Row],[Attrition]]="Yes",1,0)</f>
        <v>1</v>
      </c>
      <c r="AC134" t="str">
        <f ca="1">IF(EmployeeData[[#This Row],[Tenure Years]]&lt;1,"Less than 1 Year",IF(EmployeeData[[#This Row],[Tenure Years]]&lt;=3,"1-3 Years",IF(EmployeeData[[#This Row],[Tenure Years]]&lt;=5,"4-5 Years",IF(EmployeeData[[#This Row],[Tenure Years]]&lt;=10,"6-10 Years","More than 10 Years"))))</f>
        <v>1-3 Years</v>
      </c>
      <c r="AD134">
        <f>ROUND(AVERAGE(EmployeeData[[#This Row],[JobSatisfaction]],EmployeeData[[#This Row],[EnvironmentSatisfaction]],EmployeeData[[#This Row],[WorkLifeBalance]]),2)</f>
        <v>2.67</v>
      </c>
      <c r="AE134" t="str">
        <f>IF(EmployeeData[[#This Row],[Satisfaction Score]]&lt;2,"Low",IF(EmployeeData[[#This Row],[Satisfaction Score]]&lt;3,"Medium","High"))</f>
        <v>Medium</v>
      </c>
    </row>
    <row r="135" spans="1:31" x14ac:dyDescent="0.25">
      <c r="A135" t="s">
        <v>734</v>
      </c>
      <c r="B135" t="s">
        <v>735</v>
      </c>
      <c r="C135" t="s">
        <v>58</v>
      </c>
      <c r="D135">
        <v>40</v>
      </c>
      <c r="E135" t="s">
        <v>5459</v>
      </c>
      <c r="F135" t="s">
        <v>5459</v>
      </c>
      <c r="G135" s="1">
        <v>43578</v>
      </c>
      <c r="H135">
        <v>90390</v>
      </c>
      <c r="I135" t="s">
        <v>42</v>
      </c>
      <c r="J135" t="s">
        <v>31</v>
      </c>
      <c r="K135" t="s">
        <v>98</v>
      </c>
      <c r="L135" t="s">
        <v>62</v>
      </c>
      <c r="M135">
        <v>23</v>
      </c>
      <c r="N135" t="s">
        <v>45</v>
      </c>
      <c r="O135">
        <v>4</v>
      </c>
      <c r="P135">
        <v>3</v>
      </c>
      <c r="Q135">
        <v>1</v>
      </c>
      <c r="R135">
        <v>3</v>
      </c>
      <c r="S135">
        <v>6</v>
      </c>
      <c r="T135">
        <v>6</v>
      </c>
      <c r="U135">
        <v>19</v>
      </c>
      <c r="V135" t="s">
        <v>738</v>
      </c>
      <c r="W135" t="s">
        <v>45</v>
      </c>
      <c r="X135" s="1">
        <v>45123</v>
      </c>
      <c r="Y135" s="2" t="str">
        <f>IF(EmployeeData[[#This Row],[Age]]&lt;25,"Under 25",IF(EmployeeData[[#This Row],[Age]]&lt;=34,"25-34",IF(EmployeeData[[#This Row],[Age]]&lt;=44,"35-44",IF(EmployeeData[[#This Row],[Age]]&lt;=54,"45-54","55+"))))</f>
        <v>35-44</v>
      </c>
      <c r="Z135">
        <f ca="1">DATEDIF(EmployeeData[[#This Row],[DateOfJoining]],IF(AND(EmployeeData[[#This Row],[Attrition]]="Yes",EmployeeData[[#This Row],[LastWorkingDate]]&lt;&gt;""),EmployeeData[[#This Row],[LastWorkingDate]],TODAY()),"Y")</f>
        <v>4</v>
      </c>
      <c r="AA135" t="str">
        <f>IF(EmployeeData[[#This Row],[MonthlyIncome]]&lt;30000,"Low",IF(EmployeeData[[#This Row],[MonthlyIncome]]&lt;=60000,"Medium",IF(EmployeeData[[#This Row],[MonthlyIncome]]&lt;=100000,"High","Very High")))</f>
        <v>High</v>
      </c>
      <c r="AB135">
        <f>IF(EmployeeData[[#This Row],[Attrition]]="Yes",1,0)</f>
        <v>1</v>
      </c>
      <c r="AC135" t="str">
        <f ca="1">IF(EmployeeData[[#This Row],[Tenure Years]]&lt;1,"Less than 1 Year",IF(EmployeeData[[#This Row],[Tenure Years]]&lt;=3,"1-3 Years",IF(EmployeeData[[#This Row],[Tenure Years]]&lt;=5,"4-5 Years",IF(EmployeeData[[#This Row],[Tenure Years]]&lt;=10,"6-10 Years","More than 10 Years"))))</f>
        <v>4-5 Years</v>
      </c>
      <c r="AD135">
        <f>ROUND(AVERAGE(EmployeeData[[#This Row],[JobSatisfaction]],EmployeeData[[#This Row],[EnvironmentSatisfaction]],EmployeeData[[#This Row],[WorkLifeBalance]]),2)</f>
        <v>2.67</v>
      </c>
      <c r="AE135" t="str">
        <f>IF(EmployeeData[[#This Row],[Satisfaction Score]]&lt;2,"Low",IF(EmployeeData[[#This Row],[Satisfaction Score]]&lt;3,"Medium","High"))</f>
        <v>Medium</v>
      </c>
    </row>
    <row r="136" spans="1:31" x14ac:dyDescent="0.25">
      <c r="A136" t="s">
        <v>740</v>
      </c>
      <c r="B136" t="s">
        <v>741</v>
      </c>
      <c r="C136" t="s">
        <v>58</v>
      </c>
      <c r="D136">
        <v>38</v>
      </c>
      <c r="E136" t="s">
        <v>94</v>
      </c>
      <c r="F136" t="s">
        <v>266</v>
      </c>
      <c r="G136" s="1">
        <v>46027</v>
      </c>
      <c r="H136">
        <v>128459</v>
      </c>
      <c r="I136" t="s">
        <v>52</v>
      </c>
      <c r="J136" t="s">
        <v>31</v>
      </c>
      <c r="K136" t="s">
        <v>83</v>
      </c>
      <c r="L136" t="s">
        <v>33</v>
      </c>
      <c r="M136">
        <v>38</v>
      </c>
      <c r="N136" t="s">
        <v>34</v>
      </c>
      <c r="O136">
        <v>1</v>
      </c>
      <c r="P136">
        <v>1</v>
      </c>
      <c r="Q136">
        <v>4</v>
      </c>
      <c r="R136">
        <v>3</v>
      </c>
      <c r="S136">
        <v>4</v>
      </c>
      <c r="T136">
        <v>2</v>
      </c>
      <c r="U136">
        <v>22</v>
      </c>
      <c r="V136" t="s">
        <v>744</v>
      </c>
      <c r="W136" t="s">
        <v>45</v>
      </c>
      <c r="X136" s="1">
        <v>46225</v>
      </c>
      <c r="Y136" s="2" t="str">
        <f>IF(EmployeeData[[#This Row],[Age]]&lt;25,"Under 25",IF(EmployeeData[[#This Row],[Age]]&lt;=34,"25-34",IF(EmployeeData[[#This Row],[Age]]&lt;=44,"35-44",IF(EmployeeData[[#This Row],[Age]]&lt;=54,"45-54","55+"))))</f>
        <v>35-44</v>
      </c>
      <c r="Z136">
        <f ca="1">DATEDIF(EmployeeData[[#This Row],[DateOfJoining]],IF(AND(EmployeeData[[#This Row],[Attrition]]="Yes",EmployeeData[[#This Row],[LastWorkingDate]]&lt;&gt;""),EmployeeData[[#This Row],[LastWorkingDate]],TODAY()),"Y")</f>
        <v>0</v>
      </c>
      <c r="AA136" t="str">
        <f>IF(EmployeeData[[#This Row],[MonthlyIncome]]&lt;30000,"Low",IF(EmployeeData[[#This Row],[MonthlyIncome]]&lt;=60000,"Medium",IF(EmployeeData[[#This Row],[MonthlyIncome]]&lt;=100000,"High","Very High")))</f>
        <v>Very High</v>
      </c>
      <c r="AB136">
        <f>IF(EmployeeData[[#This Row],[Attrition]]="Yes",1,0)</f>
        <v>1</v>
      </c>
      <c r="AC136" t="str">
        <f ca="1">IF(EmployeeData[[#This Row],[Tenure Years]]&lt;1,"Less than 1 Year",IF(EmployeeData[[#This Row],[Tenure Years]]&lt;=3,"1-3 Years",IF(EmployeeData[[#This Row],[Tenure Years]]&lt;=5,"4-5 Years",IF(EmployeeData[[#This Row],[Tenure Years]]&lt;=10,"6-10 Years","More than 10 Years"))))</f>
        <v>Less than 1 Year</v>
      </c>
      <c r="AD136">
        <f>ROUND(AVERAGE(EmployeeData[[#This Row],[JobSatisfaction]],EmployeeData[[#This Row],[EnvironmentSatisfaction]],EmployeeData[[#This Row],[WorkLifeBalance]]),2)</f>
        <v>2</v>
      </c>
      <c r="AE136" t="str">
        <f>IF(EmployeeData[[#This Row],[Satisfaction Score]]&lt;2,"Low",IF(EmployeeData[[#This Row],[Satisfaction Score]]&lt;3,"Medium","High"))</f>
        <v>Medium</v>
      </c>
    </row>
    <row r="137" spans="1:31" x14ac:dyDescent="0.25">
      <c r="A137" t="s">
        <v>746</v>
      </c>
      <c r="B137" t="s">
        <v>747</v>
      </c>
      <c r="C137" t="s">
        <v>49</v>
      </c>
      <c r="D137">
        <v>45</v>
      </c>
      <c r="E137" t="s">
        <v>5461</v>
      </c>
      <c r="F137" t="s">
        <v>5463</v>
      </c>
      <c r="G137" s="1">
        <v>43176</v>
      </c>
      <c r="H137">
        <v>109667</v>
      </c>
      <c r="I137" t="s">
        <v>42</v>
      </c>
      <c r="J137" t="s">
        <v>61</v>
      </c>
      <c r="K137" t="s">
        <v>98</v>
      </c>
      <c r="L137" t="s">
        <v>62</v>
      </c>
      <c r="M137">
        <v>8</v>
      </c>
      <c r="N137" t="s">
        <v>34</v>
      </c>
      <c r="O137">
        <v>3</v>
      </c>
      <c r="P137">
        <v>3</v>
      </c>
      <c r="Q137">
        <v>3</v>
      </c>
      <c r="R137">
        <v>4</v>
      </c>
      <c r="S137">
        <v>5</v>
      </c>
      <c r="T137">
        <v>6</v>
      </c>
      <c r="U137">
        <v>13</v>
      </c>
      <c r="V137" t="s">
        <v>750</v>
      </c>
      <c r="W137" t="s">
        <v>34</v>
      </c>
      <c r="Y137" s="2" t="str">
        <f>IF(EmployeeData[[#This Row],[Age]]&lt;25,"Under 25",IF(EmployeeData[[#This Row],[Age]]&lt;=34,"25-34",IF(EmployeeData[[#This Row],[Age]]&lt;=44,"35-44",IF(EmployeeData[[#This Row],[Age]]&lt;=54,"45-54","55+"))))</f>
        <v>45-54</v>
      </c>
      <c r="Z137">
        <f ca="1">DATEDIF(EmployeeData[[#This Row],[DateOfJoining]],IF(AND(EmployeeData[[#This Row],[Attrition]]="Yes",EmployeeData[[#This Row],[LastWorkingDate]]&lt;&gt;""),EmployeeData[[#This Row],[LastWorkingDate]],TODAY()),"Y")</f>
        <v>8</v>
      </c>
      <c r="AA137" t="str">
        <f>IF(EmployeeData[[#This Row],[MonthlyIncome]]&lt;30000,"Low",IF(EmployeeData[[#This Row],[MonthlyIncome]]&lt;=60000,"Medium",IF(EmployeeData[[#This Row],[MonthlyIncome]]&lt;=100000,"High","Very High")))</f>
        <v>Very High</v>
      </c>
      <c r="AB137">
        <f>IF(EmployeeData[[#This Row],[Attrition]]="Yes",1,0)</f>
        <v>0</v>
      </c>
      <c r="AC137" t="str">
        <f ca="1">IF(EmployeeData[[#This Row],[Tenure Years]]&lt;1,"Less than 1 Year",IF(EmployeeData[[#This Row],[Tenure Years]]&lt;=3,"1-3 Years",IF(EmployeeData[[#This Row],[Tenure Years]]&lt;=5,"4-5 Years",IF(EmployeeData[[#This Row],[Tenure Years]]&lt;=10,"6-10 Years","More than 10 Years"))))</f>
        <v>6-10 Years</v>
      </c>
      <c r="AD137">
        <f>ROUND(AVERAGE(EmployeeData[[#This Row],[JobSatisfaction]],EmployeeData[[#This Row],[EnvironmentSatisfaction]],EmployeeData[[#This Row],[WorkLifeBalance]]),2)</f>
        <v>3</v>
      </c>
      <c r="AE137" t="str">
        <f>IF(EmployeeData[[#This Row],[Satisfaction Score]]&lt;2,"Low",IF(EmployeeData[[#This Row],[Satisfaction Score]]&lt;3,"Medium","High"))</f>
        <v>High</v>
      </c>
    </row>
    <row r="138" spans="1:31" x14ac:dyDescent="0.25">
      <c r="A138" t="s">
        <v>751</v>
      </c>
      <c r="B138" t="s">
        <v>752</v>
      </c>
      <c r="C138" t="s">
        <v>49</v>
      </c>
      <c r="D138">
        <v>43</v>
      </c>
      <c r="E138" t="s">
        <v>27</v>
      </c>
      <c r="F138" t="s">
        <v>50</v>
      </c>
      <c r="G138" s="1">
        <v>43792</v>
      </c>
      <c r="H138">
        <v>50809</v>
      </c>
      <c r="I138" t="s">
        <v>30</v>
      </c>
      <c r="J138" t="s">
        <v>61</v>
      </c>
      <c r="K138" t="s">
        <v>54</v>
      </c>
      <c r="L138" t="s">
        <v>43</v>
      </c>
      <c r="M138">
        <v>44</v>
      </c>
      <c r="N138" t="s">
        <v>34</v>
      </c>
      <c r="O138">
        <v>3</v>
      </c>
      <c r="P138">
        <v>3</v>
      </c>
      <c r="Q138">
        <v>4</v>
      </c>
      <c r="R138">
        <v>4</v>
      </c>
      <c r="S138">
        <v>3</v>
      </c>
      <c r="T138">
        <v>5</v>
      </c>
      <c r="U138">
        <v>18</v>
      </c>
      <c r="V138" t="s">
        <v>5459</v>
      </c>
      <c r="W138" t="s">
        <v>34</v>
      </c>
      <c r="Y138" s="2" t="str">
        <f>IF(EmployeeData[[#This Row],[Age]]&lt;25,"Under 25",IF(EmployeeData[[#This Row],[Age]]&lt;=34,"25-34",IF(EmployeeData[[#This Row],[Age]]&lt;=44,"35-44",IF(EmployeeData[[#This Row],[Age]]&lt;=54,"45-54","55+"))))</f>
        <v>35-44</v>
      </c>
      <c r="Z138">
        <f ca="1">DATEDIF(EmployeeData[[#This Row],[DateOfJoining]],IF(AND(EmployeeData[[#This Row],[Attrition]]="Yes",EmployeeData[[#This Row],[LastWorkingDate]]&lt;&gt;""),EmployeeData[[#This Row],[LastWorkingDate]],TODAY()),"Y")</f>
        <v>6</v>
      </c>
      <c r="AA138" t="str">
        <f>IF(EmployeeData[[#This Row],[MonthlyIncome]]&lt;30000,"Low",IF(EmployeeData[[#This Row],[MonthlyIncome]]&lt;=60000,"Medium",IF(EmployeeData[[#This Row],[MonthlyIncome]]&lt;=100000,"High","Very High")))</f>
        <v>Medium</v>
      </c>
      <c r="AB138">
        <f>IF(EmployeeData[[#This Row],[Attrition]]="Yes",1,0)</f>
        <v>0</v>
      </c>
      <c r="AC138" t="str">
        <f ca="1">IF(EmployeeData[[#This Row],[Tenure Years]]&lt;1,"Less than 1 Year",IF(EmployeeData[[#This Row],[Tenure Years]]&lt;=3,"1-3 Years",IF(EmployeeData[[#This Row],[Tenure Years]]&lt;=5,"4-5 Years",IF(EmployeeData[[#This Row],[Tenure Years]]&lt;=10,"6-10 Years","More than 10 Years"))))</f>
        <v>6-10 Years</v>
      </c>
      <c r="AD138">
        <f>ROUND(AVERAGE(EmployeeData[[#This Row],[JobSatisfaction]],EmployeeData[[#This Row],[EnvironmentSatisfaction]],EmployeeData[[#This Row],[WorkLifeBalance]]),2)</f>
        <v>3.33</v>
      </c>
      <c r="AE138" t="str">
        <f>IF(EmployeeData[[#This Row],[Satisfaction Score]]&lt;2,"Low",IF(EmployeeData[[#This Row],[Satisfaction Score]]&lt;3,"Medium","High"))</f>
        <v>High</v>
      </c>
    </row>
    <row r="139" spans="1:31" x14ac:dyDescent="0.25">
      <c r="A139" t="s">
        <v>754</v>
      </c>
      <c r="B139" t="s">
        <v>755</v>
      </c>
      <c r="C139" t="s">
        <v>49</v>
      </c>
      <c r="D139">
        <v>27</v>
      </c>
      <c r="E139" t="s">
        <v>27</v>
      </c>
      <c r="F139" t="s">
        <v>50</v>
      </c>
      <c r="G139" s="1">
        <v>46210</v>
      </c>
      <c r="H139">
        <v>84414</v>
      </c>
      <c r="I139" t="s">
        <v>42</v>
      </c>
      <c r="J139" t="s">
        <v>143</v>
      </c>
      <c r="K139" t="s">
        <v>106</v>
      </c>
      <c r="L139" t="s">
        <v>43</v>
      </c>
      <c r="M139">
        <v>7</v>
      </c>
      <c r="N139" t="s">
        <v>34</v>
      </c>
      <c r="O139">
        <v>4</v>
      </c>
      <c r="P139">
        <v>3</v>
      </c>
      <c r="Q139">
        <v>3</v>
      </c>
      <c r="R139">
        <v>4</v>
      </c>
      <c r="S139">
        <v>1</v>
      </c>
      <c r="T139">
        <v>2</v>
      </c>
      <c r="U139">
        <v>12</v>
      </c>
      <c r="V139" t="s">
        <v>757</v>
      </c>
      <c r="W139" t="s">
        <v>34</v>
      </c>
      <c r="Y139" s="2" t="str">
        <f>IF(EmployeeData[[#This Row],[Age]]&lt;25,"Under 25",IF(EmployeeData[[#This Row],[Age]]&lt;=34,"25-34",IF(EmployeeData[[#This Row],[Age]]&lt;=44,"35-44",IF(EmployeeData[[#This Row],[Age]]&lt;=54,"45-54","55+"))))</f>
        <v>25-34</v>
      </c>
      <c r="Z139">
        <f ca="1">DATEDIF(EmployeeData[[#This Row],[DateOfJoining]],IF(AND(EmployeeData[[#This Row],[Attrition]]="Yes",EmployeeData[[#This Row],[LastWorkingDate]]&lt;&gt;""),EmployeeData[[#This Row],[LastWorkingDate]],TODAY()),"Y")</f>
        <v>0</v>
      </c>
      <c r="AA139" t="str">
        <f>IF(EmployeeData[[#This Row],[MonthlyIncome]]&lt;30000,"Low",IF(EmployeeData[[#This Row],[MonthlyIncome]]&lt;=60000,"Medium",IF(EmployeeData[[#This Row],[MonthlyIncome]]&lt;=100000,"High","Very High")))</f>
        <v>High</v>
      </c>
      <c r="AB139">
        <f>IF(EmployeeData[[#This Row],[Attrition]]="Yes",1,0)</f>
        <v>0</v>
      </c>
      <c r="AC139" t="str">
        <f ca="1">IF(EmployeeData[[#This Row],[Tenure Years]]&lt;1,"Less than 1 Year",IF(EmployeeData[[#This Row],[Tenure Years]]&lt;=3,"1-3 Years",IF(EmployeeData[[#This Row],[Tenure Years]]&lt;=5,"4-5 Years",IF(EmployeeData[[#This Row],[Tenure Years]]&lt;=10,"6-10 Years","More than 10 Years"))))</f>
        <v>Less than 1 Year</v>
      </c>
      <c r="AD139">
        <f>ROUND(AVERAGE(EmployeeData[[#This Row],[JobSatisfaction]],EmployeeData[[#This Row],[EnvironmentSatisfaction]],EmployeeData[[#This Row],[WorkLifeBalance]]),2)</f>
        <v>3.33</v>
      </c>
      <c r="AE139" t="str">
        <f>IF(EmployeeData[[#This Row],[Satisfaction Score]]&lt;2,"Low",IF(EmployeeData[[#This Row],[Satisfaction Score]]&lt;3,"Medium","High"))</f>
        <v>High</v>
      </c>
    </row>
    <row r="140" spans="1:31" x14ac:dyDescent="0.25">
      <c r="A140" t="s">
        <v>758</v>
      </c>
      <c r="B140" t="s">
        <v>759</v>
      </c>
      <c r="C140" t="s">
        <v>58</v>
      </c>
      <c r="D140">
        <v>43</v>
      </c>
      <c r="E140" t="s">
        <v>5461</v>
      </c>
      <c r="F140" t="s">
        <v>5463</v>
      </c>
      <c r="G140" s="1">
        <v>45752</v>
      </c>
      <c r="H140">
        <v>90960</v>
      </c>
      <c r="I140" t="s">
        <v>5459</v>
      </c>
      <c r="J140" t="s">
        <v>61</v>
      </c>
      <c r="K140" t="s">
        <v>5459</v>
      </c>
      <c r="L140" t="s">
        <v>62</v>
      </c>
      <c r="M140">
        <v>34</v>
      </c>
      <c r="N140" t="s">
        <v>45</v>
      </c>
      <c r="O140">
        <v>1</v>
      </c>
      <c r="P140">
        <v>3</v>
      </c>
      <c r="Q140">
        <v>3</v>
      </c>
      <c r="R140">
        <v>4</v>
      </c>
      <c r="S140">
        <v>0</v>
      </c>
      <c r="T140">
        <v>3</v>
      </c>
      <c r="U140">
        <v>11</v>
      </c>
      <c r="V140" t="s">
        <v>762</v>
      </c>
      <c r="W140" t="s">
        <v>45</v>
      </c>
      <c r="X140" s="1">
        <v>46084</v>
      </c>
      <c r="Y140" s="2" t="str">
        <f>IF(EmployeeData[[#This Row],[Age]]&lt;25,"Under 25",IF(EmployeeData[[#This Row],[Age]]&lt;=34,"25-34",IF(EmployeeData[[#This Row],[Age]]&lt;=44,"35-44",IF(EmployeeData[[#This Row],[Age]]&lt;=54,"45-54","55+"))))</f>
        <v>35-44</v>
      </c>
      <c r="Z140">
        <f ca="1">DATEDIF(EmployeeData[[#This Row],[DateOfJoining]],IF(AND(EmployeeData[[#This Row],[Attrition]]="Yes",EmployeeData[[#This Row],[LastWorkingDate]]&lt;&gt;""),EmployeeData[[#This Row],[LastWorkingDate]],TODAY()),"Y")</f>
        <v>0</v>
      </c>
      <c r="AA140" t="str">
        <f>IF(EmployeeData[[#This Row],[MonthlyIncome]]&lt;30000,"Low",IF(EmployeeData[[#This Row],[MonthlyIncome]]&lt;=60000,"Medium",IF(EmployeeData[[#This Row],[MonthlyIncome]]&lt;=100000,"High","Very High")))</f>
        <v>High</v>
      </c>
      <c r="AB140">
        <f>IF(EmployeeData[[#This Row],[Attrition]]="Yes",1,0)</f>
        <v>1</v>
      </c>
      <c r="AC140" t="str">
        <f ca="1">IF(EmployeeData[[#This Row],[Tenure Years]]&lt;1,"Less than 1 Year",IF(EmployeeData[[#This Row],[Tenure Years]]&lt;=3,"1-3 Years",IF(EmployeeData[[#This Row],[Tenure Years]]&lt;=5,"4-5 Years",IF(EmployeeData[[#This Row],[Tenure Years]]&lt;=10,"6-10 Years","More than 10 Years"))))</f>
        <v>Less than 1 Year</v>
      </c>
      <c r="AD140">
        <f>ROUND(AVERAGE(EmployeeData[[#This Row],[JobSatisfaction]],EmployeeData[[#This Row],[EnvironmentSatisfaction]],EmployeeData[[#This Row],[WorkLifeBalance]]),2)</f>
        <v>2.33</v>
      </c>
      <c r="AE140" t="str">
        <f>IF(EmployeeData[[#This Row],[Satisfaction Score]]&lt;2,"Low",IF(EmployeeData[[#This Row],[Satisfaction Score]]&lt;3,"Medium","High"))</f>
        <v>Medium</v>
      </c>
    </row>
    <row r="141" spans="1:31" x14ac:dyDescent="0.25">
      <c r="A141" t="s">
        <v>764</v>
      </c>
      <c r="B141" t="s">
        <v>765</v>
      </c>
      <c r="C141" t="s">
        <v>58</v>
      </c>
      <c r="D141">
        <v>45</v>
      </c>
      <c r="E141" t="s">
        <v>27</v>
      </c>
      <c r="F141" t="s">
        <v>59</v>
      </c>
      <c r="G141" s="1">
        <v>42002</v>
      </c>
      <c r="H141">
        <v>91318</v>
      </c>
      <c r="I141" t="s">
        <v>42</v>
      </c>
      <c r="J141" t="s">
        <v>53</v>
      </c>
      <c r="K141" t="s">
        <v>83</v>
      </c>
      <c r="L141" t="s">
        <v>43</v>
      </c>
      <c r="M141">
        <v>36</v>
      </c>
      <c r="N141" t="s">
        <v>34</v>
      </c>
      <c r="O141">
        <v>4</v>
      </c>
      <c r="P141">
        <v>4</v>
      </c>
      <c r="Q141">
        <v>3</v>
      </c>
      <c r="R141">
        <v>3</v>
      </c>
      <c r="S141">
        <v>2</v>
      </c>
      <c r="T141">
        <v>5</v>
      </c>
      <c r="U141">
        <v>20</v>
      </c>
      <c r="V141" t="s">
        <v>768</v>
      </c>
      <c r="W141" t="s">
        <v>34</v>
      </c>
      <c r="Y141" s="2" t="str">
        <f>IF(EmployeeData[[#This Row],[Age]]&lt;25,"Under 25",IF(EmployeeData[[#This Row],[Age]]&lt;=34,"25-34",IF(EmployeeData[[#This Row],[Age]]&lt;=44,"35-44",IF(EmployeeData[[#This Row],[Age]]&lt;=54,"45-54","55+"))))</f>
        <v>45-54</v>
      </c>
      <c r="Z141">
        <f ca="1">DATEDIF(EmployeeData[[#This Row],[DateOfJoining]],IF(AND(EmployeeData[[#This Row],[Attrition]]="Yes",EmployeeData[[#This Row],[LastWorkingDate]]&lt;&gt;""),EmployeeData[[#This Row],[LastWorkingDate]],TODAY()),"Y")</f>
        <v>11</v>
      </c>
      <c r="AA141" t="str">
        <f>IF(EmployeeData[[#This Row],[MonthlyIncome]]&lt;30000,"Low",IF(EmployeeData[[#This Row],[MonthlyIncome]]&lt;=60000,"Medium",IF(EmployeeData[[#This Row],[MonthlyIncome]]&lt;=100000,"High","Very High")))</f>
        <v>High</v>
      </c>
      <c r="AB141">
        <f>IF(EmployeeData[[#This Row],[Attrition]]="Yes",1,0)</f>
        <v>0</v>
      </c>
      <c r="AC141" t="str">
        <f ca="1">IF(EmployeeData[[#This Row],[Tenure Years]]&lt;1,"Less than 1 Year",IF(EmployeeData[[#This Row],[Tenure Years]]&lt;=3,"1-3 Years",IF(EmployeeData[[#This Row],[Tenure Years]]&lt;=5,"4-5 Years",IF(EmployeeData[[#This Row],[Tenure Years]]&lt;=10,"6-10 Years","More than 10 Years"))))</f>
        <v>More than 10 Years</v>
      </c>
      <c r="AD141">
        <f>ROUND(AVERAGE(EmployeeData[[#This Row],[JobSatisfaction]],EmployeeData[[#This Row],[EnvironmentSatisfaction]],EmployeeData[[#This Row],[WorkLifeBalance]]),2)</f>
        <v>3.67</v>
      </c>
      <c r="AE141" t="str">
        <f>IF(EmployeeData[[#This Row],[Satisfaction Score]]&lt;2,"Low",IF(EmployeeData[[#This Row],[Satisfaction Score]]&lt;3,"Medium","High"))</f>
        <v>High</v>
      </c>
    </row>
    <row r="142" spans="1:31" x14ac:dyDescent="0.25">
      <c r="A142" t="s">
        <v>769</v>
      </c>
      <c r="B142" t="s">
        <v>770</v>
      </c>
      <c r="C142" t="s">
        <v>58</v>
      </c>
      <c r="D142">
        <v>42</v>
      </c>
      <c r="E142" t="s">
        <v>197</v>
      </c>
      <c r="F142" t="s">
        <v>323</v>
      </c>
      <c r="G142" s="1">
        <v>41132</v>
      </c>
      <c r="H142">
        <v>67285</v>
      </c>
      <c r="I142" t="s">
        <v>30</v>
      </c>
      <c r="J142" t="s">
        <v>61</v>
      </c>
      <c r="K142" t="s">
        <v>131</v>
      </c>
      <c r="L142" t="s">
        <v>33</v>
      </c>
      <c r="M142">
        <v>31</v>
      </c>
      <c r="N142" t="s">
        <v>34</v>
      </c>
      <c r="O142">
        <v>4</v>
      </c>
      <c r="P142">
        <v>4</v>
      </c>
      <c r="Q142">
        <v>2</v>
      </c>
      <c r="R142">
        <v>4</v>
      </c>
      <c r="S142">
        <v>2</v>
      </c>
      <c r="T142">
        <v>8</v>
      </c>
      <c r="U142">
        <v>18</v>
      </c>
      <c r="V142" t="s">
        <v>774</v>
      </c>
      <c r="W142" t="s">
        <v>34</v>
      </c>
      <c r="Y142" s="2" t="str">
        <f>IF(EmployeeData[[#This Row],[Age]]&lt;25,"Under 25",IF(EmployeeData[[#This Row],[Age]]&lt;=34,"25-34",IF(EmployeeData[[#This Row],[Age]]&lt;=44,"35-44",IF(EmployeeData[[#This Row],[Age]]&lt;=54,"45-54","55+"))))</f>
        <v>35-44</v>
      </c>
      <c r="Z142">
        <f ca="1">DATEDIF(EmployeeData[[#This Row],[DateOfJoining]],IF(AND(EmployeeData[[#This Row],[Attrition]]="Yes",EmployeeData[[#This Row],[LastWorkingDate]]&lt;&gt;""),EmployeeData[[#This Row],[LastWorkingDate]],TODAY()),"Y")</f>
        <v>14</v>
      </c>
      <c r="AA142" t="str">
        <f>IF(EmployeeData[[#This Row],[MonthlyIncome]]&lt;30000,"Low",IF(EmployeeData[[#This Row],[MonthlyIncome]]&lt;=60000,"Medium",IF(EmployeeData[[#This Row],[MonthlyIncome]]&lt;=100000,"High","Very High")))</f>
        <v>High</v>
      </c>
      <c r="AB142">
        <f>IF(EmployeeData[[#This Row],[Attrition]]="Yes",1,0)</f>
        <v>0</v>
      </c>
      <c r="AC142" t="str">
        <f ca="1">IF(EmployeeData[[#This Row],[Tenure Years]]&lt;1,"Less than 1 Year",IF(EmployeeData[[#This Row],[Tenure Years]]&lt;=3,"1-3 Years",IF(EmployeeData[[#This Row],[Tenure Years]]&lt;=5,"4-5 Years",IF(EmployeeData[[#This Row],[Tenure Years]]&lt;=10,"6-10 Years","More than 10 Years"))))</f>
        <v>More than 10 Years</v>
      </c>
      <c r="AD142">
        <f>ROUND(AVERAGE(EmployeeData[[#This Row],[JobSatisfaction]],EmployeeData[[#This Row],[EnvironmentSatisfaction]],EmployeeData[[#This Row],[WorkLifeBalance]]),2)</f>
        <v>3.33</v>
      </c>
      <c r="AE142" t="str">
        <f>IF(EmployeeData[[#This Row],[Satisfaction Score]]&lt;2,"Low",IF(EmployeeData[[#This Row],[Satisfaction Score]]&lt;3,"Medium","High"))</f>
        <v>High</v>
      </c>
    </row>
    <row r="143" spans="1:31" x14ac:dyDescent="0.25">
      <c r="A143" t="s">
        <v>775</v>
      </c>
      <c r="B143" t="s">
        <v>776</v>
      </c>
      <c r="C143" t="s">
        <v>58</v>
      </c>
      <c r="D143">
        <v>46</v>
      </c>
      <c r="E143" t="s">
        <v>27</v>
      </c>
      <c r="F143" t="s">
        <v>75</v>
      </c>
      <c r="G143" s="1">
        <v>41963</v>
      </c>
      <c r="H143">
        <v>67510</v>
      </c>
      <c r="I143" t="s">
        <v>42</v>
      </c>
      <c r="J143" t="s">
        <v>31</v>
      </c>
      <c r="K143" t="s">
        <v>83</v>
      </c>
      <c r="L143" t="s">
        <v>33</v>
      </c>
      <c r="M143">
        <v>20</v>
      </c>
      <c r="N143" t="s">
        <v>34</v>
      </c>
      <c r="O143">
        <v>4</v>
      </c>
      <c r="P143">
        <v>3</v>
      </c>
      <c r="Q143">
        <v>3</v>
      </c>
      <c r="R143">
        <v>3</v>
      </c>
      <c r="S143">
        <v>4</v>
      </c>
      <c r="T143">
        <v>1</v>
      </c>
      <c r="U143">
        <v>13</v>
      </c>
      <c r="V143" t="s">
        <v>778</v>
      </c>
      <c r="W143" t="s">
        <v>34</v>
      </c>
      <c r="Y143" s="2" t="str">
        <f>IF(EmployeeData[[#This Row],[Age]]&lt;25,"Under 25",IF(EmployeeData[[#This Row],[Age]]&lt;=34,"25-34",IF(EmployeeData[[#This Row],[Age]]&lt;=44,"35-44",IF(EmployeeData[[#This Row],[Age]]&lt;=54,"45-54","55+"))))</f>
        <v>45-54</v>
      </c>
      <c r="Z143">
        <f ca="1">DATEDIF(EmployeeData[[#This Row],[DateOfJoining]],IF(AND(EmployeeData[[#This Row],[Attrition]]="Yes",EmployeeData[[#This Row],[LastWorkingDate]]&lt;&gt;""),EmployeeData[[#This Row],[LastWorkingDate]],TODAY()),"Y")</f>
        <v>11</v>
      </c>
      <c r="AA143" t="str">
        <f>IF(EmployeeData[[#This Row],[MonthlyIncome]]&lt;30000,"Low",IF(EmployeeData[[#This Row],[MonthlyIncome]]&lt;=60000,"Medium",IF(EmployeeData[[#This Row],[MonthlyIncome]]&lt;=100000,"High","Very High")))</f>
        <v>High</v>
      </c>
      <c r="AB143">
        <f>IF(EmployeeData[[#This Row],[Attrition]]="Yes",1,0)</f>
        <v>0</v>
      </c>
      <c r="AC143" t="str">
        <f ca="1">IF(EmployeeData[[#This Row],[Tenure Years]]&lt;1,"Less than 1 Year",IF(EmployeeData[[#This Row],[Tenure Years]]&lt;=3,"1-3 Years",IF(EmployeeData[[#This Row],[Tenure Years]]&lt;=5,"4-5 Years",IF(EmployeeData[[#This Row],[Tenure Years]]&lt;=10,"6-10 Years","More than 10 Years"))))</f>
        <v>More than 10 Years</v>
      </c>
      <c r="AD143">
        <f>ROUND(AVERAGE(EmployeeData[[#This Row],[JobSatisfaction]],EmployeeData[[#This Row],[EnvironmentSatisfaction]],EmployeeData[[#This Row],[WorkLifeBalance]]),2)</f>
        <v>3.33</v>
      </c>
      <c r="AE143" t="str">
        <f>IF(EmployeeData[[#This Row],[Satisfaction Score]]&lt;2,"Low",IF(EmployeeData[[#This Row],[Satisfaction Score]]&lt;3,"Medium","High"))</f>
        <v>High</v>
      </c>
    </row>
    <row r="144" spans="1:31" x14ac:dyDescent="0.25">
      <c r="A144" t="s">
        <v>779</v>
      </c>
      <c r="B144" t="s">
        <v>780</v>
      </c>
      <c r="C144" t="s">
        <v>58</v>
      </c>
      <c r="D144">
        <v>33</v>
      </c>
      <c r="E144" t="s">
        <v>197</v>
      </c>
      <c r="F144" t="s">
        <v>235</v>
      </c>
      <c r="G144" s="1">
        <v>45817</v>
      </c>
      <c r="H144">
        <v>53847</v>
      </c>
      <c r="I144" t="s">
        <v>42</v>
      </c>
      <c r="J144" t="s">
        <v>61</v>
      </c>
      <c r="K144" t="s">
        <v>98</v>
      </c>
      <c r="L144" t="s">
        <v>62</v>
      </c>
      <c r="M144">
        <v>24</v>
      </c>
      <c r="N144" t="s">
        <v>34</v>
      </c>
      <c r="O144">
        <v>1</v>
      </c>
      <c r="P144">
        <v>1</v>
      </c>
      <c r="Q144">
        <v>3</v>
      </c>
      <c r="R144">
        <v>2</v>
      </c>
      <c r="S144">
        <v>2</v>
      </c>
      <c r="T144">
        <v>2</v>
      </c>
      <c r="U144">
        <v>14</v>
      </c>
      <c r="V144" t="s">
        <v>784</v>
      </c>
      <c r="W144" t="s">
        <v>45</v>
      </c>
      <c r="X144" s="1">
        <v>46031</v>
      </c>
      <c r="Y144" s="2" t="str">
        <f>IF(EmployeeData[[#This Row],[Age]]&lt;25,"Under 25",IF(EmployeeData[[#This Row],[Age]]&lt;=34,"25-34",IF(EmployeeData[[#This Row],[Age]]&lt;=44,"35-44",IF(EmployeeData[[#This Row],[Age]]&lt;=54,"45-54","55+"))))</f>
        <v>25-34</v>
      </c>
      <c r="Z144">
        <f ca="1">DATEDIF(EmployeeData[[#This Row],[DateOfJoining]],IF(AND(EmployeeData[[#This Row],[Attrition]]="Yes",EmployeeData[[#This Row],[LastWorkingDate]]&lt;&gt;""),EmployeeData[[#This Row],[LastWorkingDate]],TODAY()),"Y")</f>
        <v>0</v>
      </c>
      <c r="AA144" t="str">
        <f>IF(EmployeeData[[#This Row],[MonthlyIncome]]&lt;30000,"Low",IF(EmployeeData[[#This Row],[MonthlyIncome]]&lt;=60000,"Medium",IF(EmployeeData[[#This Row],[MonthlyIncome]]&lt;=100000,"High","Very High")))</f>
        <v>Medium</v>
      </c>
      <c r="AB144">
        <f>IF(EmployeeData[[#This Row],[Attrition]]="Yes",1,0)</f>
        <v>1</v>
      </c>
      <c r="AC144" t="str">
        <f ca="1">IF(EmployeeData[[#This Row],[Tenure Years]]&lt;1,"Less than 1 Year",IF(EmployeeData[[#This Row],[Tenure Years]]&lt;=3,"1-3 Years",IF(EmployeeData[[#This Row],[Tenure Years]]&lt;=5,"4-5 Years",IF(EmployeeData[[#This Row],[Tenure Years]]&lt;=10,"6-10 Years","More than 10 Years"))))</f>
        <v>Less than 1 Year</v>
      </c>
      <c r="AD144">
        <f>ROUND(AVERAGE(EmployeeData[[#This Row],[JobSatisfaction]],EmployeeData[[#This Row],[EnvironmentSatisfaction]],EmployeeData[[#This Row],[WorkLifeBalance]]),2)</f>
        <v>1.67</v>
      </c>
      <c r="AE144" t="str">
        <f>IF(EmployeeData[[#This Row],[Satisfaction Score]]&lt;2,"Low",IF(EmployeeData[[#This Row],[Satisfaction Score]]&lt;3,"Medium","High"))</f>
        <v>Low</v>
      </c>
    </row>
    <row r="145" spans="1:31" x14ac:dyDescent="0.25">
      <c r="A145" t="s">
        <v>786</v>
      </c>
      <c r="B145" t="s">
        <v>787</v>
      </c>
      <c r="C145" t="s">
        <v>58</v>
      </c>
      <c r="D145">
        <v>54</v>
      </c>
      <c r="E145" t="s">
        <v>27</v>
      </c>
      <c r="F145" t="s">
        <v>75</v>
      </c>
      <c r="G145" s="1">
        <v>41617</v>
      </c>
      <c r="H145">
        <v>71564</v>
      </c>
      <c r="I145" t="s">
        <v>30</v>
      </c>
      <c r="J145" t="s">
        <v>61</v>
      </c>
      <c r="K145" t="s">
        <v>113</v>
      </c>
      <c r="L145" t="s">
        <v>33</v>
      </c>
      <c r="M145">
        <v>19</v>
      </c>
      <c r="N145" t="s">
        <v>34</v>
      </c>
      <c r="O145">
        <v>2</v>
      </c>
      <c r="P145">
        <v>4</v>
      </c>
      <c r="Q145">
        <v>1</v>
      </c>
      <c r="R145">
        <v>3</v>
      </c>
      <c r="S145">
        <v>5</v>
      </c>
      <c r="T145">
        <v>0</v>
      </c>
      <c r="U145">
        <v>18</v>
      </c>
      <c r="V145" t="s">
        <v>789</v>
      </c>
      <c r="W145" t="s">
        <v>34</v>
      </c>
      <c r="Y145" s="2" t="str">
        <f>IF(EmployeeData[[#This Row],[Age]]&lt;25,"Under 25",IF(EmployeeData[[#This Row],[Age]]&lt;=34,"25-34",IF(EmployeeData[[#This Row],[Age]]&lt;=44,"35-44",IF(EmployeeData[[#This Row],[Age]]&lt;=54,"45-54","55+"))))</f>
        <v>45-54</v>
      </c>
      <c r="Z145">
        <f ca="1">DATEDIF(EmployeeData[[#This Row],[DateOfJoining]],IF(AND(EmployeeData[[#This Row],[Attrition]]="Yes",EmployeeData[[#This Row],[LastWorkingDate]]&lt;&gt;""),EmployeeData[[#This Row],[LastWorkingDate]],TODAY()),"Y")</f>
        <v>12</v>
      </c>
      <c r="AA145" t="str">
        <f>IF(EmployeeData[[#This Row],[MonthlyIncome]]&lt;30000,"Low",IF(EmployeeData[[#This Row],[MonthlyIncome]]&lt;=60000,"Medium",IF(EmployeeData[[#This Row],[MonthlyIncome]]&lt;=100000,"High","Very High")))</f>
        <v>High</v>
      </c>
      <c r="AB145">
        <f>IF(EmployeeData[[#This Row],[Attrition]]="Yes",1,0)</f>
        <v>0</v>
      </c>
      <c r="AC145" t="str">
        <f ca="1">IF(EmployeeData[[#This Row],[Tenure Years]]&lt;1,"Less than 1 Year",IF(EmployeeData[[#This Row],[Tenure Years]]&lt;=3,"1-3 Years",IF(EmployeeData[[#This Row],[Tenure Years]]&lt;=5,"4-5 Years",IF(EmployeeData[[#This Row],[Tenure Years]]&lt;=10,"6-10 Years","More than 10 Years"))))</f>
        <v>More than 10 Years</v>
      </c>
      <c r="AD145">
        <f>ROUND(AVERAGE(EmployeeData[[#This Row],[JobSatisfaction]],EmployeeData[[#This Row],[EnvironmentSatisfaction]],EmployeeData[[#This Row],[WorkLifeBalance]]),2)</f>
        <v>2.33</v>
      </c>
      <c r="AE145" t="str">
        <f>IF(EmployeeData[[#This Row],[Satisfaction Score]]&lt;2,"Low",IF(EmployeeData[[#This Row],[Satisfaction Score]]&lt;3,"Medium","High"))</f>
        <v>Medium</v>
      </c>
    </row>
    <row r="146" spans="1:31" x14ac:dyDescent="0.25">
      <c r="A146" t="s">
        <v>790</v>
      </c>
      <c r="B146" t="s">
        <v>791</v>
      </c>
      <c r="C146" t="s">
        <v>58</v>
      </c>
      <c r="D146">
        <v>45</v>
      </c>
      <c r="E146" t="s">
        <v>38</v>
      </c>
      <c r="F146" t="s">
        <v>792</v>
      </c>
      <c r="G146" s="1">
        <v>42586</v>
      </c>
      <c r="H146">
        <v>71996</v>
      </c>
      <c r="I146" t="s">
        <v>52</v>
      </c>
      <c r="J146" t="s">
        <v>61</v>
      </c>
      <c r="K146" t="s">
        <v>167</v>
      </c>
      <c r="L146" t="s">
        <v>43</v>
      </c>
      <c r="M146">
        <v>13</v>
      </c>
      <c r="N146" t="s">
        <v>34</v>
      </c>
      <c r="O146">
        <v>4</v>
      </c>
      <c r="P146">
        <v>3</v>
      </c>
      <c r="Q146">
        <v>2</v>
      </c>
      <c r="R146">
        <v>3</v>
      </c>
      <c r="S146">
        <v>0</v>
      </c>
      <c r="T146">
        <v>0</v>
      </c>
      <c r="U146">
        <v>24</v>
      </c>
      <c r="V146" t="s">
        <v>795</v>
      </c>
      <c r="W146" t="s">
        <v>34</v>
      </c>
      <c r="Y146" s="2" t="str">
        <f>IF(EmployeeData[[#This Row],[Age]]&lt;25,"Under 25",IF(EmployeeData[[#This Row],[Age]]&lt;=34,"25-34",IF(EmployeeData[[#This Row],[Age]]&lt;=44,"35-44",IF(EmployeeData[[#This Row],[Age]]&lt;=54,"45-54","55+"))))</f>
        <v>45-54</v>
      </c>
      <c r="Z146">
        <f ca="1">DATEDIF(EmployeeData[[#This Row],[DateOfJoining]],IF(AND(EmployeeData[[#This Row],[Attrition]]="Yes",EmployeeData[[#This Row],[LastWorkingDate]]&lt;&gt;""),EmployeeData[[#This Row],[LastWorkingDate]],TODAY()),"Y")</f>
        <v>10</v>
      </c>
      <c r="AA146" t="str">
        <f>IF(EmployeeData[[#This Row],[MonthlyIncome]]&lt;30000,"Low",IF(EmployeeData[[#This Row],[MonthlyIncome]]&lt;=60000,"Medium",IF(EmployeeData[[#This Row],[MonthlyIncome]]&lt;=100000,"High","Very High")))</f>
        <v>High</v>
      </c>
      <c r="AB146">
        <f>IF(EmployeeData[[#This Row],[Attrition]]="Yes",1,0)</f>
        <v>0</v>
      </c>
      <c r="AC146" t="str">
        <f ca="1">IF(EmployeeData[[#This Row],[Tenure Years]]&lt;1,"Less than 1 Year",IF(EmployeeData[[#This Row],[Tenure Years]]&lt;=3,"1-3 Years",IF(EmployeeData[[#This Row],[Tenure Years]]&lt;=5,"4-5 Years",IF(EmployeeData[[#This Row],[Tenure Years]]&lt;=10,"6-10 Years","More than 10 Years"))))</f>
        <v>6-10 Years</v>
      </c>
      <c r="AD146">
        <f>ROUND(AVERAGE(EmployeeData[[#This Row],[JobSatisfaction]],EmployeeData[[#This Row],[EnvironmentSatisfaction]],EmployeeData[[#This Row],[WorkLifeBalance]]),2)</f>
        <v>3</v>
      </c>
      <c r="AE146" t="str">
        <f>IF(EmployeeData[[#This Row],[Satisfaction Score]]&lt;2,"Low",IF(EmployeeData[[#This Row],[Satisfaction Score]]&lt;3,"Medium","High"))</f>
        <v>High</v>
      </c>
    </row>
    <row r="147" spans="1:31" x14ac:dyDescent="0.25">
      <c r="A147" t="s">
        <v>796</v>
      </c>
      <c r="B147" t="s">
        <v>797</v>
      </c>
      <c r="C147" t="s">
        <v>49</v>
      </c>
      <c r="D147">
        <v>42</v>
      </c>
      <c r="E147" t="s">
        <v>27</v>
      </c>
      <c r="F147" t="s">
        <v>59</v>
      </c>
      <c r="G147" s="1">
        <v>43453</v>
      </c>
      <c r="H147">
        <v>122799</v>
      </c>
      <c r="I147" t="s">
        <v>30</v>
      </c>
      <c r="J147" t="s">
        <v>97</v>
      </c>
      <c r="K147" t="s">
        <v>200</v>
      </c>
      <c r="L147" t="s">
        <v>62</v>
      </c>
      <c r="M147">
        <v>40</v>
      </c>
      <c r="N147" t="s">
        <v>34</v>
      </c>
      <c r="O147">
        <v>2</v>
      </c>
      <c r="P147">
        <v>3</v>
      </c>
      <c r="Q147">
        <v>4</v>
      </c>
      <c r="R147">
        <v>3</v>
      </c>
      <c r="S147">
        <v>4</v>
      </c>
      <c r="T147">
        <v>4</v>
      </c>
      <c r="U147">
        <v>15</v>
      </c>
      <c r="V147" t="s">
        <v>801</v>
      </c>
      <c r="W147" t="s">
        <v>34</v>
      </c>
      <c r="Y147" s="2" t="str">
        <f>IF(EmployeeData[[#This Row],[Age]]&lt;25,"Under 25",IF(EmployeeData[[#This Row],[Age]]&lt;=34,"25-34",IF(EmployeeData[[#This Row],[Age]]&lt;=44,"35-44",IF(EmployeeData[[#This Row],[Age]]&lt;=54,"45-54","55+"))))</f>
        <v>35-44</v>
      </c>
      <c r="Z147">
        <f ca="1">DATEDIF(EmployeeData[[#This Row],[DateOfJoining]],IF(AND(EmployeeData[[#This Row],[Attrition]]="Yes",EmployeeData[[#This Row],[LastWorkingDate]]&lt;&gt;""),EmployeeData[[#This Row],[LastWorkingDate]],TODAY()),"Y")</f>
        <v>7</v>
      </c>
      <c r="AA147" t="str">
        <f>IF(EmployeeData[[#This Row],[MonthlyIncome]]&lt;30000,"Low",IF(EmployeeData[[#This Row],[MonthlyIncome]]&lt;=60000,"Medium",IF(EmployeeData[[#This Row],[MonthlyIncome]]&lt;=100000,"High","Very High")))</f>
        <v>Very High</v>
      </c>
      <c r="AB147">
        <f>IF(EmployeeData[[#This Row],[Attrition]]="Yes",1,0)</f>
        <v>0</v>
      </c>
      <c r="AC147" t="str">
        <f ca="1">IF(EmployeeData[[#This Row],[Tenure Years]]&lt;1,"Less than 1 Year",IF(EmployeeData[[#This Row],[Tenure Years]]&lt;=3,"1-3 Years",IF(EmployeeData[[#This Row],[Tenure Years]]&lt;=5,"4-5 Years",IF(EmployeeData[[#This Row],[Tenure Years]]&lt;=10,"6-10 Years","More than 10 Years"))))</f>
        <v>6-10 Years</v>
      </c>
      <c r="AD147">
        <f>ROUND(AVERAGE(EmployeeData[[#This Row],[JobSatisfaction]],EmployeeData[[#This Row],[EnvironmentSatisfaction]],EmployeeData[[#This Row],[WorkLifeBalance]]),2)</f>
        <v>3</v>
      </c>
      <c r="AE147" t="str">
        <f>IF(EmployeeData[[#This Row],[Satisfaction Score]]&lt;2,"Low",IF(EmployeeData[[#This Row],[Satisfaction Score]]&lt;3,"Medium","High"))</f>
        <v>High</v>
      </c>
    </row>
    <row r="148" spans="1:31" x14ac:dyDescent="0.25">
      <c r="A148" t="s">
        <v>802</v>
      </c>
      <c r="B148" t="s">
        <v>803</v>
      </c>
      <c r="C148" t="s">
        <v>49</v>
      </c>
      <c r="D148">
        <v>24</v>
      </c>
      <c r="E148" t="s">
        <v>197</v>
      </c>
      <c r="F148" t="s">
        <v>323</v>
      </c>
      <c r="G148" s="1">
        <v>44713</v>
      </c>
      <c r="H148">
        <v>76362</v>
      </c>
      <c r="I148" t="s">
        <v>30</v>
      </c>
      <c r="J148" t="s">
        <v>61</v>
      </c>
      <c r="K148" t="s">
        <v>200</v>
      </c>
      <c r="L148" t="s">
        <v>43</v>
      </c>
      <c r="M148">
        <v>15</v>
      </c>
      <c r="N148" t="s">
        <v>34</v>
      </c>
      <c r="O148">
        <v>4</v>
      </c>
      <c r="P148">
        <v>2</v>
      </c>
      <c r="Q148">
        <v>4</v>
      </c>
      <c r="R148">
        <v>3</v>
      </c>
      <c r="S148">
        <v>2</v>
      </c>
      <c r="T148">
        <v>6</v>
      </c>
      <c r="U148">
        <v>22</v>
      </c>
      <c r="V148" t="s">
        <v>805</v>
      </c>
      <c r="W148" t="s">
        <v>34</v>
      </c>
      <c r="Y148" s="2" t="str">
        <f>IF(EmployeeData[[#This Row],[Age]]&lt;25,"Under 25",IF(EmployeeData[[#This Row],[Age]]&lt;=34,"25-34",IF(EmployeeData[[#This Row],[Age]]&lt;=44,"35-44",IF(EmployeeData[[#This Row],[Age]]&lt;=54,"45-54","55+"))))</f>
        <v>Under 25</v>
      </c>
      <c r="Z148">
        <f ca="1">DATEDIF(EmployeeData[[#This Row],[DateOfJoining]],IF(AND(EmployeeData[[#This Row],[Attrition]]="Yes",EmployeeData[[#This Row],[LastWorkingDate]]&lt;&gt;""),EmployeeData[[#This Row],[LastWorkingDate]],TODAY()),"Y")</f>
        <v>4</v>
      </c>
      <c r="AA148" t="str">
        <f>IF(EmployeeData[[#This Row],[MonthlyIncome]]&lt;30000,"Low",IF(EmployeeData[[#This Row],[MonthlyIncome]]&lt;=60000,"Medium",IF(EmployeeData[[#This Row],[MonthlyIncome]]&lt;=100000,"High","Very High")))</f>
        <v>High</v>
      </c>
      <c r="AB148">
        <f>IF(EmployeeData[[#This Row],[Attrition]]="Yes",1,0)</f>
        <v>0</v>
      </c>
      <c r="AC148" t="str">
        <f ca="1">IF(EmployeeData[[#This Row],[Tenure Years]]&lt;1,"Less than 1 Year",IF(EmployeeData[[#This Row],[Tenure Years]]&lt;=3,"1-3 Years",IF(EmployeeData[[#This Row],[Tenure Years]]&lt;=5,"4-5 Years",IF(EmployeeData[[#This Row],[Tenure Years]]&lt;=10,"6-10 Years","More than 10 Years"))))</f>
        <v>4-5 Years</v>
      </c>
      <c r="AD148">
        <f>ROUND(AVERAGE(EmployeeData[[#This Row],[JobSatisfaction]],EmployeeData[[#This Row],[EnvironmentSatisfaction]],EmployeeData[[#This Row],[WorkLifeBalance]]),2)</f>
        <v>3.33</v>
      </c>
      <c r="AE148" t="str">
        <f>IF(EmployeeData[[#This Row],[Satisfaction Score]]&lt;2,"Low",IF(EmployeeData[[#This Row],[Satisfaction Score]]&lt;3,"Medium","High"))</f>
        <v>High</v>
      </c>
    </row>
    <row r="149" spans="1:31" x14ac:dyDescent="0.25">
      <c r="A149" t="s">
        <v>806</v>
      </c>
      <c r="B149" t="s">
        <v>807</v>
      </c>
      <c r="C149" t="s">
        <v>58</v>
      </c>
      <c r="D149">
        <v>45</v>
      </c>
      <c r="E149" t="s">
        <v>27</v>
      </c>
      <c r="F149" t="s">
        <v>188</v>
      </c>
      <c r="G149" s="1">
        <v>42705</v>
      </c>
      <c r="H149">
        <v>117258</v>
      </c>
      <c r="I149" t="s">
        <v>30</v>
      </c>
      <c r="J149" t="s">
        <v>31</v>
      </c>
      <c r="K149" t="s">
        <v>54</v>
      </c>
      <c r="L149" t="s">
        <v>62</v>
      </c>
      <c r="M149">
        <v>42</v>
      </c>
      <c r="N149" t="s">
        <v>34</v>
      </c>
      <c r="O149">
        <v>3</v>
      </c>
      <c r="P149">
        <v>3</v>
      </c>
      <c r="Q149">
        <v>2</v>
      </c>
      <c r="R149">
        <v>2</v>
      </c>
      <c r="S149">
        <v>1</v>
      </c>
      <c r="T149">
        <v>5</v>
      </c>
      <c r="U149">
        <v>15</v>
      </c>
      <c r="V149" t="s">
        <v>810</v>
      </c>
      <c r="W149" t="s">
        <v>34</v>
      </c>
      <c r="Y149" s="2" t="str">
        <f>IF(EmployeeData[[#This Row],[Age]]&lt;25,"Under 25",IF(EmployeeData[[#This Row],[Age]]&lt;=34,"25-34",IF(EmployeeData[[#This Row],[Age]]&lt;=44,"35-44",IF(EmployeeData[[#This Row],[Age]]&lt;=54,"45-54","55+"))))</f>
        <v>45-54</v>
      </c>
      <c r="Z149">
        <f ca="1">DATEDIF(EmployeeData[[#This Row],[DateOfJoining]],IF(AND(EmployeeData[[#This Row],[Attrition]]="Yes",EmployeeData[[#This Row],[LastWorkingDate]]&lt;&gt;""),EmployeeData[[#This Row],[LastWorkingDate]],TODAY()),"Y")</f>
        <v>9</v>
      </c>
      <c r="AA149" t="str">
        <f>IF(EmployeeData[[#This Row],[MonthlyIncome]]&lt;30000,"Low",IF(EmployeeData[[#This Row],[MonthlyIncome]]&lt;=60000,"Medium",IF(EmployeeData[[#This Row],[MonthlyIncome]]&lt;=100000,"High","Very High")))</f>
        <v>Very High</v>
      </c>
      <c r="AB149">
        <f>IF(EmployeeData[[#This Row],[Attrition]]="Yes",1,0)</f>
        <v>0</v>
      </c>
      <c r="AC149" t="str">
        <f ca="1">IF(EmployeeData[[#This Row],[Tenure Years]]&lt;1,"Less than 1 Year",IF(EmployeeData[[#This Row],[Tenure Years]]&lt;=3,"1-3 Years",IF(EmployeeData[[#This Row],[Tenure Years]]&lt;=5,"4-5 Years",IF(EmployeeData[[#This Row],[Tenure Years]]&lt;=10,"6-10 Years","More than 10 Years"))))</f>
        <v>6-10 Years</v>
      </c>
      <c r="AD149">
        <f>ROUND(AVERAGE(EmployeeData[[#This Row],[JobSatisfaction]],EmployeeData[[#This Row],[EnvironmentSatisfaction]],EmployeeData[[#This Row],[WorkLifeBalance]]),2)</f>
        <v>2.67</v>
      </c>
      <c r="AE149" t="str">
        <f>IF(EmployeeData[[#This Row],[Satisfaction Score]]&lt;2,"Low",IF(EmployeeData[[#This Row],[Satisfaction Score]]&lt;3,"Medium","High"))</f>
        <v>Medium</v>
      </c>
    </row>
    <row r="150" spans="1:31" x14ac:dyDescent="0.25">
      <c r="A150" t="s">
        <v>811</v>
      </c>
      <c r="B150" t="s">
        <v>812</v>
      </c>
      <c r="C150" t="s">
        <v>49</v>
      </c>
      <c r="D150">
        <v>40</v>
      </c>
      <c r="E150" t="s">
        <v>94</v>
      </c>
      <c r="F150" t="s">
        <v>306</v>
      </c>
      <c r="G150" s="1">
        <v>45939</v>
      </c>
      <c r="H150">
        <v>46489</v>
      </c>
      <c r="I150" t="s">
        <v>30</v>
      </c>
      <c r="J150" t="s">
        <v>143</v>
      </c>
      <c r="K150" t="s">
        <v>106</v>
      </c>
      <c r="L150" t="s">
        <v>33</v>
      </c>
      <c r="M150">
        <v>35</v>
      </c>
      <c r="N150" t="s">
        <v>34</v>
      </c>
      <c r="O150">
        <v>1</v>
      </c>
      <c r="P150">
        <v>1</v>
      </c>
      <c r="Q150">
        <v>3</v>
      </c>
      <c r="R150">
        <v>3</v>
      </c>
      <c r="S150">
        <v>3</v>
      </c>
      <c r="T150">
        <v>3</v>
      </c>
      <c r="U150">
        <v>14</v>
      </c>
      <c r="V150" t="s">
        <v>814</v>
      </c>
      <c r="W150" t="s">
        <v>45</v>
      </c>
      <c r="X150" s="1">
        <v>46206</v>
      </c>
      <c r="Y150" s="2" t="str">
        <f>IF(EmployeeData[[#This Row],[Age]]&lt;25,"Under 25",IF(EmployeeData[[#This Row],[Age]]&lt;=34,"25-34",IF(EmployeeData[[#This Row],[Age]]&lt;=44,"35-44",IF(EmployeeData[[#This Row],[Age]]&lt;=54,"45-54","55+"))))</f>
        <v>35-44</v>
      </c>
      <c r="Z150">
        <f ca="1">DATEDIF(EmployeeData[[#This Row],[DateOfJoining]],IF(AND(EmployeeData[[#This Row],[Attrition]]="Yes",EmployeeData[[#This Row],[LastWorkingDate]]&lt;&gt;""),EmployeeData[[#This Row],[LastWorkingDate]],TODAY()),"Y")</f>
        <v>0</v>
      </c>
      <c r="AA150" t="str">
        <f>IF(EmployeeData[[#This Row],[MonthlyIncome]]&lt;30000,"Low",IF(EmployeeData[[#This Row],[MonthlyIncome]]&lt;=60000,"Medium",IF(EmployeeData[[#This Row],[MonthlyIncome]]&lt;=100000,"High","Very High")))</f>
        <v>Medium</v>
      </c>
      <c r="AB150">
        <f>IF(EmployeeData[[#This Row],[Attrition]]="Yes",1,0)</f>
        <v>1</v>
      </c>
      <c r="AC150" t="str">
        <f ca="1">IF(EmployeeData[[#This Row],[Tenure Years]]&lt;1,"Less than 1 Year",IF(EmployeeData[[#This Row],[Tenure Years]]&lt;=3,"1-3 Years",IF(EmployeeData[[#This Row],[Tenure Years]]&lt;=5,"4-5 Years",IF(EmployeeData[[#This Row],[Tenure Years]]&lt;=10,"6-10 Years","More than 10 Years"))))</f>
        <v>Less than 1 Year</v>
      </c>
      <c r="AD150">
        <f>ROUND(AVERAGE(EmployeeData[[#This Row],[JobSatisfaction]],EmployeeData[[#This Row],[EnvironmentSatisfaction]],EmployeeData[[#This Row],[WorkLifeBalance]]),2)</f>
        <v>1.67</v>
      </c>
      <c r="AE150" t="str">
        <f>IF(EmployeeData[[#This Row],[Satisfaction Score]]&lt;2,"Low",IF(EmployeeData[[#This Row],[Satisfaction Score]]&lt;3,"Medium","High"))</f>
        <v>Low</v>
      </c>
    </row>
    <row r="151" spans="1:31" x14ac:dyDescent="0.25">
      <c r="A151" t="s">
        <v>816</v>
      </c>
      <c r="B151" t="s">
        <v>817</v>
      </c>
      <c r="C151" t="s">
        <v>58</v>
      </c>
      <c r="D151">
        <v>45</v>
      </c>
      <c r="E151" t="s">
        <v>94</v>
      </c>
      <c r="F151" t="s">
        <v>266</v>
      </c>
      <c r="G151" s="1">
        <v>43676</v>
      </c>
      <c r="H151">
        <v>121180</v>
      </c>
      <c r="I151" t="s">
        <v>30</v>
      </c>
      <c r="J151" t="s">
        <v>31</v>
      </c>
      <c r="K151" t="s">
        <v>32</v>
      </c>
      <c r="L151" t="s">
        <v>62</v>
      </c>
      <c r="M151">
        <v>27</v>
      </c>
      <c r="N151" t="s">
        <v>34</v>
      </c>
      <c r="O151">
        <v>2</v>
      </c>
      <c r="P151">
        <v>1</v>
      </c>
      <c r="Q151">
        <v>4</v>
      </c>
      <c r="R151">
        <v>3</v>
      </c>
      <c r="S151">
        <v>2</v>
      </c>
      <c r="T151">
        <v>6</v>
      </c>
      <c r="U151">
        <v>16</v>
      </c>
      <c r="V151" t="s">
        <v>820</v>
      </c>
      <c r="W151" t="s">
        <v>34</v>
      </c>
      <c r="Y151" s="2" t="str">
        <f>IF(EmployeeData[[#This Row],[Age]]&lt;25,"Under 25",IF(EmployeeData[[#This Row],[Age]]&lt;=34,"25-34",IF(EmployeeData[[#This Row],[Age]]&lt;=44,"35-44",IF(EmployeeData[[#This Row],[Age]]&lt;=54,"45-54","55+"))))</f>
        <v>45-54</v>
      </c>
      <c r="Z151">
        <f ca="1">DATEDIF(EmployeeData[[#This Row],[DateOfJoining]],IF(AND(EmployeeData[[#This Row],[Attrition]]="Yes",EmployeeData[[#This Row],[LastWorkingDate]]&lt;&gt;""),EmployeeData[[#This Row],[LastWorkingDate]],TODAY()),"Y")</f>
        <v>7</v>
      </c>
      <c r="AA151" t="str">
        <f>IF(EmployeeData[[#This Row],[MonthlyIncome]]&lt;30000,"Low",IF(EmployeeData[[#This Row],[MonthlyIncome]]&lt;=60000,"Medium",IF(EmployeeData[[#This Row],[MonthlyIncome]]&lt;=100000,"High","Very High")))</f>
        <v>Very High</v>
      </c>
      <c r="AB151">
        <f>IF(EmployeeData[[#This Row],[Attrition]]="Yes",1,0)</f>
        <v>0</v>
      </c>
      <c r="AC151" t="str">
        <f ca="1">IF(EmployeeData[[#This Row],[Tenure Years]]&lt;1,"Less than 1 Year",IF(EmployeeData[[#This Row],[Tenure Years]]&lt;=3,"1-3 Years",IF(EmployeeData[[#This Row],[Tenure Years]]&lt;=5,"4-5 Years",IF(EmployeeData[[#This Row],[Tenure Years]]&lt;=10,"6-10 Years","More than 10 Years"))))</f>
        <v>6-10 Years</v>
      </c>
      <c r="AD151">
        <f>ROUND(AVERAGE(EmployeeData[[#This Row],[JobSatisfaction]],EmployeeData[[#This Row],[EnvironmentSatisfaction]],EmployeeData[[#This Row],[WorkLifeBalance]]),2)</f>
        <v>2.33</v>
      </c>
      <c r="AE151" t="str">
        <f>IF(EmployeeData[[#This Row],[Satisfaction Score]]&lt;2,"Low",IF(EmployeeData[[#This Row],[Satisfaction Score]]&lt;3,"Medium","High"))</f>
        <v>Medium</v>
      </c>
    </row>
    <row r="152" spans="1:31" x14ac:dyDescent="0.25">
      <c r="A152" t="s">
        <v>821</v>
      </c>
      <c r="B152" t="s">
        <v>822</v>
      </c>
      <c r="C152" t="s">
        <v>58</v>
      </c>
      <c r="D152">
        <v>44</v>
      </c>
      <c r="E152" t="s">
        <v>27</v>
      </c>
      <c r="F152" t="s">
        <v>75</v>
      </c>
      <c r="G152" s="1">
        <v>44410</v>
      </c>
      <c r="H152">
        <v>83280</v>
      </c>
      <c r="I152" t="s">
        <v>52</v>
      </c>
      <c r="J152" t="s">
        <v>31</v>
      </c>
      <c r="K152" t="s">
        <v>83</v>
      </c>
      <c r="L152" t="s">
        <v>62</v>
      </c>
      <c r="M152">
        <v>14</v>
      </c>
      <c r="N152" t="s">
        <v>34</v>
      </c>
      <c r="O152">
        <v>4</v>
      </c>
      <c r="P152">
        <v>3</v>
      </c>
      <c r="Q152">
        <v>4</v>
      </c>
      <c r="R152">
        <v>3</v>
      </c>
      <c r="S152">
        <v>6</v>
      </c>
      <c r="T152">
        <v>2</v>
      </c>
      <c r="U152">
        <v>19</v>
      </c>
      <c r="V152" t="s">
        <v>824</v>
      </c>
      <c r="W152" t="s">
        <v>34</v>
      </c>
      <c r="Y152" s="2" t="str">
        <f>IF(EmployeeData[[#This Row],[Age]]&lt;25,"Under 25",IF(EmployeeData[[#This Row],[Age]]&lt;=34,"25-34",IF(EmployeeData[[#This Row],[Age]]&lt;=44,"35-44",IF(EmployeeData[[#This Row],[Age]]&lt;=54,"45-54","55+"))))</f>
        <v>35-44</v>
      </c>
      <c r="Z152">
        <f ca="1">DATEDIF(EmployeeData[[#This Row],[DateOfJoining]],IF(AND(EmployeeData[[#This Row],[Attrition]]="Yes",EmployeeData[[#This Row],[LastWorkingDate]]&lt;&gt;""),EmployeeData[[#This Row],[LastWorkingDate]],TODAY()),"Y")</f>
        <v>5</v>
      </c>
      <c r="AA152" t="str">
        <f>IF(EmployeeData[[#This Row],[MonthlyIncome]]&lt;30000,"Low",IF(EmployeeData[[#This Row],[MonthlyIncome]]&lt;=60000,"Medium",IF(EmployeeData[[#This Row],[MonthlyIncome]]&lt;=100000,"High","Very High")))</f>
        <v>High</v>
      </c>
      <c r="AB152">
        <f>IF(EmployeeData[[#This Row],[Attrition]]="Yes",1,0)</f>
        <v>0</v>
      </c>
      <c r="AC152" t="str">
        <f ca="1">IF(EmployeeData[[#This Row],[Tenure Years]]&lt;1,"Less than 1 Year",IF(EmployeeData[[#This Row],[Tenure Years]]&lt;=3,"1-3 Years",IF(EmployeeData[[#This Row],[Tenure Years]]&lt;=5,"4-5 Years",IF(EmployeeData[[#This Row],[Tenure Years]]&lt;=10,"6-10 Years","More than 10 Years"))))</f>
        <v>4-5 Years</v>
      </c>
      <c r="AD152">
        <f>ROUND(AVERAGE(EmployeeData[[#This Row],[JobSatisfaction]],EmployeeData[[#This Row],[EnvironmentSatisfaction]],EmployeeData[[#This Row],[WorkLifeBalance]]),2)</f>
        <v>3.67</v>
      </c>
      <c r="AE152" t="str">
        <f>IF(EmployeeData[[#This Row],[Satisfaction Score]]&lt;2,"Low",IF(EmployeeData[[#This Row],[Satisfaction Score]]&lt;3,"Medium","High"))</f>
        <v>High</v>
      </c>
    </row>
    <row r="153" spans="1:31" x14ac:dyDescent="0.25">
      <c r="A153" t="s">
        <v>825</v>
      </c>
      <c r="B153" t="s">
        <v>826</v>
      </c>
      <c r="C153" t="s">
        <v>58</v>
      </c>
      <c r="D153">
        <v>44</v>
      </c>
      <c r="E153" t="s">
        <v>412</v>
      </c>
      <c r="F153" t="s">
        <v>828</v>
      </c>
      <c r="G153" s="1">
        <v>44327</v>
      </c>
      <c r="H153">
        <v>62285</v>
      </c>
      <c r="I153" t="s">
        <v>30</v>
      </c>
      <c r="J153" t="s">
        <v>31</v>
      </c>
      <c r="K153" t="s">
        <v>32</v>
      </c>
      <c r="L153" t="s">
        <v>33</v>
      </c>
      <c r="M153">
        <v>22</v>
      </c>
      <c r="N153" t="s">
        <v>34</v>
      </c>
      <c r="O153">
        <v>3</v>
      </c>
      <c r="P153">
        <v>1</v>
      </c>
      <c r="Q153">
        <v>2</v>
      </c>
      <c r="R153">
        <v>3</v>
      </c>
      <c r="S153">
        <v>3</v>
      </c>
      <c r="T153">
        <v>8</v>
      </c>
      <c r="U153">
        <v>11</v>
      </c>
      <c r="V153" t="s">
        <v>5459</v>
      </c>
      <c r="W153" t="s">
        <v>34</v>
      </c>
      <c r="Y153" s="2" t="str">
        <f>IF(EmployeeData[[#This Row],[Age]]&lt;25,"Under 25",IF(EmployeeData[[#This Row],[Age]]&lt;=34,"25-34",IF(EmployeeData[[#This Row],[Age]]&lt;=44,"35-44",IF(EmployeeData[[#This Row],[Age]]&lt;=54,"45-54","55+"))))</f>
        <v>35-44</v>
      </c>
      <c r="Z153">
        <f ca="1">DATEDIF(EmployeeData[[#This Row],[DateOfJoining]],IF(AND(EmployeeData[[#This Row],[Attrition]]="Yes",EmployeeData[[#This Row],[LastWorkingDate]]&lt;&gt;""),EmployeeData[[#This Row],[LastWorkingDate]],TODAY()),"Y")</f>
        <v>5</v>
      </c>
      <c r="AA153" t="str">
        <f>IF(EmployeeData[[#This Row],[MonthlyIncome]]&lt;30000,"Low",IF(EmployeeData[[#This Row],[MonthlyIncome]]&lt;=60000,"Medium",IF(EmployeeData[[#This Row],[MonthlyIncome]]&lt;=100000,"High","Very High")))</f>
        <v>High</v>
      </c>
      <c r="AB153">
        <f>IF(EmployeeData[[#This Row],[Attrition]]="Yes",1,0)</f>
        <v>0</v>
      </c>
      <c r="AC153" t="str">
        <f ca="1">IF(EmployeeData[[#This Row],[Tenure Years]]&lt;1,"Less than 1 Year",IF(EmployeeData[[#This Row],[Tenure Years]]&lt;=3,"1-3 Years",IF(EmployeeData[[#This Row],[Tenure Years]]&lt;=5,"4-5 Years",IF(EmployeeData[[#This Row],[Tenure Years]]&lt;=10,"6-10 Years","More than 10 Years"))))</f>
        <v>4-5 Years</v>
      </c>
      <c r="AD153">
        <f>ROUND(AVERAGE(EmployeeData[[#This Row],[JobSatisfaction]],EmployeeData[[#This Row],[EnvironmentSatisfaction]],EmployeeData[[#This Row],[WorkLifeBalance]]),2)</f>
        <v>2</v>
      </c>
      <c r="AE153" t="str">
        <f>IF(EmployeeData[[#This Row],[Satisfaction Score]]&lt;2,"Low",IF(EmployeeData[[#This Row],[Satisfaction Score]]&lt;3,"Medium","High"))</f>
        <v>Medium</v>
      </c>
    </row>
    <row r="154" spans="1:31" x14ac:dyDescent="0.25">
      <c r="A154" t="s">
        <v>830</v>
      </c>
      <c r="B154" t="s">
        <v>831</v>
      </c>
      <c r="C154" t="s">
        <v>49</v>
      </c>
      <c r="D154">
        <v>21</v>
      </c>
      <c r="E154" t="s">
        <v>27</v>
      </c>
      <c r="F154" t="s">
        <v>75</v>
      </c>
      <c r="G154" s="1">
        <v>43055</v>
      </c>
      <c r="H154">
        <v>108148</v>
      </c>
      <c r="I154" t="s">
        <v>30</v>
      </c>
      <c r="J154" t="s">
        <v>31</v>
      </c>
      <c r="K154" t="s">
        <v>83</v>
      </c>
      <c r="L154" t="s">
        <v>43</v>
      </c>
      <c r="M154">
        <v>24</v>
      </c>
      <c r="N154" t="s">
        <v>34</v>
      </c>
      <c r="O154">
        <v>2</v>
      </c>
      <c r="P154">
        <v>1</v>
      </c>
      <c r="Q154">
        <v>3</v>
      </c>
      <c r="R154">
        <v>3</v>
      </c>
      <c r="S154">
        <v>5</v>
      </c>
      <c r="T154">
        <v>2</v>
      </c>
      <c r="U154">
        <v>23</v>
      </c>
      <c r="V154" t="s">
        <v>833</v>
      </c>
      <c r="W154" t="s">
        <v>34</v>
      </c>
      <c r="Y154" s="2" t="str">
        <f>IF(EmployeeData[[#This Row],[Age]]&lt;25,"Under 25",IF(EmployeeData[[#This Row],[Age]]&lt;=34,"25-34",IF(EmployeeData[[#This Row],[Age]]&lt;=44,"35-44",IF(EmployeeData[[#This Row],[Age]]&lt;=54,"45-54","55+"))))</f>
        <v>Under 25</v>
      </c>
      <c r="Z154">
        <f ca="1">DATEDIF(EmployeeData[[#This Row],[DateOfJoining]],IF(AND(EmployeeData[[#This Row],[Attrition]]="Yes",EmployeeData[[#This Row],[LastWorkingDate]]&lt;&gt;""),EmployeeData[[#This Row],[LastWorkingDate]],TODAY()),"Y")</f>
        <v>8</v>
      </c>
      <c r="AA154" t="str">
        <f>IF(EmployeeData[[#This Row],[MonthlyIncome]]&lt;30000,"Low",IF(EmployeeData[[#This Row],[MonthlyIncome]]&lt;=60000,"Medium",IF(EmployeeData[[#This Row],[MonthlyIncome]]&lt;=100000,"High","Very High")))</f>
        <v>Very High</v>
      </c>
      <c r="AB154">
        <f>IF(EmployeeData[[#This Row],[Attrition]]="Yes",1,0)</f>
        <v>0</v>
      </c>
      <c r="AC154" t="str">
        <f ca="1">IF(EmployeeData[[#This Row],[Tenure Years]]&lt;1,"Less than 1 Year",IF(EmployeeData[[#This Row],[Tenure Years]]&lt;=3,"1-3 Years",IF(EmployeeData[[#This Row],[Tenure Years]]&lt;=5,"4-5 Years",IF(EmployeeData[[#This Row],[Tenure Years]]&lt;=10,"6-10 Years","More than 10 Years"))))</f>
        <v>6-10 Years</v>
      </c>
      <c r="AD154">
        <f>ROUND(AVERAGE(EmployeeData[[#This Row],[JobSatisfaction]],EmployeeData[[#This Row],[EnvironmentSatisfaction]],EmployeeData[[#This Row],[WorkLifeBalance]]),2)</f>
        <v>2</v>
      </c>
      <c r="AE154" t="str">
        <f>IF(EmployeeData[[#This Row],[Satisfaction Score]]&lt;2,"Low",IF(EmployeeData[[#This Row],[Satisfaction Score]]&lt;3,"Medium","High"))</f>
        <v>Medium</v>
      </c>
    </row>
    <row r="155" spans="1:31" x14ac:dyDescent="0.25">
      <c r="A155" t="s">
        <v>834</v>
      </c>
      <c r="B155" t="s">
        <v>835</v>
      </c>
      <c r="C155" t="s">
        <v>49</v>
      </c>
      <c r="D155">
        <v>36</v>
      </c>
      <c r="E155" t="s">
        <v>27</v>
      </c>
      <c r="F155" t="s">
        <v>50</v>
      </c>
      <c r="G155" s="1">
        <v>43801</v>
      </c>
      <c r="H155">
        <v>57159</v>
      </c>
      <c r="I155" t="s">
        <v>42</v>
      </c>
      <c r="J155" t="s">
        <v>61</v>
      </c>
      <c r="K155" t="s">
        <v>54</v>
      </c>
      <c r="L155" t="s">
        <v>33</v>
      </c>
      <c r="M155">
        <v>5</v>
      </c>
      <c r="N155" t="s">
        <v>34</v>
      </c>
      <c r="O155">
        <v>1</v>
      </c>
      <c r="P155">
        <v>2</v>
      </c>
      <c r="Q155">
        <v>4</v>
      </c>
      <c r="R155">
        <v>4</v>
      </c>
      <c r="S155">
        <v>1</v>
      </c>
      <c r="T155">
        <v>3</v>
      </c>
      <c r="U155">
        <v>12</v>
      </c>
      <c r="V155" t="s">
        <v>837</v>
      </c>
      <c r="W155" t="s">
        <v>34</v>
      </c>
      <c r="Y155" s="2" t="str">
        <f>IF(EmployeeData[[#This Row],[Age]]&lt;25,"Under 25",IF(EmployeeData[[#This Row],[Age]]&lt;=34,"25-34",IF(EmployeeData[[#This Row],[Age]]&lt;=44,"35-44",IF(EmployeeData[[#This Row],[Age]]&lt;=54,"45-54","55+"))))</f>
        <v>35-44</v>
      </c>
      <c r="Z155">
        <f ca="1">DATEDIF(EmployeeData[[#This Row],[DateOfJoining]],IF(AND(EmployeeData[[#This Row],[Attrition]]="Yes",EmployeeData[[#This Row],[LastWorkingDate]]&lt;&gt;""),EmployeeData[[#This Row],[LastWorkingDate]],TODAY()),"Y")</f>
        <v>6</v>
      </c>
      <c r="AA155" t="str">
        <f>IF(EmployeeData[[#This Row],[MonthlyIncome]]&lt;30000,"Low",IF(EmployeeData[[#This Row],[MonthlyIncome]]&lt;=60000,"Medium",IF(EmployeeData[[#This Row],[MonthlyIncome]]&lt;=100000,"High","Very High")))</f>
        <v>Medium</v>
      </c>
      <c r="AB155">
        <f>IF(EmployeeData[[#This Row],[Attrition]]="Yes",1,0)</f>
        <v>0</v>
      </c>
      <c r="AC155" t="str">
        <f ca="1">IF(EmployeeData[[#This Row],[Tenure Years]]&lt;1,"Less than 1 Year",IF(EmployeeData[[#This Row],[Tenure Years]]&lt;=3,"1-3 Years",IF(EmployeeData[[#This Row],[Tenure Years]]&lt;=5,"4-5 Years",IF(EmployeeData[[#This Row],[Tenure Years]]&lt;=10,"6-10 Years","More than 10 Years"))))</f>
        <v>6-10 Years</v>
      </c>
      <c r="AD155">
        <f>ROUND(AVERAGE(EmployeeData[[#This Row],[JobSatisfaction]],EmployeeData[[#This Row],[EnvironmentSatisfaction]],EmployeeData[[#This Row],[WorkLifeBalance]]),2)</f>
        <v>2.33</v>
      </c>
      <c r="AE155" t="str">
        <f>IF(EmployeeData[[#This Row],[Satisfaction Score]]&lt;2,"Low",IF(EmployeeData[[#This Row],[Satisfaction Score]]&lt;3,"Medium","High"))</f>
        <v>Medium</v>
      </c>
    </row>
    <row r="156" spans="1:31" x14ac:dyDescent="0.25">
      <c r="A156" t="s">
        <v>838</v>
      </c>
      <c r="B156" t="s">
        <v>839</v>
      </c>
      <c r="C156" t="s">
        <v>58</v>
      </c>
      <c r="D156">
        <v>35</v>
      </c>
      <c r="E156" t="s">
        <v>128</v>
      </c>
      <c r="F156" t="s">
        <v>271</v>
      </c>
      <c r="G156" s="1">
        <v>42969</v>
      </c>
      <c r="H156">
        <v>91393</v>
      </c>
      <c r="I156" t="s">
        <v>5459</v>
      </c>
      <c r="J156" t="s">
        <v>61</v>
      </c>
      <c r="K156" t="s">
        <v>131</v>
      </c>
      <c r="L156" t="s">
        <v>62</v>
      </c>
      <c r="M156">
        <v>35</v>
      </c>
      <c r="N156" t="s">
        <v>34</v>
      </c>
      <c r="O156">
        <v>2</v>
      </c>
      <c r="P156">
        <v>1</v>
      </c>
      <c r="Q156">
        <v>1</v>
      </c>
      <c r="R156">
        <v>3</v>
      </c>
      <c r="S156">
        <v>6</v>
      </c>
      <c r="T156">
        <v>4</v>
      </c>
      <c r="U156">
        <v>22</v>
      </c>
      <c r="V156" t="s">
        <v>5459</v>
      </c>
      <c r="W156" t="s">
        <v>45</v>
      </c>
      <c r="X156" s="1">
        <v>45039</v>
      </c>
      <c r="Y156" s="2" t="str">
        <f>IF(EmployeeData[[#This Row],[Age]]&lt;25,"Under 25",IF(EmployeeData[[#This Row],[Age]]&lt;=34,"25-34",IF(EmployeeData[[#This Row],[Age]]&lt;=44,"35-44",IF(EmployeeData[[#This Row],[Age]]&lt;=54,"45-54","55+"))))</f>
        <v>35-44</v>
      </c>
      <c r="Z156">
        <f ca="1">DATEDIF(EmployeeData[[#This Row],[DateOfJoining]],IF(AND(EmployeeData[[#This Row],[Attrition]]="Yes",EmployeeData[[#This Row],[LastWorkingDate]]&lt;&gt;""),EmployeeData[[#This Row],[LastWorkingDate]],TODAY()),"Y")</f>
        <v>5</v>
      </c>
      <c r="AA156" t="str">
        <f>IF(EmployeeData[[#This Row],[MonthlyIncome]]&lt;30000,"Low",IF(EmployeeData[[#This Row],[MonthlyIncome]]&lt;=60000,"Medium",IF(EmployeeData[[#This Row],[MonthlyIncome]]&lt;=100000,"High","Very High")))</f>
        <v>High</v>
      </c>
      <c r="AB156">
        <f>IF(EmployeeData[[#This Row],[Attrition]]="Yes",1,0)</f>
        <v>1</v>
      </c>
      <c r="AC156" t="str">
        <f ca="1">IF(EmployeeData[[#This Row],[Tenure Years]]&lt;1,"Less than 1 Year",IF(EmployeeData[[#This Row],[Tenure Years]]&lt;=3,"1-3 Years",IF(EmployeeData[[#This Row],[Tenure Years]]&lt;=5,"4-5 Years",IF(EmployeeData[[#This Row],[Tenure Years]]&lt;=10,"6-10 Years","More than 10 Years"))))</f>
        <v>4-5 Years</v>
      </c>
      <c r="AD156">
        <f>ROUND(AVERAGE(EmployeeData[[#This Row],[JobSatisfaction]],EmployeeData[[#This Row],[EnvironmentSatisfaction]],EmployeeData[[#This Row],[WorkLifeBalance]]),2)</f>
        <v>1.33</v>
      </c>
      <c r="AE156" t="str">
        <f>IF(EmployeeData[[#This Row],[Satisfaction Score]]&lt;2,"Low",IF(EmployeeData[[#This Row],[Satisfaction Score]]&lt;3,"Medium","High"))</f>
        <v>Low</v>
      </c>
    </row>
    <row r="157" spans="1:31" x14ac:dyDescent="0.25">
      <c r="A157" t="s">
        <v>842</v>
      </c>
      <c r="B157" t="s">
        <v>843</v>
      </c>
      <c r="C157" t="s">
        <v>58</v>
      </c>
      <c r="D157">
        <v>38</v>
      </c>
      <c r="E157" t="s">
        <v>5461</v>
      </c>
      <c r="F157" t="s">
        <v>5464</v>
      </c>
      <c r="G157" s="1">
        <v>41880</v>
      </c>
      <c r="H157">
        <v>72710</v>
      </c>
      <c r="I157" t="s">
        <v>52</v>
      </c>
      <c r="J157" t="s">
        <v>31</v>
      </c>
      <c r="K157" t="s">
        <v>113</v>
      </c>
      <c r="L157" t="s">
        <v>43</v>
      </c>
      <c r="M157">
        <v>26</v>
      </c>
      <c r="N157" t="s">
        <v>34</v>
      </c>
      <c r="O157">
        <v>1</v>
      </c>
      <c r="P157">
        <v>1</v>
      </c>
      <c r="Q157">
        <v>3</v>
      </c>
      <c r="R157">
        <v>3</v>
      </c>
      <c r="S157">
        <v>5</v>
      </c>
      <c r="T157">
        <v>8</v>
      </c>
      <c r="U157">
        <v>21</v>
      </c>
      <c r="V157" t="s">
        <v>845</v>
      </c>
      <c r="W157" t="s">
        <v>34</v>
      </c>
      <c r="Y157" s="2" t="str">
        <f>IF(EmployeeData[[#This Row],[Age]]&lt;25,"Under 25",IF(EmployeeData[[#This Row],[Age]]&lt;=34,"25-34",IF(EmployeeData[[#This Row],[Age]]&lt;=44,"35-44",IF(EmployeeData[[#This Row],[Age]]&lt;=54,"45-54","55+"))))</f>
        <v>35-44</v>
      </c>
      <c r="Z157">
        <f ca="1">DATEDIF(EmployeeData[[#This Row],[DateOfJoining]],IF(AND(EmployeeData[[#This Row],[Attrition]]="Yes",EmployeeData[[#This Row],[LastWorkingDate]]&lt;&gt;""),EmployeeData[[#This Row],[LastWorkingDate]],TODAY()),"Y")</f>
        <v>12</v>
      </c>
      <c r="AA157" t="str">
        <f>IF(EmployeeData[[#This Row],[MonthlyIncome]]&lt;30000,"Low",IF(EmployeeData[[#This Row],[MonthlyIncome]]&lt;=60000,"Medium",IF(EmployeeData[[#This Row],[MonthlyIncome]]&lt;=100000,"High","Very High")))</f>
        <v>High</v>
      </c>
      <c r="AB157">
        <f>IF(EmployeeData[[#This Row],[Attrition]]="Yes",1,0)</f>
        <v>0</v>
      </c>
      <c r="AC157" t="str">
        <f ca="1">IF(EmployeeData[[#This Row],[Tenure Years]]&lt;1,"Less than 1 Year",IF(EmployeeData[[#This Row],[Tenure Years]]&lt;=3,"1-3 Years",IF(EmployeeData[[#This Row],[Tenure Years]]&lt;=5,"4-5 Years",IF(EmployeeData[[#This Row],[Tenure Years]]&lt;=10,"6-10 Years","More than 10 Years"))))</f>
        <v>More than 10 Years</v>
      </c>
      <c r="AD157">
        <f>ROUND(AVERAGE(EmployeeData[[#This Row],[JobSatisfaction]],EmployeeData[[#This Row],[EnvironmentSatisfaction]],EmployeeData[[#This Row],[WorkLifeBalance]]),2)</f>
        <v>1.67</v>
      </c>
      <c r="AE157" t="str">
        <f>IF(EmployeeData[[#This Row],[Satisfaction Score]]&lt;2,"Low",IF(EmployeeData[[#This Row],[Satisfaction Score]]&lt;3,"Medium","High"))</f>
        <v>Low</v>
      </c>
    </row>
    <row r="158" spans="1:31" x14ac:dyDescent="0.25">
      <c r="A158" t="s">
        <v>846</v>
      </c>
      <c r="B158" t="s">
        <v>847</v>
      </c>
      <c r="C158" t="s">
        <v>58</v>
      </c>
      <c r="D158">
        <v>41</v>
      </c>
      <c r="E158" t="s">
        <v>128</v>
      </c>
      <c r="F158" t="s">
        <v>255</v>
      </c>
      <c r="G158" s="1">
        <v>40862</v>
      </c>
      <c r="H158">
        <v>51448</v>
      </c>
      <c r="I158" t="s">
        <v>42</v>
      </c>
      <c r="J158" t="s">
        <v>97</v>
      </c>
      <c r="K158" t="s">
        <v>167</v>
      </c>
      <c r="L158" t="s">
        <v>33</v>
      </c>
      <c r="M158">
        <v>43</v>
      </c>
      <c r="N158" t="s">
        <v>34</v>
      </c>
      <c r="O158">
        <v>3</v>
      </c>
      <c r="P158">
        <v>4</v>
      </c>
      <c r="Q158">
        <v>2</v>
      </c>
      <c r="R158">
        <v>3</v>
      </c>
      <c r="S158">
        <v>3</v>
      </c>
      <c r="T158">
        <v>0</v>
      </c>
      <c r="U158">
        <v>25</v>
      </c>
      <c r="V158" t="s">
        <v>850</v>
      </c>
      <c r="W158" t="s">
        <v>34</v>
      </c>
      <c r="Y158" s="2" t="str">
        <f>IF(EmployeeData[[#This Row],[Age]]&lt;25,"Under 25",IF(EmployeeData[[#This Row],[Age]]&lt;=34,"25-34",IF(EmployeeData[[#This Row],[Age]]&lt;=44,"35-44",IF(EmployeeData[[#This Row],[Age]]&lt;=54,"45-54","55+"))))</f>
        <v>35-44</v>
      </c>
      <c r="Z158">
        <f ca="1">DATEDIF(EmployeeData[[#This Row],[DateOfJoining]],IF(AND(EmployeeData[[#This Row],[Attrition]]="Yes",EmployeeData[[#This Row],[LastWorkingDate]]&lt;&gt;""),EmployeeData[[#This Row],[LastWorkingDate]],TODAY()),"Y")</f>
        <v>14</v>
      </c>
      <c r="AA158" t="str">
        <f>IF(EmployeeData[[#This Row],[MonthlyIncome]]&lt;30000,"Low",IF(EmployeeData[[#This Row],[MonthlyIncome]]&lt;=60000,"Medium",IF(EmployeeData[[#This Row],[MonthlyIncome]]&lt;=100000,"High","Very High")))</f>
        <v>Medium</v>
      </c>
      <c r="AB158">
        <f>IF(EmployeeData[[#This Row],[Attrition]]="Yes",1,0)</f>
        <v>0</v>
      </c>
      <c r="AC158" t="str">
        <f ca="1">IF(EmployeeData[[#This Row],[Tenure Years]]&lt;1,"Less than 1 Year",IF(EmployeeData[[#This Row],[Tenure Years]]&lt;=3,"1-3 Years",IF(EmployeeData[[#This Row],[Tenure Years]]&lt;=5,"4-5 Years",IF(EmployeeData[[#This Row],[Tenure Years]]&lt;=10,"6-10 Years","More than 10 Years"))))</f>
        <v>More than 10 Years</v>
      </c>
      <c r="AD158">
        <f>ROUND(AVERAGE(EmployeeData[[#This Row],[JobSatisfaction]],EmployeeData[[#This Row],[EnvironmentSatisfaction]],EmployeeData[[#This Row],[WorkLifeBalance]]),2)</f>
        <v>3</v>
      </c>
      <c r="AE158" t="str">
        <f>IF(EmployeeData[[#This Row],[Satisfaction Score]]&lt;2,"Low",IF(EmployeeData[[#This Row],[Satisfaction Score]]&lt;3,"Medium","High"))</f>
        <v>High</v>
      </c>
    </row>
    <row r="159" spans="1:31" x14ac:dyDescent="0.25">
      <c r="A159" t="s">
        <v>851</v>
      </c>
      <c r="B159" t="s">
        <v>852</v>
      </c>
      <c r="C159" t="s">
        <v>49</v>
      </c>
      <c r="D159">
        <v>36</v>
      </c>
      <c r="E159" t="s">
        <v>128</v>
      </c>
      <c r="F159" t="s">
        <v>271</v>
      </c>
      <c r="G159" s="1">
        <v>45955</v>
      </c>
      <c r="H159">
        <v>67711</v>
      </c>
      <c r="I159" t="s">
        <v>52</v>
      </c>
      <c r="J159" t="s">
        <v>61</v>
      </c>
      <c r="K159" t="s">
        <v>113</v>
      </c>
      <c r="L159" t="s">
        <v>43</v>
      </c>
      <c r="M159">
        <v>19</v>
      </c>
      <c r="N159" t="s">
        <v>34</v>
      </c>
      <c r="O159">
        <v>3</v>
      </c>
      <c r="P159">
        <v>1</v>
      </c>
      <c r="Q159">
        <v>4</v>
      </c>
      <c r="R159">
        <v>2</v>
      </c>
      <c r="S159">
        <v>3</v>
      </c>
      <c r="T159">
        <v>4</v>
      </c>
      <c r="U159">
        <v>24</v>
      </c>
      <c r="V159" t="s">
        <v>854</v>
      </c>
      <c r="W159" t="s">
        <v>34</v>
      </c>
      <c r="Y159" s="2" t="str">
        <f>IF(EmployeeData[[#This Row],[Age]]&lt;25,"Under 25",IF(EmployeeData[[#This Row],[Age]]&lt;=34,"25-34",IF(EmployeeData[[#This Row],[Age]]&lt;=44,"35-44",IF(EmployeeData[[#This Row],[Age]]&lt;=54,"45-54","55+"))))</f>
        <v>35-44</v>
      </c>
      <c r="Z159">
        <f ca="1">DATEDIF(EmployeeData[[#This Row],[DateOfJoining]],IF(AND(EmployeeData[[#This Row],[Attrition]]="Yes",EmployeeData[[#This Row],[LastWorkingDate]]&lt;&gt;""),EmployeeData[[#This Row],[LastWorkingDate]],TODAY()),"Y")</f>
        <v>0</v>
      </c>
      <c r="AA159" t="str">
        <f>IF(EmployeeData[[#This Row],[MonthlyIncome]]&lt;30000,"Low",IF(EmployeeData[[#This Row],[MonthlyIncome]]&lt;=60000,"Medium",IF(EmployeeData[[#This Row],[MonthlyIncome]]&lt;=100000,"High","Very High")))</f>
        <v>High</v>
      </c>
      <c r="AB159">
        <f>IF(EmployeeData[[#This Row],[Attrition]]="Yes",1,0)</f>
        <v>0</v>
      </c>
      <c r="AC159" t="str">
        <f ca="1">IF(EmployeeData[[#This Row],[Tenure Years]]&lt;1,"Less than 1 Year",IF(EmployeeData[[#This Row],[Tenure Years]]&lt;=3,"1-3 Years",IF(EmployeeData[[#This Row],[Tenure Years]]&lt;=5,"4-5 Years",IF(EmployeeData[[#This Row],[Tenure Years]]&lt;=10,"6-10 Years","More than 10 Years"))))</f>
        <v>Less than 1 Year</v>
      </c>
      <c r="AD159">
        <f>ROUND(AVERAGE(EmployeeData[[#This Row],[JobSatisfaction]],EmployeeData[[#This Row],[EnvironmentSatisfaction]],EmployeeData[[#This Row],[WorkLifeBalance]]),2)</f>
        <v>2.67</v>
      </c>
      <c r="AE159" t="str">
        <f>IF(EmployeeData[[#This Row],[Satisfaction Score]]&lt;2,"Low",IF(EmployeeData[[#This Row],[Satisfaction Score]]&lt;3,"Medium","High"))</f>
        <v>Medium</v>
      </c>
    </row>
    <row r="160" spans="1:31" x14ac:dyDescent="0.25">
      <c r="A160" t="s">
        <v>855</v>
      </c>
      <c r="B160" t="s">
        <v>856</v>
      </c>
      <c r="C160" t="s">
        <v>58</v>
      </c>
      <c r="D160">
        <v>29</v>
      </c>
      <c r="E160" t="s">
        <v>5461</v>
      </c>
      <c r="F160" t="s">
        <v>261</v>
      </c>
      <c r="G160" s="1">
        <v>42813</v>
      </c>
      <c r="H160">
        <v>69722</v>
      </c>
      <c r="I160" t="s">
        <v>30</v>
      </c>
      <c r="J160" t="s">
        <v>61</v>
      </c>
      <c r="K160" t="s">
        <v>32</v>
      </c>
      <c r="L160" t="s">
        <v>62</v>
      </c>
      <c r="M160">
        <v>13</v>
      </c>
      <c r="N160" t="s">
        <v>45</v>
      </c>
      <c r="O160">
        <v>1</v>
      </c>
      <c r="P160">
        <v>2</v>
      </c>
      <c r="Q160">
        <v>3</v>
      </c>
      <c r="R160">
        <v>3</v>
      </c>
      <c r="S160">
        <v>5</v>
      </c>
      <c r="T160">
        <v>2</v>
      </c>
      <c r="U160">
        <v>24</v>
      </c>
      <c r="V160" t="s">
        <v>859</v>
      </c>
      <c r="W160" t="s">
        <v>45</v>
      </c>
      <c r="X160" s="1">
        <v>45447</v>
      </c>
      <c r="Y160" s="2" t="str">
        <f>IF(EmployeeData[[#This Row],[Age]]&lt;25,"Under 25",IF(EmployeeData[[#This Row],[Age]]&lt;=34,"25-34",IF(EmployeeData[[#This Row],[Age]]&lt;=44,"35-44",IF(EmployeeData[[#This Row],[Age]]&lt;=54,"45-54","55+"))))</f>
        <v>25-34</v>
      </c>
      <c r="Z160">
        <f ca="1">DATEDIF(EmployeeData[[#This Row],[DateOfJoining]],IF(AND(EmployeeData[[#This Row],[Attrition]]="Yes",EmployeeData[[#This Row],[LastWorkingDate]]&lt;&gt;""),EmployeeData[[#This Row],[LastWorkingDate]],TODAY()),"Y")</f>
        <v>7</v>
      </c>
      <c r="AA160" t="str">
        <f>IF(EmployeeData[[#This Row],[MonthlyIncome]]&lt;30000,"Low",IF(EmployeeData[[#This Row],[MonthlyIncome]]&lt;=60000,"Medium",IF(EmployeeData[[#This Row],[MonthlyIncome]]&lt;=100000,"High","Very High")))</f>
        <v>High</v>
      </c>
      <c r="AB160">
        <f>IF(EmployeeData[[#This Row],[Attrition]]="Yes",1,0)</f>
        <v>1</v>
      </c>
      <c r="AC160" t="str">
        <f ca="1">IF(EmployeeData[[#This Row],[Tenure Years]]&lt;1,"Less than 1 Year",IF(EmployeeData[[#This Row],[Tenure Years]]&lt;=3,"1-3 Years",IF(EmployeeData[[#This Row],[Tenure Years]]&lt;=5,"4-5 Years",IF(EmployeeData[[#This Row],[Tenure Years]]&lt;=10,"6-10 Years","More than 10 Years"))))</f>
        <v>6-10 Years</v>
      </c>
      <c r="AD160">
        <f>ROUND(AVERAGE(EmployeeData[[#This Row],[JobSatisfaction]],EmployeeData[[#This Row],[EnvironmentSatisfaction]],EmployeeData[[#This Row],[WorkLifeBalance]]),2)</f>
        <v>2</v>
      </c>
      <c r="AE160" t="str">
        <f>IF(EmployeeData[[#This Row],[Satisfaction Score]]&lt;2,"Low",IF(EmployeeData[[#This Row],[Satisfaction Score]]&lt;3,"Medium","High"))</f>
        <v>Medium</v>
      </c>
    </row>
    <row r="161" spans="1:31" x14ac:dyDescent="0.25">
      <c r="A161" t="s">
        <v>861</v>
      </c>
      <c r="B161" t="s">
        <v>862</v>
      </c>
      <c r="C161" t="s">
        <v>5459</v>
      </c>
      <c r="D161">
        <v>21</v>
      </c>
      <c r="E161" t="s">
        <v>128</v>
      </c>
      <c r="F161" t="s">
        <v>123</v>
      </c>
      <c r="G161" s="1">
        <v>45565</v>
      </c>
      <c r="H161">
        <v>71864</v>
      </c>
      <c r="I161" t="s">
        <v>52</v>
      </c>
      <c r="J161" t="s">
        <v>31</v>
      </c>
      <c r="K161" t="s">
        <v>32</v>
      </c>
      <c r="L161" t="s">
        <v>43</v>
      </c>
      <c r="M161">
        <v>1</v>
      </c>
      <c r="N161" t="s">
        <v>45</v>
      </c>
      <c r="O161">
        <v>4</v>
      </c>
      <c r="P161">
        <v>1</v>
      </c>
      <c r="Q161">
        <v>3</v>
      </c>
      <c r="R161">
        <v>4</v>
      </c>
      <c r="S161">
        <v>2</v>
      </c>
      <c r="T161">
        <v>2</v>
      </c>
      <c r="U161">
        <v>13</v>
      </c>
      <c r="V161" t="s">
        <v>864</v>
      </c>
      <c r="W161" t="s">
        <v>34</v>
      </c>
      <c r="Y161" s="2" t="str">
        <f>IF(EmployeeData[[#This Row],[Age]]&lt;25,"Under 25",IF(EmployeeData[[#This Row],[Age]]&lt;=34,"25-34",IF(EmployeeData[[#This Row],[Age]]&lt;=44,"35-44",IF(EmployeeData[[#This Row],[Age]]&lt;=54,"45-54","55+"))))</f>
        <v>Under 25</v>
      </c>
      <c r="Z161">
        <f ca="1">DATEDIF(EmployeeData[[#This Row],[DateOfJoining]],IF(AND(EmployeeData[[#This Row],[Attrition]]="Yes",EmployeeData[[#This Row],[LastWorkingDate]]&lt;&gt;""),EmployeeData[[#This Row],[LastWorkingDate]],TODAY()),"Y")</f>
        <v>1</v>
      </c>
      <c r="AA161" t="str">
        <f>IF(EmployeeData[[#This Row],[MonthlyIncome]]&lt;30000,"Low",IF(EmployeeData[[#This Row],[MonthlyIncome]]&lt;=60000,"Medium",IF(EmployeeData[[#This Row],[MonthlyIncome]]&lt;=100000,"High","Very High")))</f>
        <v>High</v>
      </c>
      <c r="AB161">
        <f>IF(EmployeeData[[#This Row],[Attrition]]="Yes",1,0)</f>
        <v>0</v>
      </c>
      <c r="AC161" t="str">
        <f ca="1">IF(EmployeeData[[#This Row],[Tenure Years]]&lt;1,"Less than 1 Year",IF(EmployeeData[[#This Row],[Tenure Years]]&lt;=3,"1-3 Years",IF(EmployeeData[[#This Row],[Tenure Years]]&lt;=5,"4-5 Years",IF(EmployeeData[[#This Row],[Tenure Years]]&lt;=10,"6-10 Years","More than 10 Years"))))</f>
        <v>1-3 Years</v>
      </c>
      <c r="AD161">
        <f>ROUND(AVERAGE(EmployeeData[[#This Row],[JobSatisfaction]],EmployeeData[[#This Row],[EnvironmentSatisfaction]],EmployeeData[[#This Row],[WorkLifeBalance]]),2)</f>
        <v>2.67</v>
      </c>
      <c r="AE161" t="str">
        <f>IF(EmployeeData[[#This Row],[Satisfaction Score]]&lt;2,"Low",IF(EmployeeData[[#This Row],[Satisfaction Score]]&lt;3,"Medium","High"))</f>
        <v>Medium</v>
      </c>
    </row>
    <row r="162" spans="1:31" x14ac:dyDescent="0.25">
      <c r="A162" t="s">
        <v>865</v>
      </c>
      <c r="B162" t="s">
        <v>866</v>
      </c>
      <c r="C162" t="s">
        <v>49</v>
      </c>
      <c r="D162">
        <v>50</v>
      </c>
      <c r="E162" t="s">
        <v>27</v>
      </c>
      <c r="F162" t="s">
        <v>59</v>
      </c>
      <c r="G162" s="1">
        <v>40847</v>
      </c>
      <c r="H162">
        <v>56881</v>
      </c>
      <c r="I162" t="s">
        <v>30</v>
      </c>
      <c r="J162" t="s">
        <v>61</v>
      </c>
      <c r="K162" t="s">
        <v>167</v>
      </c>
      <c r="L162" t="s">
        <v>62</v>
      </c>
      <c r="M162">
        <v>30</v>
      </c>
      <c r="N162" t="s">
        <v>34</v>
      </c>
      <c r="O162">
        <v>4</v>
      </c>
      <c r="P162">
        <v>3</v>
      </c>
      <c r="Q162">
        <v>4</v>
      </c>
      <c r="R162">
        <v>3</v>
      </c>
      <c r="S162">
        <v>3</v>
      </c>
      <c r="T162">
        <v>3</v>
      </c>
      <c r="U162">
        <v>17</v>
      </c>
      <c r="V162" t="s">
        <v>868</v>
      </c>
      <c r="W162" t="s">
        <v>34</v>
      </c>
      <c r="Y162" s="2" t="str">
        <f>IF(EmployeeData[[#This Row],[Age]]&lt;25,"Under 25",IF(EmployeeData[[#This Row],[Age]]&lt;=34,"25-34",IF(EmployeeData[[#This Row],[Age]]&lt;=44,"35-44",IF(EmployeeData[[#This Row],[Age]]&lt;=54,"45-54","55+"))))</f>
        <v>45-54</v>
      </c>
      <c r="Z162">
        <f ca="1">DATEDIF(EmployeeData[[#This Row],[DateOfJoining]],IF(AND(EmployeeData[[#This Row],[Attrition]]="Yes",EmployeeData[[#This Row],[LastWorkingDate]]&lt;&gt;""),EmployeeData[[#This Row],[LastWorkingDate]],TODAY()),"Y")</f>
        <v>14</v>
      </c>
      <c r="AA162" t="str">
        <f>IF(EmployeeData[[#This Row],[MonthlyIncome]]&lt;30000,"Low",IF(EmployeeData[[#This Row],[MonthlyIncome]]&lt;=60000,"Medium",IF(EmployeeData[[#This Row],[MonthlyIncome]]&lt;=100000,"High","Very High")))</f>
        <v>Medium</v>
      </c>
      <c r="AB162">
        <f>IF(EmployeeData[[#This Row],[Attrition]]="Yes",1,0)</f>
        <v>0</v>
      </c>
      <c r="AC162" t="str">
        <f ca="1">IF(EmployeeData[[#This Row],[Tenure Years]]&lt;1,"Less than 1 Year",IF(EmployeeData[[#This Row],[Tenure Years]]&lt;=3,"1-3 Years",IF(EmployeeData[[#This Row],[Tenure Years]]&lt;=5,"4-5 Years",IF(EmployeeData[[#This Row],[Tenure Years]]&lt;=10,"6-10 Years","More than 10 Years"))))</f>
        <v>More than 10 Years</v>
      </c>
      <c r="AD162">
        <f>ROUND(AVERAGE(EmployeeData[[#This Row],[JobSatisfaction]],EmployeeData[[#This Row],[EnvironmentSatisfaction]],EmployeeData[[#This Row],[WorkLifeBalance]]),2)</f>
        <v>3.67</v>
      </c>
      <c r="AE162" t="str">
        <f>IF(EmployeeData[[#This Row],[Satisfaction Score]]&lt;2,"Low",IF(EmployeeData[[#This Row],[Satisfaction Score]]&lt;3,"Medium","High"))</f>
        <v>High</v>
      </c>
    </row>
    <row r="163" spans="1:31" x14ac:dyDescent="0.25">
      <c r="A163" t="s">
        <v>869</v>
      </c>
      <c r="B163" t="s">
        <v>870</v>
      </c>
      <c r="C163" t="s">
        <v>49</v>
      </c>
      <c r="D163">
        <v>45</v>
      </c>
      <c r="E163" t="s">
        <v>5461</v>
      </c>
      <c r="F163" t="s">
        <v>261</v>
      </c>
      <c r="G163" s="1">
        <v>41756</v>
      </c>
      <c r="H163">
        <v>97427</v>
      </c>
      <c r="I163" t="s">
        <v>52</v>
      </c>
      <c r="J163" t="s">
        <v>61</v>
      </c>
      <c r="K163" t="s">
        <v>32</v>
      </c>
      <c r="L163" t="s">
        <v>5459</v>
      </c>
      <c r="M163">
        <v>33</v>
      </c>
      <c r="N163" t="s">
        <v>34</v>
      </c>
      <c r="O163">
        <v>4</v>
      </c>
      <c r="P163">
        <v>1</v>
      </c>
      <c r="Q163">
        <v>3</v>
      </c>
      <c r="R163">
        <v>3</v>
      </c>
      <c r="S163">
        <v>1</v>
      </c>
      <c r="T163">
        <v>6</v>
      </c>
      <c r="U163">
        <v>15</v>
      </c>
      <c r="V163" t="s">
        <v>873</v>
      </c>
      <c r="W163" t="s">
        <v>34</v>
      </c>
      <c r="Y163" s="2" t="str">
        <f>IF(EmployeeData[[#This Row],[Age]]&lt;25,"Under 25",IF(EmployeeData[[#This Row],[Age]]&lt;=34,"25-34",IF(EmployeeData[[#This Row],[Age]]&lt;=44,"35-44",IF(EmployeeData[[#This Row],[Age]]&lt;=54,"45-54","55+"))))</f>
        <v>45-54</v>
      </c>
      <c r="Z163">
        <f ca="1">DATEDIF(EmployeeData[[#This Row],[DateOfJoining]],IF(AND(EmployeeData[[#This Row],[Attrition]]="Yes",EmployeeData[[#This Row],[LastWorkingDate]]&lt;&gt;""),EmployeeData[[#This Row],[LastWorkingDate]],TODAY()),"Y")</f>
        <v>12</v>
      </c>
      <c r="AA163" t="str">
        <f>IF(EmployeeData[[#This Row],[MonthlyIncome]]&lt;30000,"Low",IF(EmployeeData[[#This Row],[MonthlyIncome]]&lt;=60000,"Medium",IF(EmployeeData[[#This Row],[MonthlyIncome]]&lt;=100000,"High","Very High")))</f>
        <v>High</v>
      </c>
      <c r="AB163">
        <f>IF(EmployeeData[[#This Row],[Attrition]]="Yes",1,0)</f>
        <v>0</v>
      </c>
      <c r="AC163" t="str">
        <f ca="1">IF(EmployeeData[[#This Row],[Tenure Years]]&lt;1,"Less than 1 Year",IF(EmployeeData[[#This Row],[Tenure Years]]&lt;=3,"1-3 Years",IF(EmployeeData[[#This Row],[Tenure Years]]&lt;=5,"4-5 Years",IF(EmployeeData[[#This Row],[Tenure Years]]&lt;=10,"6-10 Years","More than 10 Years"))))</f>
        <v>More than 10 Years</v>
      </c>
      <c r="AD163">
        <f>ROUND(AVERAGE(EmployeeData[[#This Row],[JobSatisfaction]],EmployeeData[[#This Row],[EnvironmentSatisfaction]],EmployeeData[[#This Row],[WorkLifeBalance]]),2)</f>
        <v>2.67</v>
      </c>
      <c r="AE163" t="str">
        <f>IF(EmployeeData[[#This Row],[Satisfaction Score]]&lt;2,"Low",IF(EmployeeData[[#This Row],[Satisfaction Score]]&lt;3,"Medium","High"))</f>
        <v>Medium</v>
      </c>
    </row>
    <row r="164" spans="1:31" x14ac:dyDescent="0.25">
      <c r="A164" t="s">
        <v>874</v>
      </c>
      <c r="B164" t="s">
        <v>875</v>
      </c>
      <c r="C164" t="s">
        <v>49</v>
      </c>
      <c r="D164">
        <v>28</v>
      </c>
      <c r="E164" t="s">
        <v>5461</v>
      </c>
      <c r="F164" t="s">
        <v>5464</v>
      </c>
      <c r="G164" s="1">
        <v>42461</v>
      </c>
      <c r="H164">
        <v>81222</v>
      </c>
      <c r="I164" t="s">
        <v>42</v>
      </c>
      <c r="J164" t="s">
        <v>61</v>
      </c>
      <c r="K164" t="s">
        <v>77</v>
      </c>
      <c r="L164" t="s">
        <v>62</v>
      </c>
      <c r="M164">
        <v>24</v>
      </c>
      <c r="N164" t="s">
        <v>34</v>
      </c>
      <c r="O164">
        <v>1</v>
      </c>
      <c r="P164">
        <v>3</v>
      </c>
      <c r="Q164">
        <v>2</v>
      </c>
      <c r="R164">
        <v>4</v>
      </c>
      <c r="S164">
        <v>2</v>
      </c>
      <c r="T164">
        <v>0</v>
      </c>
      <c r="U164">
        <v>11</v>
      </c>
      <c r="V164" t="s">
        <v>877</v>
      </c>
      <c r="W164" t="s">
        <v>34</v>
      </c>
      <c r="Y164" s="2" t="str">
        <f>IF(EmployeeData[[#This Row],[Age]]&lt;25,"Under 25",IF(EmployeeData[[#This Row],[Age]]&lt;=34,"25-34",IF(EmployeeData[[#This Row],[Age]]&lt;=44,"35-44",IF(EmployeeData[[#This Row],[Age]]&lt;=54,"45-54","55+"))))</f>
        <v>25-34</v>
      </c>
      <c r="Z164">
        <f ca="1">DATEDIF(EmployeeData[[#This Row],[DateOfJoining]],IF(AND(EmployeeData[[#This Row],[Attrition]]="Yes",EmployeeData[[#This Row],[LastWorkingDate]]&lt;&gt;""),EmployeeData[[#This Row],[LastWorkingDate]],TODAY()),"Y")</f>
        <v>10</v>
      </c>
      <c r="AA164" t="str">
        <f>IF(EmployeeData[[#This Row],[MonthlyIncome]]&lt;30000,"Low",IF(EmployeeData[[#This Row],[MonthlyIncome]]&lt;=60000,"Medium",IF(EmployeeData[[#This Row],[MonthlyIncome]]&lt;=100000,"High","Very High")))</f>
        <v>High</v>
      </c>
      <c r="AB164">
        <f>IF(EmployeeData[[#This Row],[Attrition]]="Yes",1,0)</f>
        <v>0</v>
      </c>
      <c r="AC164" t="str">
        <f ca="1">IF(EmployeeData[[#This Row],[Tenure Years]]&lt;1,"Less than 1 Year",IF(EmployeeData[[#This Row],[Tenure Years]]&lt;=3,"1-3 Years",IF(EmployeeData[[#This Row],[Tenure Years]]&lt;=5,"4-5 Years",IF(EmployeeData[[#This Row],[Tenure Years]]&lt;=10,"6-10 Years","More than 10 Years"))))</f>
        <v>6-10 Years</v>
      </c>
      <c r="AD164">
        <f>ROUND(AVERAGE(EmployeeData[[#This Row],[JobSatisfaction]],EmployeeData[[#This Row],[EnvironmentSatisfaction]],EmployeeData[[#This Row],[WorkLifeBalance]]),2)</f>
        <v>2</v>
      </c>
      <c r="AE164" t="str">
        <f>IF(EmployeeData[[#This Row],[Satisfaction Score]]&lt;2,"Low",IF(EmployeeData[[#This Row],[Satisfaction Score]]&lt;3,"Medium","High"))</f>
        <v>Medium</v>
      </c>
    </row>
    <row r="165" spans="1:31" x14ac:dyDescent="0.25">
      <c r="A165" t="s">
        <v>878</v>
      </c>
      <c r="B165" t="s">
        <v>879</v>
      </c>
      <c r="C165" t="s">
        <v>49</v>
      </c>
      <c r="D165">
        <v>42</v>
      </c>
      <c r="E165" t="s">
        <v>128</v>
      </c>
      <c r="F165" t="s">
        <v>255</v>
      </c>
      <c r="G165" s="1">
        <v>43670</v>
      </c>
      <c r="H165">
        <v>59219</v>
      </c>
      <c r="I165" t="s">
        <v>30</v>
      </c>
      <c r="J165" t="s">
        <v>61</v>
      </c>
      <c r="K165" t="s">
        <v>5459</v>
      </c>
      <c r="L165" t="s">
        <v>62</v>
      </c>
      <c r="M165">
        <v>10</v>
      </c>
      <c r="N165" t="s">
        <v>34</v>
      </c>
      <c r="O165">
        <v>3</v>
      </c>
      <c r="P165">
        <v>1</v>
      </c>
      <c r="Q165">
        <v>3</v>
      </c>
      <c r="R165">
        <v>3</v>
      </c>
      <c r="S165">
        <v>3</v>
      </c>
      <c r="T165">
        <v>8</v>
      </c>
      <c r="U165">
        <v>12</v>
      </c>
      <c r="V165" t="s">
        <v>881</v>
      </c>
      <c r="W165" t="s">
        <v>34</v>
      </c>
      <c r="Y165" s="2" t="str">
        <f>IF(EmployeeData[[#This Row],[Age]]&lt;25,"Under 25",IF(EmployeeData[[#This Row],[Age]]&lt;=34,"25-34",IF(EmployeeData[[#This Row],[Age]]&lt;=44,"35-44",IF(EmployeeData[[#This Row],[Age]]&lt;=54,"45-54","55+"))))</f>
        <v>35-44</v>
      </c>
      <c r="Z165">
        <f ca="1">DATEDIF(EmployeeData[[#This Row],[DateOfJoining]],IF(AND(EmployeeData[[#This Row],[Attrition]]="Yes",EmployeeData[[#This Row],[LastWorkingDate]]&lt;&gt;""),EmployeeData[[#This Row],[LastWorkingDate]],TODAY()),"Y")</f>
        <v>7</v>
      </c>
      <c r="AA165" t="str">
        <f>IF(EmployeeData[[#This Row],[MonthlyIncome]]&lt;30000,"Low",IF(EmployeeData[[#This Row],[MonthlyIncome]]&lt;=60000,"Medium",IF(EmployeeData[[#This Row],[MonthlyIncome]]&lt;=100000,"High","Very High")))</f>
        <v>Medium</v>
      </c>
      <c r="AB165">
        <f>IF(EmployeeData[[#This Row],[Attrition]]="Yes",1,0)</f>
        <v>0</v>
      </c>
      <c r="AC165" t="str">
        <f ca="1">IF(EmployeeData[[#This Row],[Tenure Years]]&lt;1,"Less than 1 Year",IF(EmployeeData[[#This Row],[Tenure Years]]&lt;=3,"1-3 Years",IF(EmployeeData[[#This Row],[Tenure Years]]&lt;=5,"4-5 Years",IF(EmployeeData[[#This Row],[Tenure Years]]&lt;=10,"6-10 Years","More than 10 Years"))))</f>
        <v>6-10 Years</v>
      </c>
      <c r="AD165">
        <f>ROUND(AVERAGE(EmployeeData[[#This Row],[JobSatisfaction]],EmployeeData[[#This Row],[EnvironmentSatisfaction]],EmployeeData[[#This Row],[WorkLifeBalance]]),2)</f>
        <v>2.33</v>
      </c>
      <c r="AE165" t="str">
        <f>IF(EmployeeData[[#This Row],[Satisfaction Score]]&lt;2,"Low",IF(EmployeeData[[#This Row],[Satisfaction Score]]&lt;3,"Medium","High"))</f>
        <v>Medium</v>
      </c>
    </row>
    <row r="166" spans="1:31" x14ac:dyDescent="0.25">
      <c r="A166" t="s">
        <v>882</v>
      </c>
      <c r="B166" t="s">
        <v>883</v>
      </c>
      <c r="C166" t="s">
        <v>5459</v>
      </c>
      <c r="D166">
        <v>41</v>
      </c>
      <c r="E166" t="s">
        <v>197</v>
      </c>
      <c r="F166" t="s">
        <v>235</v>
      </c>
      <c r="G166" s="1">
        <v>43258</v>
      </c>
      <c r="H166">
        <v>51101</v>
      </c>
      <c r="I166" t="s">
        <v>52</v>
      </c>
      <c r="J166" t="s">
        <v>61</v>
      </c>
      <c r="K166" t="s">
        <v>77</v>
      </c>
      <c r="L166" t="s">
        <v>43</v>
      </c>
      <c r="M166">
        <v>4</v>
      </c>
      <c r="N166" t="s">
        <v>34</v>
      </c>
      <c r="O166">
        <v>2</v>
      </c>
      <c r="P166">
        <v>3</v>
      </c>
      <c r="Q166">
        <v>4</v>
      </c>
      <c r="R166">
        <v>4</v>
      </c>
      <c r="S166">
        <v>3</v>
      </c>
      <c r="T166">
        <v>1</v>
      </c>
      <c r="U166">
        <v>12</v>
      </c>
      <c r="V166" t="s">
        <v>886</v>
      </c>
      <c r="W166" t="s">
        <v>34</v>
      </c>
      <c r="Y166" s="2" t="str">
        <f>IF(EmployeeData[[#This Row],[Age]]&lt;25,"Under 25",IF(EmployeeData[[#This Row],[Age]]&lt;=34,"25-34",IF(EmployeeData[[#This Row],[Age]]&lt;=44,"35-44",IF(EmployeeData[[#This Row],[Age]]&lt;=54,"45-54","55+"))))</f>
        <v>35-44</v>
      </c>
      <c r="Z166">
        <f ca="1">DATEDIF(EmployeeData[[#This Row],[DateOfJoining]],IF(AND(EmployeeData[[#This Row],[Attrition]]="Yes",EmployeeData[[#This Row],[LastWorkingDate]]&lt;&gt;""),EmployeeData[[#This Row],[LastWorkingDate]],TODAY()),"Y")</f>
        <v>8</v>
      </c>
      <c r="AA166" t="str">
        <f>IF(EmployeeData[[#This Row],[MonthlyIncome]]&lt;30000,"Low",IF(EmployeeData[[#This Row],[MonthlyIncome]]&lt;=60000,"Medium",IF(EmployeeData[[#This Row],[MonthlyIncome]]&lt;=100000,"High","Very High")))</f>
        <v>Medium</v>
      </c>
      <c r="AB166">
        <f>IF(EmployeeData[[#This Row],[Attrition]]="Yes",1,0)</f>
        <v>0</v>
      </c>
      <c r="AC166" t="str">
        <f ca="1">IF(EmployeeData[[#This Row],[Tenure Years]]&lt;1,"Less than 1 Year",IF(EmployeeData[[#This Row],[Tenure Years]]&lt;=3,"1-3 Years",IF(EmployeeData[[#This Row],[Tenure Years]]&lt;=5,"4-5 Years",IF(EmployeeData[[#This Row],[Tenure Years]]&lt;=10,"6-10 Years","More than 10 Years"))))</f>
        <v>6-10 Years</v>
      </c>
      <c r="AD166">
        <f>ROUND(AVERAGE(EmployeeData[[#This Row],[JobSatisfaction]],EmployeeData[[#This Row],[EnvironmentSatisfaction]],EmployeeData[[#This Row],[WorkLifeBalance]]),2)</f>
        <v>3</v>
      </c>
      <c r="AE166" t="str">
        <f>IF(EmployeeData[[#This Row],[Satisfaction Score]]&lt;2,"Low",IF(EmployeeData[[#This Row],[Satisfaction Score]]&lt;3,"Medium","High"))</f>
        <v>High</v>
      </c>
    </row>
    <row r="167" spans="1:31" x14ac:dyDescent="0.25">
      <c r="A167" t="s">
        <v>887</v>
      </c>
      <c r="B167" t="s">
        <v>888</v>
      </c>
      <c r="C167" t="s">
        <v>49</v>
      </c>
      <c r="D167">
        <v>19</v>
      </c>
      <c r="E167" t="s">
        <v>5459</v>
      </c>
      <c r="F167" t="s">
        <v>50</v>
      </c>
      <c r="G167" s="1">
        <v>41024</v>
      </c>
      <c r="H167">
        <v>125829</v>
      </c>
      <c r="I167" t="s">
        <v>30</v>
      </c>
      <c r="J167" t="s">
        <v>53</v>
      </c>
      <c r="K167" t="s">
        <v>54</v>
      </c>
      <c r="L167" t="s">
        <v>62</v>
      </c>
      <c r="M167">
        <v>1</v>
      </c>
      <c r="N167" t="s">
        <v>45</v>
      </c>
      <c r="O167">
        <v>3</v>
      </c>
      <c r="P167">
        <v>2</v>
      </c>
      <c r="Q167">
        <v>4</v>
      </c>
      <c r="R167">
        <v>1</v>
      </c>
      <c r="S167">
        <v>1</v>
      </c>
      <c r="T167">
        <v>6</v>
      </c>
      <c r="U167">
        <v>13</v>
      </c>
      <c r="V167" t="s">
        <v>891</v>
      </c>
      <c r="W167" t="s">
        <v>34</v>
      </c>
      <c r="Y167" s="2" t="str">
        <f>IF(EmployeeData[[#This Row],[Age]]&lt;25,"Under 25",IF(EmployeeData[[#This Row],[Age]]&lt;=34,"25-34",IF(EmployeeData[[#This Row],[Age]]&lt;=44,"35-44",IF(EmployeeData[[#This Row],[Age]]&lt;=54,"45-54","55+"))))</f>
        <v>Under 25</v>
      </c>
      <c r="Z167">
        <f ca="1">DATEDIF(EmployeeData[[#This Row],[DateOfJoining]],IF(AND(EmployeeData[[#This Row],[Attrition]]="Yes",EmployeeData[[#This Row],[LastWorkingDate]]&lt;&gt;""),EmployeeData[[#This Row],[LastWorkingDate]],TODAY()),"Y")</f>
        <v>14</v>
      </c>
      <c r="AA167" t="str">
        <f>IF(EmployeeData[[#This Row],[MonthlyIncome]]&lt;30000,"Low",IF(EmployeeData[[#This Row],[MonthlyIncome]]&lt;=60000,"Medium",IF(EmployeeData[[#This Row],[MonthlyIncome]]&lt;=100000,"High","Very High")))</f>
        <v>Very High</v>
      </c>
      <c r="AB167">
        <f>IF(EmployeeData[[#This Row],[Attrition]]="Yes",1,0)</f>
        <v>0</v>
      </c>
      <c r="AC167" t="str">
        <f ca="1">IF(EmployeeData[[#This Row],[Tenure Years]]&lt;1,"Less than 1 Year",IF(EmployeeData[[#This Row],[Tenure Years]]&lt;=3,"1-3 Years",IF(EmployeeData[[#This Row],[Tenure Years]]&lt;=5,"4-5 Years",IF(EmployeeData[[#This Row],[Tenure Years]]&lt;=10,"6-10 Years","More than 10 Years"))))</f>
        <v>More than 10 Years</v>
      </c>
      <c r="AD167">
        <f>ROUND(AVERAGE(EmployeeData[[#This Row],[JobSatisfaction]],EmployeeData[[#This Row],[EnvironmentSatisfaction]],EmployeeData[[#This Row],[WorkLifeBalance]]),2)</f>
        <v>3</v>
      </c>
      <c r="AE167" t="str">
        <f>IF(EmployeeData[[#This Row],[Satisfaction Score]]&lt;2,"Low",IF(EmployeeData[[#This Row],[Satisfaction Score]]&lt;3,"Medium","High"))</f>
        <v>High</v>
      </c>
    </row>
    <row r="168" spans="1:31" x14ac:dyDescent="0.25">
      <c r="A168" t="s">
        <v>892</v>
      </c>
      <c r="B168" t="s">
        <v>893</v>
      </c>
      <c r="C168" t="s">
        <v>58</v>
      </c>
      <c r="D168">
        <v>22</v>
      </c>
      <c r="E168" t="s">
        <v>5461</v>
      </c>
      <c r="F168" t="s">
        <v>5464</v>
      </c>
      <c r="G168" s="1">
        <v>41767</v>
      </c>
      <c r="H168">
        <v>100147</v>
      </c>
      <c r="I168" t="s">
        <v>30</v>
      </c>
      <c r="J168" t="s">
        <v>31</v>
      </c>
      <c r="K168" t="s">
        <v>98</v>
      </c>
      <c r="L168" t="s">
        <v>33</v>
      </c>
      <c r="M168">
        <v>7</v>
      </c>
      <c r="N168" t="s">
        <v>34</v>
      </c>
      <c r="O168">
        <v>1</v>
      </c>
      <c r="P168">
        <v>1</v>
      </c>
      <c r="Q168">
        <v>2</v>
      </c>
      <c r="R168">
        <v>3</v>
      </c>
      <c r="S168">
        <v>4</v>
      </c>
      <c r="T168">
        <v>0</v>
      </c>
      <c r="U168">
        <v>12</v>
      </c>
      <c r="V168" t="s">
        <v>896</v>
      </c>
      <c r="W168" t="s">
        <v>45</v>
      </c>
      <c r="X168" s="1">
        <v>46077</v>
      </c>
      <c r="Y168" s="2" t="str">
        <f>IF(EmployeeData[[#This Row],[Age]]&lt;25,"Under 25",IF(EmployeeData[[#This Row],[Age]]&lt;=34,"25-34",IF(EmployeeData[[#This Row],[Age]]&lt;=44,"35-44",IF(EmployeeData[[#This Row],[Age]]&lt;=54,"45-54","55+"))))</f>
        <v>Under 25</v>
      </c>
      <c r="Z168">
        <f ca="1">DATEDIF(EmployeeData[[#This Row],[DateOfJoining]],IF(AND(EmployeeData[[#This Row],[Attrition]]="Yes",EmployeeData[[#This Row],[LastWorkingDate]]&lt;&gt;""),EmployeeData[[#This Row],[LastWorkingDate]],TODAY()),"Y")</f>
        <v>11</v>
      </c>
      <c r="AA168" t="str">
        <f>IF(EmployeeData[[#This Row],[MonthlyIncome]]&lt;30000,"Low",IF(EmployeeData[[#This Row],[MonthlyIncome]]&lt;=60000,"Medium",IF(EmployeeData[[#This Row],[MonthlyIncome]]&lt;=100000,"High","Very High")))</f>
        <v>Very High</v>
      </c>
      <c r="AB168">
        <f>IF(EmployeeData[[#This Row],[Attrition]]="Yes",1,0)</f>
        <v>1</v>
      </c>
      <c r="AC168" t="str">
        <f ca="1">IF(EmployeeData[[#This Row],[Tenure Years]]&lt;1,"Less than 1 Year",IF(EmployeeData[[#This Row],[Tenure Years]]&lt;=3,"1-3 Years",IF(EmployeeData[[#This Row],[Tenure Years]]&lt;=5,"4-5 Years",IF(EmployeeData[[#This Row],[Tenure Years]]&lt;=10,"6-10 Years","More than 10 Years"))))</f>
        <v>More than 10 Years</v>
      </c>
      <c r="AD168">
        <f>ROUND(AVERAGE(EmployeeData[[#This Row],[JobSatisfaction]],EmployeeData[[#This Row],[EnvironmentSatisfaction]],EmployeeData[[#This Row],[WorkLifeBalance]]),2)</f>
        <v>1.33</v>
      </c>
      <c r="AE168" t="str">
        <f>IF(EmployeeData[[#This Row],[Satisfaction Score]]&lt;2,"Low",IF(EmployeeData[[#This Row],[Satisfaction Score]]&lt;3,"Medium","High"))</f>
        <v>Low</v>
      </c>
    </row>
    <row r="169" spans="1:31" x14ac:dyDescent="0.25">
      <c r="A169" t="s">
        <v>898</v>
      </c>
      <c r="B169" t="s">
        <v>899</v>
      </c>
      <c r="C169" t="s">
        <v>49</v>
      </c>
      <c r="D169">
        <v>37</v>
      </c>
      <c r="E169" t="s">
        <v>27</v>
      </c>
      <c r="F169" t="s">
        <v>188</v>
      </c>
      <c r="G169" s="1">
        <v>43366</v>
      </c>
      <c r="H169">
        <v>79617</v>
      </c>
      <c r="I169" t="s">
        <v>52</v>
      </c>
      <c r="J169" t="s">
        <v>61</v>
      </c>
      <c r="K169" t="s">
        <v>54</v>
      </c>
      <c r="L169" t="s">
        <v>33</v>
      </c>
      <c r="M169">
        <v>9</v>
      </c>
      <c r="N169" t="s">
        <v>45</v>
      </c>
      <c r="O169">
        <v>3</v>
      </c>
      <c r="P169">
        <v>2</v>
      </c>
      <c r="Q169">
        <v>3</v>
      </c>
      <c r="R169">
        <v>3</v>
      </c>
      <c r="S169">
        <v>0</v>
      </c>
      <c r="T169">
        <v>1</v>
      </c>
      <c r="U169">
        <v>15</v>
      </c>
      <c r="V169" t="s">
        <v>901</v>
      </c>
      <c r="W169" t="s">
        <v>34</v>
      </c>
      <c r="Y169" s="2" t="str">
        <f>IF(EmployeeData[[#This Row],[Age]]&lt;25,"Under 25",IF(EmployeeData[[#This Row],[Age]]&lt;=34,"25-34",IF(EmployeeData[[#This Row],[Age]]&lt;=44,"35-44",IF(EmployeeData[[#This Row],[Age]]&lt;=54,"45-54","55+"))))</f>
        <v>35-44</v>
      </c>
      <c r="Z169">
        <f ca="1">DATEDIF(EmployeeData[[#This Row],[DateOfJoining]],IF(AND(EmployeeData[[#This Row],[Attrition]]="Yes",EmployeeData[[#This Row],[LastWorkingDate]]&lt;&gt;""),EmployeeData[[#This Row],[LastWorkingDate]],TODAY()),"Y")</f>
        <v>7</v>
      </c>
      <c r="AA169" t="str">
        <f>IF(EmployeeData[[#This Row],[MonthlyIncome]]&lt;30000,"Low",IF(EmployeeData[[#This Row],[MonthlyIncome]]&lt;=60000,"Medium",IF(EmployeeData[[#This Row],[MonthlyIncome]]&lt;=100000,"High","Very High")))</f>
        <v>High</v>
      </c>
      <c r="AB169">
        <f>IF(EmployeeData[[#This Row],[Attrition]]="Yes",1,0)</f>
        <v>0</v>
      </c>
      <c r="AC169" t="str">
        <f ca="1">IF(EmployeeData[[#This Row],[Tenure Years]]&lt;1,"Less than 1 Year",IF(EmployeeData[[#This Row],[Tenure Years]]&lt;=3,"1-3 Years",IF(EmployeeData[[#This Row],[Tenure Years]]&lt;=5,"4-5 Years",IF(EmployeeData[[#This Row],[Tenure Years]]&lt;=10,"6-10 Years","More than 10 Years"))))</f>
        <v>6-10 Years</v>
      </c>
      <c r="AD169">
        <f>ROUND(AVERAGE(EmployeeData[[#This Row],[JobSatisfaction]],EmployeeData[[#This Row],[EnvironmentSatisfaction]],EmployeeData[[#This Row],[WorkLifeBalance]]),2)</f>
        <v>2.67</v>
      </c>
      <c r="AE169" t="str">
        <f>IF(EmployeeData[[#This Row],[Satisfaction Score]]&lt;2,"Low",IF(EmployeeData[[#This Row],[Satisfaction Score]]&lt;3,"Medium","High"))</f>
        <v>Medium</v>
      </c>
    </row>
    <row r="170" spans="1:31" x14ac:dyDescent="0.25">
      <c r="A170" t="s">
        <v>902</v>
      </c>
      <c r="B170" t="s">
        <v>903</v>
      </c>
      <c r="C170" t="s">
        <v>58</v>
      </c>
      <c r="D170">
        <v>40</v>
      </c>
      <c r="E170" t="s">
        <v>5461</v>
      </c>
      <c r="F170" t="s">
        <v>5463</v>
      </c>
      <c r="G170" s="1">
        <v>45804</v>
      </c>
      <c r="H170">
        <v>119694</v>
      </c>
      <c r="I170" t="s">
        <v>30</v>
      </c>
      <c r="J170" t="s">
        <v>31</v>
      </c>
      <c r="K170" t="s">
        <v>54</v>
      </c>
      <c r="L170" t="s">
        <v>43</v>
      </c>
      <c r="M170">
        <v>14</v>
      </c>
      <c r="N170" t="s">
        <v>45</v>
      </c>
      <c r="O170">
        <v>1</v>
      </c>
      <c r="P170">
        <v>2</v>
      </c>
      <c r="Q170">
        <v>1</v>
      </c>
      <c r="R170">
        <v>3</v>
      </c>
      <c r="S170">
        <v>5</v>
      </c>
      <c r="T170">
        <v>5</v>
      </c>
      <c r="U170">
        <v>15</v>
      </c>
      <c r="V170" t="s">
        <v>905</v>
      </c>
      <c r="W170" t="s">
        <v>45</v>
      </c>
      <c r="X170" s="1">
        <v>46263</v>
      </c>
      <c r="Y170" s="2" t="str">
        <f>IF(EmployeeData[[#This Row],[Age]]&lt;25,"Under 25",IF(EmployeeData[[#This Row],[Age]]&lt;=34,"25-34",IF(EmployeeData[[#This Row],[Age]]&lt;=44,"35-44",IF(EmployeeData[[#This Row],[Age]]&lt;=54,"45-54","55+"))))</f>
        <v>35-44</v>
      </c>
      <c r="Z170">
        <f ca="1">DATEDIF(EmployeeData[[#This Row],[DateOfJoining]],IF(AND(EmployeeData[[#This Row],[Attrition]]="Yes",EmployeeData[[#This Row],[LastWorkingDate]]&lt;&gt;""),EmployeeData[[#This Row],[LastWorkingDate]],TODAY()),"Y")</f>
        <v>1</v>
      </c>
      <c r="AA170" t="str">
        <f>IF(EmployeeData[[#This Row],[MonthlyIncome]]&lt;30000,"Low",IF(EmployeeData[[#This Row],[MonthlyIncome]]&lt;=60000,"Medium",IF(EmployeeData[[#This Row],[MonthlyIncome]]&lt;=100000,"High","Very High")))</f>
        <v>Very High</v>
      </c>
      <c r="AB170">
        <f>IF(EmployeeData[[#This Row],[Attrition]]="Yes",1,0)</f>
        <v>1</v>
      </c>
      <c r="AC170" t="str">
        <f ca="1">IF(EmployeeData[[#This Row],[Tenure Years]]&lt;1,"Less than 1 Year",IF(EmployeeData[[#This Row],[Tenure Years]]&lt;=3,"1-3 Years",IF(EmployeeData[[#This Row],[Tenure Years]]&lt;=5,"4-5 Years",IF(EmployeeData[[#This Row],[Tenure Years]]&lt;=10,"6-10 Years","More than 10 Years"))))</f>
        <v>1-3 Years</v>
      </c>
      <c r="AD170">
        <f>ROUND(AVERAGE(EmployeeData[[#This Row],[JobSatisfaction]],EmployeeData[[#This Row],[EnvironmentSatisfaction]],EmployeeData[[#This Row],[WorkLifeBalance]]),2)</f>
        <v>1.33</v>
      </c>
      <c r="AE170" t="str">
        <f>IF(EmployeeData[[#This Row],[Satisfaction Score]]&lt;2,"Low",IF(EmployeeData[[#This Row],[Satisfaction Score]]&lt;3,"Medium","High"))</f>
        <v>Low</v>
      </c>
    </row>
    <row r="171" spans="1:31" x14ac:dyDescent="0.25">
      <c r="A171" t="s">
        <v>907</v>
      </c>
      <c r="B171" t="s">
        <v>908</v>
      </c>
      <c r="C171" t="s">
        <v>49</v>
      </c>
      <c r="D171">
        <v>39</v>
      </c>
      <c r="E171" t="s">
        <v>94</v>
      </c>
      <c r="F171" t="s">
        <v>639</v>
      </c>
      <c r="G171" s="1">
        <v>44501</v>
      </c>
      <c r="H171">
        <v>74994</v>
      </c>
      <c r="I171" t="s">
        <v>42</v>
      </c>
      <c r="J171" t="s">
        <v>31</v>
      </c>
      <c r="K171" t="s">
        <v>98</v>
      </c>
      <c r="L171" t="s">
        <v>43</v>
      </c>
      <c r="M171">
        <v>26</v>
      </c>
      <c r="N171" t="s">
        <v>45</v>
      </c>
      <c r="O171">
        <v>1</v>
      </c>
      <c r="P171">
        <v>4</v>
      </c>
      <c r="Q171">
        <v>1</v>
      </c>
      <c r="R171">
        <v>5</v>
      </c>
      <c r="S171">
        <v>3</v>
      </c>
      <c r="T171">
        <v>7</v>
      </c>
      <c r="U171">
        <v>20</v>
      </c>
      <c r="V171" t="s">
        <v>910</v>
      </c>
      <c r="W171" t="s">
        <v>45</v>
      </c>
      <c r="X171" s="1">
        <v>45992</v>
      </c>
      <c r="Y171" s="2" t="str">
        <f>IF(EmployeeData[[#This Row],[Age]]&lt;25,"Under 25",IF(EmployeeData[[#This Row],[Age]]&lt;=34,"25-34",IF(EmployeeData[[#This Row],[Age]]&lt;=44,"35-44",IF(EmployeeData[[#This Row],[Age]]&lt;=54,"45-54","55+"))))</f>
        <v>35-44</v>
      </c>
      <c r="Z171">
        <f ca="1">DATEDIF(EmployeeData[[#This Row],[DateOfJoining]],IF(AND(EmployeeData[[#This Row],[Attrition]]="Yes",EmployeeData[[#This Row],[LastWorkingDate]]&lt;&gt;""),EmployeeData[[#This Row],[LastWorkingDate]],TODAY()),"Y")</f>
        <v>4</v>
      </c>
      <c r="AA171" t="str">
        <f>IF(EmployeeData[[#This Row],[MonthlyIncome]]&lt;30000,"Low",IF(EmployeeData[[#This Row],[MonthlyIncome]]&lt;=60000,"Medium",IF(EmployeeData[[#This Row],[MonthlyIncome]]&lt;=100000,"High","Very High")))</f>
        <v>High</v>
      </c>
      <c r="AB171">
        <f>IF(EmployeeData[[#This Row],[Attrition]]="Yes",1,0)</f>
        <v>1</v>
      </c>
      <c r="AC171" t="str">
        <f ca="1">IF(EmployeeData[[#This Row],[Tenure Years]]&lt;1,"Less than 1 Year",IF(EmployeeData[[#This Row],[Tenure Years]]&lt;=3,"1-3 Years",IF(EmployeeData[[#This Row],[Tenure Years]]&lt;=5,"4-5 Years",IF(EmployeeData[[#This Row],[Tenure Years]]&lt;=10,"6-10 Years","More than 10 Years"))))</f>
        <v>4-5 Years</v>
      </c>
      <c r="AD171">
        <f>ROUND(AVERAGE(EmployeeData[[#This Row],[JobSatisfaction]],EmployeeData[[#This Row],[EnvironmentSatisfaction]],EmployeeData[[#This Row],[WorkLifeBalance]]),2)</f>
        <v>2</v>
      </c>
      <c r="AE171" t="str">
        <f>IF(EmployeeData[[#This Row],[Satisfaction Score]]&lt;2,"Low",IF(EmployeeData[[#This Row],[Satisfaction Score]]&lt;3,"Medium","High"))</f>
        <v>Medium</v>
      </c>
    </row>
    <row r="172" spans="1:31" x14ac:dyDescent="0.25">
      <c r="A172" t="s">
        <v>912</v>
      </c>
      <c r="B172" t="s">
        <v>913</v>
      </c>
      <c r="C172" t="s">
        <v>49</v>
      </c>
      <c r="D172">
        <v>36</v>
      </c>
      <c r="E172" t="s">
        <v>128</v>
      </c>
      <c r="F172" t="s">
        <v>255</v>
      </c>
      <c r="G172" s="1">
        <v>42897</v>
      </c>
      <c r="H172">
        <v>45402</v>
      </c>
      <c r="I172" t="s">
        <v>52</v>
      </c>
      <c r="J172" t="s">
        <v>31</v>
      </c>
      <c r="K172" t="s">
        <v>98</v>
      </c>
      <c r="L172" t="s">
        <v>62</v>
      </c>
      <c r="M172">
        <v>45</v>
      </c>
      <c r="N172" t="s">
        <v>45</v>
      </c>
      <c r="O172">
        <v>4</v>
      </c>
      <c r="P172">
        <v>1</v>
      </c>
      <c r="Q172">
        <v>2</v>
      </c>
      <c r="R172">
        <v>5</v>
      </c>
      <c r="S172">
        <v>5</v>
      </c>
      <c r="T172">
        <v>1</v>
      </c>
      <c r="U172">
        <v>18</v>
      </c>
      <c r="V172" t="s">
        <v>915</v>
      </c>
      <c r="W172" t="s">
        <v>45</v>
      </c>
      <c r="X172" s="1">
        <v>46119</v>
      </c>
      <c r="Y172" s="2" t="str">
        <f>IF(EmployeeData[[#This Row],[Age]]&lt;25,"Under 25",IF(EmployeeData[[#This Row],[Age]]&lt;=34,"25-34",IF(EmployeeData[[#This Row],[Age]]&lt;=44,"35-44",IF(EmployeeData[[#This Row],[Age]]&lt;=54,"45-54","55+"))))</f>
        <v>35-44</v>
      </c>
      <c r="Z172">
        <f ca="1">DATEDIF(EmployeeData[[#This Row],[DateOfJoining]],IF(AND(EmployeeData[[#This Row],[Attrition]]="Yes",EmployeeData[[#This Row],[LastWorkingDate]]&lt;&gt;""),EmployeeData[[#This Row],[LastWorkingDate]],TODAY()),"Y")</f>
        <v>8</v>
      </c>
      <c r="AA172" t="str">
        <f>IF(EmployeeData[[#This Row],[MonthlyIncome]]&lt;30000,"Low",IF(EmployeeData[[#This Row],[MonthlyIncome]]&lt;=60000,"Medium",IF(EmployeeData[[#This Row],[MonthlyIncome]]&lt;=100000,"High","Very High")))</f>
        <v>Medium</v>
      </c>
      <c r="AB172">
        <f>IF(EmployeeData[[#This Row],[Attrition]]="Yes",1,0)</f>
        <v>1</v>
      </c>
      <c r="AC172" t="str">
        <f ca="1">IF(EmployeeData[[#This Row],[Tenure Years]]&lt;1,"Less than 1 Year",IF(EmployeeData[[#This Row],[Tenure Years]]&lt;=3,"1-3 Years",IF(EmployeeData[[#This Row],[Tenure Years]]&lt;=5,"4-5 Years",IF(EmployeeData[[#This Row],[Tenure Years]]&lt;=10,"6-10 Years","More than 10 Years"))))</f>
        <v>6-10 Years</v>
      </c>
      <c r="AD172">
        <f>ROUND(AVERAGE(EmployeeData[[#This Row],[JobSatisfaction]],EmployeeData[[#This Row],[EnvironmentSatisfaction]],EmployeeData[[#This Row],[WorkLifeBalance]]),2)</f>
        <v>2.33</v>
      </c>
      <c r="AE172" t="str">
        <f>IF(EmployeeData[[#This Row],[Satisfaction Score]]&lt;2,"Low",IF(EmployeeData[[#This Row],[Satisfaction Score]]&lt;3,"Medium","High"))</f>
        <v>Medium</v>
      </c>
    </row>
    <row r="173" spans="1:31" x14ac:dyDescent="0.25">
      <c r="A173" t="s">
        <v>917</v>
      </c>
      <c r="B173" t="s">
        <v>918</v>
      </c>
      <c r="C173" t="s">
        <v>58</v>
      </c>
      <c r="D173">
        <v>30</v>
      </c>
      <c r="E173" t="s">
        <v>94</v>
      </c>
      <c r="F173" t="s">
        <v>356</v>
      </c>
      <c r="G173" s="1">
        <v>42785</v>
      </c>
      <c r="H173">
        <v>60692</v>
      </c>
      <c r="I173" t="s">
        <v>52</v>
      </c>
      <c r="J173" t="s">
        <v>31</v>
      </c>
      <c r="K173" t="s">
        <v>54</v>
      </c>
      <c r="L173" t="s">
        <v>43</v>
      </c>
      <c r="M173">
        <v>21</v>
      </c>
      <c r="N173" t="s">
        <v>45</v>
      </c>
      <c r="O173">
        <v>3</v>
      </c>
      <c r="P173">
        <v>2</v>
      </c>
      <c r="Q173">
        <v>4</v>
      </c>
      <c r="R173">
        <v>3</v>
      </c>
      <c r="S173">
        <v>1</v>
      </c>
      <c r="T173">
        <v>6</v>
      </c>
      <c r="U173">
        <v>18</v>
      </c>
      <c r="V173" t="s">
        <v>5459</v>
      </c>
      <c r="W173" t="s">
        <v>34</v>
      </c>
      <c r="Y173" s="2" t="str">
        <f>IF(EmployeeData[[#This Row],[Age]]&lt;25,"Under 25",IF(EmployeeData[[#This Row],[Age]]&lt;=34,"25-34",IF(EmployeeData[[#This Row],[Age]]&lt;=44,"35-44",IF(EmployeeData[[#This Row],[Age]]&lt;=54,"45-54","55+"))))</f>
        <v>25-34</v>
      </c>
      <c r="Z173">
        <f ca="1">DATEDIF(EmployeeData[[#This Row],[DateOfJoining]],IF(AND(EmployeeData[[#This Row],[Attrition]]="Yes",EmployeeData[[#This Row],[LastWorkingDate]]&lt;&gt;""),EmployeeData[[#This Row],[LastWorkingDate]],TODAY()),"Y")</f>
        <v>9</v>
      </c>
      <c r="AA173" t="str">
        <f>IF(EmployeeData[[#This Row],[MonthlyIncome]]&lt;30000,"Low",IF(EmployeeData[[#This Row],[MonthlyIncome]]&lt;=60000,"Medium",IF(EmployeeData[[#This Row],[MonthlyIncome]]&lt;=100000,"High","Very High")))</f>
        <v>High</v>
      </c>
      <c r="AB173">
        <f>IF(EmployeeData[[#This Row],[Attrition]]="Yes",1,0)</f>
        <v>0</v>
      </c>
      <c r="AC173" t="str">
        <f ca="1">IF(EmployeeData[[#This Row],[Tenure Years]]&lt;1,"Less than 1 Year",IF(EmployeeData[[#This Row],[Tenure Years]]&lt;=3,"1-3 Years",IF(EmployeeData[[#This Row],[Tenure Years]]&lt;=5,"4-5 Years",IF(EmployeeData[[#This Row],[Tenure Years]]&lt;=10,"6-10 Years","More than 10 Years"))))</f>
        <v>6-10 Years</v>
      </c>
      <c r="AD173">
        <f>ROUND(AVERAGE(EmployeeData[[#This Row],[JobSatisfaction]],EmployeeData[[#This Row],[EnvironmentSatisfaction]],EmployeeData[[#This Row],[WorkLifeBalance]]),2)</f>
        <v>3</v>
      </c>
      <c r="AE173" t="str">
        <f>IF(EmployeeData[[#This Row],[Satisfaction Score]]&lt;2,"Low",IF(EmployeeData[[#This Row],[Satisfaction Score]]&lt;3,"Medium","High"))</f>
        <v>High</v>
      </c>
    </row>
    <row r="174" spans="1:31" x14ac:dyDescent="0.25">
      <c r="A174" t="s">
        <v>920</v>
      </c>
      <c r="B174" t="s">
        <v>921</v>
      </c>
      <c r="C174" t="s">
        <v>49</v>
      </c>
      <c r="D174">
        <v>36</v>
      </c>
      <c r="E174" t="s">
        <v>94</v>
      </c>
      <c r="F174" t="s">
        <v>266</v>
      </c>
      <c r="G174" s="1">
        <v>41313</v>
      </c>
      <c r="H174">
        <v>65813</v>
      </c>
      <c r="I174" t="s">
        <v>30</v>
      </c>
      <c r="J174" t="s">
        <v>31</v>
      </c>
      <c r="K174" t="s">
        <v>54</v>
      </c>
      <c r="L174" t="s">
        <v>43</v>
      </c>
      <c r="M174">
        <v>21</v>
      </c>
      <c r="N174" t="s">
        <v>34</v>
      </c>
      <c r="O174">
        <v>2</v>
      </c>
      <c r="P174">
        <v>1</v>
      </c>
      <c r="Q174">
        <v>4</v>
      </c>
      <c r="R174">
        <v>4</v>
      </c>
      <c r="S174">
        <v>6</v>
      </c>
      <c r="T174">
        <v>4</v>
      </c>
      <c r="U174">
        <v>15</v>
      </c>
      <c r="V174" t="s">
        <v>923</v>
      </c>
      <c r="W174" t="s">
        <v>34</v>
      </c>
      <c r="Y174" s="2" t="str">
        <f>IF(EmployeeData[[#This Row],[Age]]&lt;25,"Under 25",IF(EmployeeData[[#This Row],[Age]]&lt;=34,"25-34",IF(EmployeeData[[#This Row],[Age]]&lt;=44,"35-44",IF(EmployeeData[[#This Row],[Age]]&lt;=54,"45-54","55+"))))</f>
        <v>35-44</v>
      </c>
      <c r="Z174">
        <f ca="1">DATEDIF(EmployeeData[[#This Row],[DateOfJoining]],IF(AND(EmployeeData[[#This Row],[Attrition]]="Yes",EmployeeData[[#This Row],[LastWorkingDate]]&lt;&gt;""),EmployeeData[[#This Row],[LastWorkingDate]],TODAY()),"Y")</f>
        <v>13</v>
      </c>
      <c r="AA174" t="str">
        <f>IF(EmployeeData[[#This Row],[MonthlyIncome]]&lt;30000,"Low",IF(EmployeeData[[#This Row],[MonthlyIncome]]&lt;=60000,"Medium",IF(EmployeeData[[#This Row],[MonthlyIncome]]&lt;=100000,"High","Very High")))</f>
        <v>High</v>
      </c>
      <c r="AB174">
        <f>IF(EmployeeData[[#This Row],[Attrition]]="Yes",1,0)</f>
        <v>0</v>
      </c>
      <c r="AC174" t="str">
        <f ca="1">IF(EmployeeData[[#This Row],[Tenure Years]]&lt;1,"Less than 1 Year",IF(EmployeeData[[#This Row],[Tenure Years]]&lt;=3,"1-3 Years",IF(EmployeeData[[#This Row],[Tenure Years]]&lt;=5,"4-5 Years",IF(EmployeeData[[#This Row],[Tenure Years]]&lt;=10,"6-10 Years","More than 10 Years"))))</f>
        <v>More than 10 Years</v>
      </c>
      <c r="AD174">
        <f>ROUND(AVERAGE(EmployeeData[[#This Row],[JobSatisfaction]],EmployeeData[[#This Row],[EnvironmentSatisfaction]],EmployeeData[[#This Row],[WorkLifeBalance]]),2)</f>
        <v>2.33</v>
      </c>
      <c r="AE174" t="str">
        <f>IF(EmployeeData[[#This Row],[Satisfaction Score]]&lt;2,"Low",IF(EmployeeData[[#This Row],[Satisfaction Score]]&lt;3,"Medium","High"))</f>
        <v>Medium</v>
      </c>
    </row>
    <row r="175" spans="1:31" x14ac:dyDescent="0.25">
      <c r="A175" t="s">
        <v>924</v>
      </c>
      <c r="B175" t="s">
        <v>925</v>
      </c>
      <c r="C175" t="s">
        <v>58</v>
      </c>
      <c r="D175">
        <v>35</v>
      </c>
      <c r="E175" t="s">
        <v>5461</v>
      </c>
      <c r="F175" t="s">
        <v>5463</v>
      </c>
      <c r="G175" s="1">
        <v>43818</v>
      </c>
      <c r="H175">
        <v>142618</v>
      </c>
      <c r="I175" t="s">
        <v>52</v>
      </c>
      <c r="J175" t="s">
        <v>61</v>
      </c>
      <c r="K175" t="s">
        <v>113</v>
      </c>
      <c r="L175" t="s">
        <v>62</v>
      </c>
      <c r="M175">
        <v>37</v>
      </c>
      <c r="N175" t="s">
        <v>45</v>
      </c>
      <c r="O175">
        <v>2</v>
      </c>
      <c r="P175">
        <v>3</v>
      </c>
      <c r="Q175">
        <v>4</v>
      </c>
      <c r="R175">
        <v>4</v>
      </c>
      <c r="S175">
        <v>6</v>
      </c>
      <c r="T175">
        <v>7</v>
      </c>
      <c r="U175">
        <v>22</v>
      </c>
      <c r="V175" t="s">
        <v>927</v>
      </c>
      <c r="W175" t="s">
        <v>45</v>
      </c>
      <c r="X175" s="1">
        <v>44501</v>
      </c>
      <c r="Y175" s="2" t="str">
        <f>IF(EmployeeData[[#This Row],[Age]]&lt;25,"Under 25",IF(EmployeeData[[#This Row],[Age]]&lt;=34,"25-34",IF(EmployeeData[[#This Row],[Age]]&lt;=44,"35-44",IF(EmployeeData[[#This Row],[Age]]&lt;=54,"45-54","55+"))))</f>
        <v>35-44</v>
      </c>
      <c r="Z175">
        <f ca="1">DATEDIF(EmployeeData[[#This Row],[DateOfJoining]],IF(AND(EmployeeData[[#This Row],[Attrition]]="Yes",EmployeeData[[#This Row],[LastWorkingDate]]&lt;&gt;""),EmployeeData[[#This Row],[LastWorkingDate]],TODAY()),"Y")</f>
        <v>1</v>
      </c>
      <c r="AA175" t="str">
        <f>IF(EmployeeData[[#This Row],[MonthlyIncome]]&lt;30000,"Low",IF(EmployeeData[[#This Row],[MonthlyIncome]]&lt;=60000,"Medium",IF(EmployeeData[[#This Row],[MonthlyIncome]]&lt;=100000,"High","Very High")))</f>
        <v>Very High</v>
      </c>
      <c r="AB175">
        <f>IF(EmployeeData[[#This Row],[Attrition]]="Yes",1,0)</f>
        <v>1</v>
      </c>
      <c r="AC175" t="str">
        <f ca="1">IF(EmployeeData[[#This Row],[Tenure Years]]&lt;1,"Less than 1 Year",IF(EmployeeData[[#This Row],[Tenure Years]]&lt;=3,"1-3 Years",IF(EmployeeData[[#This Row],[Tenure Years]]&lt;=5,"4-5 Years",IF(EmployeeData[[#This Row],[Tenure Years]]&lt;=10,"6-10 Years","More than 10 Years"))))</f>
        <v>1-3 Years</v>
      </c>
      <c r="AD175">
        <f>ROUND(AVERAGE(EmployeeData[[#This Row],[JobSatisfaction]],EmployeeData[[#This Row],[EnvironmentSatisfaction]],EmployeeData[[#This Row],[WorkLifeBalance]]),2)</f>
        <v>3</v>
      </c>
      <c r="AE175" t="str">
        <f>IF(EmployeeData[[#This Row],[Satisfaction Score]]&lt;2,"Low",IF(EmployeeData[[#This Row],[Satisfaction Score]]&lt;3,"Medium","High"))</f>
        <v>High</v>
      </c>
    </row>
    <row r="176" spans="1:31" x14ac:dyDescent="0.25">
      <c r="A176" t="s">
        <v>929</v>
      </c>
      <c r="B176" t="s">
        <v>930</v>
      </c>
      <c r="C176" t="s">
        <v>58</v>
      </c>
      <c r="D176">
        <v>41</v>
      </c>
      <c r="E176" t="s">
        <v>27</v>
      </c>
      <c r="F176" t="s">
        <v>59</v>
      </c>
      <c r="G176" s="1">
        <v>43381</v>
      </c>
      <c r="H176">
        <v>63263</v>
      </c>
      <c r="I176" t="s">
        <v>30</v>
      </c>
      <c r="J176" t="s">
        <v>31</v>
      </c>
      <c r="K176" t="s">
        <v>113</v>
      </c>
      <c r="L176" t="s">
        <v>43</v>
      </c>
      <c r="M176">
        <v>45</v>
      </c>
      <c r="N176" t="s">
        <v>45</v>
      </c>
      <c r="O176">
        <v>3</v>
      </c>
      <c r="P176">
        <v>4</v>
      </c>
      <c r="Q176">
        <v>2</v>
      </c>
      <c r="R176">
        <v>5</v>
      </c>
      <c r="S176">
        <v>3</v>
      </c>
      <c r="T176">
        <v>0</v>
      </c>
      <c r="U176">
        <v>12</v>
      </c>
      <c r="V176" t="s">
        <v>933</v>
      </c>
      <c r="W176" t="s">
        <v>45</v>
      </c>
      <c r="X176" s="1">
        <v>45624</v>
      </c>
      <c r="Y176" s="2" t="str">
        <f>IF(EmployeeData[[#This Row],[Age]]&lt;25,"Under 25",IF(EmployeeData[[#This Row],[Age]]&lt;=34,"25-34",IF(EmployeeData[[#This Row],[Age]]&lt;=44,"35-44",IF(EmployeeData[[#This Row],[Age]]&lt;=54,"45-54","55+"))))</f>
        <v>35-44</v>
      </c>
      <c r="Z176">
        <f ca="1">DATEDIF(EmployeeData[[#This Row],[DateOfJoining]],IF(AND(EmployeeData[[#This Row],[Attrition]]="Yes",EmployeeData[[#This Row],[LastWorkingDate]]&lt;&gt;""),EmployeeData[[#This Row],[LastWorkingDate]],TODAY()),"Y")</f>
        <v>6</v>
      </c>
      <c r="AA176" t="str">
        <f>IF(EmployeeData[[#This Row],[MonthlyIncome]]&lt;30000,"Low",IF(EmployeeData[[#This Row],[MonthlyIncome]]&lt;=60000,"Medium",IF(EmployeeData[[#This Row],[MonthlyIncome]]&lt;=100000,"High","Very High")))</f>
        <v>High</v>
      </c>
      <c r="AB176">
        <f>IF(EmployeeData[[#This Row],[Attrition]]="Yes",1,0)</f>
        <v>1</v>
      </c>
      <c r="AC176" t="str">
        <f ca="1">IF(EmployeeData[[#This Row],[Tenure Years]]&lt;1,"Less than 1 Year",IF(EmployeeData[[#This Row],[Tenure Years]]&lt;=3,"1-3 Years",IF(EmployeeData[[#This Row],[Tenure Years]]&lt;=5,"4-5 Years",IF(EmployeeData[[#This Row],[Tenure Years]]&lt;=10,"6-10 Years","More than 10 Years"))))</f>
        <v>6-10 Years</v>
      </c>
      <c r="AD176">
        <f>ROUND(AVERAGE(EmployeeData[[#This Row],[JobSatisfaction]],EmployeeData[[#This Row],[EnvironmentSatisfaction]],EmployeeData[[#This Row],[WorkLifeBalance]]),2)</f>
        <v>3</v>
      </c>
      <c r="AE176" t="str">
        <f>IF(EmployeeData[[#This Row],[Satisfaction Score]]&lt;2,"Low",IF(EmployeeData[[#This Row],[Satisfaction Score]]&lt;3,"Medium","High"))</f>
        <v>High</v>
      </c>
    </row>
    <row r="177" spans="1:31" x14ac:dyDescent="0.25">
      <c r="A177" t="s">
        <v>935</v>
      </c>
      <c r="B177" t="s">
        <v>936</v>
      </c>
      <c r="C177" t="s">
        <v>49</v>
      </c>
      <c r="D177">
        <v>41</v>
      </c>
      <c r="E177" t="s">
        <v>128</v>
      </c>
      <c r="F177" t="s">
        <v>271</v>
      </c>
      <c r="G177" s="1">
        <v>41033</v>
      </c>
      <c r="H177">
        <v>93037</v>
      </c>
      <c r="I177" t="s">
        <v>30</v>
      </c>
      <c r="J177" t="s">
        <v>143</v>
      </c>
      <c r="K177" t="s">
        <v>167</v>
      </c>
      <c r="L177" t="s">
        <v>62</v>
      </c>
      <c r="M177">
        <v>13</v>
      </c>
      <c r="N177" t="s">
        <v>45</v>
      </c>
      <c r="O177">
        <v>2</v>
      </c>
      <c r="P177">
        <v>3</v>
      </c>
      <c r="Q177">
        <v>3</v>
      </c>
      <c r="R177">
        <v>4</v>
      </c>
      <c r="S177">
        <v>4</v>
      </c>
      <c r="T177">
        <v>3</v>
      </c>
      <c r="U177">
        <v>13</v>
      </c>
      <c r="V177" t="s">
        <v>938</v>
      </c>
      <c r="W177" t="s">
        <v>45</v>
      </c>
      <c r="X177" s="1">
        <v>42360</v>
      </c>
      <c r="Y177" s="2" t="str">
        <f>IF(EmployeeData[[#This Row],[Age]]&lt;25,"Under 25",IF(EmployeeData[[#This Row],[Age]]&lt;=34,"25-34",IF(EmployeeData[[#This Row],[Age]]&lt;=44,"35-44",IF(EmployeeData[[#This Row],[Age]]&lt;=54,"45-54","55+"))))</f>
        <v>35-44</v>
      </c>
      <c r="Z177">
        <f ca="1">DATEDIF(EmployeeData[[#This Row],[DateOfJoining]],IF(AND(EmployeeData[[#This Row],[Attrition]]="Yes",EmployeeData[[#This Row],[LastWorkingDate]]&lt;&gt;""),EmployeeData[[#This Row],[LastWorkingDate]],TODAY()),"Y")</f>
        <v>3</v>
      </c>
      <c r="AA177" t="str">
        <f>IF(EmployeeData[[#This Row],[MonthlyIncome]]&lt;30000,"Low",IF(EmployeeData[[#This Row],[MonthlyIncome]]&lt;=60000,"Medium",IF(EmployeeData[[#This Row],[MonthlyIncome]]&lt;=100000,"High","Very High")))</f>
        <v>High</v>
      </c>
      <c r="AB177">
        <f>IF(EmployeeData[[#This Row],[Attrition]]="Yes",1,0)</f>
        <v>1</v>
      </c>
      <c r="AC177" t="str">
        <f ca="1">IF(EmployeeData[[#This Row],[Tenure Years]]&lt;1,"Less than 1 Year",IF(EmployeeData[[#This Row],[Tenure Years]]&lt;=3,"1-3 Years",IF(EmployeeData[[#This Row],[Tenure Years]]&lt;=5,"4-5 Years",IF(EmployeeData[[#This Row],[Tenure Years]]&lt;=10,"6-10 Years","More than 10 Years"))))</f>
        <v>1-3 Years</v>
      </c>
      <c r="AD177">
        <f>ROUND(AVERAGE(EmployeeData[[#This Row],[JobSatisfaction]],EmployeeData[[#This Row],[EnvironmentSatisfaction]],EmployeeData[[#This Row],[WorkLifeBalance]]),2)</f>
        <v>2.67</v>
      </c>
      <c r="AE177" t="str">
        <f>IF(EmployeeData[[#This Row],[Satisfaction Score]]&lt;2,"Low",IF(EmployeeData[[#This Row],[Satisfaction Score]]&lt;3,"Medium","High"))</f>
        <v>Medium</v>
      </c>
    </row>
    <row r="178" spans="1:31" x14ac:dyDescent="0.25">
      <c r="A178" t="s">
        <v>940</v>
      </c>
      <c r="B178" t="s">
        <v>941</v>
      </c>
      <c r="C178" t="s">
        <v>58</v>
      </c>
      <c r="D178">
        <v>27</v>
      </c>
      <c r="E178" t="s">
        <v>128</v>
      </c>
      <c r="F178" t="s">
        <v>271</v>
      </c>
      <c r="G178" s="1">
        <v>44347</v>
      </c>
      <c r="H178">
        <v>37414</v>
      </c>
      <c r="I178" t="s">
        <v>52</v>
      </c>
      <c r="J178" t="s">
        <v>61</v>
      </c>
      <c r="K178" t="s">
        <v>98</v>
      </c>
      <c r="L178" t="s">
        <v>43</v>
      </c>
      <c r="M178">
        <v>20</v>
      </c>
      <c r="N178" t="s">
        <v>45</v>
      </c>
      <c r="O178">
        <v>4</v>
      </c>
      <c r="P178">
        <v>1</v>
      </c>
      <c r="Q178">
        <v>3</v>
      </c>
      <c r="R178">
        <v>3</v>
      </c>
      <c r="S178">
        <v>5</v>
      </c>
      <c r="T178">
        <v>5</v>
      </c>
      <c r="U178">
        <v>23</v>
      </c>
      <c r="V178" t="s">
        <v>5459</v>
      </c>
      <c r="W178" t="s">
        <v>34</v>
      </c>
      <c r="Y178" s="2" t="str">
        <f>IF(EmployeeData[[#This Row],[Age]]&lt;25,"Under 25",IF(EmployeeData[[#This Row],[Age]]&lt;=34,"25-34",IF(EmployeeData[[#This Row],[Age]]&lt;=44,"35-44",IF(EmployeeData[[#This Row],[Age]]&lt;=54,"45-54","55+"))))</f>
        <v>25-34</v>
      </c>
      <c r="Z178">
        <f ca="1">DATEDIF(EmployeeData[[#This Row],[DateOfJoining]],IF(AND(EmployeeData[[#This Row],[Attrition]]="Yes",EmployeeData[[#This Row],[LastWorkingDate]]&lt;&gt;""),EmployeeData[[#This Row],[LastWorkingDate]],TODAY()),"Y")</f>
        <v>5</v>
      </c>
      <c r="AA178" t="str">
        <f>IF(EmployeeData[[#This Row],[MonthlyIncome]]&lt;30000,"Low",IF(EmployeeData[[#This Row],[MonthlyIncome]]&lt;=60000,"Medium",IF(EmployeeData[[#This Row],[MonthlyIncome]]&lt;=100000,"High","Very High")))</f>
        <v>Medium</v>
      </c>
      <c r="AB178">
        <f>IF(EmployeeData[[#This Row],[Attrition]]="Yes",1,0)</f>
        <v>0</v>
      </c>
      <c r="AC178" t="str">
        <f ca="1">IF(EmployeeData[[#This Row],[Tenure Years]]&lt;1,"Less than 1 Year",IF(EmployeeData[[#This Row],[Tenure Years]]&lt;=3,"1-3 Years",IF(EmployeeData[[#This Row],[Tenure Years]]&lt;=5,"4-5 Years",IF(EmployeeData[[#This Row],[Tenure Years]]&lt;=10,"6-10 Years","More than 10 Years"))))</f>
        <v>4-5 Years</v>
      </c>
      <c r="AD178">
        <f>ROUND(AVERAGE(EmployeeData[[#This Row],[JobSatisfaction]],EmployeeData[[#This Row],[EnvironmentSatisfaction]],EmployeeData[[#This Row],[WorkLifeBalance]]),2)</f>
        <v>2.67</v>
      </c>
      <c r="AE178" t="str">
        <f>IF(EmployeeData[[#This Row],[Satisfaction Score]]&lt;2,"Low",IF(EmployeeData[[#This Row],[Satisfaction Score]]&lt;3,"Medium","High"))</f>
        <v>Medium</v>
      </c>
    </row>
    <row r="179" spans="1:31" x14ac:dyDescent="0.25">
      <c r="A179" t="s">
        <v>943</v>
      </c>
      <c r="B179" t="s">
        <v>944</v>
      </c>
      <c r="C179" t="s">
        <v>49</v>
      </c>
      <c r="D179">
        <v>33</v>
      </c>
      <c r="E179" t="s">
        <v>412</v>
      </c>
      <c r="F179" t="s">
        <v>945</v>
      </c>
      <c r="G179" s="1">
        <v>43433</v>
      </c>
      <c r="H179">
        <v>71944</v>
      </c>
      <c r="I179" t="s">
        <v>30</v>
      </c>
      <c r="J179" t="s">
        <v>97</v>
      </c>
      <c r="K179" t="s">
        <v>113</v>
      </c>
      <c r="L179" t="s">
        <v>5459</v>
      </c>
      <c r="M179">
        <v>37</v>
      </c>
      <c r="N179" t="s">
        <v>34</v>
      </c>
      <c r="O179">
        <v>1</v>
      </c>
      <c r="P179">
        <v>1</v>
      </c>
      <c r="Q179">
        <v>1</v>
      </c>
      <c r="R179">
        <v>3</v>
      </c>
      <c r="S179">
        <v>2</v>
      </c>
      <c r="T179">
        <v>2</v>
      </c>
      <c r="U179">
        <v>21</v>
      </c>
      <c r="V179" t="s">
        <v>947</v>
      </c>
      <c r="W179" t="s">
        <v>45</v>
      </c>
      <c r="X179" s="1">
        <v>45587</v>
      </c>
      <c r="Y179" s="2" t="str">
        <f>IF(EmployeeData[[#This Row],[Age]]&lt;25,"Under 25",IF(EmployeeData[[#This Row],[Age]]&lt;=34,"25-34",IF(EmployeeData[[#This Row],[Age]]&lt;=44,"35-44",IF(EmployeeData[[#This Row],[Age]]&lt;=54,"45-54","55+"))))</f>
        <v>25-34</v>
      </c>
      <c r="Z179">
        <f ca="1">DATEDIF(EmployeeData[[#This Row],[DateOfJoining]],IF(AND(EmployeeData[[#This Row],[Attrition]]="Yes",EmployeeData[[#This Row],[LastWorkingDate]]&lt;&gt;""),EmployeeData[[#This Row],[LastWorkingDate]],TODAY()),"Y")</f>
        <v>5</v>
      </c>
      <c r="AA179" t="str">
        <f>IF(EmployeeData[[#This Row],[MonthlyIncome]]&lt;30000,"Low",IF(EmployeeData[[#This Row],[MonthlyIncome]]&lt;=60000,"Medium",IF(EmployeeData[[#This Row],[MonthlyIncome]]&lt;=100000,"High","Very High")))</f>
        <v>High</v>
      </c>
      <c r="AB179">
        <f>IF(EmployeeData[[#This Row],[Attrition]]="Yes",1,0)</f>
        <v>1</v>
      </c>
      <c r="AC179" t="str">
        <f ca="1">IF(EmployeeData[[#This Row],[Tenure Years]]&lt;1,"Less than 1 Year",IF(EmployeeData[[#This Row],[Tenure Years]]&lt;=3,"1-3 Years",IF(EmployeeData[[#This Row],[Tenure Years]]&lt;=5,"4-5 Years",IF(EmployeeData[[#This Row],[Tenure Years]]&lt;=10,"6-10 Years","More than 10 Years"))))</f>
        <v>4-5 Years</v>
      </c>
      <c r="AD179">
        <f>ROUND(AVERAGE(EmployeeData[[#This Row],[JobSatisfaction]],EmployeeData[[#This Row],[EnvironmentSatisfaction]],EmployeeData[[#This Row],[WorkLifeBalance]]),2)</f>
        <v>1</v>
      </c>
      <c r="AE179" t="str">
        <f>IF(EmployeeData[[#This Row],[Satisfaction Score]]&lt;2,"Low",IF(EmployeeData[[#This Row],[Satisfaction Score]]&lt;3,"Medium","High"))</f>
        <v>Low</v>
      </c>
    </row>
    <row r="180" spans="1:31" x14ac:dyDescent="0.25">
      <c r="A180" t="s">
        <v>949</v>
      </c>
      <c r="B180" t="s">
        <v>950</v>
      </c>
      <c r="C180" t="s">
        <v>58</v>
      </c>
      <c r="D180">
        <v>45</v>
      </c>
      <c r="E180" t="s">
        <v>197</v>
      </c>
      <c r="F180" t="s">
        <v>235</v>
      </c>
      <c r="G180" s="1">
        <v>42900</v>
      </c>
      <c r="H180">
        <v>52744</v>
      </c>
      <c r="I180" t="s">
        <v>42</v>
      </c>
      <c r="J180" t="s">
        <v>61</v>
      </c>
      <c r="K180" t="s">
        <v>200</v>
      </c>
      <c r="L180" t="s">
        <v>62</v>
      </c>
      <c r="M180">
        <v>38</v>
      </c>
      <c r="N180" t="s">
        <v>34</v>
      </c>
      <c r="O180">
        <v>4</v>
      </c>
      <c r="P180">
        <v>2</v>
      </c>
      <c r="Q180">
        <v>3</v>
      </c>
      <c r="R180">
        <v>2</v>
      </c>
      <c r="S180">
        <v>6</v>
      </c>
      <c r="T180">
        <v>5</v>
      </c>
      <c r="U180">
        <v>14</v>
      </c>
      <c r="V180" t="s">
        <v>952</v>
      </c>
      <c r="W180" t="s">
        <v>34</v>
      </c>
      <c r="Y180" s="2" t="str">
        <f>IF(EmployeeData[[#This Row],[Age]]&lt;25,"Under 25",IF(EmployeeData[[#This Row],[Age]]&lt;=34,"25-34",IF(EmployeeData[[#This Row],[Age]]&lt;=44,"35-44",IF(EmployeeData[[#This Row],[Age]]&lt;=54,"45-54","55+"))))</f>
        <v>45-54</v>
      </c>
      <c r="Z180">
        <f ca="1">DATEDIF(EmployeeData[[#This Row],[DateOfJoining]],IF(AND(EmployeeData[[#This Row],[Attrition]]="Yes",EmployeeData[[#This Row],[LastWorkingDate]]&lt;&gt;""),EmployeeData[[#This Row],[LastWorkingDate]],TODAY()),"Y")</f>
        <v>9</v>
      </c>
      <c r="AA180" t="str">
        <f>IF(EmployeeData[[#This Row],[MonthlyIncome]]&lt;30000,"Low",IF(EmployeeData[[#This Row],[MonthlyIncome]]&lt;=60000,"Medium",IF(EmployeeData[[#This Row],[MonthlyIncome]]&lt;=100000,"High","Very High")))</f>
        <v>Medium</v>
      </c>
      <c r="AB180">
        <f>IF(EmployeeData[[#This Row],[Attrition]]="Yes",1,0)</f>
        <v>0</v>
      </c>
      <c r="AC180" t="str">
        <f ca="1">IF(EmployeeData[[#This Row],[Tenure Years]]&lt;1,"Less than 1 Year",IF(EmployeeData[[#This Row],[Tenure Years]]&lt;=3,"1-3 Years",IF(EmployeeData[[#This Row],[Tenure Years]]&lt;=5,"4-5 Years",IF(EmployeeData[[#This Row],[Tenure Years]]&lt;=10,"6-10 Years","More than 10 Years"))))</f>
        <v>6-10 Years</v>
      </c>
      <c r="AD180">
        <f>ROUND(AVERAGE(EmployeeData[[#This Row],[JobSatisfaction]],EmployeeData[[#This Row],[EnvironmentSatisfaction]],EmployeeData[[#This Row],[WorkLifeBalance]]),2)</f>
        <v>3</v>
      </c>
      <c r="AE180" t="str">
        <f>IF(EmployeeData[[#This Row],[Satisfaction Score]]&lt;2,"Low",IF(EmployeeData[[#This Row],[Satisfaction Score]]&lt;3,"Medium","High"))</f>
        <v>High</v>
      </c>
    </row>
    <row r="181" spans="1:31" x14ac:dyDescent="0.25">
      <c r="A181" t="s">
        <v>953</v>
      </c>
      <c r="B181" t="s">
        <v>954</v>
      </c>
      <c r="C181" t="s">
        <v>5459</v>
      </c>
      <c r="D181">
        <v>29</v>
      </c>
      <c r="E181" t="s">
        <v>5461</v>
      </c>
      <c r="F181" t="s">
        <v>89</v>
      </c>
      <c r="G181" s="1">
        <v>45141</v>
      </c>
      <c r="H181">
        <v>97282</v>
      </c>
      <c r="I181" t="s">
        <v>42</v>
      </c>
      <c r="J181" t="s">
        <v>61</v>
      </c>
      <c r="K181" t="s">
        <v>32</v>
      </c>
      <c r="L181" t="s">
        <v>33</v>
      </c>
      <c r="M181">
        <v>1</v>
      </c>
      <c r="N181" t="s">
        <v>34</v>
      </c>
      <c r="O181">
        <v>2</v>
      </c>
      <c r="P181">
        <v>3</v>
      </c>
      <c r="Q181">
        <v>4</v>
      </c>
      <c r="R181">
        <v>3</v>
      </c>
      <c r="S181">
        <v>3</v>
      </c>
      <c r="T181">
        <v>2</v>
      </c>
      <c r="U181">
        <v>15</v>
      </c>
      <c r="V181" t="s">
        <v>956</v>
      </c>
      <c r="W181" t="s">
        <v>34</v>
      </c>
      <c r="Y181" s="2" t="str">
        <f>IF(EmployeeData[[#This Row],[Age]]&lt;25,"Under 25",IF(EmployeeData[[#This Row],[Age]]&lt;=34,"25-34",IF(EmployeeData[[#This Row],[Age]]&lt;=44,"35-44",IF(EmployeeData[[#This Row],[Age]]&lt;=54,"45-54","55+"))))</f>
        <v>25-34</v>
      </c>
      <c r="Z181">
        <f ca="1">DATEDIF(EmployeeData[[#This Row],[DateOfJoining]],IF(AND(EmployeeData[[#This Row],[Attrition]]="Yes",EmployeeData[[#This Row],[LastWorkingDate]]&lt;&gt;""),EmployeeData[[#This Row],[LastWorkingDate]],TODAY()),"Y")</f>
        <v>3</v>
      </c>
      <c r="AA181" t="str">
        <f>IF(EmployeeData[[#This Row],[MonthlyIncome]]&lt;30000,"Low",IF(EmployeeData[[#This Row],[MonthlyIncome]]&lt;=60000,"Medium",IF(EmployeeData[[#This Row],[MonthlyIncome]]&lt;=100000,"High","Very High")))</f>
        <v>High</v>
      </c>
      <c r="AB181">
        <f>IF(EmployeeData[[#This Row],[Attrition]]="Yes",1,0)</f>
        <v>0</v>
      </c>
      <c r="AC181" t="str">
        <f ca="1">IF(EmployeeData[[#This Row],[Tenure Years]]&lt;1,"Less than 1 Year",IF(EmployeeData[[#This Row],[Tenure Years]]&lt;=3,"1-3 Years",IF(EmployeeData[[#This Row],[Tenure Years]]&lt;=5,"4-5 Years",IF(EmployeeData[[#This Row],[Tenure Years]]&lt;=10,"6-10 Years","More than 10 Years"))))</f>
        <v>1-3 Years</v>
      </c>
      <c r="AD181">
        <f>ROUND(AVERAGE(EmployeeData[[#This Row],[JobSatisfaction]],EmployeeData[[#This Row],[EnvironmentSatisfaction]],EmployeeData[[#This Row],[WorkLifeBalance]]),2)</f>
        <v>3</v>
      </c>
      <c r="AE181" t="str">
        <f>IF(EmployeeData[[#This Row],[Satisfaction Score]]&lt;2,"Low",IF(EmployeeData[[#This Row],[Satisfaction Score]]&lt;3,"Medium","High"))</f>
        <v>High</v>
      </c>
    </row>
    <row r="182" spans="1:31" x14ac:dyDescent="0.25">
      <c r="A182" t="s">
        <v>957</v>
      </c>
      <c r="B182" t="s">
        <v>958</v>
      </c>
      <c r="C182" t="s">
        <v>49</v>
      </c>
      <c r="D182">
        <v>29</v>
      </c>
      <c r="E182" t="s">
        <v>128</v>
      </c>
      <c r="F182" t="s">
        <v>271</v>
      </c>
      <c r="G182" s="1">
        <v>41512</v>
      </c>
      <c r="H182">
        <v>57209</v>
      </c>
      <c r="I182" t="s">
        <v>42</v>
      </c>
      <c r="J182" t="s">
        <v>97</v>
      </c>
      <c r="K182" t="s">
        <v>98</v>
      </c>
      <c r="L182" t="s">
        <v>43</v>
      </c>
      <c r="M182">
        <v>20</v>
      </c>
      <c r="N182" t="s">
        <v>45</v>
      </c>
      <c r="O182">
        <v>2</v>
      </c>
      <c r="P182">
        <v>2</v>
      </c>
      <c r="Q182">
        <v>4</v>
      </c>
      <c r="R182">
        <v>3</v>
      </c>
      <c r="S182">
        <v>4</v>
      </c>
      <c r="T182">
        <v>8</v>
      </c>
      <c r="U182">
        <v>24</v>
      </c>
      <c r="V182" t="s">
        <v>960</v>
      </c>
      <c r="W182" t="s">
        <v>45</v>
      </c>
      <c r="X182" s="1">
        <v>43473</v>
      </c>
      <c r="Y182" s="2" t="str">
        <f>IF(EmployeeData[[#This Row],[Age]]&lt;25,"Under 25",IF(EmployeeData[[#This Row],[Age]]&lt;=34,"25-34",IF(EmployeeData[[#This Row],[Age]]&lt;=44,"35-44",IF(EmployeeData[[#This Row],[Age]]&lt;=54,"45-54","55+"))))</f>
        <v>25-34</v>
      </c>
      <c r="Z182">
        <f ca="1">DATEDIF(EmployeeData[[#This Row],[DateOfJoining]],IF(AND(EmployeeData[[#This Row],[Attrition]]="Yes",EmployeeData[[#This Row],[LastWorkingDate]]&lt;&gt;""),EmployeeData[[#This Row],[LastWorkingDate]],TODAY()),"Y")</f>
        <v>5</v>
      </c>
      <c r="AA182" t="str">
        <f>IF(EmployeeData[[#This Row],[MonthlyIncome]]&lt;30000,"Low",IF(EmployeeData[[#This Row],[MonthlyIncome]]&lt;=60000,"Medium",IF(EmployeeData[[#This Row],[MonthlyIncome]]&lt;=100000,"High","Very High")))</f>
        <v>Medium</v>
      </c>
      <c r="AB182">
        <f>IF(EmployeeData[[#This Row],[Attrition]]="Yes",1,0)</f>
        <v>1</v>
      </c>
      <c r="AC182" t="str">
        <f ca="1">IF(EmployeeData[[#This Row],[Tenure Years]]&lt;1,"Less than 1 Year",IF(EmployeeData[[#This Row],[Tenure Years]]&lt;=3,"1-3 Years",IF(EmployeeData[[#This Row],[Tenure Years]]&lt;=5,"4-5 Years",IF(EmployeeData[[#This Row],[Tenure Years]]&lt;=10,"6-10 Years","More than 10 Years"))))</f>
        <v>4-5 Years</v>
      </c>
      <c r="AD182">
        <f>ROUND(AVERAGE(EmployeeData[[#This Row],[JobSatisfaction]],EmployeeData[[#This Row],[EnvironmentSatisfaction]],EmployeeData[[#This Row],[WorkLifeBalance]]),2)</f>
        <v>2.67</v>
      </c>
      <c r="AE182" t="str">
        <f>IF(EmployeeData[[#This Row],[Satisfaction Score]]&lt;2,"Low",IF(EmployeeData[[#This Row],[Satisfaction Score]]&lt;3,"Medium","High"))</f>
        <v>Medium</v>
      </c>
    </row>
    <row r="183" spans="1:31" x14ac:dyDescent="0.25">
      <c r="A183" t="s">
        <v>962</v>
      </c>
      <c r="B183" t="s">
        <v>963</v>
      </c>
      <c r="C183" t="s">
        <v>58</v>
      </c>
      <c r="D183">
        <v>46</v>
      </c>
      <c r="E183" t="s">
        <v>38</v>
      </c>
      <c r="F183" t="s">
        <v>5460</v>
      </c>
      <c r="G183" s="1">
        <v>46178</v>
      </c>
      <c r="H183">
        <v>76533</v>
      </c>
      <c r="I183" t="s">
        <v>42</v>
      </c>
      <c r="J183" t="s">
        <v>61</v>
      </c>
      <c r="K183" t="s">
        <v>32</v>
      </c>
      <c r="L183" t="s">
        <v>62</v>
      </c>
      <c r="M183">
        <v>9</v>
      </c>
      <c r="N183" t="s">
        <v>34</v>
      </c>
      <c r="O183">
        <v>3</v>
      </c>
      <c r="P183">
        <v>4</v>
      </c>
      <c r="Q183">
        <v>4</v>
      </c>
      <c r="R183">
        <v>3</v>
      </c>
      <c r="S183">
        <v>0</v>
      </c>
      <c r="T183">
        <v>4</v>
      </c>
      <c r="U183">
        <v>14</v>
      </c>
      <c r="V183" t="s">
        <v>966</v>
      </c>
      <c r="W183" t="s">
        <v>34</v>
      </c>
      <c r="Y183" s="2" t="str">
        <f>IF(EmployeeData[[#This Row],[Age]]&lt;25,"Under 25",IF(EmployeeData[[#This Row],[Age]]&lt;=34,"25-34",IF(EmployeeData[[#This Row],[Age]]&lt;=44,"35-44",IF(EmployeeData[[#This Row],[Age]]&lt;=54,"45-54","55+"))))</f>
        <v>45-54</v>
      </c>
      <c r="Z183">
        <f ca="1">DATEDIF(EmployeeData[[#This Row],[DateOfJoining]],IF(AND(EmployeeData[[#This Row],[Attrition]]="Yes",EmployeeData[[#This Row],[LastWorkingDate]]&lt;&gt;""),EmployeeData[[#This Row],[LastWorkingDate]],TODAY()),"Y")</f>
        <v>0</v>
      </c>
      <c r="AA183" t="str">
        <f>IF(EmployeeData[[#This Row],[MonthlyIncome]]&lt;30000,"Low",IF(EmployeeData[[#This Row],[MonthlyIncome]]&lt;=60000,"Medium",IF(EmployeeData[[#This Row],[MonthlyIncome]]&lt;=100000,"High","Very High")))</f>
        <v>High</v>
      </c>
      <c r="AB183">
        <f>IF(EmployeeData[[#This Row],[Attrition]]="Yes",1,0)</f>
        <v>0</v>
      </c>
      <c r="AC183" t="str">
        <f ca="1">IF(EmployeeData[[#This Row],[Tenure Years]]&lt;1,"Less than 1 Year",IF(EmployeeData[[#This Row],[Tenure Years]]&lt;=3,"1-3 Years",IF(EmployeeData[[#This Row],[Tenure Years]]&lt;=5,"4-5 Years",IF(EmployeeData[[#This Row],[Tenure Years]]&lt;=10,"6-10 Years","More than 10 Years"))))</f>
        <v>Less than 1 Year</v>
      </c>
      <c r="AD183">
        <f>ROUND(AVERAGE(EmployeeData[[#This Row],[JobSatisfaction]],EmployeeData[[#This Row],[EnvironmentSatisfaction]],EmployeeData[[#This Row],[WorkLifeBalance]]),2)</f>
        <v>3.67</v>
      </c>
      <c r="AE183" t="str">
        <f>IF(EmployeeData[[#This Row],[Satisfaction Score]]&lt;2,"Low",IF(EmployeeData[[#This Row],[Satisfaction Score]]&lt;3,"Medium","High"))</f>
        <v>High</v>
      </c>
    </row>
    <row r="184" spans="1:31" x14ac:dyDescent="0.25">
      <c r="A184" t="s">
        <v>967</v>
      </c>
      <c r="B184" t="s">
        <v>968</v>
      </c>
      <c r="C184" t="s">
        <v>58</v>
      </c>
      <c r="D184">
        <v>25</v>
      </c>
      <c r="E184" t="s">
        <v>38</v>
      </c>
      <c r="F184" t="s">
        <v>5465</v>
      </c>
      <c r="G184" s="1">
        <v>41180</v>
      </c>
      <c r="H184">
        <v>65501</v>
      </c>
      <c r="I184" t="s">
        <v>52</v>
      </c>
      <c r="J184" t="s">
        <v>61</v>
      </c>
      <c r="K184" t="s">
        <v>83</v>
      </c>
      <c r="L184" t="s">
        <v>43</v>
      </c>
      <c r="M184">
        <v>23</v>
      </c>
      <c r="N184" t="s">
        <v>45</v>
      </c>
      <c r="O184">
        <v>1</v>
      </c>
      <c r="P184">
        <v>4</v>
      </c>
      <c r="Q184">
        <v>2</v>
      </c>
      <c r="R184">
        <v>4</v>
      </c>
      <c r="S184">
        <v>4</v>
      </c>
      <c r="T184">
        <v>3</v>
      </c>
      <c r="U184">
        <v>18</v>
      </c>
      <c r="V184" t="s">
        <v>970</v>
      </c>
      <c r="W184" t="s">
        <v>45</v>
      </c>
      <c r="X184" s="1">
        <v>42676</v>
      </c>
      <c r="Y184" s="2" t="str">
        <f>IF(EmployeeData[[#This Row],[Age]]&lt;25,"Under 25",IF(EmployeeData[[#This Row],[Age]]&lt;=34,"25-34",IF(EmployeeData[[#This Row],[Age]]&lt;=44,"35-44",IF(EmployeeData[[#This Row],[Age]]&lt;=54,"45-54","55+"))))</f>
        <v>25-34</v>
      </c>
      <c r="Z184">
        <f ca="1">DATEDIF(EmployeeData[[#This Row],[DateOfJoining]],IF(AND(EmployeeData[[#This Row],[Attrition]]="Yes",EmployeeData[[#This Row],[LastWorkingDate]]&lt;&gt;""),EmployeeData[[#This Row],[LastWorkingDate]],TODAY()),"Y")</f>
        <v>4</v>
      </c>
      <c r="AA184" t="str">
        <f>IF(EmployeeData[[#This Row],[MonthlyIncome]]&lt;30000,"Low",IF(EmployeeData[[#This Row],[MonthlyIncome]]&lt;=60000,"Medium",IF(EmployeeData[[#This Row],[MonthlyIncome]]&lt;=100000,"High","Very High")))</f>
        <v>High</v>
      </c>
      <c r="AB184">
        <f>IF(EmployeeData[[#This Row],[Attrition]]="Yes",1,0)</f>
        <v>1</v>
      </c>
      <c r="AC184" t="str">
        <f ca="1">IF(EmployeeData[[#This Row],[Tenure Years]]&lt;1,"Less than 1 Year",IF(EmployeeData[[#This Row],[Tenure Years]]&lt;=3,"1-3 Years",IF(EmployeeData[[#This Row],[Tenure Years]]&lt;=5,"4-5 Years",IF(EmployeeData[[#This Row],[Tenure Years]]&lt;=10,"6-10 Years","More than 10 Years"))))</f>
        <v>4-5 Years</v>
      </c>
      <c r="AD184">
        <f>ROUND(AVERAGE(EmployeeData[[#This Row],[JobSatisfaction]],EmployeeData[[#This Row],[EnvironmentSatisfaction]],EmployeeData[[#This Row],[WorkLifeBalance]]),2)</f>
        <v>2.33</v>
      </c>
      <c r="AE184" t="str">
        <f>IF(EmployeeData[[#This Row],[Satisfaction Score]]&lt;2,"Low",IF(EmployeeData[[#This Row],[Satisfaction Score]]&lt;3,"Medium","High"))</f>
        <v>Medium</v>
      </c>
    </row>
    <row r="185" spans="1:31" x14ac:dyDescent="0.25">
      <c r="A185" t="s">
        <v>972</v>
      </c>
      <c r="B185" t="s">
        <v>973</v>
      </c>
      <c r="C185" t="s">
        <v>58</v>
      </c>
      <c r="D185">
        <v>37</v>
      </c>
      <c r="E185" t="s">
        <v>5459</v>
      </c>
      <c r="F185" t="s">
        <v>639</v>
      </c>
      <c r="G185" s="1">
        <v>44792</v>
      </c>
      <c r="H185">
        <v>89227</v>
      </c>
      <c r="I185" t="s">
        <v>30</v>
      </c>
      <c r="J185" t="s">
        <v>53</v>
      </c>
      <c r="K185" t="s">
        <v>106</v>
      </c>
      <c r="L185" t="s">
        <v>43</v>
      </c>
      <c r="M185">
        <v>23</v>
      </c>
      <c r="N185" t="s">
        <v>34</v>
      </c>
      <c r="O185">
        <v>4</v>
      </c>
      <c r="P185">
        <v>4</v>
      </c>
      <c r="Q185">
        <v>2</v>
      </c>
      <c r="R185">
        <v>1</v>
      </c>
      <c r="S185">
        <v>0</v>
      </c>
      <c r="T185">
        <v>1</v>
      </c>
      <c r="U185">
        <v>13</v>
      </c>
      <c r="V185" t="s">
        <v>5459</v>
      </c>
      <c r="W185" t="s">
        <v>34</v>
      </c>
      <c r="Y185" s="2" t="str">
        <f>IF(EmployeeData[[#This Row],[Age]]&lt;25,"Under 25",IF(EmployeeData[[#This Row],[Age]]&lt;=34,"25-34",IF(EmployeeData[[#This Row],[Age]]&lt;=44,"35-44",IF(EmployeeData[[#This Row],[Age]]&lt;=54,"45-54","55+"))))</f>
        <v>35-44</v>
      </c>
      <c r="Z185">
        <f ca="1">DATEDIF(EmployeeData[[#This Row],[DateOfJoining]],IF(AND(EmployeeData[[#This Row],[Attrition]]="Yes",EmployeeData[[#This Row],[LastWorkingDate]]&lt;&gt;""),EmployeeData[[#This Row],[LastWorkingDate]],TODAY()),"Y")</f>
        <v>4</v>
      </c>
      <c r="AA185" t="str">
        <f>IF(EmployeeData[[#This Row],[MonthlyIncome]]&lt;30000,"Low",IF(EmployeeData[[#This Row],[MonthlyIncome]]&lt;=60000,"Medium",IF(EmployeeData[[#This Row],[MonthlyIncome]]&lt;=100000,"High","Very High")))</f>
        <v>High</v>
      </c>
      <c r="AB185">
        <f>IF(EmployeeData[[#This Row],[Attrition]]="Yes",1,0)</f>
        <v>0</v>
      </c>
      <c r="AC185" t="str">
        <f ca="1">IF(EmployeeData[[#This Row],[Tenure Years]]&lt;1,"Less than 1 Year",IF(EmployeeData[[#This Row],[Tenure Years]]&lt;=3,"1-3 Years",IF(EmployeeData[[#This Row],[Tenure Years]]&lt;=5,"4-5 Years",IF(EmployeeData[[#This Row],[Tenure Years]]&lt;=10,"6-10 Years","More than 10 Years"))))</f>
        <v>4-5 Years</v>
      </c>
      <c r="AD185">
        <f>ROUND(AVERAGE(EmployeeData[[#This Row],[JobSatisfaction]],EmployeeData[[#This Row],[EnvironmentSatisfaction]],EmployeeData[[#This Row],[WorkLifeBalance]]),2)</f>
        <v>3.33</v>
      </c>
      <c r="AE185" t="str">
        <f>IF(EmployeeData[[#This Row],[Satisfaction Score]]&lt;2,"Low",IF(EmployeeData[[#This Row],[Satisfaction Score]]&lt;3,"Medium","High"))</f>
        <v>High</v>
      </c>
    </row>
    <row r="186" spans="1:31" x14ac:dyDescent="0.25">
      <c r="A186" t="s">
        <v>975</v>
      </c>
      <c r="B186" t="s">
        <v>976</v>
      </c>
      <c r="C186" t="s">
        <v>58</v>
      </c>
      <c r="D186">
        <v>30</v>
      </c>
      <c r="E186" t="s">
        <v>5461</v>
      </c>
      <c r="F186" t="s">
        <v>5464</v>
      </c>
      <c r="G186" s="1">
        <v>44242</v>
      </c>
      <c r="H186">
        <v>79274</v>
      </c>
      <c r="I186" t="s">
        <v>30</v>
      </c>
      <c r="J186" t="s">
        <v>61</v>
      </c>
      <c r="K186" t="s">
        <v>131</v>
      </c>
      <c r="L186" t="s">
        <v>33</v>
      </c>
      <c r="M186">
        <v>16</v>
      </c>
      <c r="N186" t="s">
        <v>34</v>
      </c>
      <c r="O186">
        <v>4</v>
      </c>
      <c r="P186">
        <v>1</v>
      </c>
      <c r="Q186">
        <v>3</v>
      </c>
      <c r="R186">
        <v>2</v>
      </c>
      <c r="S186">
        <v>5</v>
      </c>
      <c r="T186">
        <v>1</v>
      </c>
      <c r="U186">
        <v>24</v>
      </c>
      <c r="V186" t="s">
        <v>979</v>
      </c>
      <c r="W186" t="s">
        <v>34</v>
      </c>
      <c r="Y186" s="2" t="str">
        <f>IF(EmployeeData[[#This Row],[Age]]&lt;25,"Under 25",IF(EmployeeData[[#This Row],[Age]]&lt;=34,"25-34",IF(EmployeeData[[#This Row],[Age]]&lt;=44,"35-44",IF(EmployeeData[[#This Row],[Age]]&lt;=54,"45-54","55+"))))</f>
        <v>25-34</v>
      </c>
      <c r="Z186">
        <f ca="1">DATEDIF(EmployeeData[[#This Row],[DateOfJoining]],IF(AND(EmployeeData[[#This Row],[Attrition]]="Yes",EmployeeData[[#This Row],[LastWorkingDate]]&lt;&gt;""),EmployeeData[[#This Row],[LastWorkingDate]],TODAY()),"Y")</f>
        <v>5</v>
      </c>
      <c r="AA186" t="str">
        <f>IF(EmployeeData[[#This Row],[MonthlyIncome]]&lt;30000,"Low",IF(EmployeeData[[#This Row],[MonthlyIncome]]&lt;=60000,"Medium",IF(EmployeeData[[#This Row],[MonthlyIncome]]&lt;=100000,"High","Very High")))</f>
        <v>High</v>
      </c>
      <c r="AB186">
        <f>IF(EmployeeData[[#This Row],[Attrition]]="Yes",1,0)</f>
        <v>0</v>
      </c>
      <c r="AC186" t="str">
        <f ca="1">IF(EmployeeData[[#This Row],[Tenure Years]]&lt;1,"Less than 1 Year",IF(EmployeeData[[#This Row],[Tenure Years]]&lt;=3,"1-3 Years",IF(EmployeeData[[#This Row],[Tenure Years]]&lt;=5,"4-5 Years",IF(EmployeeData[[#This Row],[Tenure Years]]&lt;=10,"6-10 Years","More than 10 Years"))))</f>
        <v>4-5 Years</v>
      </c>
      <c r="AD186">
        <f>ROUND(AVERAGE(EmployeeData[[#This Row],[JobSatisfaction]],EmployeeData[[#This Row],[EnvironmentSatisfaction]],EmployeeData[[#This Row],[WorkLifeBalance]]),2)</f>
        <v>2.67</v>
      </c>
      <c r="AE186" t="str">
        <f>IF(EmployeeData[[#This Row],[Satisfaction Score]]&lt;2,"Low",IF(EmployeeData[[#This Row],[Satisfaction Score]]&lt;3,"Medium","High"))</f>
        <v>Medium</v>
      </c>
    </row>
    <row r="187" spans="1:31" x14ac:dyDescent="0.25">
      <c r="A187" t="s">
        <v>980</v>
      </c>
      <c r="B187" t="s">
        <v>981</v>
      </c>
      <c r="C187" t="s">
        <v>49</v>
      </c>
      <c r="D187">
        <v>49</v>
      </c>
      <c r="E187" t="s">
        <v>94</v>
      </c>
      <c r="F187" t="s">
        <v>306</v>
      </c>
      <c r="G187" s="1">
        <v>41595</v>
      </c>
      <c r="H187">
        <v>93471</v>
      </c>
      <c r="I187" t="s">
        <v>30</v>
      </c>
      <c r="J187" t="s">
        <v>61</v>
      </c>
      <c r="K187" t="s">
        <v>200</v>
      </c>
      <c r="L187" t="s">
        <v>62</v>
      </c>
      <c r="M187">
        <v>23</v>
      </c>
      <c r="N187" t="s">
        <v>45</v>
      </c>
      <c r="O187">
        <v>3</v>
      </c>
      <c r="P187">
        <v>1</v>
      </c>
      <c r="Q187">
        <v>2</v>
      </c>
      <c r="R187">
        <v>5</v>
      </c>
      <c r="S187">
        <v>4</v>
      </c>
      <c r="T187">
        <v>8</v>
      </c>
      <c r="U187">
        <v>21</v>
      </c>
      <c r="V187" t="s">
        <v>983</v>
      </c>
      <c r="W187" t="s">
        <v>34</v>
      </c>
      <c r="Y187" s="2" t="str">
        <f>IF(EmployeeData[[#This Row],[Age]]&lt;25,"Under 25",IF(EmployeeData[[#This Row],[Age]]&lt;=34,"25-34",IF(EmployeeData[[#This Row],[Age]]&lt;=44,"35-44",IF(EmployeeData[[#This Row],[Age]]&lt;=54,"45-54","55+"))))</f>
        <v>45-54</v>
      </c>
      <c r="Z187">
        <f ca="1">DATEDIF(EmployeeData[[#This Row],[DateOfJoining]],IF(AND(EmployeeData[[#This Row],[Attrition]]="Yes",EmployeeData[[#This Row],[LastWorkingDate]]&lt;&gt;""),EmployeeData[[#This Row],[LastWorkingDate]],TODAY()),"Y")</f>
        <v>12</v>
      </c>
      <c r="AA187" t="str">
        <f>IF(EmployeeData[[#This Row],[MonthlyIncome]]&lt;30000,"Low",IF(EmployeeData[[#This Row],[MonthlyIncome]]&lt;=60000,"Medium",IF(EmployeeData[[#This Row],[MonthlyIncome]]&lt;=100000,"High","Very High")))</f>
        <v>High</v>
      </c>
      <c r="AB187">
        <f>IF(EmployeeData[[#This Row],[Attrition]]="Yes",1,0)</f>
        <v>0</v>
      </c>
      <c r="AC187" t="str">
        <f ca="1">IF(EmployeeData[[#This Row],[Tenure Years]]&lt;1,"Less than 1 Year",IF(EmployeeData[[#This Row],[Tenure Years]]&lt;=3,"1-3 Years",IF(EmployeeData[[#This Row],[Tenure Years]]&lt;=5,"4-5 Years",IF(EmployeeData[[#This Row],[Tenure Years]]&lt;=10,"6-10 Years","More than 10 Years"))))</f>
        <v>More than 10 Years</v>
      </c>
      <c r="AD187">
        <f>ROUND(AVERAGE(EmployeeData[[#This Row],[JobSatisfaction]],EmployeeData[[#This Row],[EnvironmentSatisfaction]],EmployeeData[[#This Row],[WorkLifeBalance]]),2)</f>
        <v>2</v>
      </c>
      <c r="AE187" t="str">
        <f>IF(EmployeeData[[#This Row],[Satisfaction Score]]&lt;2,"Low",IF(EmployeeData[[#This Row],[Satisfaction Score]]&lt;3,"Medium","High"))</f>
        <v>Medium</v>
      </c>
    </row>
    <row r="188" spans="1:31" x14ac:dyDescent="0.25">
      <c r="A188" t="s">
        <v>984</v>
      </c>
      <c r="B188" t="s">
        <v>985</v>
      </c>
      <c r="C188" t="s">
        <v>58</v>
      </c>
      <c r="D188">
        <v>44</v>
      </c>
      <c r="E188" t="s">
        <v>38</v>
      </c>
      <c r="F188" t="s">
        <v>5460</v>
      </c>
      <c r="G188" s="1">
        <v>45861</v>
      </c>
      <c r="H188">
        <v>81250</v>
      </c>
      <c r="I188" t="s">
        <v>30</v>
      </c>
      <c r="J188" t="s">
        <v>31</v>
      </c>
      <c r="K188" t="s">
        <v>83</v>
      </c>
      <c r="L188" t="s">
        <v>43</v>
      </c>
      <c r="M188">
        <v>20</v>
      </c>
      <c r="N188" t="s">
        <v>34</v>
      </c>
      <c r="O188">
        <v>2</v>
      </c>
      <c r="P188">
        <v>1</v>
      </c>
      <c r="Q188">
        <v>2</v>
      </c>
      <c r="R188">
        <v>3</v>
      </c>
      <c r="S188">
        <v>0</v>
      </c>
      <c r="T188">
        <v>6</v>
      </c>
      <c r="U188">
        <v>17</v>
      </c>
      <c r="V188" t="s">
        <v>987</v>
      </c>
      <c r="W188" t="s">
        <v>45</v>
      </c>
      <c r="X188" s="1">
        <v>45898</v>
      </c>
      <c r="Y188" s="2" t="str">
        <f>IF(EmployeeData[[#This Row],[Age]]&lt;25,"Under 25",IF(EmployeeData[[#This Row],[Age]]&lt;=34,"25-34",IF(EmployeeData[[#This Row],[Age]]&lt;=44,"35-44",IF(EmployeeData[[#This Row],[Age]]&lt;=54,"45-54","55+"))))</f>
        <v>35-44</v>
      </c>
      <c r="Z188">
        <f ca="1">DATEDIF(EmployeeData[[#This Row],[DateOfJoining]],IF(AND(EmployeeData[[#This Row],[Attrition]]="Yes",EmployeeData[[#This Row],[LastWorkingDate]]&lt;&gt;""),EmployeeData[[#This Row],[LastWorkingDate]],TODAY()),"Y")</f>
        <v>0</v>
      </c>
      <c r="AA188" t="str">
        <f>IF(EmployeeData[[#This Row],[MonthlyIncome]]&lt;30000,"Low",IF(EmployeeData[[#This Row],[MonthlyIncome]]&lt;=60000,"Medium",IF(EmployeeData[[#This Row],[MonthlyIncome]]&lt;=100000,"High","Very High")))</f>
        <v>High</v>
      </c>
      <c r="AB188">
        <f>IF(EmployeeData[[#This Row],[Attrition]]="Yes",1,0)</f>
        <v>1</v>
      </c>
      <c r="AC188" t="str">
        <f ca="1">IF(EmployeeData[[#This Row],[Tenure Years]]&lt;1,"Less than 1 Year",IF(EmployeeData[[#This Row],[Tenure Years]]&lt;=3,"1-3 Years",IF(EmployeeData[[#This Row],[Tenure Years]]&lt;=5,"4-5 Years",IF(EmployeeData[[#This Row],[Tenure Years]]&lt;=10,"6-10 Years","More than 10 Years"))))</f>
        <v>Less than 1 Year</v>
      </c>
      <c r="AD188">
        <f>ROUND(AVERAGE(EmployeeData[[#This Row],[JobSatisfaction]],EmployeeData[[#This Row],[EnvironmentSatisfaction]],EmployeeData[[#This Row],[WorkLifeBalance]]),2)</f>
        <v>1.67</v>
      </c>
      <c r="AE188" t="str">
        <f>IF(EmployeeData[[#This Row],[Satisfaction Score]]&lt;2,"Low",IF(EmployeeData[[#This Row],[Satisfaction Score]]&lt;3,"Medium","High"))</f>
        <v>Low</v>
      </c>
    </row>
    <row r="189" spans="1:31" x14ac:dyDescent="0.25">
      <c r="A189" t="s">
        <v>989</v>
      </c>
      <c r="B189" t="s">
        <v>990</v>
      </c>
      <c r="C189" t="s">
        <v>58</v>
      </c>
      <c r="D189">
        <v>26</v>
      </c>
      <c r="E189" t="s">
        <v>5461</v>
      </c>
      <c r="F189" t="s">
        <v>89</v>
      </c>
      <c r="G189" s="1">
        <v>46094</v>
      </c>
      <c r="H189">
        <v>69093</v>
      </c>
      <c r="I189" t="s">
        <v>30</v>
      </c>
      <c r="J189" t="s">
        <v>31</v>
      </c>
      <c r="K189" t="s">
        <v>98</v>
      </c>
      <c r="L189" t="s">
        <v>43</v>
      </c>
      <c r="M189">
        <v>27</v>
      </c>
      <c r="N189" t="s">
        <v>45</v>
      </c>
      <c r="O189">
        <v>3</v>
      </c>
      <c r="P189">
        <v>3</v>
      </c>
      <c r="Q189">
        <v>3</v>
      </c>
      <c r="R189">
        <v>3</v>
      </c>
      <c r="S189">
        <v>4</v>
      </c>
      <c r="T189">
        <v>2</v>
      </c>
      <c r="U189">
        <v>20</v>
      </c>
      <c r="V189" t="s">
        <v>992</v>
      </c>
      <c r="W189" t="s">
        <v>45</v>
      </c>
      <c r="X189" s="1">
        <v>46124</v>
      </c>
      <c r="Y189" s="2" t="str">
        <f>IF(EmployeeData[[#This Row],[Age]]&lt;25,"Under 25",IF(EmployeeData[[#This Row],[Age]]&lt;=34,"25-34",IF(EmployeeData[[#This Row],[Age]]&lt;=44,"35-44",IF(EmployeeData[[#This Row],[Age]]&lt;=54,"45-54","55+"))))</f>
        <v>25-34</v>
      </c>
      <c r="Z189">
        <f ca="1">DATEDIF(EmployeeData[[#This Row],[DateOfJoining]],IF(AND(EmployeeData[[#This Row],[Attrition]]="Yes",EmployeeData[[#This Row],[LastWorkingDate]]&lt;&gt;""),EmployeeData[[#This Row],[LastWorkingDate]],TODAY()),"Y")</f>
        <v>0</v>
      </c>
      <c r="AA189" t="str">
        <f>IF(EmployeeData[[#This Row],[MonthlyIncome]]&lt;30000,"Low",IF(EmployeeData[[#This Row],[MonthlyIncome]]&lt;=60000,"Medium",IF(EmployeeData[[#This Row],[MonthlyIncome]]&lt;=100000,"High","Very High")))</f>
        <v>High</v>
      </c>
      <c r="AB189">
        <f>IF(EmployeeData[[#This Row],[Attrition]]="Yes",1,0)</f>
        <v>1</v>
      </c>
      <c r="AC189" t="str">
        <f ca="1">IF(EmployeeData[[#This Row],[Tenure Years]]&lt;1,"Less than 1 Year",IF(EmployeeData[[#This Row],[Tenure Years]]&lt;=3,"1-3 Years",IF(EmployeeData[[#This Row],[Tenure Years]]&lt;=5,"4-5 Years",IF(EmployeeData[[#This Row],[Tenure Years]]&lt;=10,"6-10 Years","More than 10 Years"))))</f>
        <v>Less than 1 Year</v>
      </c>
      <c r="AD189">
        <f>ROUND(AVERAGE(EmployeeData[[#This Row],[JobSatisfaction]],EmployeeData[[#This Row],[EnvironmentSatisfaction]],EmployeeData[[#This Row],[WorkLifeBalance]]),2)</f>
        <v>3</v>
      </c>
      <c r="AE189" t="str">
        <f>IF(EmployeeData[[#This Row],[Satisfaction Score]]&lt;2,"Low",IF(EmployeeData[[#This Row],[Satisfaction Score]]&lt;3,"Medium","High"))</f>
        <v>High</v>
      </c>
    </row>
    <row r="190" spans="1:31" x14ac:dyDescent="0.25">
      <c r="A190" t="s">
        <v>994</v>
      </c>
      <c r="B190" t="s">
        <v>995</v>
      </c>
      <c r="C190" t="s">
        <v>49</v>
      </c>
      <c r="D190">
        <v>50</v>
      </c>
      <c r="E190" t="s">
        <v>38</v>
      </c>
      <c r="F190" t="s">
        <v>5460</v>
      </c>
      <c r="G190" s="1">
        <v>43160</v>
      </c>
      <c r="H190">
        <v>85400</v>
      </c>
      <c r="I190" t="s">
        <v>52</v>
      </c>
      <c r="J190" t="s">
        <v>31</v>
      </c>
      <c r="K190" t="s">
        <v>77</v>
      </c>
      <c r="L190" t="s">
        <v>62</v>
      </c>
      <c r="M190">
        <v>2</v>
      </c>
      <c r="N190" t="s">
        <v>34</v>
      </c>
      <c r="O190">
        <v>4</v>
      </c>
      <c r="P190">
        <v>3</v>
      </c>
      <c r="Q190">
        <v>3</v>
      </c>
      <c r="R190">
        <v>3</v>
      </c>
      <c r="S190">
        <v>5</v>
      </c>
      <c r="T190">
        <v>0</v>
      </c>
      <c r="U190">
        <v>16</v>
      </c>
      <c r="V190" t="s">
        <v>998</v>
      </c>
      <c r="W190" t="s">
        <v>34</v>
      </c>
      <c r="Y190" s="2" t="str">
        <f>IF(EmployeeData[[#This Row],[Age]]&lt;25,"Under 25",IF(EmployeeData[[#This Row],[Age]]&lt;=34,"25-34",IF(EmployeeData[[#This Row],[Age]]&lt;=44,"35-44",IF(EmployeeData[[#This Row],[Age]]&lt;=54,"45-54","55+"))))</f>
        <v>45-54</v>
      </c>
      <c r="Z190">
        <f ca="1">DATEDIF(EmployeeData[[#This Row],[DateOfJoining]],IF(AND(EmployeeData[[#This Row],[Attrition]]="Yes",EmployeeData[[#This Row],[LastWorkingDate]]&lt;&gt;""),EmployeeData[[#This Row],[LastWorkingDate]],TODAY()),"Y")</f>
        <v>8</v>
      </c>
      <c r="AA190" t="str">
        <f>IF(EmployeeData[[#This Row],[MonthlyIncome]]&lt;30000,"Low",IF(EmployeeData[[#This Row],[MonthlyIncome]]&lt;=60000,"Medium",IF(EmployeeData[[#This Row],[MonthlyIncome]]&lt;=100000,"High","Very High")))</f>
        <v>High</v>
      </c>
      <c r="AB190">
        <f>IF(EmployeeData[[#This Row],[Attrition]]="Yes",1,0)</f>
        <v>0</v>
      </c>
      <c r="AC190" t="str">
        <f ca="1">IF(EmployeeData[[#This Row],[Tenure Years]]&lt;1,"Less than 1 Year",IF(EmployeeData[[#This Row],[Tenure Years]]&lt;=3,"1-3 Years",IF(EmployeeData[[#This Row],[Tenure Years]]&lt;=5,"4-5 Years",IF(EmployeeData[[#This Row],[Tenure Years]]&lt;=10,"6-10 Years","More than 10 Years"))))</f>
        <v>6-10 Years</v>
      </c>
      <c r="AD190">
        <f>ROUND(AVERAGE(EmployeeData[[#This Row],[JobSatisfaction]],EmployeeData[[#This Row],[EnvironmentSatisfaction]],EmployeeData[[#This Row],[WorkLifeBalance]]),2)</f>
        <v>3.33</v>
      </c>
      <c r="AE190" t="str">
        <f>IF(EmployeeData[[#This Row],[Satisfaction Score]]&lt;2,"Low",IF(EmployeeData[[#This Row],[Satisfaction Score]]&lt;3,"Medium","High"))</f>
        <v>High</v>
      </c>
    </row>
    <row r="191" spans="1:31" x14ac:dyDescent="0.25">
      <c r="A191" t="s">
        <v>999</v>
      </c>
      <c r="B191" t="s">
        <v>1000</v>
      </c>
      <c r="C191" t="s">
        <v>49</v>
      </c>
      <c r="D191">
        <v>44</v>
      </c>
      <c r="E191" t="s">
        <v>27</v>
      </c>
      <c r="F191" t="s">
        <v>188</v>
      </c>
      <c r="G191" s="1">
        <v>43465</v>
      </c>
      <c r="H191">
        <v>74000</v>
      </c>
      <c r="I191" t="s">
        <v>30</v>
      </c>
      <c r="J191" t="s">
        <v>53</v>
      </c>
      <c r="K191" t="s">
        <v>200</v>
      </c>
      <c r="L191" t="s">
        <v>62</v>
      </c>
      <c r="M191">
        <v>44</v>
      </c>
      <c r="N191" t="s">
        <v>34</v>
      </c>
      <c r="O191">
        <v>1</v>
      </c>
      <c r="P191">
        <v>4</v>
      </c>
      <c r="Q191">
        <v>4</v>
      </c>
      <c r="R191">
        <v>5</v>
      </c>
      <c r="S191">
        <v>5</v>
      </c>
      <c r="T191">
        <v>4</v>
      </c>
      <c r="U191">
        <v>14</v>
      </c>
      <c r="V191" t="s">
        <v>1002</v>
      </c>
      <c r="W191" t="s">
        <v>34</v>
      </c>
      <c r="Y191" s="2" t="str">
        <f>IF(EmployeeData[[#This Row],[Age]]&lt;25,"Under 25",IF(EmployeeData[[#This Row],[Age]]&lt;=34,"25-34",IF(EmployeeData[[#This Row],[Age]]&lt;=44,"35-44",IF(EmployeeData[[#This Row],[Age]]&lt;=54,"45-54","55+"))))</f>
        <v>35-44</v>
      </c>
      <c r="Z191">
        <f ca="1">DATEDIF(EmployeeData[[#This Row],[DateOfJoining]],IF(AND(EmployeeData[[#This Row],[Attrition]]="Yes",EmployeeData[[#This Row],[LastWorkingDate]]&lt;&gt;""),EmployeeData[[#This Row],[LastWorkingDate]],TODAY()),"Y")</f>
        <v>7</v>
      </c>
      <c r="AA191" t="str">
        <f>IF(EmployeeData[[#This Row],[MonthlyIncome]]&lt;30000,"Low",IF(EmployeeData[[#This Row],[MonthlyIncome]]&lt;=60000,"Medium",IF(EmployeeData[[#This Row],[MonthlyIncome]]&lt;=100000,"High","Very High")))</f>
        <v>High</v>
      </c>
      <c r="AB191">
        <f>IF(EmployeeData[[#This Row],[Attrition]]="Yes",1,0)</f>
        <v>0</v>
      </c>
      <c r="AC191" t="str">
        <f ca="1">IF(EmployeeData[[#This Row],[Tenure Years]]&lt;1,"Less than 1 Year",IF(EmployeeData[[#This Row],[Tenure Years]]&lt;=3,"1-3 Years",IF(EmployeeData[[#This Row],[Tenure Years]]&lt;=5,"4-5 Years",IF(EmployeeData[[#This Row],[Tenure Years]]&lt;=10,"6-10 Years","More than 10 Years"))))</f>
        <v>6-10 Years</v>
      </c>
      <c r="AD191">
        <f>ROUND(AVERAGE(EmployeeData[[#This Row],[JobSatisfaction]],EmployeeData[[#This Row],[EnvironmentSatisfaction]],EmployeeData[[#This Row],[WorkLifeBalance]]),2)</f>
        <v>3</v>
      </c>
      <c r="AE191" t="str">
        <f>IF(EmployeeData[[#This Row],[Satisfaction Score]]&lt;2,"Low",IF(EmployeeData[[#This Row],[Satisfaction Score]]&lt;3,"Medium","High"))</f>
        <v>High</v>
      </c>
    </row>
    <row r="192" spans="1:31" x14ac:dyDescent="0.25">
      <c r="A192" t="s">
        <v>1003</v>
      </c>
      <c r="B192" t="s">
        <v>1004</v>
      </c>
      <c r="C192" t="s">
        <v>58</v>
      </c>
      <c r="D192">
        <v>38</v>
      </c>
      <c r="E192" t="s">
        <v>128</v>
      </c>
      <c r="F192" t="s">
        <v>255</v>
      </c>
      <c r="G192" s="1">
        <v>43857</v>
      </c>
      <c r="H192">
        <v>100112</v>
      </c>
      <c r="I192" t="s">
        <v>42</v>
      </c>
      <c r="J192" t="s">
        <v>61</v>
      </c>
      <c r="K192" t="s">
        <v>83</v>
      </c>
      <c r="L192" t="s">
        <v>62</v>
      </c>
      <c r="M192">
        <v>11</v>
      </c>
      <c r="N192" t="s">
        <v>34</v>
      </c>
      <c r="O192">
        <v>4</v>
      </c>
      <c r="P192">
        <v>3</v>
      </c>
      <c r="Q192">
        <v>4</v>
      </c>
      <c r="R192">
        <v>3</v>
      </c>
      <c r="S192">
        <v>3</v>
      </c>
      <c r="T192">
        <v>2</v>
      </c>
      <c r="U192">
        <v>19</v>
      </c>
      <c r="V192" t="s">
        <v>1006</v>
      </c>
      <c r="W192" t="s">
        <v>34</v>
      </c>
      <c r="Y192" s="2" t="str">
        <f>IF(EmployeeData[[#This Row],[Age]]&lt;25,"Under 25",IF(EmployeeData[[#This Row],[Age]]&lt;=34,"25-34",IF(EmployeeData[[#This Row],[Age]]&lt;=44,"35-44",IF(EmployeeData[[#This Row],[Age]]&lt;=54,"45-54","55+"))))</f>
        <v>35-44</v>
      </c>
      <c r="Z192">
        <f ca="1">DATEDIF(EmployeeData[[#This Row],[DateOfJoining]],IF(AND(EmployeeData[[#This Row],[Attrition]]="Yes",EmployeeData[[#This Row],[LastWorkingDate]]&lt;&gt;""),EmployeeData[[#This Row],[LastWorkingDate]],TODAY()),"Y")</f>
        <v>6</v>
      </c>
      <c r="AA192" t="str">
        <f>IF(EmployeeData[[#This Row],[MonthlyIncome]]&lt;30000,"Low",IF(EmployeeData[[#This Row],[MonthlyIncome]]&lt;=60000,"Medium",IF(EmployeeData[[#This Row],[MonthlyIncome]]&lt;=100000,"High","Very High")))</f>
        <v>Very High</v>
      </c>
      <c r="AB192">
        <f>IF(EmployeeData[[#This Row],[Attrition]]="Yes",1,0)</f>
        <v>0</v>
      </c>
      <c r="AC192" t="str">
        <f ca="1">IF(EmployeeData[[#This Row],[Tenure Years]]&lt;1,"Less than 1 Year",IF(EmployeeData[[#This Row],[Tenure Years]]&lt;=3,"1-3 Years",IF(EmployeeData[[#This Row],[Tenure Years]]&lt;=5,"4-5 Years",IF(EmployeeData[[#This Row],[Tenure Years]]&lt;=10,"6-10 Years","More than 10 Years"))))</f>
        <v>6-10 Years</v>
      </c>
      <c r="AD192">
        <f>ROUND(AVERAGE(EmployeeData[[#This Row],[JobSatisfaction]],EmployeeData[[#This Row],[EnvironmentSatisfaction]],EmployeeData[[#This Row],[WorkLifeBalance]]),2)</f>
        <v>3.67</v>
      </c>
      <c r="AE192" t="str">
        <f>IF(EmployeeData[[#This Row],[Satisfaction Score]]&lt;2,"Low",IF(EmployeeData[[#This Row],[Satisfaction Score]]&lt;3,"Medium","High"))</f>
        <v>High</v>
      </c>
    </row>
    <row r="193" spans="1:31" x14ac:dyDescent="0.25">
      <c r="A193" t="s">
        <v>1007</v>
      </c>
      <c r="B193" t="s">
        <v>1008</v>
      </c>
      <c r="C193" t="s">
        <v>58</v>
      </c>
      <c r="D193">
        <v>40</v>
      </c>
      <c r="E193" t="s">
        <v>27</v>
      </c>
      <c r="F193" t="s">
        <v>75</v>
      </c>
      <c r="G193" s="1">
        <v>44270</v>
      </c>
      <c r="H193">
        <v>83975</v>
      </c>
      <c r="I193" t="s">
        <v>42</v>
      </c>
      <c r="J193" t="s">
        <v>61</v>
      </c>
      <c r="K193" t="s">
        <v>200</v>
      </c>
      <c r="L193" t="s">
        <v>43</v>
      </c>
      <c r="M193">
        <v>27</v>
      </c>
      <c r="N193" t="s">
        <v>34</v>
      </c>
      <c r="O193">
        <v>3</v>
      </c>
      <c r="P193">
        <v>4</v>
      </c>
      <c r="Q193">
        <v>4</v>
      </c>
      <c r="R193">
        <v>3</v>
      </c>
      <c r="S193">
        <v>6</v>
      </c>
      <c r="T193">
        <v>2</v>
      </c>
      <c r="U193">
        <v>11</v>
      </c>
      <c r="V193" t="s">
        <v>1010</v>
      </c>
      <c r="W193" t="s">
        <v>34</v>
      </c>
      <c r="Y193" s="2" t="str">
        <f>IF(EmployeeData[[#This Row],[Age]]&lt;25,"Under 25",IF(EmployeeData[[#This Row],[Age]]&lt;=34,"25-34",IF(EmployeeData[[#This Row],[Age]]&lt;=44,"35-44",IF(EmployeeData[[#This Row],[Age]]&lt;=54,"45-54","55+"))))</f>
        <v>35-44</v>
      </c>
      <c r="Z193">
        <f ca="1">DATEDIF(EmployeeData[[#This Row],[DateOfJoining]],IF(AND(EmployeeData[[#This Row],[Attrition]]="Yes",EmployeeData[[#This Row],[LastWorkingDate]]&lt;&gt;""),EmployeeData[[#This Row],[LastWorkingDate]],TODAY()),"Y")</f>
        <v>5</v>
      </c>
      <c r="AA193" t="str">
        <f>IF(EmployeeData[[#This Row],[MonthlyIncome]]&lt;30000,"Low",IF(EmployeeData[[#This Row],[MonthlyIncome]]&lt;=60000,"Medium",IF(EmployeeData[[#This Row],[MonthlyIncome]]&lt;=100000,"High","Very High")))</f>
        <v>High</v>
      </c>
      <c r="AB193">
        <f>IF(EmployeeData[[#This Row],[Attrition]]="Yes",1,0)</f>
        <v>0</v>
      </c>
      <c r="AC193" t="str">
        <f ca="1">IF(EmployeeData[[#This Row],[Tenure Years]]&lt;1,"Less than 1 Year",IF(EmployeeData[[#This Row],[Tenure Years]]&lt;=3,"1-3 Years",IF(EmployeeData[[#This Row],[Tenure Years]]&lt;=5,"4-5 Years",IF(EmployeeData[[#This Row],[Tenure Years]]&lt;=10,"6-10 Years","More than 10 Years"))))</f>
        <v>4-5 Years</v>
      </c>
      <c r="AD193">
        <f>ROUND(AVERAGE(EmployeeData[[#This Row],[JobSatisfaction]],EmployeeData[[#This Row],[EnvironmentSatisfaction]],EmployeeData[[#This Row],[WorkLifeBalance]]),2)</f>
        <v>3.67</v>
      </c>
      <c r="AE193" t="str">
        <f>IF(EmployeeData[[#This Row],[Satisfaction Score]]&lt;2,"Low",IF(EmployeeData[[#This Row],[Satisfaction Score]]&lt;3,"Medium","High"))</f>
        <v>High</v>
      </c>
    </row>
    <row r="194" spans="1:31" x14ac:dyDescent="0.25">
      <c r="A194" t="s">
        <v>1011</v>
      </c>
      <c r="B194" t="s">
        <v>1012</v>
      </c>
      <c r="C194" t="s">
        <v>49</v>
      </c>
      <c r="D194">
        <v>19</v>
      </c>
      <c r="E194" t="s">
        <v>94</v>
      </c>
      <c r="F194" t="s">
        <v>639</v>
      </c>
      <c r="G194" s="1">
        <v>45599</v>
      </c>
      <c r="H194">
        <v>106007</v>
      </c>
      <c r="I194" t="s">
        <v>42</v>
      </c>
      <c r="J194" t="s">
        <v>61</v>
      </c>
      <c r="K194" t="s">
        <v>32</v>
      </c>
      <c r="L194" t="s">
        <v>43</v>
      </c>
      <c r="M194">
        <v>34</v>
      </c>
      <c r="N194" t="s">
        <v>34</v>
      </c>
      <c r="O194">
        <v>3</v>
      </c>
      <c r="P194">
        <v>4</v>
      </c>
      <c r="Q194">
        <v>1</v>
      </c>
      <c r="R194">
        <v>3</v>
      </c>
      <c r="S194">
        <v>0</v>
      </c>
      <c r="T194">
        <v>0</v>
      </c>
      <c r="U194">
        <v>15</v>
      </c>
      <c r="V194" t="s">
        <v>1016</v>
      </c>
      <c r="W194" t="s">
        <v>45</v>
      </c>
      <c r="X194" s="1">
        <v>45622</v>
      </c>
      <c r="Y194" s="2" t="str">
        <f>IF(EmployeeData[[#This Row],[Age]]&lt;25,"Under 25",IF(EmployeeData[[#This Row],[Age]]&lt;=34,"25-34",IF(EmployeeData[[#This Row],[Age]]&lt;=44,"35-44",IF(EmployeeData[[#This Row],[Age]]&lt;=54,"45-54","55+"))))</f>
        <v>Under 25</v>
      </c>
      <c r="Z194">
        <f ca="1">DATEDIF(EmployeeData[[#This Row],[DateOfJoining]],IF(AND(EmployeeData[[#This Row],[Attrition]]="Yes",EmployeeData[[#This Row],[LastWorkingDate]]&lt;&gt;""),EmployeeData[[#This Row],[LastWorkingDate]],TODAY()),"Y")</f>
        <v>0</v>
      </c>
      <c r="AA194" t="str">
        <f>IF(EmployeeData[[#This Row],[MonthlyIncome]]&lt;30000,"Low",IF(EmployeeData[[#This Row],[MonthlyIncome]]&lt;=60000,"Medium",IF(EmployeeData[[#This Row],[MonthlyIncome]]&lt;=100000,"High","Very High")))</f>
        <v>Very High</v>
      </c>
      <c r="AB194">
        <f>IF(EmployeeData[[#This Row],[Attrition]]="Yes",1,0)</f>
        <v>1</v>
      </c>
      <c r="AC194" t="str">
        <f ca="1">IF(EmployeeData[[#This Row],[Tenure Years]]&lt;1,"Less than 1 Year",IF(EmployeeData[[#This Row],[Tenure Years]]&lt;=3,"1-3 Years",IF(EmployeeData[[#This Row],[Tenure Years]]&lt;=5,"4-5 Years",IF(EmployeeData[[#This Row],[Tenure Years]]&lt;=10,"6-10 Years","More than 10 Years"))))</f>
        <v>Less than 1 Year</v>
      </c>
      <c r="AD194">
        <f>ROUND(AVERAGE(EmployeeData[[#This Row],[JobSatisfaction]],EmployeeData[[#This Row],[EnvironmentSatisfaction]],EmployeeData[[#This Row],[WorkLifeBalance]]),2)</f>
        <v>2.67</v>
      </c>
      <c r="AE194" t="str">
        <f>IF(EmployeeData[[#This Row],[Satisfaction Score]]&lt;2,"Low",IF(EmployeeData[[#This Row],[Satisfaction Score]]&lt;3,"Medium","High"))</f>
        <v>Medium</v>
      </c>
    </row>
    <row r="195" spans="1:31" x14ac:dyDescent="0.25">
      <c r="A195" t="s">
        <v>1018</v>
      </c>
      <c r="B195" t="s">
        <v>1019</v>
      </c>
      <c r="C195" t="s">
        <v>49</v>
      </c>
      <c r="D195">
        <v>23</v>
      </c>
      <c r="E195" t="s">
        <v>27</v>
      </c>
      <c r="F195" t="s">
        <v>188</v>
      </c>
      <c r="G195" s="1">
        <v>45825</v>
      </c>
      <c r="H195">
        <v>103275</v>
      </c>
      <c r="I195" t="s">
        <v>30</v>
      </c>
      <c r="J195" t="s">
        <v>5459</v>
      </c>
      <c r="K195" t="s">
        <v>98</v>
      </c>
      <c r="L195" t="s">
        <v>43</v>
      </c>
      <c r="M195">
        <v>24</v>
      </c>
      <c r="N195" t="s">
        <v>34</v>
      </c>
      <c r="O195">
        <v>3</v>
      </c>
      <c r="P195">
        <v>3</v>
      </c>
      <c r="Q195">
        <v>4</v>
      </c>
      <c r="R195">
        <v>3</v>
      </c>
      <c r="S195">
        <v>1</v>
      </c>
      <c r="T195">
        <v>8</v>
      </c>
      <c r="U195">
        <v>13</v>
      </c>
      <c r="V195" t="s">
        <v>1021</v>
      </c>
      <c r="W195" t="s">
        <v>34</v>
      </c>
      <c r="Y195" s="2" t="str">
        <f>IF(EmployeeData[[#This Row],[Age]]&lt;25,"Under 25",IF(EmployeeData[[#This Row],[Age]]&lt;=34,"25-34",IF(EmployeeData[[#This Row],[Age]]&lt;=44,"35-44",IF(EmployeeData[[#This Row],[Age]]&lt;=54,"45-54","55+"))))</f>
        <v>Under 25</v>
      </c>
      <c r="Z195">
        <f ca="1">DATEDIF(EmployeeData[[#This Row],[DateOfJoining]],IF(AND(EmployeeData[[#This Row],[Attrition]]="Yes",EmployeeData[[#This Row],[LastWorkingDate]]&lt;&gt;""),EmployeeData[[#This Row],[LastWorkingDate]],TODAY()),"Y")</f>
        <v>1</v>
      </c>
      <c r="AA195" t="str">
        <f>IF(EmployeeData[[#This Row],[MonthlyIncome]]&lt;30000,"Low",IF(EmployeeData[[#This Row],[MonthlyIncome]]&lt;=60000,"Medium",IF(EmployeeData[[#This Row],[MonthlyIncome]]&lt;=100000,"High","Very High")))</f>
        <v>Very High</v>
      </c>
      <c r="AB195">
        <f>IF(EmployeeData[[#This Row],[Attrition]]="Yes",1,0)</f>
        <v>0</v>
      </c>
      <c r="AC195" t="str">
        <f ca="1">IF(EmployeeData[[#This Row],[Tenure Years]]&lt;1,"Less than 1 Year",IF(EmployeeData[[#This Row],[Tenure Years]]&lt;=3,"1-3 Years",IF(EmployeeData[[#This Row],[Tenure Years]]&lt;=5,"4-5 Years",IF(EmployeeData[[#This Row],[Tenure Years]]&lt;=10,"6-10 Years","More than 10 Years"))))</f>
        <v>1-3 Years</v>
      </c>
      <c r="AD195">
        <f>ROUND(AVERAGE(EmployeeData[[#This Row],[JobSatisfaction]],EmployeeData[[#This Row],[EnvironmentSatisfaction]],EmployeeData[[#This Row],[WorkLifeBalance]]),2)</f>
        <v>3.33</v>
      </c>
      <c r="AE195" t="str">
        <f>IF(EmployeeData[[#This Row],[Satisfaction Score]]&lt;2,"Low",IF(EmployeeData[[#This Row],[Satisfaction Score]]&lt;3,"Medium","High"))</f>
        <v>High</v>
      </c>
    </row>
    <row r="196" spans="1:31" x14ac:dyDescent="0.25">
      <c r="A196" t="s">
        <v>1022</v>
      </c>
      <c r="B196" t="s">
        <v>1023</v>
      </c>
      <c r="C196" t="s">
        <v>49</v>
      </c>
      <c r="D196">
        <v>40</v>
      </c>
      <c r="E196" t="s">
        <v>128</v>
      </c>
      <c r="F196" t="s">
        <v>271</v>
      </c>
      <c r="G196" s="1">
        <v>43215</v>
      </c>
      <c r="H196">
        <v>99764</v>
      </c>
      <c r="I196" t="s">
        <v>42</v>
      </c>
      <c r="J196" t="s">
        <v>97</v>
      </c>
      <c r="K196" t="s">
        <v>77</v>
      </c>
      <c r="L196" t="s">
        <v>62</v>
      </c>
      <c r="M196">
        <v>28</v>
      </c>
      <c r="N196" t="s">
        <v>34</v>
      </c>
      <c r="O196">
        <v>4</v>
      </c>
      <c r="P196">
        <v>4</v>
      </c>
      <c r="Q196">
        <v>2</v>
      </c>
      <c r="R196">
        <v>4</v>
      </c>
      <c r="S196">
        <v>0</v>
      </c>
      <c r="T196">
        <v>8</v>
      </c>
      <c r="U196">
        <v>18</v>
      </c>
      <c r="V196" t="s">
        <v>1025</v>
      </c>
      <c r="W196" t="s">
        <v>34</v>
      </c>
      <c r="Y196" s="2" t="str">
        <f>IF(EmployeeData[[#This Row],[Age]]&lt;25,"Under 25",IF(EmployeeData[[#This Row],[Age]]&lt;=34,"25-34",IF(EmployeeData[[#This Row],[Age]]&lt;=44,"35-44",IF(EmployeeData[[#This Row],[Age]]&lt;=54,"45-54","55+"))))</f>
        <v>35-44</v>
      </c>
      <c r="Z196">
        <f ca="1">DATEDIF(EmployeeData[[#This Row],[DateOfJoining]],IF(AND(EmployeeData[[#This Row],[Attrition]]="Yes",EmployeeData[[#This Row],[LastWorkingDate]]&lt;&gt;""),EmployeeData[[#This Row],[LastWorkingDate]],TODAY()),"Y")</f>
        <v>8</v>
      </c>
      <c r="AA196" t="str">
        <f>IF(EmployeeData[[#This Row],[MonthlyIncome]]&lt;30000,"Low",IF(EmployeeData[[#This Row],[MonthlyIncome]]&lt;=60000,"Medium",IF(EmployeeData[[#This Row],[MonthlyIncome]]&lt;=100000,"High","Very High")))</f>
        <v>High</v>
      </c>
      <c r="AB196">
        <f>IF(EmployeeData[[#This Row],[Attrition]]="Yes",1,0)</f>
        <v>0</v>
      </c>
      <c r="AC196" t="str">
        <f ca="1">IF(EmployeeData[[#This Row],[Tenure Years]]&lt;1,"Less than 1 Year",IF(EmployeeData[[#This Row],[Tenure Years]]&lt;=3,"1-3 Years",IF(EmployeeData[[#This Row],[Tenure Years]]&lt;=5,"4-5 Years",IF(EmployeeData[[#This Row],[Tenure Years]]&lt;=10,"6-10 Years","More than 10 Years"))))</f>
        <v>6-10 Years</v>
      </c>
      <c r="AD196">
        <f>ROUND(AVERAGE(EmployeeData[[#This Row],[JobSatisfaction]],EmployeeData[[#This Row],[EnvironmentSatisfaction]],EmployeeData[[#This Row],[WorkLifeBalance]]),2)</f>
        <v>3.33</v>
      </c>
      <c r="AE196" t="str">
        <f>IF(EmployeeData[[#This Row],[Satisfaction Score]]&lt;2,"Low",IF(EmployeeData[[#This Row],[Satisfaction Score]]&lt;3,"Medium","High"))</f>
        <v>High</v>
      </c>
    </row>
    <row r="197" spans="1:31" x14ac:dyDescent="0.25">
      <c r="A197" t="s">
        <v>1026</v>
      </c>
      <c r="B197" t="s">
        <v>1027</v>
      </c>
      <c r="C197" t="s">
        <v>49</v>
      </c>
      <c r="D197">
        <v>32</v>
      </c>
      <c r="E197" t="s">
        <v>5461</v>
      </c>
      <c r="F197" t="s">
        <v>5464</v>
      </c>
      <c r="G197" s="1">
        <v>40787</v>
      </c>
      <c r="H197">
        <v>101981</v>
      </c>
      <c r="I197" t="s">
        <v>30</v>
      </c>
      <c r="J197" t="s">
        <v>31</v>
      </c>
      <c r="K197" t="s">
        <v>5459</v>
      </c>
      <c r="L197" t="s">
        <v>33</v>
      </c>
      <c r="M197">
        <v>9</v>
      </c>
      <c r="N197" t="s">
        <v>45</v>
      </c>
      <c r="O197">
        <v>4</v>
      </c>
      <c r="P197">
        <v>2</v>
      </c>
      <c r="Q197">
        <v>3</v>
      </c>
      <c r="R197">
        <v>3</v>
      </c>
      <c r="S197">
        <v>4</v>
      </c>
      <c r="T197">
        <v>7</v>
      </c>
      <c r="U197">
        <v>21</v>
      </c>
      <c r="V197" t="s">
        <v>1030</v>
      </c>
      <c r="W197" t="s">
        <v>34</v>
      </c>
      <c r="Y197" s="2" t="str">
        <f>IF(EmployeeData[[#This Row],[Age]]&lt;25,"Under 25",IF(EmployeeData[[#This Row],[Age]]&lt;=34,"25-34",IF(EmployeeData[[#This Row],[Age]]&lt;=44,"35-44",IF(EmployeeData[[#This Row],[Age]]&lt;=54,"45-54","55+"))))</f>
        <v>25-34</v>
      </c>
      <c r="Z197">
        <f ca="1">DATEDIF(EmployeeData[[#This Row],[DateOfJoining]],IF(AND(EmployeeData[[#This Row],[Attrition]]="Yes",EmployeeData[[#This Row],[LastWorkingDate]]&lt;&gt;""),EmployeeData[[#This Row],[LastWorkingDate]],TODAY()),"Y")</f>
        <v>15</v>
      </c>
      <c r="AA197" t="str">
        <f>IF(EmployeeData[[#This Row],[MonthlyIncome]]&lt;30000,"Low",IF(EmployeeData[[#This Row],[MonthlyIncome]]&lt;=60000,"Medium",IF(EmployeeData[[#This Row],[MonthlyIncome]]&lt;=100000,"High","Very High")))</f>
        <v>Very High</v>
      </c>
      <c r="AB197">
        <f>IF(EmployeeData[[#This Row],[Attrition]]="Yes",1,0)</f>
        <v>0</v>
      </c>
      <c r="AC197" t="str">
        <f ca="1">IF(EmployeeData[[#This Row],[Tenure Years]]&lt;1,"Less than 1 Year",IF(EmployeeData[[#This Row],[Tenure Years]]&lt;=3,"1-3 Years",IF(EmployeeData[[#This Row],[Tenure Years]]&lt;=5,"4-5 Years",IF(EmployeeData[[#This Row],[Tenure Years]]&lt;=10,"6-10 Years","More than 10 Years"))))</f>
        <v>More than 10 Years</v>
      </c>
      <c r="AD197">
        <f>ROUND(AVERAGE(EmployeeData[[#This Row],[JobSatisfaction]],EmployeeData[[#This Row],[EnvironmentSatisfaction]],EmployeeData[[#This Row],[WorkLifeBalance]]),2)</f>
        <v>3</v>
      </c>
      <c r="AE197" t="str">
        <f>IF(EmployeeData[[#This Row],[Satisfaction Score]]&lt;2,"Low",IF(EmployeeData[[#This Row],[Satisfaction Score]]&lt;3,"Medium","High"))</f>
        <v>High</v>
      </c>
    </row>
    <row r="198" spans="1:31" x14ac:dyDescent="0.25">
      <c r="A198" t="s">
        <v>1031</v>
      </c>
      <c r="B198" t="s">
        <v>1032</v>
      </c>
      <c r="C198" t="s">
        <v>49</v>
      </c>
      <c r="D198">
        <v>34</v>
      </c>
      <c r="E198" t="s">
        <v>5461</v>
      </c>
      <c r="F198" t="s">
        <v>89</v>
      </c>
      <c r="G198" s="1">
        <v>42429</v>
      </c>
      <c r="H198">
        <v>97801</v>
      </c>
      <c r="I198" t="s">
        <v>30</v>
      </c>
      <c r="J198" t="s">
        <v>31</v>
      </c>
      <c r="K198" t="s">
        <v>77</v>
      </c>
      <c r="L198" t="s">
        <v>62</v>
      </c>
      <c r="M198">
        <v>28</v>
      </c>
      <c r="N198" t="s">
        <v>34</v>
      </c>
      <c r="O198">
        <v>3</v>
      </c>
      <c r="P198">
        <v>3</v>
      </c>
      <c r="Q198">
        <v>1</v>
      </c>
      <c r="R198">
        <v>5</v>
      </c>
      <c r="S198">
        <v>2</v>
      </c>
      <c r="T198">
        <v>5</v>
      </c>
      <c r="U198">
        <v>22</v>
      </c>
      <c r="V198" t="s">
        <v>1035</v>
      </c>
      <c r="W198" t="s">
        <v>34</v>
      </c>
      <c r="Y198" s="2" t="str">
        <f>IF(EmployeeData[[#This Row],[Age]]&lt;25,"Under 25",IF(EmployeeData[[#This Row],[Age]]&lt;=34,"25-34",IF(EmployeeData[[#This Row],[Age]]&lt;=44,"35-44",IF(EmployeeData[[#This Row],[Age]]&lt;=54,"45-54","55+"))))</f>
        <v>25-34</v>
      </c>
      <c r="Z198">
        <f ca="1">DATEDIF(EmployeeData[[#This Row],[DateOfJoining]],IF(AND(EmployeeData[[#This Row],[Attrition]]="Yes",EmployeeData[[#This Row],[LastWorkingDate]]&lt;&gt;""),EmployeeData[[#This Row],[LastWorkingDate]],TODAY()),"Y")</f>
        <v>10</v>
      </c>
      <c r="AA198" t="str">
        <f>IF(EmployeeData[[#This Row],[MonthlyIncome]]&lt;30000,"Low",IF(EmployeeData[[#This Row],[MonthlyIncome]]&lt;=60000,"Medium",IF(EmployeeData[[#This Row],[MonthlyIncome]]&lt;=100000,"High","Very High")))</f>
        <v>High</v>
      </c>
      <c r="AB198">
        <f>IF(EmployeeData[[#This Row],[Attrition]]="Yes",1,0)</f>
        <v>0</v>
      </c>
      <c r="AC198" t="str">
        <f ca="1">IF(EmployeeData[[#This Row],[Tenure Years]]&lt;1,"Less than 1 Year",IF(EmployeeData[[#This Row],[Tenure Years]]&lt;=3,"1-3 Years",IF(EmployeeData[[#This Row],[Tenure Years]]&lt;=5,"4-5 Years",IF(EmployeeData[[#This Row],[Tenure Years]]&lt;=10,"6-10 Years","More than 10 Years"))))</f>
        <v>6-10 Years</v>
      </c>
      <c r="AD198">
        <f>ROUND(AVERAGE(EmployeeData[[#This Row],[JobSatisfaction]],EmployeeData[[#This Row],[EnvironmentSatisfaction]],EmployeeData[[#This Row],[WorkLifeBalance]]),2)</f>
        <v>2.33</v>
      </c>
      <c r="AE198" t="str">
        <f>IF(EmployeeData[[#This Row],[Satisfaction Score]]&lt;2,"Low",IF(EmployeeData[[#This Row],[Satisfaction Score]]&lt;3,"Medium","High"))</f>
        <v>Medium</v>
      </c>
    </row>
    <row r="199" spans="1:31" x14ac:dyDescent="0.25">
      <c r="A199" t="s">
        <v>1036</v>
      </c>
      <c r="B199" t="s">
        <v>1037</v>
      </c>
      <c r="C199" t="s">
        <v>58</v>
      </c>
      <c r="D199">
        <v>19</v>
      </c>
      <c r="E199" t="s">
        <v>5459</v>
      </c>
      <c r="F199" t="s">
        <v>226</v>
      </c>
      <c r="G199" s="1">
        <v>44568</v>
      </c>
      <c r="H199">
        <v>98874</v>
      </c>
      <c r="I199" t="s">
        <v>30</v>
      </c>
      <c r="J199" t="s">
        <v>61</v>
      </c>
      <c r="K199" t="s">
        <v>113</v>
      </c>
      <c r="L199" t="s">
        <v>33</v>
      </c>
      <c r="M199">
        <v>39</v>
      </c>
      <c r="N199" t="s">
        <v>34</v>
      </c>
      <c r="O199">
        <v>3</v>
      </c>
      <c r="P199">
        <v>1</v>
      </c>
      <c r="Q199">
        <v>1</v>
      </c>
      <c r="R199">
        <v>2</v>
      </c>
      <c r="S199">
        <v>2</v>
      </c>
      <c r="T199">
        <v>7</v>
      </c>
      <c r="U199">
        <v>22</v>
      </c>
      <c r="V199" t="s">
        <v>1039</v>
      </c>
      <c r="W199" t="s">
        <v>34</v>
      </c>
      <c r="Y199" s="2" t="str">
        <f>IF(EmployeeData[[#This Row],[Age]]&lt;25,"Under 25",IF(EmployeeData[[#This Row],[Age]]&lt;=34,"25-34",IF(EmployeeData[[#This Row],[Age]]&lt;=44,"35-44",IF(EmployeeData[[#This Row],[Age]]&lt;=54,"45-54","55+"))))</f>
        <v>Under 25</v>
      </c>
      <c r="Z199">
        <f ca="1">DATEDIF(EmployeeData[[#This Row],[DateOfJoining]],IF(AND(EmployeeData[[#This Row],[Attrition]]="Yes",EmployeeData[[#This Row],[LastWorkingDate]]&lt;&gt;""),EmployeeData[[#This Row],[LastWorkingDate]],TODAY()),"Y")</f>
        <v>4</v>
      </c>
      <c r="AA199" t="str">
        <f>IF(EmployeeData[[#This Row],[MonthlyIncome]]&lt;30000,"Low",IF(EmployeeData[[#This Row],[MonthlyIncome]]&lt;=60000,"Medium",IF(EmployeeData[[#This Row],[MonthlyIncome]]&lt;=100000,"High","Very High")))</f>
        <v>High</v>
      </c>
      <c r="AB199">
        <f>IF(EmployeeData[[#This Row],[Attrition]]="Yes",1,0)</f>
        <v>0</v>
      </c>
      <c r="AC199" t="str">
        <f ca="1">IF(EmployeeData[[#This Row],[Tenure Years]]&lt;1,"Less than 1 Year",IF(EmployeeData[[#This Row],[Tenure Years]]&lt;=3,"1-3 Years",IF(EmployeeData[[#This Row],[Tenure Years]]&lt;=5,"4-5 Years",IF(EmployeeData[[#This Row],[Tenure Years]]&lt;=10,"6-10 Years","More than 10 Years"))))</f>
        <v>4-5 Years</v>
      </c>
      <c r="AD199">
        <f>ROUND(AVERAGE(EmployeeData[[#This Row],[JobSatisfaction]],EmployeeData[[#This Row],[EnvironmentSatisfaction]],EmployeeData[[#This Row],[WorkLifeBalance]]),2)</f>
        <v>1.67</v>
      </c>
      <c r="AE199" t="str">
        <f>IF(EmployeeData[[#This Row],[Satisfaction Score]]&lt;2,"Low",IF(EmployeeData[[#This Row],[Satisfaction Score]]&lt;3,"Medium","High"))</f>
        <v>Low</v>
      </c>
    </row>
    <row r="200" spans="1:31" x14ac:dyDescent="0.25">
      <c r="A200" t="s">
        <v>1040</v>
      </c>
      <c r="B200" t="s">
        <v>1041</v>
      </c>
      <c r="C200" t="s">
        <v>49</v>
      </c>
      <c r="D200">
        <v>36</v>
      </c>
      <c r="E200" t="s">
        <v>5459</v>
      </c>
      <c r="F200" t="s">
        <v>306</v>
      </c>
      <c r="G200" s="1">
        <v>40975</v>
      </c>
      <c r="H200">
        <v>53598</v>
      </c>
      <c r="I200" t="s">
        <v>52</v>
      </c>
      <c r="J200" t="s">
        <v>61</v>
      </c>
      <c r="K200" t="s">
        <v>83</v>
      </c>
      <c r="L200" t="s">
        <v>43</v>
      </c>
      <c r="M200">
        <v>14</v>
      </c>
      <c r="N200" t="s">
        <v>34</v>
      </c>
      <c r="O200">
        <v>2</v>
      </c>
      <c r="P200">
        <v>1</v>
      </c>
      <c r="Q200">
        <v>4</v>
      </c>
      <c r="R200">
        <v>3</v>
      </c>
      <c r="S200">
        <v>2</v>
      </c>
      <c r="T200">
        <v>8</v>
      </c>
      <c r="U200">
        <v>20</v>
      </c>
      <c r="V200" t="s">
        <v>1043</v>
      </c>
      <c r="W200" t="s">
        <v>34</v>
      </c>
      <c r="Y200" s="2" t="str">
        <f>IF(EmployeeData[[#This Row],[Age]]&lt;25,"Under 25",IF(EmployeeData[[#This Row],[Age]]&lt;=34,"25-34",IF(EmployeeData[[#This Row],[Age]]&lt;=44,"35-44",IF(EmployeeData[[#This Row],[Age]]&lt;=54,"45-54","55+"))))</f>
        <v>35-44</v>
      </c>
      <c r="Z200">
        <f ca="1">DATEDIF(EmployeeData[[#This Row],[DateOfJoining]],IF(AND(EmployeeData[[#This Row],[Attrition]]="Yes",EmployeeData[[#This Row],[LastWorkingDate]]&lt;&gt;""),EmployeeData[[#This Row],[LastWorkingDate]],TODAY()),"Y")</f>
        <v>14</v>
      </c>
      <c r="AA200" t="str">
        <f>IF(EmployeeData[[#This Row],[MonthlyIncome]]&lt;30000,"Low",IF(EmployeeData[[#This Row],[MonthlyIncome]]&lt;=60000,"Medium",IF(EmployeeData[[#This Row],[MonthlyIncome]]&lt;=100000,"High","Very High")))</f>
        <v>Medium</v>
      </c>
      <c r="AB200">
        <f>IF(EmployeeData[[#This Row],[Attrition]]="Yes",1,0)</f>
        <v>0</v>
      </c>
      <c r="AC200" t="str">
        <f ca="1">IF(EmployeeData[[#This Row],[Tenure Years]]&lt;1,"Less than 1 Year",IF(EmployeeData[[#This Row],[Tenure Years]]&lt;=3,"1-3 Years",IF(EmployeeData[[#This Row],[Tenure Years]]&lt;=5,"4-5 Years",IF(EmployeeData[[#This Row],[Tenure Years]]&lt;=10,"6-10 Years","More than 10 Years"))))</f>
        <v>More than 10 Years</v>
      </c>
      <c r="AD200">
        <f>ROUND(AVERAGE(EmployeeData[[#This Row],[JobSatisfaction]],EmployeeData[[#This Row],[EnvironmentSatisfaction]],EmployeeData[[#This Row],[WorkLifeBalance]]),2)</f>
        <v>2.33</v>
      </c>
      <c r="AE200" t="str">
        <f>IF(EmployeeData[[#This Row],[Satisfaction Score]]&lt;2,"Low",IF(EmployeeData[[#This Row],[Satisfaction Score]]&lt;3,"Medium","High"))</f>
        <v>Medium</v>
      </c>
    </row>
    <row r="201" spans="1:31" x14ac:dyDescent="0.25">
      <c r="A201" t="s">
        <v>1044</v>
      </c>
      <c r="B201" t="s">
        <v>1045</v>
      </c>
      <c r="C201" t="s">
        <v>58</v>
      </c>
      <c r="D201">
        <v>44</v>
      </c>
      <c r="E201" t="s">
        <v>5461</v>
      </c>
      <c r="F201" t="s">
        <v>261</v>
      </c>
      <c r="G201" s="1">
        <v>42609</v>
      </c>
      <c r="H201">
        <v>77850</v>
      </c>
      <c r="I201" t="s">
        <v>30</v>
      </c>
      <c r="J201" t="s">
        <v>143</v>
      </c>
      <c r="K201" t="s">
        <v>200</v>
      </c>
      <c r="L201" t="s">
        <v>62</v>
      </c>
      <c r="M201">
        <v>9</v>
      </c>
      <c r="N201" t="s">
        <v>34</v>
      </c>
      <c r="O201">
        <v>2</v>
      </c>
      <c r="P201">
        <v>2</v>
      </c>
      <c r="Q201">
        <v>3</v>
      </c>
      <c r="R201">
        <v>2</v>
      </c>
      <c r="S201">
        <v>4</v>
      </c>
      <c r="T201">
        <v>7</v>
      </c>
      <c r="U201">
        <v>18</v>
      </c>
      <c r="V201" t="s">
        <v>1047</v>
      </c>
      <c r="W201" t="s">
        <v>34</v>
      </c>
      <c r="Y201" s="2" t="str">
        <f>IF(EmployeeData[[#This Row],[Age]]&lt;25,"Under 25",IF(EmployeeData[[#This Row],[Age]]&lt;=34,"25-34",IF(EmployeeData[[#This Row],[Age]]&lt;=44,"35-44",IF(EmployeeData[[#This Row],[Age]]&lt;=54,"45-54","55+"))))</f>
        <v>35-44</v>
      </c>
      <c r="Z201">
        <f ca="1">DATEDIF(EmployeeData[[#This Row],[DateOfJoining]],IF(AND(EmployeeData[[#This Row],[Attrition]]="Yes",EmployeeData[[#This Row],[LastWorkingDate]]&lt;&gt;""),EmployeeData[[#This Row],[LastWorkingDate]],TODAY()),"Y")</f>
        <v>10</v>
      </c>
      <c r="AA201" t="str">
        <f>IF(EmployeeData[[#This Row],[MonthlyIncome]]&lt;30000,"Low",IF(EmployeeData[[#This Row],[MonthlyIncome]]&lt;=60000,"Medium",IF(EmployeeData[[#This Row],[MonthlyIncome]]&lt;=100000,"High","Very High")))</f>
        <v>High</v>
      </c>
      <c r="AB201">
        <f>IF(EmployeeData[[#This Row],[Attrition]]="Yes",1,0)</f>
        <v>0</v>
      </c>
      <c r="AC201" t="str">
        <f ca="1">IF(EmployeeData[[#This Row],[Tenure Years]]&lt;1,"Less than 1 Year",IF(EmployeeData[[#This Row],[Tenure Years]]&lt;=3,"1-3 Years",IF(EmployeeData[[#This Row],[Tenure Years]]&lt;=5,"4-5 Years",IF(EmployeeData[[#This Row],[Tenure Years]]&lt;=10,"6-10 Years","More than 10 Years"))))</f>
        <v>6-10 Years</v>
      </c>
      <c r="AD201">
        <f>ROUND(AVERAGE(EmployeeData[[#This Row],[JobSatisfaction]],EmployeeData[[#This Row],[EnvironmentSatisfaction]],EmployeeData[[#This Row],[WorkLifeBalance]]),2)</f>
        <v>2.33</v>
      </c>
      <c r="AE201" t="str">
        <f>IF(EmployeeData[[#This Row],[Satisfaction Score]]&lt;2,"Low",IF(EmployeeData[[#This Row],[Satisfaction Score]]&lt;3,"Medium","High"))</f>
        <v>Medium</v>
      </c>
    </row>
    <row r="202" spans="1:31" x14ac:dyDescent="0.25">
      <c r="A202" t="s">
        <v>1048</v>
      </c>
      <c r="B202" t="s">
        <v>1049</v>
      </c>
      <c r="C202" t="s">
        <v>49</v>
      </c>
      <c r="D202">
        <v>31</v>
      </c>
      <c r="E202" t="s">
        <v>27</v>
      </c>
      <c r="F202" t="s">
        <v>188</v>
      </c>
      <c r="G202" s="1">
        <v>44547</v>
      </c>
      <c r="H202">
        <v>62926</v>
      </c>
      <c r="I202" t="s">
        <v>52</v>
      </c>
      <c r="J202" t="s">
        <v>61</v>
      </c>
      <c r="K202" t="s">
        <v>83</v>
      </c>
      <c r="L202" t="s">
        <v>33</v>
      </c>
      <c r="M202">
        <v>14</v>
      </c>
      <c r="N202" t="s">
        <v>34</v>
      </c>
      <c r="O202">
        <v>2</v>
      </c>
      <c r="P202">
        <v>1</v>
      </c>
      <c r="Q202">
        <v>3</v>
      </c>
      <c r="R202">
        <v>3</v>
      </c>
      <c r="S202">
        <v>5</v>
      </c>
      <c r="T202">
        <v>5</v>
      </c>
      <c r="U202">
        <v>25</v>
      </c>
      <c r="V202" t="s">
        <v>1051</v>
      </c>
      <c r="W202" t="s">
        <v>34</v>
      </c>
      <c r="Y202" s="2" t="str">
        <f>IF(EmployeeData[[#This Row],[Age]]&lt;25,"Under 25",IF(EmployeeData[[#This Row],[Age]]&lt;=34,"25-34",IF(EmployeeData[[#This Row],[Age]]&lt;=44,"35-44",IF(EmployeeData[[#This Row],[Age]]&lt;=54,"45-54","55+"))))</f>
        <v>25-34</v>
      </c>
      <c r="Z202">
        <f ca="1">DATEDIF(EmployeeData[[#This Row],[DateOfJoining]],IF(AND(EmployeeData[[#This Row],[Attrition]]="Yes",EmployeeData[[#This Row],[LastWorkingDate]]&lt;&gt;""),EmployeeData[[#This Row],[LastWorkingDate]],TODAY()),"Y")</f>
        <v>4</v>
      </c>
      <c r="AA202" t="str">
        <f>IF(EmployeeData[[#This Row],[MonthlyIncome]]&lt;30000,"Low",IF(EmployeeData[[#This Row],[MonthlyIncome]]&lt;=60000,"Medium",IF(EmployeeData[[#This Row],[MonthlyIncome]]&lt;=100000,"High","Very High")))</f>
        <v>High</v>
      </c>
      <c r="AB202">
        <f>IF(EmployeeData[[#This Row],[Attrition]]="Yes",1,0)</f>
        <v>0</v>
      </c>
      <c r="AC202" t="str">
        <f ca="1">IF(EmployeeData[[#This Row],[Tenure Years]]&lt;1,"Less than 1 Year",IF(EmployeeData[[#This Row],[Tenure Years]]&lt;=3,"1-3 Years",IF(EmployeeData[[#This Row],[Tenure Years]]&lt;=5,"4-5 Years",IF(EmployeeData[[#This Row],[Tenure Years]]&lt;=10,"6-10 Years","More than 10 Years"))))</f>
        <v>4-5 Years</v>
      </c>
      <c r="AD202">
        <f>ROUND(AVERAGE(EmployeeData[[#This Row],[JobSatisfaction]],EmployeeData[[#This Row],[EnvironmentSatisfaction]],EmployeeData[[#This Row],[WorkLifeBalance]]),2)</f>
        <v>2</v>
      </c>
      <c r="AE202" t="str">
        <f>IF(EmployeeData[[#This Row],[Satisfaction Score]]&lt;2,"Low",IF(EmployeeData[[#This Row],[Satisfaction Score]]&lt;3,"Medium","High"))</f>
        <v>Medium</v>
      </c>
    </row>
    <row r="203" spans="1:31" x14ac:dyDescent="0.25">
      <c r="A203" t="s">
        <v>1052</v>
      </c>
      <c r="B203" t="s">
        <v>1053</v>
      </c>
      <c r="C203" t="s">
        <v>49</v>
      </c>
      <c r="D203">
        <v>38</v>
      </c>
      <c r="E203" t="s">
        <v>128</v>
      </c>
      <c r="F203" t="s">
        <v>255</v>
      </c>
      <c r="G203" s="1">
        <v>45729</v>
      </c>
      <c r="H203">
        <v>77948</v>
      </c>
      <c r="I203" t="s">
        <v>52</v>
      </c>
      <c r="J203" t="s">
        <v>61</v>
      </c>
      <c r="K203" t="s">
        <v>5459</v>
      </c>
      <c r="L203" t="s">
        <v>43</v>
      </c>
      <c r="M203">
        <v>35</v>
      </c>
      <c r="N203" t="s">
        <v>34</v>
      </c>
      <c r="O203">
        <v>3</v>
      </c>
      <c r="P203">
        <v>1</v>
      </c>
      <c r="Q203">
        <v>4</v>
      </c>
      <c r="R203">
        <v>3</v>
      </c>
      <c r="S203">
        <v>3</v>
      </c>
      <c r="T203">
        <v>0</v>
      </c>
      <c r="U203">
        <v>24</v>
      </c>
      <c r="V203" t="s">
        <v>1055</v>
      </c>
      <c r="W203" t="s">
        <v>34</v>
      </c>
      <c r="Y203" s="2" t="str">
        <f>IF(EmployeeData[[#This Row],[Age]]&lt;25,"Under 25",IF(EmployeeData[[#This Row],[Age]]&lt;=34,"25-34",IF(EmployeeData[[#This Row],[Age]]&lt;=44,"35-44",IF(EmployeeData[[#This Row],[Age]]&lt;=54,"45-54","55+"))))</f>
        <v>35-44</v>
      </c>
      <c r="Z203">
        <f ca="1">DATEDIF(EmployeeData[[#This Row],[DateOfJoining]],IF(AND(EmployeeData[[#This Row],[Attrition]]="Yes",EmployeeData[[#This Row],[LastWorkingDate]]&lt;&gt;""),EmployeeData[[#This Row],[LastWorkingDate]],TODAY()),"Y")</f>
        <v>1</v>
      </c>
      <c r="AA203" t="str">
        <f>IF(EmployeeData[[#This Row],[MonthlyIncome]]&lt;30000,"Low",IF(EmployeeData[[#This Row],[MonthlyIncome]]&lt;=60000,"Medium",IF(EmployeeData[[#This Row],[MonthlyIncome]]&lt;=100000,"High","Very High")))</f>
        <v>High</v>
      </c>
      <c r="AB203">
        <f>IF(EmployeeData[[#This Row],[Attrition]]="Yes",1,0)</f>
        <v>0</v>
      </c>
      <c r="AC203" t="str">
        <f ca="1">IF(EmployeeData[[#This Row],[Tenure Years]]&lt;1,"Less than 1 Year",IF(EmployeeData[[#This Row],[Tenure Years]]&lt;=3,"1-3 Years",IF(EmployeeData[[#This Row],[Tenure Years]]&lt;=5,"4-5 Years",IF(EmployeeData[[#This Row],[Tenure Years]]&lt;=10,"6-10 Years","More than 10 Years"))))</f>
        <v>1-3 Years</v>
      </c>
      <c r="AD203">
        <f>ROUND(AVERAGE(EmployeeData[[#This Row],[JobSatisfaction]],EmployeeData[[#This Row],[EnvironmentSatisfaction]],EmployeeData[[#This Row],[WorkLifeBalance]]),2)</f>
        <v>2.67</v>
      </c>
      <c r="AE203" t="str">
        <f>IF(EmployeeData[[#This Row],[Satisfaction Score]]&lt;2,"Low",IF(EmployeeData[[#This Row],[Satisfaction Score]]&lt;3,"Medium","High"))</f>
        <v>Medium</v>
      </c>
    </row>
    <row r="204" spans="1:31" x14ac:dyDescent="0.25">
      <c r="A204" t="s">
        <v>1056</v>
      </c>
      <c r="B204" t="s">
        <v>1057</v>
      </c>
      <c r="C204" t="s">
        <v>49</v>
      </c>
      <c r="D204">
        <v>27</v>
      </c>
      <c r="E204" t="s">
        <v>27</v>
      </c>
      <c r="F204" t="s">
        <v>59</v>
      </c>
      <c r="G204" s="1">
        <v>45953</v>
      </c>
      <c r="H204">
        <v>96274</v>
      </c>
      <c r="I204" t="s">
        <v>30</v>
      </c>
      <c r="J204" t="s">
        <v>31</v>
      </c>
      <c r="K204" t="s">
        <v>54</v>
      </c>
      <c r="L204" t="s">
        <v>62</v>
      </c>
      <c r="M204">
        <v>19</v>
      </c>
      <c r="N204" t="s">
        <v>45</v>
      </c>
      <c r="O204">
        <v>3</v>
      </c>
      <c r="P204">
        <v>1</v>
      </c>
      <c r="Q204">
        <v>2</v>
      </c>
      <c r="R204">
        <v>3</v>
      </c>
      <c r="S204">
        <v>6</v>
      </c>
      <c r="T204">
        <v>6</v>
      </c>
      <c r="U204">
        <v>13</v>
      </c>
      <c r="V204" t="s">
        <v>1059</v>
      </c>
      <c r="W204" t="s">
        <v>45</v>
      </c>
      <c r="X204" s="1">
        <v>46066</v>
      </c>
      <c r="Y204" s="2" t="str">
        <f>IF(EmployeeData[[#This Row],[Age]]&lt;25,"Under 25",IF(EmployeeData[[#This Row],[Age]]&lt;=34,"25-34",IF(EmployeeData[[#This Row],[Age]]&lt;=44,"35-44",IF(EmployeeData[[#This Row],[Age]]&lt;=54,"45-54","55+"))))</f>
        <v>25-34</v>
      </c>
      <c r="Z204">
        <f ca="1">DATEDIF(EmployeeData[[#This Row],[DateOfJoining]],IF(AND(EmployeeData[[#This Row],[Attrition]]="Yes",EmployeeData[[#This Row],[LastWorkingDate]]&lt;&gt;""),EmployeeData[[#This Row],[LastWorkingDate]],TODAY()),"Y")</f>
        <v>0</v>
      </c>
      <c r="AA204" t="str">
        <f>IF(EmployeeData[[#This Row],[MonthlyIncome]]&lt;30000,"Low",IF(EmployeeData[[#This Row],[MonthlyIncome]]&lt;=60000,"Medium",IF(EmployeeData[[#This Row],[MonthlyIncome]]&lt;=100000,"High","Very High")))</f>
        <v>High</v>
      </c>
      <c r="AB204">
        <f>IF(EmployeeData[[#This Row],[Attrition]]="Yes",1,0)</f>
        <v>1</v>
      </c>
      <c r="AC204" t="str">
        <f ca="1">IF(EmployeeData[[#This Row],[Tenure Years]]&lt;1,"Less than 1 Year",IF(EmployeeData[[#This Row],[Tenure Years]]&lt;=3,"1-3 Years",IF(EmployeeData[[#This Row],[Tenure Years]]&lt;=5,"4-5 Years",IF(EmployeeData[[#This Row],[Tenure Years]]&lt;=10,"6-10 Years","More than 10 Years"))))</f>
        <v>Less than 1 Year</v>
      </c>
      <c r="AD204">
        <f>ROUND(AVERAGE(EmployeeData[[#This Row],[JobSatisfaction]],EmployeeData[[#This Row],[EnvironmentSatisfaction]],EmployeeData[[#This Row],[WorkLifeBalance]]),2)</f>
        <v>2</v>
      </c>
      <c r="AE204" t="str">
        <f>IF(EmployeeData[[#This Row],[Satisfaction Score]]&lt;2,"Low",IF(EmployeeData[[#This Row],[Satisfaction Score]]&lt;3,"Medium","High"))</f>
        <v>Medium</v>
      </c>
    </row>
    <row r="205" spans="1:31" x14ac:dyDescent="0.25">
      <c r="A205" t="s">
        <v>1061</v>
      </c>
      <c r="B205" t="s">
        <v>1062</v>
      </c>
      <c r="C205" t="s">
        <v>49</v>
      </c>
      <c r="D205">
        <v>38</v>
      </c>
      <c r="E205" t="s">
        <v>27</v>
      </c>
      <c r="F205" t="s">
        <v>75</v>
      </c>
      <c r="G205" s="1">
        <v>43508</v>
      </c>
      <c r="H205">
        <v>46363</v>
      </c>
      <c r="I205" t="s">
        <v>30</v>
      </c>
      <c r="J205" t="s">
        <v>143</v>
      </c>
      <c r="K205" t="s">
        <v>113</v>
      </c>
      <c r="L205" t="s">
        <v>43</v>
      </c>
      <c r="M205">
        <v>4</v>
      </c>
      <c r="N205" t="s">
        <v>34</v>
      </c>
      <c r="O205">
        <v>3</v>
      </c>
      <c r="P205">
        <v>3</v>
      </c>
      <c r="Q205">
        <v>4</v>
      </c>
      <c r="R205">
        <v>5</v>
      </c>
      <c r="S205">
        <v>0</v>
      </c>
      <c r="T205">
        <v>3</v>
      </c>
      <c r="U205">
        <v>21</v>
      </c>
      <c r="V205" t="s">
        <v>1064</v>
      </c>
      <c r="W205" t="s">
        <v>34</v>
      </c>
      <c r="Y205" s="2" t="str">
        <f>IF(EmployeeData[[#This Row],[Age]]&lt;25,"Under 25",IF(EmployeeData[[#This Row],[Age]]&lt;=34,"25-34",IF(EmployeeData[[#This Row],[Age]]&lt;=44,"35-44",IF(EmployeeData[[#This Row],[Age]]&lt;=54,"45-54","55+"))))</f>
        <v>35-44</v>
      </c>
      <c r="Z205">
        <f ca="1">DATEDIF(EmployeeData[[#This Row],[DateOfJoining]],IF(AND(EmployeeData[[#This Row],[Attrition]]="Yes",EmployeeData[[#This Row],[LastWorkingDate]]&lt;&gt;""),EmployeeData[[#This Row],[LastWorkingDate]],TODAY()),"Y")</f>
        <v>7</v>
      </c>
      <c r="AA205" t="str">
        <f>IF(EmployeeData[[#This Row],[MonthlyIncome]]&lt;30000,"Low",IF(EmployeeData[[#This Row],[MonthlyIncome]]&lt;=60000,"Medium",IF(EmployeeData[[#This Row],[MonthlyIncome]]&lt;=100000,"High","Very High")))</f>
        <v>Medium</v>
      </c>
      <c r="AB205">
        <f>IF(EmployeeData[[#This Row],[Attrition]]="Yes",1,0)</f>
        <v>0</v>
      </c>
      <c r="AC205" t="str">
        <f ca="1">IF(EmployeeData[[#This Row],[Tenure Years]]&lt;1,"Less than 1 Year",IF(EmployeeData[[#This Row],[Tenure Years]]&lt;=3,"1-3 Years",IF(EmployeeData[[#This Row],[Tenure Years]]&lt;=5,"4-5 Years",IF(EmployeeData[[#This Row],[Tenure Years]]&lt;=10,"6-10 Years","More than 10 Years"))))</f>
        <v>6-10 Years</v>
      </c>
      <c r="AD205">
        <f>ROUND(AVERAGE(EmployeeData[[#This Row],[JobSatisfaction]],EmployeeData[[#This Row],[EnvironmentSatisfaction]],EmployeeData[[#This Row],[WorkLifeBalance]]),2)</f>
        <v>3.33</v>
      </c>
      <c r="AE205" t="str">
        <f>IF(EmployeeData[[#This Row],[Satisfaction Score]]&lt;2,"Low",IF(EmployeeData[[#This Row],[Satisfaction Score]]&lt;3,"Medium","High"))</f>
        <v>High</v>
      </c>
    </row>
    <row r="206" spans="1:31" x14ac:dyDescent="0.25">
      <c r="A206" t="s">
        <v>1065</v>
      </c>
      <c r="B206" t="s">
        <v>1066</v>
      </c>
      <c r="C206" t="s">
        <v>58</v>
      </c>
      <c r="D206">
        <v>43</v>
      </c>
      <c r="E206" t="s">
        <v>94</v>
      </c>
      <c r="F206" t="s">
        <v>639</v>
      </c>
      <c r="G206" s="1">
        <v>43361</v>
      </c>
      <c r="H206">
        <v>76348</v>
      </c>
      <c r="I206" t="s">
        <v>52</v>
      </c>
      <c r="J206" t="s">
        <v>143</v>
      </c>
      <c r="K206" t="s">
        <v>54</v>
      </c>
      <c r="L206" t="s">
        <v>33</v>
      </c>
      <c r="M206">
        <v>15</v>
      </c>
      <c r="N206" t="s">
        <v>34</v>
      </c>
      <c r="O206">
        <v>1</v>
      </c>
      <c r="P206">
        <v>2</v>
      </c>
      <c r="Q206">
        <v>3</v>
      </c>
      <c r="R206">
        <v>3</v>
      </c>
      <c r="S206">
        <v>5</v>
      </c>
      <c r="T206">
        <v>1</v>
      </c>
      <c r="U206">
        <v>18</v>
      </c>
      <c r="V206" t="s">
        <v>1068</v>
      </c>
      <c r="W206" t="s">
        <v>34</v>
      </c>
      <c r="Y206" s="2" t="str">
        <f>IF(EmployeeData[[#This Row],[Age]]&lt;25,"Under 25",IF(EmployeeData[[#This Row],[Age]]&lt;=34,"25-34",IF(EmployeeData[[#This Row],[Age]]&lt;=44,"35-44",IF(EmployeeData[[#This Row],[Age]]&lt;=54,"45-54","55+"))))</f>
        <v>35-44</v>
      </c>
      <c r="Z206">
        <f ca="1">DATEDIF(EmployeeData[[#This Row],[DateOfJoining]],IF(AND(EmployeeData[[#This Row],[Attrition]]="Yes",EmployeeData[[#This Row],[LastWorkingDate]]&lt;&gt;""),EmployeeData[[#This Row],[LastWorkingDate]],TODAY()),"Y")</f>
        <v>7</v>
      </c>
      <c r="AA206" t="str">
        <f>IF(EmployeeData[[#This Row],[MonthlyIncome]]&lt;30000,"Low",IF(EmployeeData[[#This Row],[MonthlyIncome]]&lt;=60000,"Medium",IF(EmployeeData[[#This Row],[MonthlyIncome]]&lt;=100000,"High","Very High")))</f>
        <v>High</v>
      </c>
      <c r="AB206">
        <f>IF(EmployeeData[[#This Row],[Attrition]]="Yes",1,0)</f>
        <v>0</v>
      </c>
      <c r="AC206" t="str">
        <f ca="1">IF(EmployeeData[[#This Row],[Tenure Years]]&lt;1,"Less than 1 Year",IF(EmployeeData[[#This Row],[Tenure Years]]&lt;=3,"1-3 Years",IF(EmployeeData[[#This Row],[Tenure Years]]&lt;=5,"4-5 Years",IF(EmployeeData[[#This Row],[Tenure Years]]&lt;=10,"6-10 Years","More than 10 Years"))))</f>
        <v>6-10 Years</v>
      </c>
      <c r="AD206">
        <f>ROUND(AVERAGE(EmployeeData[[#This Row],[JobSatisfaction]],EmployeeData[[#This Row],[EnvironmentSatisfaction]],EmployeeData[[#This Row],[WorkLifeBalance]]),2)</f>
        <v>2</v>
      </c>
      <c r="AE206" t="str">
        <f>IF(EmployeeData[[#This Row],[Satisfaction Score]]&lt;2,"Low",IF(EmployeeData[[#This Row],[Satisfaction Score]]&lt;3,"Medium","High"))</f>
        <v>Medium</v>
      </c>
    </row>
    <row r="207" spans="1:31" x14ac:dyDescent="0.25">
      <c r="A207" t="s">
        <v>1069</v>
      </c>
      <c r="B207" t="s">
        <v>1070</v>
      </c>
      <c r="C207" t="s">
        <v>49</v>
      </c>
      <c r="D207">
        <v>39</v>
      </c>
      <c r="E207" t="s">
        <v>128</v>
      </c>
      <c r="F207" t="s">
        <v>5459</v>
      </c>
      <c r="G207" s="1">
        <v>42406</v>
      </c>
      <c r="H207">
        <v>44492</v>
      </c>
      <c r="I207" t="s">
        <v>30</v>
      </c>
      <c r="J207" t="s">
        <v>31</v>
      </c>
      <c r="K207" t="s">
        <v>200</v>
      </c>
      <c r="L207" t="s">
        <v>33</v>
      </c>
      <c r="M207">
        <v>38</v>
      </c>
      <c r="N207" t="s">
        <v>45</v>
      </c>
      <c r="O207">
        <v>1</v>
      </c>
      <c r="P207">
        <v>1</v>
      </c>
      <c r="Q207">
        <v>1</v>
      </c>
      <c r="R207">
        <v>4</v>
      </c>
      <c r="S207">
        <v>1</v>
      </c>
      <c r="T207">
        <v>7</v>
      </c>
      <c r="U207">
        <v>14</v>
      </c>
      <c r="V207" t="s">
        <v>1072</v>
      </c>
      <c r="W207" t="s">
        <v>45</v>
      </c>
      <c r="X207" s="1">
        <v>44771</v>
      </c>
      <c r="Y207" s="2" t="str">
        <f>IF(EmployeeData[[#This Row],[Age]]&lt;25,"Under 25",IF(EmployeeData[[#This Row],[Age]]&lt;=34,"25-34",IF(EmployeeData[[#This Row],[Age]]&lt;=44,"35-44",IF(EmployeeData[[#This Row],[Age]]&lt;=54,"45-54","55+"))))</f>
        <v>35-44</v>
      </c>
      <c r="Z207">
        <f ca="1">DATEDIF(EmployeeData[[#This Row],[DateOfJoining]],IF(AND(EmployeeData[[#This Row],[Attrition]]="Yes",EmployeeData[[#This Row],[LastWorkingDate]]&lt;&gt;""),EmployeeData[[#This Row],[LastWorkingDate]],TODAY()),"Y")</f>
        <v>6</v>
      </c>
      <c r="AA207" t="str">
        <f>IF(EmployeeData[[#This Row],[MonthlyIncome]]&lt;30000,"Low",IF(EmployeeData[[#This Row],[MonthlyIncome]]&lt;=60000,"Medium",IF(EmployeeData[[#This Row],[MonthlyIncome]]&lt;=100000,"High","Very High")))</f>
        <v>Medium</v>
      </c>
      <c r="AB207">
        <f>IF(EmployeeData[[#This Row],[Attrition]]="Yes",1,0)</f>
        <v>1</v>
      </c>
      <c r="AC207" t="str">
        <f ca="1">IF(EmployeeData[[#This Row],[Tenure Years]]&lt;1,"Less than 1 Year",IF(EmployeeData[[#This Row],[Tenure Years]]&lt;=3,"1-3 Years",IF(EmployeeData[[#This Row],[Tenure Years]]&lt;=5,"4-5 Years",IF(EmployeeData[[#This Row],[Tenure Years]]&lt;=10,"6-10 Years","More than 10 Years"))))</f>
        <v>6-10 Years</v>
      </c>
      <c r="AD207">
        <f>ROUND(AVERAGE(EmployeeData[[#This Row],[JobSatisfaction]],EmployeeData[[#This Row],[EnvironmentSatisfaction]],EmployeeData[[#This Row],[WorkLifeBalance]]),2)</f>
        <v>1</v>
      </c>
      <c r="AE207" t="str">
        <f>IF(EmployeeData[[#This Row],[Satisfaction Score]]&lt;2,"Low",IF(EmployeeData[[#This Row],[Satisfaction Score]]&lt;3,"Medium","High"))</f>
        <v>Low</v>
      </c>
    </row>
    <row r="208" spans="1:31" x14ac:dyDescent="0.25">
      <c r="A208" t="s">
        <v>1074</v>
      </c>
      <c r="B208" t="s">
        <v>1075</v>
      </c>
      <c r="C208" t="s">
        <v>49</v>
      </c>
      <c r="D208">
        <v>43</v>
      </c>
      <c r="E208" t="s">
        <v>197</v>
      </c>
      <c r="F208" t="s">
        <v>323</v>
      </c>
      <c r="G208" s="1">
        <v>40804</v>
      </c>
      <c r="H208">
        <v>47512</v>
      </c>
      <c r="I208" t="s">
        <v>30</v>
      </c>
      <c r="J208" t="s">
        <v>61</v>
      </c>
      <c r="K208" t="s">
        <v>77</v>
      </c>
      <c r="L208" t="s">
        <v>33</v>
      </c>
      <c r="M208">
        <v>38</v>
      </c>
      <c r="N208" t="s">
        <v>45</v>
      </c>
      <c r="O208">
        <v>2</v>
      </c>
      <c r="P208">
        <v>3</v>
      </c>
      <c r="Q208">
        <v>2</v>
      </c>
      <c r="R208">
        <v>3</v>
      </c>
      <c r="S208">
        <v>2</v>
      </c>
      <c r="T208">
        <v>0</v>
      </c>
      <c r="U208">
        <v>23</v>
      </c>
      <c r="V208" t="s">
        <v>1078</v>
      </c>
      <c r="W208" t="s">
        <v>45</v>
      </c>
      <c r="X208" s="1">
        <v>40928</v>
      </c>
      <c r="Y208" s="2" t="str">
        <f>IF(EmployeeData[[#This Row],[Age]]&lt;25,"Under 25",IF(EmployeeData[[#This Row],[Age]]&lt;=34,"25-34",IF(EmployeeData[[#This Row],[Age]]&lt;=44,"35-44",IF(EmployeeData[[#This Row],[Age]]&lt;=54,"45-54","55+"))))</f>
        <v>35-44</v>
      </c>
      <c r="Z208">
        <f ca="1">DATEDIF(EmployeeData[[#This Row],[DateOfJoining]],IF(AND(EmployeeData[[#This Row],[Attrition]]="Yes",EmployeeData[[#This Row],[LastWorkingDate]]&lt;&gt;""),EmployeeData[[#This Row],[LastWorkingDate]],TODAY()),"Y")</f>
        <v>0</v>
      </c>
      <c r="AA208" t="str">
        <f>IF(EmployeeData[[#This Row],[MonthlyIncome]]&lt;30000,"Low",IF(EmployeeData[[#This Row],[MonthlyIncome]]&lt;=60000,"Medium",IF(EmployeeData[[#This Row],[MonthlyIncome]]&lt;=100000,"High","Very High")))</f>
        <v>Medium</v>
      </c>
      <c r="AB208">
        <f>IF(EmployeeData[[#This Row],[Attrition]]="Yes",1,0)</f>
        <v>1</v>
      </c>
      <c r="AC208" t="str">
        <f ca="1">IF(EmployeeData[[#This Row],[Tenure Years]]&lt;1,"Less than 1 Year",IF(EmployeeData[[#This Row],[Tenure Years]]&lt;=3,"1-3 Years",IF(EmployeeData[[#This Row],[Tenure Years]]&lt;=5,"4-5 Years",IF(EmployeeData[[#This Row],[Tenure Years]]&lt;=10,"6-10 Years","More than 10 Years"))))</f>
        <v>Less than 1 Year</v>
      </c>
      <c r="AD208">
        <f>ROUND(AVERAGE(EmployeeData[[#This Row],[JobSatisfaction]],EmployeeData[[#This Row],[EnvironmentSatisfaction]],EmployeeData[[#This Row],[WorkLifeBalance]]),2)</f>
        <v>2.33</v>
      </c>
      <c r="AE208" t="str">
        <f>IF(EmployeeData[[#This Row],[Satisfaction Score]]&lt;2,"Low",IF(EmployeeData[[#This Row],[Satisfaction Score]]&lt;3,"Medium","High"))</f>
        <v>Medium</v>
      </c>
    </row>
    <row r="209" spans="1:31" x14ac:dyDescent="0.25">
      <c r="A209" t="s">
        <v>1080</v>
      </c>
      <c r="B209" t="s">
        <v>1081</v>
      </c>
      <c r="C209" t="s">
        <v>49</v>
      </c>
      <c r="D209">
        <v>31</v>
      </c>
      <c r="E209" t="s">
        <v>27</v>
      </c>
      <c r="F209" t="s">
        <v>188</v>
      </c>
      <c r="G209" s="1">
        <v>44950</v>
      </c>
      <c r="H209">
        <v>79550</v>
      </c>
      <c r="I209" t="s">
        <v>30</v>
      </c>
      <c r="J209" t="s">
        <v>31</v>
      </c>
      <c r="K209" t="s">
        <v>77</v>
      </c>
      <c r="L209" t="s">
        <v>33</v>
      </c>
      <c r="M209">
        <v>34</v>
      </c>
      <c r="N209" t="s">
        <v>34</v>
      </c>
      <c r="O209">
        <v>1</v>
      </c>
      <c r="P209">
        <v>2</v>
      </c>
      <c r="Q209">
        <v>2</v>
      </c>
      <c r="R209">
        <v>5</v>
      </c>
      <c r="S209">
        <v>2</v>
      </c>
      <c r="T209">
        <v>2</v>
      </c>
      <c r="U209">
        <v>19</v>
      </c>
      <c r="V209" t="s">
        <v>1083</v>
      </c>
      <c r="W209" t="s">
        <v>45</v>
      </c>
      <c r="X209" s="1">
        <v>45729</v>
      </c>
      <c r="Y209" s="2" t="str">
        <f>IF(EmployeeData[[#This Row],[Age]]&lt;25,"Under 25",IF(EmployeeData[[#This Row],[Age]]&lt;=34,"25-34",IF(EmployeeData[[#This Row],[Age]]&lt;=44,"35-44",IF(EmployeeData[[#This Row],[Age]]&lt;=54,"45-54","55+"))))</f>
        <v>25-34</v>
      </c>
      <c r="Z209">
        <f ca="1">DATEDIF(EmployeeData[[#This Row],[DateOfJoining]],IF(AND(EmployeeData[[#This Row],[Attrition]]="Yes",EmployeeData[[#This Row],[LastWorkingDate]]&lt;&gt;""),EmployeeData[[#This Row],[LastWorkingDate]],TODAY()),"Y")</f>
        <v>2</v>
      </c>
      <c r="AA209" t="str">
        <f>IF(EmployeeData[[#This Row],[MonthlyIncome]]&lt;30000,"Low",IF(EmployeeData[[#This Row],[MonthlyIncome]]&lt;=60000,"Medium",IF(EmployeeData[[#This Row],[MonthlyIncome]]&lt;=100000,"High","Very High")))</f>
        <v>High</v>
      </c>
      <c r="AB209">
        <f>IF(EmployeeData[[#This Row],[Attrition]]="Yes",1,0)</f>
        <v>1</v>
      </c>
      <c r="AC209" t="str">
        <f ca="1">IF(EmployeeData[[#This Row],[Tenure Years]]&lt;1,"Less than 1 Year",IF(EmployeeData[[#This Row],[Tenure Years]]&lt;=3,"1-3 Years",IF(EmployeeData[[#This Row],[Tenure Years]]&lt;=5,"4-5 Years",IF(EmployeeData[[#This Row],[Tenure Years]]&lt;=10,"6-10 Years","More than 10 Years"))))</f>
        <v>1-3 Years</v>
      </c>
      <c r="AD209">
        <f>ROUND(AVERAGE(EmployeeData[[#This Row],[JobSatisfaction]],EmployeeData[[#This Row],[EnvironmentSatisfaction]],EmployeeData[[#This Row],[WorkLifeBalance]]),2)</f>
        <v>1.67</v>
      </c>
      <c r="AE209" t="str">
        <f>IF(EmployeeData[[#This Row],[Satisfaction Score]]&lt;2,"Low",IF(EmployeeData[[#This Row],[Satisfaction Score]]&lt;3,"Medium","High"))</f>
        <v>Low</v>
      </c>
    </row>
    <row r="210" spans="1:31" x14ac:dyDescent="0.25">
      <c r="A210" t="s">
        <v>1084</v>
      </c>
      <c r="B210" t="s">
        <v>1085</v>
      </c>
      <c r="C210" t="s">
        <v>49</v>
      </c>
      <c r="D210">
        <v>20</v>
      </c>
      <c r="E210" t="s">
        <v>5461</v>
      </c>
      <c r="F210" t="s">
        <v>483</v>
      </c>
      <c r="G210" s="1">
        <v>43373</v>
      </c>
      <c r="H210">
        <v>83329</v>
      </c>
      <c r="I210" t="s">
        <v>42</v>
      </c>
      <c r="J210" t="s">
        <v>31</v>
      </c>
      <c r="K210" t="s">
        <v>131</v>
      </c>
      <c r="L210" t="s">
        <v>33</v>
      </c>
      <c r="M210">
        <v>15</v>
      </c>
      <c r="N210" t="s">
        <v>45</v>
      </c>
      <c r="O210">
        <v>2</v>
      </c>
      <c r="P210">
        <v>2</v>
      </c>
      <c r="Q210">
        <v>2</v>
      </c>
      <c r="R210">
        <v>4</v>
      </c>
      <c r="S210">
        <v>6</v>
      </c>
      <c r="T210">
        <v>5</v>
      </c>
      <c r="U210">
        <v>25</v>
      </c>
      <c r="V210" t="s">
        <v>1088</v>
      </c>
      <c r="W210" t="s">
        <v>45</v>
      </c>
      <c r="X210" s="1">
        <v>45118</v>
      </c>
      <c r="Y210" s="2" t="str">
        <f>IF(EmployeeData[[#This Row],[Age]]&lt;25,"Under 25",IF(EmployeeData[[#This Row],[Age]]&lt;=34,"25-34",IF(EmployeeData[[#This Row],[Age]]&lt;=44,"35-44",IF(EmployeeData[[#This Row],[Age]]&lt;=54,"45-54","55+"))))</f>
        <v>Under 25</v>
      </c>
      <c r="Z210">
        <f ca="1">DATEDIF(EmployeeData[[#This Row],[DateOfJoining]],IF(AND(EmployeeData[[#This Row],[Attrition]]="Yes",EmployeeData[[#This Row],[LastWorkingDate]]&lt;&gt;""),EmployeeData[[#This Row],[LastWorkingDate]],TODAY()),"Y")</f>
        <v>4</v>
      </c>
      <c r="AA210" t="str">
        <f>IF(EmployeeData[[#This Row],[MonthlyIncome]]&lt;30000,"Low",IF(EmployeeData[[#This Row],[MonthlyIncome]]&lt;=60000,"Medium",IF(EmployeeData[[#This Row],[MonthlyIncome]]&lt;=100000,"High","Very High")))</f>
        <v>High</v>
      </c>
      <c r="AB210">
        <f>IF(EmployeeData[[#This Row],[Attrition]]="Yes",1,0)</f>
        <v>1</v>
      </c>
      <c r="AC210" t="str">
        <f ca="1">IF(EmployeeData[[#This Row],[Tenure Years]]&lt;1,"Less than 1 Year",IF(EmployeeData[[#This Row],[Tenure Years]]&lt;=3,"1-3 Years",IF(EmployeeData[[#This Row],[Tenure Years]]&lt;=5,"4-5 Years",IF(EmployeeData[[#This Row],[Tenure Years]]&lt;=10,"6-10 Years","More than 10 Years"))))</f>
        <v>4-5 Years</v>
      </c>
      <c r="AD210">
        <f>ROUND(AVERAGE(EmployeeData[[#This Row],[JobSatisfaction]],EmployeeData[[#This Row],[EnvironmentSatisfaction]],EmployeeData[[#This Row],[WorkLifeBalance]]),2)</f>
        <v>2</v>
      </c>
      <c r="AE210" t="str">
        <f>IF(EmployeeData[[#This Row],[Satisfaction Score]]&lt;2,"Low",IF(EmployeeData[[#This Row],[Satisfaction Score]]&lt;3,"Medium","High"))</f>
        <v>Medium</v>
      </c>
    </row>
    <row r="211" spans="1:31" x14ac:dyDescent="0.25">
      <c r="A211" t="s">
        <v>1090</v>
      </c>
      <c r="B211" t="s">
        <v>1091</v>
      </c>
      <c r="C211" t="s">
        <v>58</v>
      </c>
      <c r="D211">
        <v>21</v>
      </c>
      <c r="E211" t="s">
        <v>412</v>
      </c>
      <c r="F211" t="s">
        <v>1093</v>
      </c>
      <c r="G211" s="1">
        <v>45358</v>
      </c>
      <c r="H211">
        <v>60526</v>
      </c>
      <c r="I211" t="s">
        <v>52</v>
      </c>
      <c r="J211" t="s">
        <v>61</v>
      </c>
      <c r="K211" t="s">
        <v>5459</v>
      </c>
      <c r="L211" t="s">
        <v>43</v>
      </c>
      <c r="M211">
        <v>11</v>
      </c>
      <c r="N211" t="s">
        <v>34</v>
      </c>
      <c r="O211">
        <v>1</v>
      </c>
      <c r="P211">
        <v>1</v>
      </c>
      <c r="Q211">
        <v>1</v>
      </c>
      <c r="R211">
        <v>4</v>
      </c>
      <c r="S211">
        <v>1</v>
      </c>
      <c r="T211">
        <v>4</v>
      </c>
      <c r="U211">
        <v>22</v>
      </c>
      <c r="V211" t="s">
        <v>1095</v>
      </c>
      <c r="W211" t="s">
        <v>34</v>
      </c>
      <c r="Y211" s="2" t="str">
        <f>IF(EmployeeData[[#This Row],[Age]]&lt;25,"Under 25",IF(EmployeeData[[#This Row],[Age]]&lt;=34,"25-34",IF(EmployeeData[[#This Row],[Age]]&lt;=44,"35-44",IF(EmployeeData[[#This Row],[Age]]&lt;=54,"45-54","55+"))))</f>
        <v>Under 25</v>
      </c>
      <c r="Z211">
        <f ca="1">DATEDIF(EmployeeData[[#This Row],[DateOfJoining]],IF(AND(EmployeeData[[#This Row],[Attrition]]="Yes",EmployeeData[[#This Row],[LastWorkingDate]]&lt;&gt;""),EmployeeData[[#This Row],[LastWorkingDate]],TODAY()),"Y")</f>
        <v>2</v>
      </c>
      <c r="AA211" t="str">
        <f>IF(EmployeeData[[#This Row],[MonthlyIncome]]&lt;30000,"Low",IF(EmployeeData[[#This Row],[MonthlyIncome]]&lt;=60000,"Medium",IF(EmployeeData[[#This Row],[MonthlyIncome]]&lt;=100000,"High","Very High")))</f>
        <v>High</v>
      </c>
      <c r="AB211">
        <f>IF(EmployeeData[[#This Row],[Attrition]]="Yes",1,0)</f>
        <v>0</v>
      </c>
      <c r="AC211" t="str">
        <f ca="1">IF(EmployeeData[[#This Row],[Tenure Years]]&lt;1,"Less than 1 Year",IF(EmployeeData[[#This Row],[Tenure Years]]&lt;=3,"1-3 Years",IF(EmployeeData[[#This Row],[Tenure Years]]&lt;=5,"4-5 Years",IF(EmployeeData[[#This Row],[Tenure Years]]&lt;=10,"6-10 Years","More than 10 Years"))))</f>
        <v>1-3 Years</v>
      </c>
      <c r="AD211">
        <f>ROUND(AVERAGE(EmployeeData[[#This Row],[JobSatisfaction]],EmployeeData[[#This Row],[EnvironmentSatisfaction]],EmployeeData[[#This Row],[WorkLifeBalance]]),2)</f>
        <v>1</v>
      </c>
      <c r="AE211" t="str">
        <f>IF(EmployeeData[[#This Row],[Satisfaction Score]]&lt;2,"Low",IF(EmployeeData[[#This Row],[Satisfaction Score]]&lt;3,"Medium","High"))</f>
        <v>Low</v>
      </c>
    </row>
    <row r="212" spans="1:31" x14ac:dyDescent="0.25">
      <c r="A212" t="s">
        <v>1096</v>
      </c>
      <c r="B212" t="s">
        <v>1097</v>
      </c>
      <c r="C212" t="s">
        <v>58</v>
      </c>
      <c r="D212">
        <v>40</v>
      </c>
      <c r="E212" t="s">
        <v>5461</v>
      </c>
      <c r="F212" t="s">
        <v>5464</v>
      </c>
      <c r="G212" s="1">
        <v>41890</v>
      </c>
      <c r="H212">
        <v>72381</v>
      </c>
      <c r="I212" t="s">
        <v>52</v>
      </c>
      <c r="J212" t="s">
        <v>61</v>
      </c>
      <c r="K212" t="s">
        <v>77</v>
      </c>
      <c r="L212" t="s">
        <v>43</v>
      </c>
      <c r="M212">
        <v>5</v>
      </c>
      <c r="N212" t="s">
        <v>34</v>
      </c>
      <c r="O212">
        <v>4</v>
      </c>
      <c r="P212">
        <v>4</v>
      </c>
      <c r="Q212">
        <v>2</v>
      </c>
      <c r="R212">
        <v>1</v>
      </c>
      <c r="S212">
        <v>1</v>
      </c>
      <c r="T212">
        <v>0</v>
      </c>
      <c r="U212">
        <v>16</v>
      </c>
      <c r="V212" t="s">
        <v>1099</v>
      </c>
      <c r="W212" t="s">
        <v>34</v>
      </c>
      <c r="Y212" s="2" t="str">
        <f>IF(EmployeeData[[#This Row],[Age]]&lt;25,"Under 25",IF(EmployeeData[[#This Row],[Age]]&lt;=34,"25-34",IF(EmployeeData[[#This Row],[Age]]&lt;=44,"35-44",IF(EmployeeData[[#This Row],[Age]]&lt;=54,"45-54","55+"))))</f>
        <v>35-44</v>
      </c>
      <c r="Z212">
        <f ca="1">DATEDIF(EmployeeData[[#This Row],[DateOfJoining]],IF(AND(EmployeeData[[#This Row],[Attrition]]="Yes",EmployeeData[[#This Row],[LastWorkingDate]]&lt;&gt;""),EmployeeData[[#This Row],[LastWorkingDate]],TODAY()),"Y")</f>
        <v>11</v>
      </c>
      <c r="AA212" t="str">
        <f>IF(EmployeeData[[#This Row],[MonthlyIncome]]&lt;30000,"Low",IF(EmployeeData[[#This Row],[MonthlyIncome]]&lt;=60000,"Medium",IF(EmployeeData[[#This Row],[MonthlyIncome]]&lt;=100000,"High","Very High")))</f>
        <v>High</v>
      </c>
      <c r="AB212">
        <f>IF(EmployeeData[[#This Row],[Attrition]]="Yes",1,0)</f>
        <v>0</v>
      </c>
      <c r="AC212" t="str">
        <f ca="1">IF(EmployeeData[[#This Row],[Tenure Years]]&lt;1,"Less than 1 Year",IF(EmployeeData[[#This Row],[Tenure Years]]&lt;=3,"1-3 Years",IF(EmployeeData[[#This Row],[Tenure Years]]&lt;=5,"4-5 Years",IF(EmployeeData[[#This Row],[Tenure Years]]&lt;=10,"6-10 Years","More than 10 Years"))))</f>
        <v>More than 10 Years</v>
      </c>
      <c r="AD212">
        <f>ROUND(AVERAGE(EmployeeData[[#This Row],[JobSatisfaction]],EmployeeData[[#This Row],[EnvironmentSatisfaction]],EmployeeData[[#This Row],[WorkLifeBalance]]),2)</f>
        <v>3.33</v>
      </c>
      <c r="AE212" t="str">
        <f>IF(EmployeeData[[#This Row],[Satisfaction Score]]&lt;2,"Low",IF(EmployeeData[[#This Row],[Satisfaction Score]]&lt;3,"Medium","High"))</f>
        <v>High</v>
      </c>
    </row>
    <row r="213" spans="1:31" x14ac:dyDescent="0.25">
      <c r="A213" t="s">
        <v>1100</v>
      </c>
      <c r="B213" t="s">
        <v>1101</v>
      </c>
      <c r="C213" t="s">
        <v>49</v>
      </c>
      <c r="D213">
        <v>41</v>
      </c>
      <c r="E213" t="s">
        <v>38</v>
      </c>
      <c r="F213" t="s">
        <v>5462</v>
      </c>
      <c r="G213" s="1">
        <v>45303</v>
      </c>
      <c r="H213">
        <v>89702</v>
      </c>
      <c r="I213" t="s">
        <v>52</v>
      </c>
      <c r="J213" t="s">
        <v>61</v>
      </c>
      <c r="K213" t="s">
        <v>131</v>
      </c>
      <c r="L213" t="s">
        <v>33</v>
      </c>
      <c r="M213">
        <v>12</v>
      </c>
      <c r="N213" t="s">
        <v>34</v>
      </c>
      <c r="O213">
        <v>3</v>
      </c>
      <c r="P213">
        <v>3</v>
      </c>
      <c r="Q213">
        <v>4</v>
      </c>
      <c r="R213">
        <v>3</v>
      </c>
      <c r="S213">
        <v>0</v>
      </c>
      <c r="T213">
        <v>6</v>
      </c>
      <c r="U213">
        <v>19</v>
      </c>
      <c r="V213" t="s">
        <v>1104</v>
      </c>
      <c r="W213" t="s">
        <v>34</v>
      </c>
      <c r="Y213" s="2" t="str">
        <f>IF(EmployeeData[[#This Row],[Age]]&lt;25,"Under 25",IF(EmployeeData[[#This Row],[Age]]&lt;=34,"25-34",IF(EmployeeData[[#This Row],[Age]]&lt;=44,"35-44",IF(EmployeeData[[#This Row],[Age]]&lt;=54,"45-54","55+"))))</f>
        <v>35-44</v>
      </c>
      <c r="Z213">
        <f ca="1">DATEDIF(EmployeeData[[#This Row],[DateOfJoining]],IF(AND(EmployeeData[[#This Row],[Attrition]]="Yes",EmployeeData[[#This Row],[LastWorkingDate]]&lt;&gt;""),EmployeeData[[#This Row],[LastWorkingDate]],TODAY()),"Y")</f>
        <v>2</v>
      </c>
      <c r="AA213" t="str">
        <f>IF(EmployeeData[[#This Row],[MonthlyIncome]]&lt;30000,"Low",IF(EmployeeData[[#This Row],[MonthlyIncome]]&lt;=60000,"Medium",IF(EmployeeData[[#This Row],[MonthlyIncome]]&lt;=100000,"High","Very High")))</f>
        <v>High</v>
      </c>
      <c r="AB213">
        <f>IF(EmployeeData[[#This Row],[Attrition]]="Yes",1,0)</f>
        <v>0</v>
      </c>
      <c r="AC213" t="str">
        <f ca="1">IF(EmployeeData[[#This Row],[Tenure Years]]&lt;1,"Less than 1 Year",IF(EmployeeData[[#This Row],[Tenure Years]]&lt;=3,"1-3 Years",IF(EmployeeData[[#This Row],[Tenure Years]]&lt;=5,"4-5 Years",IF(EmployeeData[[#This Row],[Tenure Years]]&lt;=10,"6-10 Years","More than 10 Years"))))</f>
        <v>1-3 Years</v>
      </c>
      <c r="AD213">
        <f>ROUND(AVERAGE(EmployeeData[[#This Row],[JobSatisfaction]],EmployeeData[[#This Row],[EnvironmentSatisfaction]],EmployeeData[[#This Row],[WorkLifeBalance]]),2)</f>
        <v>3.33</v>
      </c>
      <c r="AE213" t="str">
        <f>IF(EmployeeData[[#This Row],[Satisfaction Score]]&lt;2,"Low",IF(EmployeeData[[#This Row],[Satisfaction Score]]&lt;3,"Medium","High"))</f>
        <v>High</v>
      </c>
    </row>
    <row r="214" spans="1:31" x14ac:dyDescent="0.25">
      <c r="A214" t="s">
        <v>1105</v>
      </c>
      <c r="B214" t="s">
        <v>1106</v>
      </c>
      <c r="C214" t="s">
        <v>58</v>
      </c>
      <c r="D214">
        <v>20</v>
      </c>
      <c r="E214" t="s">
        <v>128</v>
      </c>
      <c r="F214" t="s">
        <v>226</v>
      </c>
      <c r="G214" s="1">
        <v>43617</v>
      </c>
      <c r="H214">
        <v>77088</v>
      </c>
      <c r="I214" t="s">
        <v>30</v>
      </c>
      <c r="J214" t="s">
        <v>61</v>
      </c>
      <c r="K214" t="s">
        <v>98</v>
      </c>
      <c r="L214" t="s">
        <v>33</v>
      </c>
      <c r="M214">
        <v>33</v>
      </c>
      <c r="N214" t="s">
        <v>34</v>
      </c>
      <c r="O214">
        <v>3</v>
      </c>
      <c r="P214">
        <v>3</v>
      </c>
      <c r="Q214">
        <v>1</v>
      </c>
      <c r="R214">
        <v>4</v>
      </c>
      <c r="S214">
        <v>1</v>
      </c>
      <c r="T214">
        <v>8</v>
      </c>
      <c r="U214">
        <v>19</v>
      </c>
      <c r="V214" t="s">
        <v>1109</v>
      </c>
      <c r="W214" t="s">
        <v>34</v>
      </c>
      <c r="Y214" s="2" t="str">
        <f>IF(EmployeeData[[#This Row],[Age]]&lt;25,"Under 25",IF(EmployeeData[[#This Row],[Age]]&lt;=34,"25-34",IF(EmployeeData[[#This Row],[Age]]&lt;=44,"35-44",IF(EmployeeData[[#This Row],[Age]]&lt;=54,"45-54","55+"))))</f>
        <v>Under 25</v>
      </c>
      <c r="Z214">
        <f ca="1">DATEDIF(EmployeeData[[#This Row],[DateOfJoining]],IF(AND(EmployeeData[[#This Row],[Attrition]]="Yes",EmployeeData[[#This Row],[LastWorkingDate]]&lt;&gt;""),EmployeeData[[#This Row],[LastWorkingDate]],TODAY()),"Y")</f>
        <v>7</v>
      </c>
      <c r="AA214" t="str">
        <f>IF(EmployeeData[[#This Row],[MonthlyIncome]]&lt;30000,"Low",IF(EmployeeData[[#This Row],[MonthlyIncome]]&lt;=60000,"Medium",IF(EmployeeData[[#This Row],[MonthlyIncome]]&lt;=100000,"High","Very High")))</f>
        <v>High</v>
      </c>
      <c r="AB214">
        <f>IF(EmployeeData[[#This Row],[Attrition]]="Yes",1,0)</f>
        <v>0</v>
      </c>
      <c r="AC214" t="str">
        <f ca="1">IF(EmployeeData[[#This Row],[Tenure Years]]&lt;1,"Less than 1 Year",IF(EmployeeData[[#This Row],[Tenure Years]]&lt;=3,"1-3 Years",IF(EmployeeData[[#This Row],[Tenure Years]]&lt;=5,"4-5 Years",IF(EmployeeData[[#This Row],[Tenure Years]]&lt;=10,"6-10 Years","More than 10 Years"))))</f>
        <v>6-10 Years</v>
      </c>
      <c r="AD214">
        <f>ROUND(AVERAGE(EmployeeData[[#This Row],[JobSatisfaction]],EmployeeData[[#This Row],[EnvironmentSatisfaction]],EmployeeData[[#This Row],[WorkLifeBalance]]),2)</f>
        <v>2.33</v>
      </c>
      <c r="AE214" t="str">
        <f>IF(EmployeeData[[#This Row],[Satisfaction Score]]&lt;2,"Low",IF(EmployeeData[[#This Row],[Satisfaction Score]]&lt;3,"Medium","High"))</f>
        <v>Medium</v>
      </c>
    </row>
    <row r="215" spans="1:31" x14ac:dyDescent="0.25">
      <c r="A215" t="s">
        <v>1110</v>
      </c>
      <c r="B215" t="s">
        <v>1111</v>
      </c>
      <c r="C215" t="s">
        <v>58</v>
      </c>
      <c r="D215">
        <v>33</v>
      </c>
      <c r="E215" t="s">
        <v>94</v>
      </c>
      <c r="F215" t="s">
        <v>356</v>
      </c>
      <c r="G215" s="1">
        <v>42705</v>
      </c>
      <c r="H215">
        <v>106662</v>
      </c>
      <c r="I215" t="s">
        <v>52</v>
      </c>
      <c r="J215" t="s">
        <v>61</v>
      </c>
      <c r="K215" t="s">
        <v>200</v>
      </c>
      <c r="L215" t="s">
        <v>33</v>
      </c>
      <c r="M215">
        <v>4</v>
      </c>
      <c r="N215" t="s">
        <v>34</v>
      </c>
      <c r="O215">
        <v>1</v>
      </c>
      <c r="P215">
        <v>4</v>
      </c>
      <c r="Q215">
        <v>3</v>
      </c>
      <c r="R215">
        <v>3</v>
      </c>
      <c r="S215">
        <v>0</v>
      </c>
      <c r="T215">
        <v>4</v>
      </c>
      <c r="U215">
        <v>12</v>
      </c>
      <c r="V215" t="s">
        <v>1115</v>
      </c>
      <c r="W215" t="s">
        <v>34</v>
      </c>
      <c r="Y215" s="2" t="str">
        <f>IF(EmployeeData[[#This Row],[Age]]&lt;25,"Under 25",IF(EmployeeData[[#This Row],[Age]]&lt;=34,"25-34",IF(EmployeeData[[#This Row],[Age]]&lt;=44,"35-44",IF(EmployeeData[[#This Row],[Age]]&lt;=54,"45-54","55+"))))</f>
        <v>25-34</v>
      </c>
      <c r="Z215">
        <f ca="1">DATEDIF(EmployeeData[[#This Row],[DateOfJoining]],IF(AND(EmployeeData[[#This Row],[Attrition]]="Yes",EmployeeData[[#This Row],[LastWorkingDate]]&lt;&gt;""),EmployeeData[[#This Row],[LastWorkingDate]],TODAY()),"Y")</f>
        <v>9</v>
      </c>
      <c r="AA215" t="str">
        <f>IF(EmployeeData[[#This Row],[MonthlyIncome]]&lt;30000,"Low",IF(EmployeeData[[#This Row],[MonthlyIncome]]&lt;=60000,"Medium",IF(EmployeeData[[#This Row],[MonthlyIncome]]&lt;=100000,"High","Very High")))</f>
        <v>Very High</v>
      </c>
      <c r="AB215">
        <f>IF(EmployeeData[[#This Row],[Attrition]]="Yes",1,0)</f>
        <v>0</v>
      </c>
      <c r="AC215" t="str">
        <f ca="1">IF(EmployeeData[[#This Row],[Tenure Years]]&lt;1,"Less than 1 Year",IF(EmployeeData[[#This Row],[Tenure Years]]&lt;=3,"1-3 Years",IF(EmployeeData[[#This Row],[Tenure Years]]&lt;=5,"4-5 Years",IF(EmployeeData[[#This Row],[Tenure Years]]&lt;=10,"6-10 Years","More than 10 Years"))))</f>
        <v>6-10 Years</v>
      </c>
      <c r="AD215">
        <f>ROUND(AVERAGE(EmployeeData[[#This Row],[JobSatisfaction]],EmployeeData[[#This Row],[EnvironmentSatisfaction]],EmployeeData[[#This Row],[WorkLifeBalance]]),2)</f>
        <v>2.67</v>
      </c>
      <c r="AE215" t="str">
        <f>IF(EmployeeData[[#This Row],[Satisfaction Score]]&lt;2,"Low",IF(EmployeeData[[#This Row],[Satisfaction Score]]&lt;3,"Medium","High"))</f>
        <v>Medium</v>
      </c>
    </row>
    <row r="216" spans="1:31" x14ac:dyDescent="0.25">
      <c r="A216" t="s">
        <v>1116</v>
      </c>
      <c r="B216" t="s">
        <v>1117</v>
      </c>
      <c r="C216" t="s">
        <v>58</v>
      </c>
      <c r="D216">
        <v>53</v>
      </c>
      <c r="E216" t="s">
        <v>197</v>
      </c>
      <c r="F216" t="s">
        <v>323</v>
      </c>
      <c r="G216" s="1">
        <v>44153</v>
      </c>
      <c r="H216">
        <v>44235</v>
      </c>
      <c r="I216" t="s">
        <v>52</v>
      </c>
      <c r="J216" t="s">
        <v>97</v>
      </c>
      <c r="K216" t="s">
        <v>83</v>
      </c>
      <c r="L216" t="s">
        <v>33</v>
      </c>
      <c r="M216">
        <v>1</v>
      </c>
      <c r="N216" t="s">
        <v>45</v>
      </c>
      <c r="O216">
        <v>2</v>
      </c>
      <c r="P216">
        <v>4</v>
      </c>
      <c r="Q216">
        <v>2</v>
      </c>
      <c r="R216">
        <v>1</v>
      </c>
      <c r="S216">
        <v>6</v>
      </c>
      <c r="T216">
        <v>0</v>
      </c>
      <c r="U216">
        <v>21</v>
      </c>
      <c r="V216" t="s">
        <v>1119</v>
      </c>
      <c r="W216" t="s">
        <v>45</v>
      </c>
      <c r="X216" s="1">
        <v>44265</v>
      </c>
      <c r="Y216" s="2" t="str">
        <f>IF(EmployeeData[[#This Row],[Age]]&lt;25,"Under 25",IF(EmployeeData[[#This Row],[Age]]&lt;=34,"25-34",IF(EmployeeData[[#This Row],[Age]]&lt;=44,"35-44",IF(EmployeeData[[#This Row],[Age]]&lt;=54,"45-54","55+"))))</f>
        <v>45-54</v>
      </c>
      <c r="Z216">
        <f ca="1">DATEDIF(EmployeeData[[#This Row],[DateOfJoining]],IF(AND(EmployeeData[[#This Row],[Attrition]]="Yes",EmployeeData[[#This Row],[LastWorkingDate]]&lt;&gt;""),EmployeeData[[#This Row],[LastWorkingDate]],TODAY()),"Y")</f>
        <v>0</v>
      </c>
      <c r="AA216" t="str">
        <f>IF(EmployeeData[[#This Row],[MonthlyIncome]]&lt;30000,"Low",IF(EmployeeData[[#This Row],[MonthlyIncome]]&lt;=60000,"Medium",IF(EmployeeData[[#This Row],[MonthlyIncome]]&lt;=100000,"High","Very High")))</f>
        <v>Medium</v>
      </c>
      <c r="AB216">
        <f>IF(EmployeeData[[#This Row],[Attrition]]="Yes",1,0)</f>
        <v>1</v>
      </c>
      <c r="AC216" t="str">
        <f ca="1">IF(EmployeeData[[#This Row],[Tenure Years]]&lt;1,"Less than 1 Year",IF(EmployeeData[[#This Row],[Tenure Years]]&lt;=3,"1-3 Years",IF(EmployeeData[[#This Row],[Tenure Years]]&lt;=5,"4-5 Years",IF(EmployeeData[[#This Row],[Tenure Years]]&lt;=10,"6-10 Years","More than 10 Years"))))</f>
        <v>Less than 1 Year</v>
      </c>
      <c r="AD216">
        <f>ROUND(AVERAGE(EmployeeData[[#This Row],[JobSatisfaction]],EmployeeData[[#This Row],[EnvironmentSatisfaction]],EmployeeData[[#This Row],[WorkLifeBalance]]),2)</f>
        <v>2.67</v>
      </c>
      <c r="AE216" t="str">
        <f>IF(EmployeeData[[#This Row],[Satisfaction Score]]&lt;2,"Low",IF(EmployeeData[[#This Row],[Satisfaction Score]]&lt;3,"Medium","High"))</f>
        <v>Medium</v>
      </c>
    </row>
    <row r="217" spans="1:31" x14ac:dyDescent="0.25">
      <c r="A217" t="s">
        <v>1121</v>
      </c>
      <c r="B217" t="s">
        <v>1122</v>
      </c>
      <c r="C217" t="s">
        <v>58</v>
      </c>
      <c r="D217">
        <v>38</v>
      </c>
      <c r="E217" t="s">
        <v>27</v>
      </c>
      <c r="F217" t="s">
        <v>75</v>
      </c>
      <c r="G217" s="1">
        <v>44518</v>
      </c>
      <c r="H217">
        <v>102308</v>
      </c>
      <c r="I217" t="s">
        <v>30</v>
      </c>
      <c r="J217" t="s">
        <v>53</v>
      </c>
      <c r="K217" t="s">
        <v>77</v>
      </c>
      <c r="L217" t="s">
        <v>62</v>
      </c>
      <c r="M217">
        <v>5</v>
      </c>
      <c r="N217" t="s">
        <v>34</v>
      </c>
      <c r="O217">
        <v>3</v>
      </c>
      <c r="P217">
        <v>2</v>
      </c>
      <c r="Q217">
        <v>3</v>
      </c>
      <c r="R217">
        <v>3</v>
      </c>
      <c r="S217">
        <v>5</v>
      </c>
      <c r="T217">
        <v>8</v>
      </c>
      <c r="U217">
        <v>18</v>
      </c>
      <c r="V217" t="s">
        <v>5459</v>
      </c>
      <c r="W217" t="s">
        <v>34</v>
      </c>
      <c r="Y217" s="2" t="str">
        <f>IF(EmployeeData[[#This Row],[Age]]&lt;25,"Under 25",IF(EmployeeData[[#This Row],[Age]]&lt;=34,"25-34",IF(EmployeeData[[#This Row],[Age]]&lt;=44,"35-44",IF(EmployeeData[[#This Row],[Age]]&lt;=54,"45-54","55+"))))</f>
        <v>35-44</v>
      </c>
      <c r="Z217">
        <f ca="1">DATEDIF(EmployeeData[[#This Row],[DateOfJoining]],IF(AND(EmployeeData[[#This Row],[Attrition]]="Yes",EmployeeData[[#This Row],[LastWorkingDate]]&lt;&gt;""),EmployeeData[[#This Row],[LastWorkingDate]],TODAY()),"Y")</f>
        <v>4</v>
      </c>
      <c r="AA217" t="str">
        <f>IF(EmployeeData[[#This Row],[MonthlyIncome]]&lt;30000,"Low",IF(EmployeeData[[#This Row],[MonthlyIncome]]&lt;=60000,"Medium",IF(EmployeeData[[#This Row],[MonthlyIncome]]&lt;=100000,"High","Very High")))</f>
        <v>Very High</v>
      </c>
      <c r="AB217">
        <f>IF(EmployeeData[[#This Row],[Attrition]]="Yes",1,0)</f>
        <v>0</v>
      </c>
      <c r="AC217" t="str">
        <f ca="1">IF(EmployeeData[[#This Row],[Tenure Years]]&lt;1,"Less than 1 Year",IF(EmployeeData[[#This Row],[Tenure Years]]&lt;=3,"1-3 Years",IF(EmployeeData[[#This Row],[Tenure Years]]&lt;=5,"4-5 Years",IF(EmployeeData[[#This Row],[Tenure Years]]&lt;=10,"6-10 Years","More than 10 Years"))))</f>
        <v>4-5 Years</v>
      </c>
      <c r="AD217">
        <f>ROUND(AVERAGE(EmployeeData[[#This Row],[JobSatisfaction]],EmployeeData[[#This Row],[EnvironmentSatisfaction]],EmployeeData[[#This Row],[WorkLifeBalance]]),2)</f>
        <v>2.67</v>
      </c>
      <c r="AE217" t="str">
        <f>IF(EmployeeData[[#This Row],[Satisfaction Score]]&lt;2,"Low",IF(EmployeeData[[#This Row],[Satisfaction Score]]&lt;3,"Medium","High"))</f>
        <v>Medium</v>
      </c>
    </row>
    <row r="218" spans="1:31" x14ac:dyDescent="0.25">
      <c r="A218" t="s">
        <v>1124</v>
      </c>
      <c r="B218" t="s">
        <v>1125</v>
      </c>
      <c r="C218" t="s">
        <v>49</v>
      </c>
      <c r="D218">
        <v>35</v>
      </c>
      <c r="E218" t="s">
        <v>27</v>
      </c>
      <c r="F218" t="s">
        <v>50</v>
      </c>
      <c r="G218" s="1">
        <v>45847</v>
      </c>
      <c r="H218">
        <v>97775</v>
      </c>
      <c r="I218" t="s">
        <v>42</v>
      </c>
      <c r="J218" t="s">
        <v>53</v>
      </c>
      <c r="K218" t="s">
        <v>167</v>
      </c>
      <c r="L218" t="s">
        <v>33</v>
      </c>
      <c r="M218">
        <v>25</v>
      </c>
      <c r="N218" t="s">
        <v>34</v>
      </c>
      <c r="O218">
        <v>3</v>
      </c>
      <c r="P218">
        <v>1</v>
      </c>
      <c r="Q218">
        <v>1</v>
      </c>
      <c r="R218">
        <v>3</v>
      </c>
      <c r="S218">
        <v>2</v>
      </c>
      <c r="T218">
        <v>4</v>
      </c>
      <c r="U218">
        <v>24</v>
      </c>
      <c r="V218" t="s">
        <v>741</v>
      </c>
      <c r="W218" t="s">
        <v>34</v>
      </c>
      <c r="Y218" s="2" t="str">
        <f>IF(EmployeeData[[#This Row],[Age]]&lt;25,"Under 25",IF(EmployeeData[[#This Row],[Age]]&lt;=34,"25-34",IF(EmployeeData[[#This Row],[Age]]&lt;=44,"35-44",IF(EmployeeData[[#This Row],[Age]]&lt;=54,"45-54","55+"))))</f>
        <v>35-44</v>
      </c>
      <c r="Z218">
        <f ca="1">DATEDIF(EmployeeData[[#This Row],[DateOfJoining]],IF(AND(EmployeeData[[#This Row],[Attrition]]="Yes",EmployeeData[[#This Row],[LastWorkingDate]]&lt;&gt;""),EmployeeData[[#This Row],[LastWorkingDate]],TODAY()),"Y")</f>
        <v>1</v>
      </c>
      <c r="AA218" t="str">
        <f>IF(EmployeeData[[#This Row],[MonthlyIncome]]&lt;30000,"Low",IF(EmployeeData[[#This Row],[MonthlyIncome]]&lt;=60000,"Medium",IF(EmployeeData[[#This Row],[MonthlyIncome]]&lt;=100000,"High","Very High")))</f>
        <v>High</v>
      </c>
      <c r="AB218">
        <f>IF(EmployeeData[[#This Row],[Attrition]]="Yes",1,0)</f>
        <v>0</v>
      </c>
      <c r="AC218" t="str">
        <f ca="1">IF(EmployeeData[[#This Row],[Tenure Years]]&lt;1,"Less than 1 Year",IF(EmployeeData[[#This Row],[Tenure Years]]&lt;=3,"1-3 Years",IF(EmployeeData[[#This Row],[Tenure Years]]&lt;=5,"4-5 Years",IF(EmployeeData[[#This Row],[Tenure Years]]&lt;=10,"6-10 Years","More than 10 Years"))))</f>
        <v>1-3 Years</v>
      </c>
      <c r="AD218">
        <f>ROUND(AVERAGE(EmployeeData[[#This Row],[JobSatisfaction]],EmployeeData[[#This Row],[EnvironmentSatisfaction]],EmployeeData[[#This Row],[WorkLifeBalance]]),2)</f>
        <v>1.67</v>
      </c>
      <c r="AE218" t="str">
        <f>IF(EmployeeData[[#This Row],[Satisfaction Score]]&lt;2,"Low",IF(EmployeeData[[#This Row],[Satisfaction Score]]&lt;3,"Medium","High"))</f>
        <v>Low</v>
      </c>
    </row>
    <row r="219" spans="1:31" x14ac:dyDescent="0.25">
      <c r="A219" t="s">
        <v>1127</v>
      </c>
      <c r="B219" t="s">
        <v>1128</v>
      </c>
      <c r="C219" t="s">
        <v>58</v>
      </c>
      <c r="D219">
        <v>29</v>
      </c>
      <c r="E219" t="s">
        <v>128</v>
      </c>
      <c r="F219" t="s">
        <v>123</v>
      </c>
      <c r="G219" s="1">
        <v>46101</v>
      </c>
      <c r="H219">
        <v>46081</v>
      </c>
      <c r="I219" t="s">
        <v>52</v>
      </c>
      <c r="J219" t="s">
        <v>61</v>
      </c>
      <c r="K219" t="s">
        <v>77</v>
      </c>
      <c r="L219" t="s">
        <v>62</v>
      </c>
      <c r="M219">
        <v>37</v>
      </c>
      <c r="N219" t="s">
        <v>45</v>
      </c>
      <c r="O219">
        <v>3</v>
      </c>
      <c r="P219">
        <v>4</v>
      </c>
      <c r="Q219">
        <v>4</v>
      </c>
      <c r="R219">
        <v>4</v>
      </c>
      <c r="S219">
        <v>5</v>
      </c>
      <c r="T219">
        <v>6</v>
      </c>
      <c r="U219">
        <v>23</v>
      </c>
      <c r="V219" t="s">
        <v>298</v>
      </c>
      <c r="W219" t="s">
        <v>45</v>
      </c>
      <c r="X219" s="1">
        <v>46134</v>
      </c>
      <c r="Y219" s="2" t="str">
        <f>IF(EmployeeData[[#This Row],[Age]]&lt;25,"Under 25",IF(EmployeeData[[#This Row],[Age]]&lt;=34,"25-34",IF(EmployeeData[[#This Row],[Age]]&lt;=44,"35-44",IF(EmployeeData[[#This Row],[Age]]&lt;=54,"45-54","55+"))))</f>
        <v>25-34</v>
      </c>
      <c r="Z219">
        <f ca="1">DATEDIF(EmployeeData[[#This Row],[DateOfJoining]],IF(AND(EmployeeData[[#This Row],[Attrition]]="Yes",EmployeeData[[#This Row],[LastWorkingDate]]&lt;&gt;""),EmployeeData[[#This Row],[LastWorkingDate]],TODAY()),"Y")</f>
        <v>0</v>
      </c>
      <c r="AA219" t="str">
        <f>IF(EmployeeData[[#This Row],[MonthlyIncome]]&lt;30000,"Low",IF(EmployeeData[[#This Row],[MonthlyIncome]]&lt;=60000,"Medium",IF(EmployeeData[[#This Row],[MonthlyIncome]]&lt;=100000,"High","Very High")))</f>
        <v>Medium</v>
      </c>
      <c r="AB219">
        <f>IF(EmployeeData[[#This Row],[Attrition]]="Yes",1,0)</f>
        <v>1</v>
      </c>
      <c r="AC219" t="str">
        <f ca="1">IF(EmployeeData[[#This Row],[Tenure Years]]&lt;1,"Less than 1 Year",IF(EmployeeData[[#This Row],[Tenure Years]]&lt;=3,"1-3 Years",IF(EmployeeData[[#This Row],[Tenure Years]]&lt;=5,"4-5 Years",IF(EmployeeData[[#This Row],[Tenure Years]]&lt;=10,"6-10 Years","More than 10 Years"))))</f>
        <v>Less than 1 Year</v>
      </c>
      <c r="AD219">
        <f>ROUND(AVERAGE(EmployeeData[[#This Row],[JobSatisfaction]],EmployeeData[[#This Row],[EnvironmentSatisfaction]],EmployeeData[[#This Row],[WorkLifeBalance]]),2)</f>
        <v>3.67</v>
      </c>
      <c r="AE219" t="str">
        <f>IF(EmployeeData[[#This Row],[Satisfaction Score]]&lt;2,"Low",IF(EmployeeData[[#This Row],[Satisfaction Score]]&lt;3,"Medium","High"))</f>
        <v>High</v>
      </c>
    </row>
    <row r="220" spans="1:31" x14ac:dyDescent="0.25">
      <c r="A220" t="s">
        <v>1131</v>
      </c>
      <c r="B220" t="s">
        <v>1132</v>
      </c>
      <c r="C220" t="s">
        <v>49</v>
      </c>
      <c r="D220">
        <v>33</v>
      </c>
      <c r="E220" t="s">
        <v>5461</v>
      </c>
      <c r="F220" t="s">
        <v>5464</v>
      </c>
      <c r="G220" s="1">
        <v>42201</v>
      </c>
      <c r="H220">
        <v>130928</v>
      </c>
      <c r="I220" t="s">
        <v>52</v>
      </c>
      <c r="J220" t="s">
        <v>31</v>
      </c>
      <c r="K220" t="s">
        <v>113</v>
      </c>
      <c r="L220" t="s">
        <v>43</v>
      </c>
      <c r="M220">
        <v>38</v>
      </c>
      <c r="N220" t="s">
        <v>34</v>
      </c>
      <c r="O220">
        <v>3</v>
      </c>
      <c r="P220">
        <v>4</v>
      </c>
      <c r="Q220">
        <v>1</v>
      </c>
      <c r="R220">
        <v>3</v>
      </c>
      <c r="S220">
        <v>0</v>
      </c>
      <c r="T220">
        <v>4</v>
      </c>
      <c r="U220">
        <v>20</v>
      </c>
      <c r="V220" t="s">
        <v>1135</v>
      </c>
      <c r="W220" t="s">
        <v>34</v>
      </c>
      <c r="Y220" s="2" t="str">
        <f>IF(EmployeeData[[#This Row],[Age]]&lt;25,"Under 25",IF(EmployeeData[[#This Row],[Age]]&lt;=34,"25-34",IF(EmployeeData[[#This Row],[Age]]&lt;=44,"35-44",IF(EmployeeData[[#This Row],[Age]]&lt;=54,"45-54","55+"))))</f>
        <v>25-34</v>
      </c>
      <c r="Z220">
        <f ca="1">DATEDIF(EmployeeData[[#This Row],[DateOfJoining]],IF(AND(EmployeeData[[#This Row],[Attrition]]="Yes",EmployeeData[[#This Row],[LastWorkingDate]]&lt;&gt;""),EmployeeData[[#This Row],[LastWorkingDate]],TODAY()),"Y")</f>
        <v>11</v>
      </c>
      <c r="AA220" t="str">
        <f>IF(EmployeeData[[#This Row],[MonthlyIncome]]&lt;30000,"Low",IF(EmployeeData[[#This Row],[MonthlyIncome]]&lt;=60000,"Medium",IF(EmployeeData[[#This Row],[MonthlyIncome]]&lt;=100000,"High","Very High")))</f>
        <v>Very High</v>
      </c>
      <c r="AB220">
        <f>IF(EmployeeData[[#This Row],[Attrition]]="Yes",1,0)</f>
        <v>0</v>
      </c>
      <c r="AC220" t="str">
        <f ca="1">IF(EmployeeData[[#This Row],[Tenure Years]]&lt;1,"Less than 1 Year",IF(EmployeeData[[#This Row],[Tenure Years]]&lt;=3,"1-3 Years",IF(EmployeeData[[#This Row],[Tenure Years]]&lt;=5,"4-5 Years",IF(EmployeeData[[#This Row],[Tenure Years]]&lt;=10,"6-10 Years","More than 10 Years"))))</f>
        <v>More than 10 Years</v>
      </c>
      <c r="AD220">
        <f>ROUND(AVERAGE(EmployeeData[[#This Row],[JobSatisfaction]],EmployeeData[[#This Row],[EnvironmentSatisfaction]],EmployeeData[[#This Row],[WorkLifeBalance]]),2)</f>
        <v>2.67</v>
      </c>
      <c r="AE220" t="str">
        <f>IF(EmployeeData[[#This Row],[Satisfaction Score]]&lt;2,"Low",IF(EmployeeData[[#This Row],[Satisfaction Score]]&lt;3,"Medium","High"))</f>
        <v>Medium</v>
      </c>
    </row>
    <row r="221" spans="1:31" x14ac:dyDescent="0.25">
      <c r="A221" t="s">
        <v>1136</v>
      </c>
      <c r="B221" t="s">
        <v>1137</v>
      </c>
      <c r="C221" t="s">
        <v>5459</v>
      </c>
      <c r="D221">
        <v>48</v>
      </c>
      <c r="E221" t="s">
        <v>5461</v>
      </c>
      <c r="F221" t="s">
        <v>89</v>
      </c>
      <c r="G221" s="1">
        <v>41474</v>
      </c>
      <c r="H221">
        <v>89140</v>
      </c>
      <c r="I221" t="s">
        <v>42</v>
      </c>
      <c r="J221" t="s">
        <v>61</v>
      </c>
      <c r="K221" t="s">
        <v>32</v>
      </c>
      <c r="L221" t="s">
        <v>43</v>
      </c>
      <c r="M221">
        <v>15</v>
      </c>
      <c r="N221" t="s">
        <v>45</v>
      </c>
      <c r="O221">
        <v>4</v>
      </c>
      <c r="P221">
        <v>2</v>
      </c>
      <c r="Q221">
        <v>3</v>
      </c>
      <c r="R221">
        <v>2</v>
      </c>
      <c r="S221">
        <v>2</v>
      </c>
      <c r="T221">
        <v>3</v>
      </c>
      <c r="U221">
        <v>23</v>
      </c>
      <c r="V221" t="s">
        <v>1139</v>
      </c>
      <c r="W221" t="s">
        <v>34</v>
      </c>
      <c r="Y221" s="2" t="str">
        <f>IF(EmployeeData[[#This Row],[Age]]&lt;25,"Under 25",IF(EmployeeData[[#This Row],[Age]]&lt;=34,"25-34",IF(EmployeeData[[#This Row],[Age]]&lt;=44,"35-44",IF(EmployeeData[[#This Row],[Age]]&lt;=54,"45-54","55+"))))</f>
        <v>45-54</v>
      </c>
      <c r="Z221">
        <f ca="1">DATEDIF(EmployeeData[[#This Row],[DateOfJoining]],IF(AND(EmployeeData[[#This Row],[Attrition]]="Yes",EmployeeData[[#This Row],[LastWorkingDate]]&lt;&gt;""),EmployeeData[[#This Row],[LastWorkingDate]],TODAY()),"Y")</f>
        <v>13</v>
      </c>
      <c r="AA221" t="str">
        <f>IF(EmployeeData[[#This Row],[MonthlyIncome]]&lt;30000,"Low",IF(EmployeeData[[#This Row],[MonthlyIncome]]&lt;=60000,"Medium",IF(EmployeeData[[#This Row],[MonthlyIncome]]&lt;=100000,"High","Very High")))</f>
        <v>High</v>
      </c>
      <c r="AB221">
        <f>IF(EmployeeData[[#This Row],[Attrition]]="Yes",1,0)</f>
        <v>0</v>
      </c>
      <c r="AC221" t="str">
        <f ca="1">IF(EmployeeData[[#This Row],[Tenure Years]]&lt;1,"Less than 1 Year",IF(EmployeeData[[#This Row],[Tenure Years]]&lt;=3,"1-3 Years",IF(EmployeeData[[#This Row],[Tenure Years]]&lt;=5,"4-5 Years",IF(EmployeeData[[#This Row],[Tenure Years]]&lt;=10,"6-10 Years","More than 10 Years"))))</f>
        <v>More than 10 Years</v>
      </c>
      <c r="AD221">
        <f>ROUND(AVERAGE(EmployeeData[[#This Row],[JobSatisfaction]],EmployeeData[[#This Row],[EnvironmentSatisfaction]],EmployeeData[[#This Row],[WorkLifeBalance]]),2)</f>
        <v>3</v>
      </c>
      <c r="AE221" t="str">
        <f>IF(EmployeeData[[#This Row],[Satisfaction Score]]&lt;2,"Low",IF(EmployeeData[[#This Row],[Satisfaction Score]]&lt;3,"Medium","High"))</f>
        <v>High</v>
      </c>
    </row>
    <row r="222" spans="1:31" x14ac:dyDescent="0.25">
      <c r="A222" t="s">
        <v>1140</v>
      </c>
      <c r="B222" t="s">
        <v>1141</v>
      </c>
      <c r="C222" t="s">
        <v>58</v>
      </c>
      <c r="D222">
        <v>33</v>
      </c>
      <c r="E222" t="s">
        <v>94</v>
      </c>
      <c r="F222" t="s">
        <v>306</v>
      </c>
      <c r="G222" s="1">
        <v>44580</v>
      </c>
      <c r="H222">
        <v>52083</v>
      </c>
      <c r="I222" t="s">
        <v>42</v>
      </c>
      <c r="J222" t="s">
        <v>31</v>
      </c>
      <c r="K222" t="s">
        <v>98</v>
      </c>
      <c r="L222" t="s">
        <v>33</v>
      </c>
      <c r="M222">
        <v>30</v>
      </c>
      <c r="N222" t="s">
        <v>45</v>
      </c>
      <c r="O222">
        <v>3</v>
      </c>
      <c r="P222">
        <v>4</v>
      </c>
      <c r="Q222">
        <v>4</v>
      </c>
      <c r="R222">
        <v>3</v>
      </c>
      <c r="S222">
        <v>0</v>
      </c>
      <c r="T222">
        <v>7</v>
      </c>
      <c r="U222">
        <v>13</v>
      </c>
      <c r="V222" t="s">
        <v>1143</v>
      </c>
      <c r="W222" t="s">
        <v>34</v>
      </c>
      <c r="Y222" s="2" t="str">
        <f>IF(EmployeeData[[#This Row],[Age]]&lt;25,"Under 25",IF(EmployeeData[[#This Row],[Age]]&lt;=34,"25-34",IF(EmployeeData[[#This Row],[Age]]&lt;=44,"35-44",IF(EmployeeData[[#This Row],[Age]]&lt;=54,"45-54","55+"))))</f>
        <v>25-34</v>
      </c>
      <c r="Z222">
        <f ca="1">DATEDIF(EmployeeData[[#This Row],[DateOfJoining]],IF(AND(EmployeeData[[#This Row],[Attrition]]="Yes",EmployeeData[[#This Row],[LastWorkingDate]]&lt;&gt;""),EmployeeData[[#This Row],[LastWorkingDate]],TODAY()),"Y")</f>
        <v>4</v>
      </c>
      <c r="AA222" t="str">
        <f>IF(EmployeeData[[#This Row],[MonthlyIncome]]&lt;30000,"Low",IF(EmployeeData[[#This Row],[MonthlyIncome]]&lt;=60000,"Medium",IF(EmployeeData[[#This Row],[MonthlyIncome]]&lt;=100000,"High","Very High")))</f>
        <v>Medium</v>
      </c>
      <c r="AB222">
        <f>IF(EmployeeData[[#This Row],[Attrition]]="Yes",1,0)</f>
        <v>0</v>
      </c>
      <c r="AC222" t="str">
        <f ca="1">IF(EmployeeData[[#This Row],[Tenure Years]]&lt;1,"Less than 1 Year",IF(EmployeeData[[#This Row],[Tenure Years]]&lt;=3,"1-3 Years",IF(EmployeeData[[#This Row],[Tenure Years]]&lt;=5,"4-5 Years",IF(EmployeeData[[#This Row],[Tenure Years]]&lt;=10,"6-10 Years","More than 10 Years"))))</f>
        <v>4-5 Years</v>
      </c>
      <c r="AD222">
        <f>ROUND(AVERAGE(EmployeeData[[#This Row],[JobSatisfaction]],EmployeeData[[#This Row],[EnvironmentSatisfaction]],EmployeeData[[#This Row],[WorkLifeBalance]]),2)</f>
        <v>3.67</v>
      </c>
      <c r="AE222" t="str">
        <f>IF(EmployeeData[[#This Row],[Satisfaction Score]]&lt;2,"Low",IF(EmployeeData[[#This Row],[Satisfaction Score]]&lt;3,"Medium","High"))</f>
        <v>High</v>
      </c>
    </row>
    <row r="223" spans="1:31" x14ac:dyDescent="0.25">
      <c r="A223" t="s">
        <v>1144</v>
      </c>
      <c r="B223" t="s">
        <v>1145</v>
      </c>
      <c r="C223" t="s">
        <v>58</v>
      </c>
      <c r="D223">
        <v>27</v>
      </c>
      <c r="E223" t="s">
        <v>94</v>
      </c>
      <c r="F223" t="s">
        <v>306</v>
      </c>
      <c r="G223" s="1">
        <v>45209</v>
      </c>
      <c r="H223">
        <v>86045</v>
      </c>
      <c r="I223" t="s">
        <v>42</v>
      </c>
      <c r="J223" t="s">
        <v>53</v>
      </c>
      <c r="K223" t="s">
        <v>131</v>
      </c>
      <c r="L223" t="s">
        <v>33</v>
      </c>
      <c r="M223">
        <v>40</v>
      </c>
      <c r="N223" t="s">
        <v>45</v>
      </c>
      <c r="O223">
        <v>3</v>
      </c>
      <c r="P223">
        <v>1</v>
      </c>
      <c r="Q223">
        <v>1</v>
      </c>
      <c r="R223">
        <v>3</v>
      </c>
      <c r="S223">
        <v>5</v>
      </c>
      <c r="T223">
        <v>1</v>
      </c>
      <c r="U223">
        <v>22</v>
      </c>
      <c r="V223" t="s">
        <v>1149</v>
      </c>
      <c r="W223" t="s">
        <v>45</v>
      </c>
      <c r="X223" s="1">
        <v>45796</v>
      </c>
      <c r="Y223" s="2" t="str">
        <f>IF(EmployeeData[[#This Row],[Age]]&lt;25,"Under 25",IF(EmployeeData[[#This Row],[Age]]&lt;=34,"25-34",IF(EmployeeData[[#This Row],[Age]]&lt;=44,"35-44",IF(EmployeeData[[#This Row],[Age]]&lt;=54,"45-54","55+"))))</f>
        <v>25-34</v>
      </c>
      <c r="Z223">
        <f ca="1">DATEDIF(EmployeeData[[#This Row],[DateOfJoining]],IF(AND(EmployeeData[[#This Row],[Attrition]]="Yes",EmployeeData[[#This Row],[LastWorkingDate]]&lt;&gt;""),EmployeeData[[#This Row],[LastWorkingDate]],TODAY()),"Y")</f>
        <v>1</v>
      </c>
      <c r="AA223" t="str">
        <f>IF(EmployeeData[[#This Row],[MonthlyIncome]]&lt;30000,"Low",IF(EmployeeData[[#This Row],[MonthlyIncome]]&lt;=60000,"Medium",IF(EmployeeData[[#This Row],[MonthlyIncome]]&lt;=100000,"High","Very High")))</f>
        <v>High</v>
      </c>
      <c r="AB223">
        <f>IF(EmployeeData[[#This Row],[Attrition]]="Yes",1,0)</f>
        <v>1</v>
      </c>
      <c r="AC223" t="str">
        <f ca="1">IF(EmployeeData[[#This Row],[Tenure Years]]&lt;1,"Less than 1 Year",IF(EmployeeData[[#This Row],[Tenure Years]]&lt;=3,"1-3 Years",IF(EmployeeData[[#This Row],[Tenure Years]]&lt;=5,"4-5 Years",IF(EmployeeData[[#This Row],[Tenure Years]]&lt;=10,"6-10 Years","More than 10 Years"))))</f>
        <v>1-3 Years</v>
      </c>
      <c r="AD223">
        <f>ROUND(AVERAGE(EmployeeData[[#This Row],[JobSatisfaction]],EmployeeData[[#This Row],[EnvironmentSatisfaction]],EmployeeData[[#This Row],[WorkLifeBalance]]),2)</f>
        <v>1.67</v>
      </c>
      <c r="AE223" t="str">
        <f>IF(EmployeeData[[#This Row],[Satisfaction Score]]&lt;2,"Low",IF(EmployeeData[[#This Row],[Satisfaction Score]]&lt;3,"Medium","High"))</f>
        <v>Low</v>
      </c>
    </row>
    <row r="224" spans="1:31" x14ac:dyDescent="0.25">
      <c r="A224" t="s">
        <v>1151</v>
      </c>
      <c r="B224" t="s">
        <v>1152</v>
      </c>
      <c r="C224" t="s">
        <v>58</v>
      </c>
      <c r="D224">
        <v>32</v>
      </c>
      <c r="E224" t="s">
        <v>197</v>
      </c>
      <c r="F224" t="s">
        <v>323</v>
      </c>
      <c r="G224" s="1">
        <v>41250</v>
      </c>
      <c r="H224">
        <v>91276</v>
      </c>
      <c r="I224" t="s">
        <v>42</v>
      </c>
      <c r="J224" t="s">
        <v>61</v>
      </c>
      <c r="K224" t="s">
        <v>113</v>
      </c>
      <c r="L224" t="s">
        <v>33</v>
      </c>
      <c r="M224">
        <v>22</v>
      </c>
      <c r="N224" t="s">
        <v>34</v>
      </c>
      <c r="O224">
        <v>3</v>
      </c>
      <c r="P224">
        <v>3</v>
      </c>
      <c r="Q224">
        <v>2</v>
      </c>
      <c r="R224">
        <v>3</v>
      </c>
      <c r="S224">
        <v>4</v>
      </c>
      <c r="T224">
        <v>4</v>
      </c>
      <c r="U224">
        <v>17</v>
      </c>
      <c r="V224" t="s">
        <v>1154</v>
      </c>
      <c r="W224" t="s">
        <v>34</v>
      </c>
      <c r="Y224" s="2" t="str">
        <f>IF(EmployeeData[[#This Row],[Age]]&lt;25,"Under 25",IF(EmployeeData[[#This Row],[Age]]&lt;=34,"25-34",IF(EmployeeData[[#This Row],[Age]]&lt;=44,"35-44",IF(EmployeeData[[#This Row],[Age]]&lt;=54,"45-54","55+"))))</f>
        <v>25-34</v>
      </c>
      <c r="Z224">
        <f ca="1">DATEDIF(EmployeeData[[#This Row],[DateOfJoining]],IF(AND(EmployeeData[[#This Row],[Attrition]]="Yes",EmployeeData[[#This Row],[LastWorkingDate]]&lt;&gt;""),EmployeeData[[#This Row],[LastWorkingDate]],TODAY()),"Y")</f>
        <v>13</v>
      </c>
      <c r="AA224" t="str">
        <f>IF(EmployeeData[[#This Row],[MonthlyIncome]]&lt;30000,"Low",IF(EmployeeData[[#This Row],[MonthlyIncome]]&lt;=60000,"Medium",IF(EmployeeData[[#This Row],[MonthlyIncome]]&lt;=100000,"High","Very High")))</f>
        <v>High</v>
      </c>
      <c r="AB224">
        <f>IF(EmployeeData[[#This Row],[Attrition]]="Yes",1,0)</f>
        <v>0</v>
      </c>
      <c r="AC224" t="str">
        <f ca="1">IF(EmployeeData[[#This Row],[Tenure Years]]&lt;1,"Less than 1 Year",IF(EmployeeData[[#This Row],[Tenure Years]]&lt;=3,"1-3 Years",IF(EmployeeData[[#This Row],[Tenure Years]]&lt;=5,"4-5 Years",IF(EmployeeData[[#This Row],[Tenure Years]]&lt;=10,"6-10 Years","More than 10 Years"))))</f>
        <v>More than 10 Years</v>
      </c>
      <c r="AD224">
        <f>ROUND(AVERAGE(EmployeeData[[#This Row],[JobSatisfaction]],EmployeeData[[#This Row],[EnvironmentSatisfaction]],EmployeeData[[#This Row],[WorkLifeBalance]]),2)</f>
        <v>2.67</v>
      </c>
      <c r="AE224" t="str">
        <f>IF(EmployeeData[[#This Row],[Satisfaction Score]]&lt;2,"Low",IF(EmployeeData[[#This Row],[Satisfaction Score]]&lt;3,"Medium","High"))</f>
        <v>Medium</v>
      </c>
    </row>
    <row r="225" spans="1:31" x14ac:dyDescent="0.25">
      <c r="A225" t="s">
        <v>1155</v>
      </c>
      <c r="B225" t="s">
        <v>5459</v>
      </c>
      <c r="C225" t="s">
        <v>49</v>
      </c>
      <c r="D225">
        <v>22</v>
      </c>
      <c r="E225" t="s">
        <v>128</v>
      </c>
      <c r="F225" t="s">
        <v>271</v>
      </c>
      <c r="G225" s="1">
        <v>45041</v>
      </c>
      <c r="H225">
        <v>85221</v>
      </c>
      <c r="I225" t="s">
        <v>52</v>
      </c>
      <c r="J225" t="s">
        <v>5459</v>
      </c>
      <c r="K225" t="s">
        <v>32</v>
      </c>
      <c r="L225" t="s">
        <v>33</v>
      </c>
      <c r="M225">
        <v>25</v>
      </c>
      <c r="N225" t="s">
        <v>34</v>
      </c>
      <c r="O225">
        <v>2</v>
      </c>
      <c r="P225">
        <v>4</v>
      </c>
      <c r="Q225">
        <v>3</v>
      </c>
      <c r="R225">
        <v>2</v>
      </c>
      <c r="S225">
        <v>5</v>
      </c>
      <c r="T225">
        <v>6</v>
      </c>
      <c r="U225">
        <v>24</v>
      </c>
      <c r="V225" t="s">
        <v>1157</v>
      </c>
      <c r="W225" t="s">
        <v>34</v>
      </c>
      <c r="Y225" s="2" t="str">
        <f>IF(EmployeeData[[#This Row],[Age]]&lt;25,"Under 25",IF(EmployeeData[[#This Row],[Age]]&lt;=34,"25-34",IF(EmployeeData[[#This Row],[Age]]&lt;=44,"35-44",IF(EmployeeData[[#This Row],[Age]]&lt;=54,"45-54","55+"))))</f>
        <v>Under 25</v>
      </c>
      <c r="Z225">
        <f ca="1">DATEDIF(EmployeeData[[#This Row],[DateOfJoining]],IF(AND(EmployeeData[[#This Row],[Attrition]]="Yes",EmployeeData[[#This Row],[LastWorkingDate]]&lt;&gt;""),EmployeeData[[#This Row],[LastWorkingDate]],TODAY()),"Y")</f>
        <v>3</v>
      </c>
      <c r="AA225" t="str">
        <f>IF(EmployeeData[[#This Row],[MonthlyIncome]]&lt;30000,"Low",IF(EmployeeData[[#This Row],[MonthlyIncome]]&lt;=60000,"Medium",IF(EmployeeData[[#This Row],[MonthlyIncome]]&lt;=100000,"High","Very High")))</f>
        <v>High</v>
      </c>
      <c r="AB225">
        <f>IF(EmployeeData[[#This Row],[Attrition]]="Yes",1,0)</f>
        <v>0</v>
      </c>
      <c r="AC225" t="str">
        <f ca="1">IF(EmployeeData[[#This Row],[Tenure Years]]&lt;1,"Less than 1 Year",IF(EmployeeData[[#This Row],[Tenure Years]]&lt;=3,"1-3 Years",IF(EmployeeData[[#This Row],[Tenure Years]]&lt;=5,"4-5 Years",IF(EmployeeData[[#This Row],[Tenure Years]]&lt;=10,"6-10 Years","More than 10 Years"))))</f>
        <v>1-3 Years</v>
      </c>
      <c r="AD225">
        <f>ROUND(AVERAGE(EmployeeData[[#This Row],[JobSatisfaction]],EmployeeData[[#This Row],[EnvironmentSatisfaction]],EmployeeData[[#This Row],[WorkLifeBalance]]),2)</f>
        <v>3</v>
      </c>
      <c r="AE225" t="str">
        <f>IF(EmployeeData[[#This Row],[Satisfaction Score]]&lt;2,"Low",IF(EmployeeData[[#This Row],[Satisfaction Score]]&lt;3,"Medium","High"))</f>
        <v>High</v>
      </c>
    </row>
    <row r="226" spans="1:31" x14ac:dyDescent="0.25">
      <c r="A226" t="s">
        <v>1158</v>
      </c>
      <c r="B226" t="s">
        <v>1159</v>
      </c>
      <c r="C226" t="s">
        <v>58</v>
      </c>
      <c r="D226">
        <v>35</v>
      </c>
      <c r="E226" t="s">
        <v>5461</v>
      </c>
      <c r="F226" t="s">
        <v>261</v>
      </c>
      <c r="G226" s="1">
        <v>45593</v>
      </c>
      <c r="H226">
        <v>69612</v>
      </c>
      <c r="I226" t="s">
        <v>5459</v>
      </c>
      <c r="J226" t="s">
        <v>61</v>
      </c>
      <c r="K226" t="s">
        <v>83</v>
      </c>
      <c r="L226" t="s">
        <v>33</v>
      </c>
      <c r="M226">
        <v>36</v>
      </c>
      <c r="N226" t="s">
        <v>34</v>
      </c>
      <c r="O226">
        <v>1</v>
      </c>
      <c r="P226">
        <v>2</v>
      </c>
      <c r="Q226">
        <v>1</v>
      </c>
      <c r="R226">
        <v>2</v>
      </c>
      <c r="S226">
        <v>1</v>
      </c>
      <c r="T226">
        <v>2</v>
      </c>
      <c r="U226">
        <v>12</v>
      </c>
      <c r="V226" t="s">
        <v>1162</v>
      </c>
      <c r="W226" t="s">
        <v>45</v>
      </c>
      <c r="X226" s="1">
        <v>46032</v>
      </c>
      <c r="Y226" s="2" t="str">
        <f>IF(EmployeeData[[#This Row],[Age]]&lt;25,"Under 25",IF(EmployeeData[[#This Row],[Age]]&lt;=34,"25-34",IF(EmployeeData[[#This Row],[Age]]&lt;=44,"35-44",IF(EmployeeData[[#This Row],[Age]]&lt;=54,"45-54","55+"))))</f>
        <v>35-44</v>
      </c>
      <c r="Z226">
        <f ca="1">DATEDIF(EmployeeData[[#This Row],[DateOfJoining]],IF(AND(EmployeeData[[#This Row],[Attrition]]="Yes",EmployeeData[[#This Row],[LastWorkingDate]]&lt;&gt;""),EmployeeData[[#This Row],[LastWorkingDate]],TODAY()),"Y")</f>
        <v>1</v>
      </c>
      <c r="AA226" t="str">
        <f>IF(EmployeeData[[#This Row],[MonthlyIncome]]&lt;30000,"Low",IF(EmployeeData[[#This Row],[MonthlyIncome]]&lt;=60000,"Medium",IF(EmployeeData[[#This Row],[MonthlyIncome]]&lt;=100000,"High","Very High")))</f>
        <v>High</v>
      </c>
      <c r="AB226">
        <f>IF(EmployeeData[[#This Row],[Attrition]]="Yes",1,0)</f>
        <v>1</v>
      </c>
      <c r="AC226" t="str">
        <f ca="1">IF(EmployeeData[[#This Row],[Tenure Years]]&lt;1,"Less than 1 Year",IF(EmployeeData[[#This Row],[Tenure Years]]&lt;=3,"1-3 Years",IF(EmployeeData[[#This Row],[Tenure Years]]&lt;=5,"4-5 Years",IF(EmployeeData[[#This Row],[Tenure Years]]&lt;=10,"6-10 Years","More than 10 Years"))))</f>
        <v>1-3 Years</v>
      </c>
      <c r="AD226">
        <f>ROUND(AVERAGE(EmployeeData[[#This Row],[JobSatisfaction]],EmployeeData[[#This Row],[EnvironmentSatisfaction]],EmployeeData[[#This Row],[WorkLifeBalance]]),2)</f>
        <v>1.33</v>
      </c>
      <c r="AE226" t="str">
        <f>IF(EmployeeData[[#This Row],[Satisfaction Score]]&lt;2,"Low",IF(EmployeeData[[#This Row],[Satisfaction Score]]&lt;3,"Medium","High"))</f>
        <v>Low</v>
      </c>
    </row>
    <row r="227" spans="1:31" x14ac:dyDescent="0.25">
      <c r="A227" t="s">
        <v>1164</v>
      </c>
      <c r="B227" t="s">
        <v>1165</v>
      </c>
      <c r="C227" t="s">
        <v>5459</v>
      </c>
      <c r="D227">
        <v>48</v>
      </c>
      <c r="E227" t="s">
        <v>197</v>
      </c>
      <c r="F227" t="s">
        <v>573</v>
      </c>
      <c r="G227" s="1">
        <v>41249</v>
      </c>
      <c r="H227">
        <v>49316</v>
      </c>
      <c r="I227" t="s">
        <v>52</v>
      </c>
      <c r="J227" t="s">
        <v>97</v>
      </c>
      <c r="K227" t="s">
        <v>200</v>
      </c>
      <c r="L227" t="s">
        <v>43</v>
      </c>
      <c r="M227">
        <v>34</v>
      </c>
      <c r="N227" t="s">
        <v>45</v>
      </c>
      <c r="O227">
        <v>1</v>
      </c>
      <c r="P227">
        <v>4</v>
      </c>
      <c r="Q227">
        <v>3</v>
      </c>
      <c r="R227">
        <v>3</v>
      </c>
      <c r="S227">
        <v>1</v>
      </c>
      <c r="T227">
        <v>7</v>
      </c>
      <c r="U227">
        <v>14</v>
      </c>
      <c r="V227" t="s">
        <v>1168</v>
      </c>
      <c r="W227" t="s">
        <v>45</v>
      </c>
      <c r="X227" s="1">
        <v>41968</v>
      </c>
      <c r="Y227" s="2" t="str">
        <f>IF(EmployeeData[[#This Row],[Age]]&lt;25,"Under 25",IF(EmployeeData[[#This Row],[Age]]&lt;=34,"25-34",IF(EmployeeData[[#This Row],[Age]]&lt;=44,"35-44",IF(EmployeeData[[#This Row],[Age]]&lt;=54,"45-54","55+"))))</f>
        <v>45-54</v>
      </c>
      <c r="Z227">
        <f ca="1">DATEDIF(EmployeeData[[#This Row],[DateOfJoining]],IF(AND(EmployeeData[[#This Row],[Attrition]]="Yes",EmployeeData[[#This Row],[LastWorkingDate]]&lt;&gt;""),EmployeeData[[#This Row],[LastWorkingDate]],TODAY()),"Y")</f>
        <v>1</v>
      </c>
      <c r="AA227" t="str">
        <f>IF(EmployeeData[[#This Row],[MonthlyIncome]]&lt;30000,"Low",IF(EmployeeData[[#This Row],[MonthlyIncome]]&lt;=60000,"Medium",IF(EmployeeData[[#This Row],[MonthlyIncome]]&lt;=100000,"High","Very High")))</f>
        <v>Medium</v>
      </c>
      <c r="AB227">
        <f>IF(EmployeeData[[#This Row],[Attrition]]="Yes",1,0)</f>
        <v>1</v>
      </c>
      <c r="AC227" t="str">
        <f ca="1">IF(EmployeeData[[#This Row],[Tenure Years]]&lt;1,"Less than 1 Year",IF(EmployeeData[[#This Row],[Tenure Years]]&lt;=3,"1-3 Years",IF(EmployeeData[[#This Row],[Tenure Years]]&lt;=5,"4-5 Years",IF(EmployeeData[[#This Row],[Tenure Years]]&lt;=10,"6-10 Years","More than 10 Years"))))</f>
        <v>1-3 Years</v>
      </c>
      <c r="AD227">
        <f>ROUND(AVERAGE(EmployeeData[[#This Row],[JobSatisfaction]],EmployeeData[[#This Row],[EnvironmentSatisfaction]],EmployeeData[[#This Row],[WorkLifeBalance]]),2)</f>
        <v>2.67</v>
      </c>
      <c r="AE227" t="str">
        <f>IF(EmployeeData[[#This Row],[Satisfaction Score]]&lt;2,"Low",IF(EmployeeData[[#This Row],[Satisfaction Score]]&lt;3,"Medium","High"))</f>
        <v>Medium</v>
      </c>
    </row>
    <row r="228" spans="1:31" x14ac:dyDescent="0.25">
      <c r="A228" t="s">
        <v>1170</v>
      </c>
      <c r="B228" t="s">
        <v>1171</v>
      </c>
      <c r="C228" t="s">
        <v>49</v>
      </c>
      <c r="D228">
        <v>25</v>
      </c>
      <c r="E228" t="s">
        <v>128</v>
      </c>
      <c r="F228" t="s">
        <v>123</v>
      </c>
      <c r="G228" s="1">
        <v>40891</v>
      </c>
      <c r="H228">
        <v>106751</v>
      </c>
      <c r="I228" t="s">
        <v>52</v>
      </c>
      <c r="J228" t="s">
        <v>61</v>
      </c>
      <c r="K228" t="s">
        <v>83</v>
      </c>
      <c r="L228" t="s">
        <v>43</v>
      </c>
      <c r="M228">
        <v>29</v>
      </c>
      <c r="N228" t="s">
        <v>34</v>
      </c>
      <c r="O228">
        <v>2</v>
      </c>
      <c r="P228">
        <v>1</v>
      </c>
      <c r="Q228">
        <v>2</v>
      </c>
      <c r="R228">
        <v>2</v>
      </c>
      <c r="S228">
        <v>4</v>
      </c>
      <c r="T228">
        <v>7</v>
      </c>
      <c r="U228">
        <v>24</v>
      </c>
      <c r="V228" t="s">
        <v>1174</v>
      </c>
      <c r="W228" t="s">
        <v>45</v>
      </c>
      <c r="X228" s="1">
        <v>43789</v>
      </c>
      <c r="Y228" s="2" t="str">
        <f>IF(EmployeeData[[#This Row],[Age]]&lt;25,"Under 25",IF(EmployeeData[[#This Row],[Age]]&lt;=34,"25-34",IF(EmployeeData[[#This Row],[Age]]&lt;=44,"35-44",IF(EmployeeData[[#This Row],[Age]]&lt;=54,"45-54","55+"))))</f>
        <v>25-34</v>
      </c>
      <c r="Z228">
        <f ca="1">DATEDIF(EmployeeData[[#This Row],[DateOfJoining]],IF(AND(EmployeeData[[#This Row],[Attrition]]="Yes",EmployeeData[[#This Row],[LastWorkingDate]]&lt;&gt;""),EmployeeData[[#This Row],[LastWorkingDate]],TODAY()),"Y")</f>
        <v>7</v>
      </c>
      <c r="AA228" t="str">
        <f>IF(EmployeeData[[#This Row],[MonthlyIncome]]&lt;30000,"Low",IF(EmployeeData[[#This Row],[MonthlyIncome]]&lt;=60000,"Medium",IF(EmployeeData[[#This Row],[MonthlyIncome]]&lt;=100000,"High","Very High")))</f>
        <v>Very High</v>
      </c>
      <c r="AB228">
        <f>IF(EmployeeData[[#This Row],[Attrition]]="Yes",1,0)</f>
        <v>1</v>
      </c>
      <c r="AC228" t="str">
        <f ca="1">IF(EmployeeData[[#This Row],[Tenure Years]]&lt;1,"Less than 1 Year",IF(EmployeeData[[#This Row],[Tenure Years]]&lt;=3,"1-3 Years",IF(EmployeeData[[#This Row],[Tenure Years]]&lt;=5,"4-5 Years",IF(EmployeeData[[#This Row],[Tenure Years]]&lt;=10,"6-10 Years","More than 10 Years"))))</f>
        <v>6-10 Years</v>
      </c>
      <c r="AD228">
        <f>ROUND(AVERAGE(EmployeeData[[#This Row],[JobSatisfaction]],EmployeeData[[#This Row],[EnvironmentSatisfaction]],EmployeeData[[#This Row],[WorkLifeBalance]]),2)</f>
        <v>1.67</v>
      </c>
      <c r="AE228" t="str">
        <f>IF(EmployeeData[[#This Row],[Satisfaction Score]]&lt;2,"Low",IF(EmployeeData[[#This Row],[Satisfaction Score]]&lt;3,"Medium","High"))</f>
        <v>Low</v>
      </c>
    </row>
    <row r="229" spans="1:31" x14ac:dyDescent="0.25">
      <c r="A229" t="s">
        <v>1176</v>
      </c>
      <c r="B229" t="s">
        <v>1177</v>
      </c>
      <c r="C229" t="s">
        <v>58</v>
      </c>
      <c r="D229">
        <v>34</v>
      </c>
      <c r="E229" t="s">
        <v>38</v>
      </c>
      <c r="F229" t="s">
        <v>5462</v>
      </c>
      <c r="G229" s="1">
        <v>41599</v>
      </c>
      <c r="H229">
        <v>96511</v>
      </c>
      <c r="I229" t="s">
        <v>30</v>
      </c>
      <c r="J229" t="s">
        <v>31</v>
      </c>
      <c r="K229" t="s">
        <v>167</v>
      </c>
      <c r="L229" t="s">
        <v>43</v>
      </c>
      <c r="M229">
        <v>35</v>
      </c>
      <c r="N229" t="s">
        <v>45</v>
      </c>
      <c r="O229">
        <v>2</v>
      </c>
      <c r="P229">
        <v>3</v>
      </c>
      <c r="Q229">
        <v>4</v>
      </c>
      <c r="R229">
        <v>1</v>
      </c>
      <c r="S229">
        <v>3</v>
      </c>
      <c r="T229">
        <v>7</v>
      </c>
      <c r="U229">
        <v>19</v>
      </c>
      <c r="V229" t="s">
        <v>1179</v>
      </c>
      <c r="W229" t="s">
        <v>45</v>
      </c>
      <c r="X229" s="1">
        <v>42875</v>
      </c>
      <c r="Y229" s="2" t="str">
        <f>IF(EmployeeData[[#This Row],[Age]]&lt;25,"Under 25",IF(EmployeeData[[#This Row],[Age]]&lt;=34,"25-34",IF(EmployeeData[[#This Row],[Age]]&lt;=44,"35-44",IF(EmployeeData[[#This Row],[Age]]&lt;=54,"45-54","55+"))))</f>
        <v>25-34</v>
      </c>
      <c r="Z229">
        <f ca="1">DATEDIF(EmployeeData[[#This Row],[DateOfJoining]],IF(AND(EmployeeData[[#This Row],[Attrition]]="Yes",EmployeeData[[#This Row],[LastWorkingDate]]&lt;&gt;""),EmployeeData[[#This Row],[LastWorkingDate]],TODAY()),"Y")</f>
        <v>3</v>
      </c>
      <c r="AA229" t="str">
        <f>IF(EmployeeData[[#This Row],[MonthlyIncome]]&lt;30000,"Low",IF(EmployeeData[[#This Row],[MonthlyIncome]]&lt;=60000,"Medium",IF(EmployeeData[[#This Row],[MonthlyIncome]]&lt;=100000,"High","Very High")))</f>
        <v>High</v>
      </c>
      <c r="AB229">
        <f>IF(EmployeeData[[#This Row],[Attrition]]="Yes",1,0)</f>
        <v>1</v>
      </c>
      <c r="AC229" t="str">
        <f ca="1">IF(EmployeeData[[#This Row],[Tenure Years]]&lt;1,"Less than 1 Year",IF(EmployeeData[[#This Row],[Tenure Years]]&lt;=3,"1-3 Years",IF(EmployeeData[[#This Row],[Tenure Years]]&lt;=5,"4-5 Years",IF(EmployeeData[[#This Row],[Tenure Years]]&lt;=10,"6-10 Years","More than 10 Years"))))</f>
        <v>1-3 Years</v>
      </c>
      <c r="AD229">
        <f>ROUND(AVERAGE(EmployeeData[[#This Row],[JobSatisfaction]],EmployeeData[[#This Row],[EnvironmentSatisfaction]],EmployeeData[[#This Row],[WorkLifeBalance]]),2)</f>
        <v>3</v>
      </c>
      <c r="AE229" t="str">
        <f>IF(EmployeeData[[#This Row],[Satisfaction Score]]&lt;2,"Low",IF(EmployeeData[[#This Row],[Satisfaction Score]]&lt;3,"Medium","High"))</f>
        <v>High</v>
      </c>
    </row>
    <row r="230" spans="1:31" x14ac:dyDescent="0.25">
      <c r="A230" t="s">
        <v>1181</v>
      </c>
      <c r="B230" t="s">
        <v>1182</v>
      </c>
      <c r="C230" t="s">
        <v>58</v>
      </c>
      <c r="D230">
        <v>37</v>
      </c>
      <c r="E230" t="s">
        <v>27</v>
      </c>
      <c r="F230" t="s">
        <v>188</v>
      </c>
      <c r="G230" s="1">
        <v>43061</v>
      </c>
      <c r="H230">
        <v>97779</v>
      </c>
      <c r="I230" t="s">
        <v>42</v>
      </c>
      <c r="J230" t="s">
        <v>143</v>
      </c>
      <c r="K230" t="s">
        <v>131</v>
      </c>
      <c r="L230" t="s">
        <v>43</v>
      </c>
      <c r="M230">
        <v>12</v>
      </c>
      <c r="N230" t="s">
        <v>45</v>
      </c>
      <c r="O230">
        <v>4</v>
      </c>
      <c r="P230">
        <v>4</v>
      </c>
      <c r="Q230">
        <v>3</v>
      </c>
      <c r="R230">
        <v>3</v>
      </c>
      <c r="S230">
        <v>4</v>
      </c>
      <c r="T230">
        <v>4</v>
      </c>
      <c r="U230">
        <v>20</v>
      </c>
      <c r="V230" t="s">
        <v>1185</v>
      </c>
      <c r="W230" t="s">
        <v>34</v>
      </c>
      <c r="Y230" s="2" t="str">
        <f>IF(EmployeeData[[#This Row],[Age]]&lt;25,"Under 25",IF(EmployeeData[[#This Row],[Age]]&lt;=34,"25-34",IF(EmployeeData[[#This Row],[Age]]&lt;=44,"35-44",IF(EmployeeData[[#This Row],[Age]]&lt;=54,"45-54","55+"))))</f>
        <v>35-44</v>
      </c>
      <c r="Z230">
        <f ca="1">DATEDIF(EmployeeData[[#This Row],[DateOfJoining]],IF(AND(EmployeeData[[#This Row],[Attrition]]="Yes",EmployeeData[[#This Row],[LastWorkingDate]]&lt;&gt;""),EmployeeData[[#This Row],[LastWorkingDate]],TODAY()),"Y")</f>
        <v>8</v>
      </c>
      <c r="AA230" t="str">
        <f>IF(EmployeeData[[#This Row],[MonthlyIncome]]&lt;30000,"Low",IF(EmployeeData[[#This Row],[MonthlyIncome]]&lt;=60000,"Medium",IF(EmployeeData[[#This Row],[MonthlyIncome]]&lt;=100000,"High","Very High")))</f>
        <v>High</v>
      </c>
      <c r="AB230">
        <f>IF(EmployeeData[[#This Row],[Attrition]]="Yes",1,0)</f>
        <v>0</v>
      </c>
      <c r="AC230" t="str">
        <f ca="1">IF(EmployeeData[[#This Row],[Tenure Years]]&lt;1,"Less than 1 Year",IF(EmployeeData[[#This Row],[Tenure Years]]&lt;=3,"1-3 Years",IF(EmployeeData[[#This Row],[Tenure Years]]&lt;=5,"4-5 Years",IF(EmployeeData[[#This Row],[Tenure Years]]&lt;=10,"6-10 Years","More than 10 Years"))))</f>
        <v>6-10 Years</v>
      </c>
      <c r="AD230">
        <f>ROUND(AVERAGE(EmployeeData[[#This Row],[JobSatisfaction]],EmployeeData[[#This Row],[EnvironmentSatisfaction]],EmployeeData[[#This Row],[WorkLifeBalance]]),2)</f>
        <v>3.67</v>
      </c>
      <c r="AE230" t="str">
        <f>IF(EmployeeData[[#This Row],[Satisfaction Score]]&lt;2,"Low",IF(EmployeeData[[#This Row],[Satisfaction Score]]&lt;3,"Medium","High"))</f>
        <v>High</v>
      </c>
    </row>
    <row r="231" spans="1:31" x14ac:dyDescent="0.25">
      <c r="A231" t="s">
        <v>1186</v>
      </c>
      <c r="B231" t="s">
        <v>1187</v>
      </c>
      <c r="C231" t="s">
        <v>49</v>
      </c>
      <c r="D231">
        <v>35</v>
      </c>
      <c r="E231" t="s">
        <v>38</v>
      </c>
      <c r="F231" t="s">
        <v>5462</v>
      </c>
      <c r="G231" s="1">
        <v>41651</v>
      </c>
      <c r="H231">
        <v>89847</v>
      </c>
      <c r="I231" t="s">
        <v>42</v>
      </c>
      <c r="J231" t="s">
        <v>61</v>
      </c>
      <c r="K231" t="s">
        <v>83</v>
      </c>
      <c r="L231" t="s">
        <v>62</v>
      </c>
      <c r="M231">
        <v>23</v>
      </c>
      <c r="N231" t="s">
        <v>34</v>
      </c>
      <c r="O231">
        <v>4</v>
      </c>
      <c r="P231">
        <v>4</v>
      </c>
      <c r="Q231">
        <v>1</v>
      </c>
      <c r="R231">
        <v>3</v>
      </c>
      <c r="S231">
        <v>1</v>
      </c>
      <c r="T231">
        <v>4</v>
      </c>
      <c r="U231">
        <v>24</v>
      </c>
      <c r="V231" t="s">
        <v>5459</v>
      </c>
      <c r="W231" t="s">
        <v>34</v>
      </c>
      <c r="Y231" s="2" t="str">
        <f>IF(EmployeeData[[#This Row],[Age]]&lt;25,"Under 25",IF(EmployeeData[[#This Row],[Age]]&lt;=34,"25-34",IF(EmployeeData[[#This Row],[Age]]&lt;=44,"35-44",IF(EmployeeData[[#This Row],[Age]]&lt;=54,"45-54","55+"))))</f>
        <v>35-44</v>
      </c>
      <c r="Z231">
        <f ca="1">DATEDIF(EmployeeData[[#This Row],[DateOfJoining]],IF(AND(EmployeeData[[#This Row],[Attrition]]="Yes",EmployeeData[[#This Row],[LastWorkingDate]]&lt;&gt;""),EmployeeData[[#This Row],[LastWorkingDate]],TODAY()),"Y")</f>
        <v>12</v>
      </c>
      <c r="AA231" t="str">
        <f>IF(EmployeeData[[#This Row],[MonthlyIncome]]&lt;30000,"Low",IF(EmployeeData[[#This Row],[MonthlyIncome]]&lt;=60000,"Medium",IF(EmployeeData[[#This Row],[MonthlyIncome]]&lt;=100000,"High","Very High")))</f>
        <v>High</v>
      </c>
      <c r="AB231">
        <f>IF(EmployeeData[[#This Row],[Attrition]]="Yes",1,0)</f>
        <v>0</v>
      </c>
      <c r="AC231" t="str">
        <f ca="1">IF(EmployeeData[[#This Row],[Tenure Years]]&lt;1,"Less than 1 Year",IF(EmployeeData[[#This Row],[Tenure Years]]&lt;=3,"1-3 Years",IF(EmployeeData[[#This Row],[Tenure Years]]&lt;=5,"4-5 Years",IF(EmployeeData[[#This Row],[Tenure Years]]&lt;=10,"6-10 Years","More than 10 Years"))))</f>
        <v>More than 10 Years</v>
      </c>
      <c r="AD231">
        <f>ROUND(AVERAGE(EmployeeData[[#This Row],[JobSatisfaction]],EmployeeData[[#This Row],[EnvironmentSatisfaction]],EmployeeData[[#This Row],[WorkLifeBalance]]),2)</f>
        <v>3</v>
      </c>
      <c r="AE231" t="str">
        <f>IF(EmployeeData[[#This Row],[Satisfaction Score]]&lt;2,"Low",IF(EmployeeData[[#This Row],[Satisfaction Score]]&lt;3,"Medium","High"))</f>
        <v>High</v>
      </c>
    </row>
    <row r="232" spans="1:31" x14ac:dyDescent="0.25">
      <c r="A232" t="s">
        <v>1189</v>
      </c>
      <c r="B232" t="s">
        <v>1190</v>
      </c>
      <c r="C232" t="s">
        <v>58</v>
      </c>
      <c r="D232">
        <v>44</v>
      </c>
      <c r="E232" t="s">
        <v>94</v>
      </c>
      <c r="F232" t="s">
        <v>266</v>
      </c>
      <c r="G232" s="1">
        <v>43731</v>
      </c>
      <c r="H232">
        <v>103409</v>
      </c>
      <c r="I232" t="s">
        <v>52</v>
      </c>
      <c r="J232" t="s">
        <v>61</v>
      </c>
      <c r="K232" t="s">
        <v>83</v>
      </c>
      <c r="L232" t="s">
        <v>62</v>
      </c>
      <c r="M232">
        <v>19</v>
      </c>
      <c r="N232" t="s">
        <v>45</v>
      </c>
      <c r="O232">
        <v>4</v>
      </c>
      <c r="P232">
        <v>4</v>
      </c>
      <c r="Q232">
        <v>3</v>
      </c>
      <c r="R232">
        <v>3</v>
      </c>
      <c r="S232">
        <v>3</v>
      </c>
      <c r="T232">
        <v>4</v>
      </c>
      <c r="U232">
        <v>11</v>
      </c>
      <c r="V232" t="s">
        <v>1192</v>
      </c>
      <c r="W232" t="s">
        <v>34</v>
      </c>
      <c r="Y232" s="2" t="str">
        <f>IF(EmployeeData[[#This Row],[Age]]&lt;25,"Under 25",IF(EmployeeData[[#This Row],[Age]]&lt;=34,"25-34",IF(EmployeeData[[#This Row],[Age]]&lt;=44,"35-44",IF(EmployeeData[[#This Row],[Age]]&lt;=54,"45-54","55+"))))</f>
        <v>35-44</v>
      </c>
      <c r="Z232">
        <f ca="1">DATEDIF(EmployeeData[[#This Row],[DateOfJoining]],IF(AND(EmployeeData[[#This Row],[Attrition]]="Yes",EmployeeData[[#This Row],[LastWorkingDate]]&lt;&gt;""),EmployeeData[[#This Row],[LastWorkingDate]],TODAY()),"Y")</f>
        <v>6</v>
      </c>
      <c r="AA232" t="str">
        <f>IF(EmployeeData[[#This Row],[MonthlyIncome]]&lt;30000,"Low",IF(EmployeeData[[#This Row],[MonthlyIncome]]&lt;=60000,"Medium",IF(EmployeeData[[#This Row],[MonthlyIncome]]&lt;=100000,"High","Very High")))</f>
        <v>Very High</v>
      </c>
      <c r="AB232">
        <f>IF(EmployeeData[[#This Row],[Attrition]]="Yes",1,0)</f>
        <v>0</v>
      </c>
      <c r="AC232" t="str">
        <f ca="1">IF(EmployeeData[[#This Row],[Tenure Years]]&lt;1,"Less than 1 Year",IF(EmployeeData[[#This Row],[Tenure Years]]&lt;=3,"1-3 Years",IF(EmployeeData[[#This Row],[Tenure Years]]&lt;=5,"4-5 Years",IF(EmployeeData[[#This Row],[Tenure Years]]&lt;=10,"6-10 Years","More than 10 Years"))))</f>
        <v>6-10 Years</v>
      </c>
      <c r="AD232">
        <f>ROUND(AVERAGE(EmployeeData[[#This Row],[JobSatisfaction]],EmployeeData[[#This Row],[EnvironmentSatisfaction]],EmployeeData[[#This Row],[WorkLifeBalance]]),2)</f>
        <v>3.67</v>
      </c>
      <c r="AE232" t="str">
        <f>IF(EmployeeData[[#This Row],[Satisfaction Score]]&lt;2,"Low",IF(EmployeeData[[#This Row],[Satisfaction Score]]&lt;3,"Medium","High"))</f>
        <v>High</v>
      </c>
    </row>
    <row r="233" spans="1:31" x14ac:dyDescent="0.25">
      <c r="A233" t="s">
        <v>1193</v>
      </c>
      <c r="B233" t="s">
        <v>1194</v>
      </c>
      <c r="C233" t="s">
        <v>58</v>
      </c>
      <c r="D233">
        <v>44</v>
      </c>
      <c r="E233" t="s">
        <v>27</v>
      </c>
      <c r="F233" t="s">
        <v>188</v>
      </c>
      <c r="G233" s="1">
        <v>43307</v>
      </c>
      <c r="H233">
        <v>77338</v>
      </c>
      <c r="I233" t="s">
        <v>52</v>
      </c>
      <c r="J233" t="s">
        <v>97</v>
      </c>
      <c r="K233" t="s">
        <v>32</v>
      </c>
      <c r="L233" t="s">
        <v>33</v>
      </c>
      <c r="M233">
        <v>36</v>
      </c>
      <c r="N233" t="s">
        <v>34</v>
      </c>
      <c r="O233">
        <v>4</v>
      </c>
      <c r="P233">
        <v>1</v>
      </c>
      <c r="Q233">
        <v>2</v>
      </c>
      <c r="R233">
        <v>3</v>
      </c>
      <c r="S233">
        <v>1</v>
      </c>
      <c r="T233">
        <v>7</v>
      </c>
      <c r="U233">
        <v>17</v>
      </c>
      <c r="V233" t="s">
        <v>1197</v>
      </c>
      <c r="W233" t="s">
        <v>34</v>
      </c>
      <c r="Y233" s="2" t="str">
        <f>IF(EmployeeData[[#This Row],[Age]]&lt;25,"Under 25",IF(EmployeeData[[#This Row],[Age]]&lt;=34,"25-34",IF(EmployeeData[[#This Row],[Age]]&lt;=44,"35-44",IF(EmployeeData[[#This Row],[Age]]&lt;=54,"45-54","55+"))))</f>
        <v>35-44</v>
      </c>
      <c r="Z233">
        <f ca="1">DATEDIF(EmployeeData[[#This Row],[DateOfJoining]],IF(AND(EmployeeData[[#This Row],[Attrition]]="Yes",EmployeeData[[#This Row],[LastWorkingDate]]&lt;&gt;""),EmployeeData[[#This Row],[LastWorkingDate]],TODAY()),"Y")</f>
        <v>8</v>
      </c>
      <c r="AA233" t="str">
        <f>IF(EmployeeData[[#This Row],[MonthlyIncome]]&lt;30000,"Low",IF(EmployeeData[[#This Row],[MonthlyIncome]]&lt;=60000,"Medium",IF(EmployeeData[[#This Row],[MonthlyIncome]]&lt;=100000,"High","Very High")))</f>
        <v>High</v>
      </c>
      <c r="AB233">
        <f>IF(EmployeeData[[#This Row],[Attrition]]="Yes",1,0)</f>
        <v>0</v>
      </c>
      <c r="AC233" t="str">
        <f ca="1">IF(EmployeeData[[#This Row],[Tenure Years]]&lt;1,"Less than 1 Year",IF(EmployeeData[[#This Row],[Tenure Years]]&lt;=3,"1-3 Years",IF(EmployeeData[[#This Row],[Tenure Years]]&lt;=5,"4-5 Years",IF(EmployeeData[[#This Row],[Tenure Years]]&lt;=10,"6-10 Years","More than 10 Years"))))</f>
        <v>6-10 Years</v>
      </c>
      <c r="AD233">
        <f>ROUND(AVERAGE(EmployeeData[[#This Row],[JobSatisfaction]],EmployeeData[[#This Row],[EnvironmentSatisfaction]],EmployeeData[[#This Row],[WorkLifeBalance]]),2)</f>
        <v>2.33</v>
      </c>
      <c r="AE233" t="str">
        <f>IF(EmployeeData[[#This Row],[Satisfaction Score]]&lt;2,"Low",IF(EmployeeData[[#This Row],[Satisfaction Score]]&lt;3,"Medium","High"))</f>
        <v>Medium</v>
      </c>
    </row>
    <row r="234" spans="1:31" x14ac:dyDescent="0.25">
      <c r="A234" t="s">
        <v>1198</v>
      </c>
      <c r="B234" t="s">
        <v>1199</v>
      </c>
      <c r="C234" t="s">
        <v>58</v>
      </c>
      <c r="D234">
        <v>47</v>
      </c>
      <c r="E234" t="s">
        <v>94</v>
      </c>
      <c r="F234" t="s">
        <v>356</v>
      </c>
      <c r="G234" s="1">
        <v>44368</v>
      </c>
      <c r="H234">
        <v>53215</v>
      </c>
      <c r="I234" t="s">
        <v>42</v>
      </c>
      <c r="J234" t="s">
        <v>61</v>
      </c>
      <c r="K234" t="s">
        <v>83</v>
      </c>
      <c r="L234" t="s">
        <v>62</v>
      </c>
      <c r="M234">
        <v>39</v>
      </c>
      <c r="N234" t="s">
        <v>34</v>
      </c>
      <c r="O234">
        <v>4</v>
      </c>
      <c r="P234">
        <v>1</v>
      </c>
      <c r="Q234">
        <v>1</v>
      </c>
      <c r="R234">
        <v>3</v>
      </c>
      <c r="S234">
        <v>4</v>
      </c>
      <c r="T234">
        <v>7</v>
      </c>
      <c r="U234">
        <v>12</v>
      </c>
      <c r="V234" t="s">
        <v>1201</v>
      </c>
      <c r="W234" t="s">
        <v>34</v>
      </c>
      <c r="Y234" s="2" t="str">
        <f>IF(EmployeeData[[#This Row],[Age]]&lt;25,"Under 25",IF(EmployeeData[[#This Row],[Age]]&lt;=34,"25-34",IF(EmployeeData[[#This Row],[Age]]&lt;=44,"35-44",IF(EmployeeData[[#This Row],[Age]]&lt;=54,"45-54","55+"))))</f>
        <v>45-54</v>
      </c>
      <c r="Z234">
        <f ca="1">DATEDIF(EmployeeData[[#This Row],[DateOfJoining]],IF(AND(EmployeeData[[#This Row],[Attrition]]="Yes",EmployeeData[[#This Row],[LastWorkingDate]]&lt;&gt;""),EmployeeData[[#This Row],[LastWorkingDate]],TODAY()),"Y")</f>
        <v>5</v>
      </c>
      <c r="AA234" t="str">
        <f>IF(EmployeeData[[#This Row],[MonthlyIncome]]&lt;30000,"Low",IF(EmployeeData[[#This Row],[MonthlyIncome]]&lt;=60000,"Medium",IF(EmployeeData[[#This Row],[MonthlyIncome]]&lt;=100000,"High","Very High")))</f>
        <v>Medium</v>
      </c>
      <c r="AB234">
        <f>IF(EmployeeData[[#This Row],[Attrition]]="Yes",1,0)</f>
        <v>0</v>
      </c>
      <c r="AC234" t="str">
        <f ca="1">IF(EmployeeData[[#This Row],[Tenure Years]]&lt;1,"Less than 1 Year",IF(EmployeeData[[#This Row],[Tenure Years]]&lt;=3,"1-3 Years",IF(EmployeeData[[#This Row],[Tenure Years]]&lt;=5,"4-5 Years",IF(EmployeeData[[#This Row],[Tenure Years]]&lt;=10,"6-10 Years","More than 10 Years"))))</f>
        <v>4-5 Years</v>
      </c>
      <c r="AD234">
        <f>ROUND(AVERAGE(EmployeeData[[#This Row],[JobSatisfaction]],EmployeeData[[#This Row],[EnvironmentSatisfaction]],EmployeeData[[#This Row],[WorkLifeBalance]]),2)</f>
        <v>2</v>
      </c>
      <c r="AE234" t="str">
        <f>IF(EmployeeData[[#This Row],[Satisfaction Score]]&lt;2,"Low",IF(EmployeeData[[#This Row],[Satisfaction Score]]&lt;3,"Medium","High"))</f>
        <v>Medium</v>
      </c>
    </row>
    <row r="235" spans="1:31" x14ac:dyDescent="0.25">
      <c r="A235" t="s">
        <v>1202</v>
      </c>
      <c r="B235" t="s">
        <v>1203</v>
      </c>
      <c r="C235" t="s">
        <v>49</v>
      </c>
      <c r="D235">
        <v>38</v>
      </c>
      <c r="E235" t="s">
        <v>94</v>
      </c>
      <c r="F235" t="s">
        <v>639</v>
      </c>
      <c r="G235" s="1">
        <v>40970</v>
      </c>
      <c r="H235">
        <v>55252</v>
      </c>
      <c r="I235" t="s">
        <v>5459</v>
      </c>
      <c r="J235" t="s">
        <v>31</v>
      </c>
      <c r="K235" t="s">
        <v>54</v>
      </c>
      <c r="L235" t="s">
        <v>62</v>
      </c>
      <c r="M235">
        <v>29</v>
      </c>
      <c r="N235" t="s">
        <v>45</v>
      </c>
      <c r="O235">
        <v>2</v>
      </c>
      <c r="P235">
        <v>3</v>
      </c>
      <c r="Q235">
        <v>4</v>
      </c>
      <c r="R235">
        <v>2</v>
      </c>
      <c r="S235">
        <v>3</v>
      </c>
      <c r="T235">
        <v>5</v>
      </c>
      <c r="U235">
        <v>21</v>
      </c>
      <c r="V235" t="s">
        <v>1205</v>
      </c>
      <c r="W235" t="s">
        <v>45</v>
      </c>
      <c r="X235" s="1">
        <v>45453</v>
      </c>
      <c r="Y235" s="2" t="str">
        <f>IF(EmployeeData[[#This Row],[Age]]&lt;25,"Under 25",IF(EmployeeData[[#This Row],[Age]]&lt;=34,"25-34",IF(EmployeeData[[#This Row],[Age]]&lt;=44,"35-44",IF(EmployeeData[[#This Row],[Age]]&lt;=54,"45-54","55+"))))</f>
        <v>35-44</v>
      </c>
      <c r="Z235">
        <f ca="1">DATEDIF(EmployeeData[[#This Row],[DateOfJoining]],IF(AND(EmployeeData[[#This Row],[Attrition]]="Yes",EmployeeData[[#This Row],[LastWorkingDate]]&lt;&gt;""),EmployeeData[[#This Row],[LastWorkingDate]],TODAY()),"Y")</f>
        <v>12</v>
      </c>
      <c r="AA235" t="str">
        <f>IF(EmployeeData[[#This Row],[MonthlyIncome]]&lt;30000,"Low",IF(EmployeeData[[#This Row],[MonthlyIncome]]&lt;=60000,"Medium",IF(EmployeeData[[#This Row],[MonthlyIncome]]&lt;=100000,"High","Very High")))</f>
        <v>Medium</v>
      </c>
      <c r="AB235">
        <f>IF(EmployeeData[[#This Row],[Attrition]]="Yes",1,0)</f>
        <v>1</v>
      </c>
      <c r="AC235" t="str">
        <f ca="1">IF(EmployeeData[[#This Row],[Tenure Years]]&lt;1,"Less than 1 Year",IF(EmployeeData[[#This Row],[Tenure Years]]&lt;=3,"1-3 Years",IF(EmployeeData[[#This Row],[Tenure Years]]&lt;=5,"4-5 Years",IF(EmployeeData[[#This Row],[Tenure Years]]&lt;=10,"6-10 Years","More than 10 Years"))))</f>
        <v>More than 10 Years</v>
      </c>
      <c r="AD235">
        <f>ROUND(AVERAGE(EmployeeData[[#This Row],[JobSatisfaction]],EmployeeData[[#This Row],[EnvironmentSatisfaction]],EmployeeData[[#This Row],[WorkLifeBalance]]),2)</f>
        <v>3</v>
      </c>
      <c r="AE235" t="str">
        <f>IF(EmployeeData[[#This Row],[Satisfaction Score]]&lt;2,"Low",IF(EmployeeData[[#This Row],[Satisfaction Score]]&lt;3,"Medium","High"))</f>
        <v>High</v>
      </c>
    </row>
    <row r="236" spans="1:31" x14ac:dyDescent="0.25">
      <c r="A236" t="s">
        <v>1207</v>
      </c>
      <c r="B236" t="s">
        <v>1208</v>
      </c>
      <c r="C236" t="s">
        <v>49</v>
      </c>
      <c r="D236">
        <v>22</v>
      </c>
      <c r="E236" t="s">
        <v>412</v>
      </c>
      <c r="F236" t="s">
        <v>1093</v>
      </c>
      <c r="G236" s="1">
        <v>41696</v>
      </c>
      <c r="H236">
        <v>60947</v>
      </c>
      <c r="I236" t="s">
        <v>52</v>
      </c>
      <c r="J236" t="s">
        <v>53</v>
      </c>
      <c r="K236" t="s">
        <v>32</v>
      </c>
      <c r="L236" t="s">
        <v>62</v>
      </c>
      <c r="M236">
        <v>14</v>
      </c>
      <c r="N236" t="s">
        <v>34</v>
      </c>
      <c r="O236">
        <v>3</v>
      </c>
      <c r="P236">
        <v>3</v>
      </c>
      <c r="Q236">
        <v>2</v>
      </c>
      <c r="R236">
        <v>4</v>
      </c>
      <c r="S236">
        <v>4</v>
      </c>
      <c r="T236">
        <v>3</v>
      </c>
      <c r="U236">
        <v>22</v>
      </c>
      <c r="V236" t="s">
        <v>1210</v>
      </c>
      <c r="W236" t="s">
        <v>34</v>
      </c>
      <c r="Y236" s="2" t="str">
        <f>IF(EmployeeData[[#This Row],[Age]]&lt;25,"Under 25",IF(EmployeeData[[#This Row],[Age]]&lt;=34,"25-34",IF(EmployeeData[[#This Row],[Age]]&lt;=44,"35-44",IF(EmployeeData[[#This Row],[Age]]&lt;=54,"45-54","55+"))))</f>
        <v>Under 25</v>
      </c>
      <c r="Z236">
        <f ca="1">DATEDIF(EmployeeData[[#This Row],[DateOfJoining]],IF(AND(EmployeeData[[#This Row],[Attrition]]="Yes",EmployeeData[[#This Row],[LastWorkingDate]]&lt;&gt;""),EmployeeData[[#This Row],[LastWorkingDate]],TODAY()),"Y")</f>
        <v>12</v>
      </c>
      <c r="AA236" t="str">
        <f>IF(EmployeeData[[#This Row],[MonthlyIncome]]&lt;30000,"Low",IF(EmployeeData[[#This Row],[MonthlyIncome]]&lt;=60000,"Medium",IF(EmployeeData[[#This Row],[MonthlyIncome]]&lt;=100000,"High","Very High")))</f>
        <v>High</v>
      </c>
      <c r="AB236">
        <f>IF(EmployeeData[[#This Row],[Attrition]]="Yes",1,0)</f>
        <v>0</v>
      </c>
      <c r="AC236" t="str">
        <f ca="1">IF(EmployeeData[[#This Row],[Tenure Years]]&lt;1,"Less than 1 Year",IF(EmployeeData[[#This Row],[Tenure Years]]&lt;=3,"1-3 Years",IF(EmployeeData[[#This Row],[Tenure Years]]&lt;=5,"4-5 Years",IF(EmployeeData[[#This Row],[Tenure Years]]&lt;=10,"6-10 Years","More than 10 Years"))))</f>
        <v>More than 10 Years</v>
      </c>
      <c r="AD236">
        <f>ROUND(AVERAGE(EmployeeData[[#This Row],[JobSatisfaction]],EmployeeData[[#This Row],[EnvironmentSatisfaction]],EmployeeData[[#This Row],[WorkLifeBalance]]),2)</f>
        <v>2.67</v>
      </c>
      <c r="AE236" t="str">
        <f>IF(EmployeeData[[#This Row],[Satisfaction Score]]&lt;2,"Low",IF(EmployeeData[[#This Row],[Satisfaction Score]]&lt;3,"Medium","High"))</f>
        <v>Medium</v>
      </c>
    </row>
    <row r="237" spans="1:31" x14ac:dyDescent="0.25">
      <c r="A237" t="s">
        <v>1211</v>
      </c>
      <c r="B237" t="s">
        <v>1212</v>
      </c>
      <c r="C237" t="s">
        <v>49</v>
      </c>
      <c r="D237">
        <v>24</v>
      </c>
      <c r="E237" t="s">
        <v>128</v>
      </c>
      <c r="F237" t="s">
        <v>271</v>
      </c>
      <c r="G237" s="1">
        <v>41277</v>
      </c>
      <c r="H237">
        <v>95856</v>
      </c>
      <c r="I237" t="s">
        <v>52</v>
      </c>
      <c r="J237" t="s">
        <v>97</v>
      </c>
      <c r="K237" t="s">
        <v>54</v>
      </c>
      <c r="L237" t="s">
        <v>33</v>
      </c>
      <c r="M237">
        <v>37</v>
      </c>
      <c r="N237" t="s">
        <v>34</v>
      </c>
      <c r="O237">
        <v>2</v>
      </c>
      <c r="P237">
        <v>3</v>
      </c>
      <c r="Q237">
        <v>1</v>
      </c>
      <c r="R237">
        <v>3</v>
      </c>
      <c r="S237">
        <v>2</v>
      </c>
      <c r="T237">
        <v>4</v>
      </c>
      <c r="U237">
        <v>13</v>
      </c>
      <c r="V237" t="s">
        <v>1214</v>
      </c>
      <c r="W237" t="s">
        <v>45</v>
      </c>
      <c r="X237" s="1">
        <v>42749</v>
      </c>
      <c r="Y237" s="2" t="str">
        <f>IF(EmployeeData[[#This Row],[Age]]&lt;25,"Under 25",IF(EmployeeData[[#This Row],[Age]]&lt;=34,"25-34",IF(EmployeeData[[#This Row],[Age]]&lt;=44,"35-44",IF(EmployeeData[[#This Row],[Age]]&lt;=54,"45-54","55+"))))</f>
        <v>Under 25</v>
      </c>
      <c r="Z237">
        <f ca="1">DATEDIF(EmployeeData[[#This Row],[DateOfJoining]],IF(AND(EmployeeData[[#This Row],[Attrition]]="Yes",EmployeeData[[#This Row],[LastWorkingDate]]&lt;&gt;""),EmployeeData[[#This Row],[LastWorkingDate]],TODAY()),"Y")</f>
        <v>4</v>
      </c>
      <c r="AA237" t="str">
        <f>IF(EmployeeData[[#This Row],[MonthlyIncome]]&lt;30000,"Low",IF(EmployeeData[[#This Row],[MonthlyIncome]]&lt;=60000,"Medium",IF(EmployeeData[[#This Row],[MonthlyIncome]]&lt;=100000,"High","Very High")))</f>
        <v>High</v>
      </c>
      <c r="AB237">
        <f>IF(EmployeeData[[#This Row],[Attrition]]="Yes",1,0)</f>
        <v>1</v>
      </c>
      <c r="AC237" t="str">
        <f ca="1">IF(EmployeeData[[#This Row],[Tenure Years]]&lt;1,"Less than 1 Year",IF(EmployeeData[[#This Row],[Tenure Years]]&lt;=3,"1-3 Years",IF(EmployeeData[[#This Row],[Tenure Years]]&lt;=5,"4-5 Years",IF(EmployeeData[[#This Row],[Tenure Years]]&lt;=10,"6-10 Years","More than 10 Years"))))</f>
        <v>4-5 Years</v>
      </c>
      <c r="AD237">
        <f>ROUND(AVERAGE(EmployeeData[[#This Row],[JobSatisfaction]],EmployeeData[[#This Row],[EnvironmentSatisfaction]],EmployeeData[[#This Row],[WorkLifeBalance]]),2)</f>
        <v>2</v>
      </c>
      <c r="AE237" t="str">
        <f>IF(EmployeeData[[#This Row],[Satisfaction Score]]&lt;2,"Low",IF(EmployeeData[[#This Row],[Satisfaction Score]]&lt;3,"Medium","High"))</f>
        <v>Medium</v>
      </c>
    </row>
    <row r="238" spans="1:31" x14ac:dyDescent="0.25">
      <c r="A238" t="s">
        <v>1216</v>
      </c>
      <c r="B238" t="s">
        <v>1217</v>
      </c>
      <c r="C238" t="s">
        <v>49</v>
      </c>
      <c r="D238">
        <v>19</v>
      </c>
      <c r="E238" t="s">
        <v>5461</v>
      </c>
      <c r="F238" t="s">
        <v>261</v>
      </c>
      <c r="G238" s="1">
        <v>41070</v>
      </c>
      <c r="H238">
        <v>61787</v>
      </c>
      <c r="I238" t="s">
        <v>52</v>
      </c>
      <c r="J238" t="s">
        <v>31</v>
      </c>
      <c r="K238" t="s">
        <v>32</v>
      </c>
      <c r="L238" t="s">
        <v>62</v>
      </c>
      <c r="M238">
        <v>21</v>
      </c>
      <c r="N238" t="s">
        <v>34</v>
      </c>
      <c r="O238">
        <v>2</v>
      </c>
      <c r="P238">
        <v>1</v>
      </c>
      <c r="Q238">
        <v>3</v>
      </c>
      <c r="R238">
        <v>5</v>
      </c>
      <c r="S238">
        <v>1</v>
      </c>
      <c r="T238">
        <v>8</v>
      </c>
      <c r="U238">
        <v>23</v>
      </c>
      <c r="V238" t="s">
        <v>1219</v>
      </c>
      <c r="W238" t="s">
        <v>34</v>
      </c>
      <c r="Y238" s="2" t="str">
        <f>IF(EmployeeData[[#This Row],[Age]]&lt;25,"Under 25",IF(EmployeeData[[#This Row],[Age]]&lt;=34,"25-34",IF(EmployeeData[[#This Row],[Age]]&lt;=44,"35-44",IF(EmployeeData[[#This Row],[Age]]&lt;=54,"45-54","55+"))))</f>
        <v>Under 25</v>
      </c>
      <c r="Z238">
        <f ca="1">DATEDIF(EmployeeData[[#This Row],[DateOfJoining]],IF(AND(EmployeeData[[#This Row],[Attrition]]="Yes",EmployeeData[[#This Row],[LastWorkingDate]]&lt;&gt;""),EmployeeData[[#This Row],[LastWorkingDate]],TODAY()),"Y")</f>
        <v>14</v>
      </c>
      <c r="AA238" t="str">
        <f>IF(EmployeeData[[#This Row],[MonthlyIncome]]&lt;30000,"Low",IF(EmployeeData[[#This Row],[MonthlyIncome]]&lt;=60000,"Medium",IF(EmployeeData[[#This Row],[MonthlyIncome]]&lt;=100000,"High","Very High")))</f>
        <v>High</v>
      </c>
      <c r="AB238">
        <f>IF(EmployeeData[[#This Row],[Attrition]]="Yes",1,0)</f>
        <v>0</v>
      </c>
      <c r="AC238" t="str">
        <f ca="1">IF(EmployeeData[[#This Row],[Tenure Years]]&lt;1,"Less than 1 Year",IF(EmployeeData[[#This Row],[Tenure Years]]&lt;=3,"1-3 Years",IF(EmployeeData[[#This Row],[Tenure Years]]&lt;=5,"4-5 Years",IF(EmployeeData[[#This Row],[Tenure Years]]&lt;=10,"6-10 Years","More than 10 Years"))))</f>
        <v>More than 10 Years</v>
      </c>
      <c r="AD238">
        <f>ROUND(AVERAGE(EmployeeData[[#This Row],[JobSatisfaction]],EmployeeData[[#This Row],[EnvironmentSatisfaction]],EmployeeData[[#This Row],[WorkLifeBalance]]),2)</f>
        <v>2</v>
      </c>
      <c r="AE238" t="str">
        <f>IF(EmployeeData[[#This Row],[Satisfaction Score]]&lt;2,"Low",IF(EmployeeData[[#This Row],[Satisfaction Score]]&lt;3,"Medium","High"))</f>
        <v>Medium</v>
      </c>
    </row>
    <row r="239" spans="1:31" x14ac:dyDescent="0.25">
      <c r="A239" t="s">
        <v>1220</v>
      </c>
      <c r="B239" t="s">
        <v>1221</v>
      </c>
      <c r="C239" t="s">
        <v>58</v>
      </c>
      <c r="D239">
        <v>36</v>
      </c>
      <c r="E239" t="s">
        <v>197</v>
      </c>
      <c r="F239" t="s">
        <v>573</v>
      </c>
      <c r="G239" s="1">
        <v>45240</v>
      </c>
      <c r="H239">
        <v>101729</v>
      </c>
      <c r="I239" t="s">
        <v>5459</v>
      </c>
      <c r="J239" t="s">
        <v>61</v>
      </c>
      <c r="K239" t="s">
        <v>106</v>
      </c>
      <c r="L239" t="s">
        <v>43</v>
      </c>
      <c r="M239">
        <v>41</v>
      </c>
      <c r="N239" t="s">
        <v>34</v>
      </c>
      <c r="O239">
        <v>4</v>
      </c>
      <c r="P239">
        <v>4</v>
      </c>
      <c r="Q239">
        <v>2</v>
      </c>
      <c r="R239">
        <v>4</v>
      </c>
      <c r="S239">
        <v>2</v>
      </c>
      <c r="T239">
        <v>4</v>
      </c>
      <c r="U239">
        <v>11</v>
      </c>
      <c r="V239" t="s">
        <v>1224</v>
      </c>
      <c r="W239" t="s">
        <v>34</v>
      </c>
      <c r="Y239" s="2" t="str">
        <f>IF(EmployeeData[[#This Row],[Age]]&lt;25,"Under 25",IF(EmployeeData[[#This Row],[Age]]&lt;=34,"25-34",IF(EmployeeData[[#This Row],[Age]]&lt;=44,"35-44",IF(EmployeeData[[#This Row],[Age]]&lt;=54,"45-54","55+"))))</f>
        <v>35-44</v>
      </c>
      <c r="Z239">
        <f ca="1">DATEDIF(EmployeeData[[#This Row],[DateOfJoining]],IF(AND(EmployeeData[[#This Row],[Attrition]]="Yes",EmployeeData[[#This Row],[LastWorkingDate]]&lt;&gt;""),EmployeeData[[#This Row],[LastWorkingDate]],TODAY()),"Y")</f>
        <v>2</v>
      </c>
      <c r="AA239" t="str">
        <f>IF(EmployeeData[[#This Row],[MonthlyIncome]]&lt;30000,"Low",IF(EmployeeData[[#This Row],[MonthlyIncome]]&lt;=60000,"Medium",IF(EmployeeData[[#This Row],[MonthlyIncome]]&lt;=100000,"High","Very High")))</f>
        <v>Very High</v>
      </c>
      <c r="AB239">
        <f>IF(EmployeeData[[#This Row],[Attrition]]="Yes",1,0)</f>
        <v>0</v>
      </c>
      <c r="AC239" t="str">
        <f ca="1">IF(EmployeeData[[#This Row],[Tenure Years]]&lt;1,"Less than 1 Year",IF(EmployeeData[[#This Row],[Tenure Years]]&lt;=3,"1-3 Years",IF(EmployeeData[[#This Row],[Tenure Years]]&lt;=5,"4-5 Years",IF(EmployeeData[[#This Row],[Tenure Years]]&lt;=10,"6-10 Years","More than 10 Years"))))</f>
        <v>1-3 Years</v>
      </c>
      <c r="AD239">
        <f>ROUND(AVERAGE(EmployeeData[[#This Row],[JobSatisfaction]],EmployeeData[[#This Row],[EnvironmentSatisfaction]],EmployeeData[[#This Row],[WorkLifeBalance]]),2)</f>
        <v>3.33</v>
      </c>
      <c r="AE239" t="str">
        <f>IF(EmployeeData[[#This Row],[Satisfaction Score]]&lt;2,"Low",IF(EmployeeData[[#This Row],[Satisfaction Score]]&lt;3,"Medium","High"))</f>
        <v>High</v>
      </c>
    </row>
    <row r="240" spans="1:31" x14ac:dyDescent="0.25">
      <c r="A240" t="s">
        <v>1225</v>
      </c>
      <c r="B240" t="s">
        <v>1226</v>
      </c>
      <c r="C240" t="s">
        <v>49</v>
      </c>
      <c r="D240">
        <v>45</v>
      </c>
      <c r="E240" t="s">
        <v>128</v>
      </c>
      <c r="F240" t="s">
        <v>255</v>
      </c>
      <c r="G240" s="1">
        <v>44068</v>
      </c>
      <c r="H240">
        <v>73565</v>
      </c>
      <c r="I240" t="s">
        <v>42</v>
      </c>
      <c r="J240" t="s">
        <v>61</v>
      </c>
      <c r="K240" t="s">
        <v>54</v>
      </c>
      <c r="L240" t="s">
        <v>62</v>
      </c>
      <c r="M240">
        <v>14</v>
      </c>
      <c r="N240" t="s">
        <v>45</v>
      </c>
      <c r="O240">
        <v>2</v>
      </c>
      <c r="P240">
        <v>3</v>
      </c>
      <c r="Q240">
        <v>2</v>
      </c>
      <c r="R240">
        <v>4</v>
      </c>
      <c r="S240">
        <v>0</v>
      </c>
      <c r="T240">
        <v>7</v>
      </c>
      <c r="U240">
        <v>23</v>
      </c>
      <c r="V240" t="s">
        <v>1229</v>
      </c>
      <c r="W240" t="s">
        <v>45</v>
      </c>
      <c r="X240" s="1">
        <v>45738</v>
      </c>
      <c r="Y240" s="2" t="str">
        <f>IF(EmployeeData[[#This Row],[Age]]&lt;25,"Under 25",IF(EmployeeData[[#This Row],[Age]]&lt;=34,"25-34",IF(EmployeeData[[#This Row],[Age]]&lt;=44,"35-44",IF(EmployeeData[[#This Row],[Age]]&lt;=54,"45-54","55+"))))</f>
        <v>45-54</v>
      </c>
      <c r="Z240">
        <f ca="1">DATEDIF(EmployeeData[[#This Row],[DateOfJoining]],IF(AND(EmployeeData[[#This Row],[Attrition]]="Yes",EmployeeData[[#This Row],[LastWorkingDate]]&lt;&gt;""),EmployeeData[[#This Row],[LastWorkingDate]],TODAY()),"Y")</f>
        <v>4</v>
      </c>
      <c r="AA240" t="str">
        <f>IF(EmployeeData[[#This Row],[MonthlyIncome]]&lt;30000,"Low",IF(EmployeeData[[#This Row],[MonthlyIncome]]&lt;=60000,"Medium",IF(EmployeeData[[#This Row],[MonthlyIncome]]&lt;=100000,"High","Very High")))</f>
        <v>High</v>
      </c>
      <c r="AB240">
        <f>IF(EmployeeData[[#This Row],[Attrition]]="Yes",1,0)</f>
        <v>1</v>
      </c>
      <c r="AC240" t="str">
        <f ca="1">IF(EmployeeData[[#This Row],[Tenure Years]]&lt;1,"Less than 1 Year",IF(EmployeeData[[#This Row],[Tenure Years]]&lt;=3,"1-3 Years",IF(EmployeeData[[#This Row],[Tenure Years]]&lt;=5,"4-5 Years",IF(EmployeeData[[#This Row],[Tenure Years]]&lt;=10,"6-10 Years","More than 10 Years"))))</f>
        <v>4-5 Years</v>
      </c>
      <c r="AD240">
        <f>ROUND(AVERAGE(EmployeeData[[#This Row],[JobSatisfaction]],EmployeeData[[#This Row],[EnvironmentSatisfaction]],EmployeeData[[#This Row],[WorkLifeBalance]]),2)</f>
        <v>2.33</v>
      </c>
      <c r="AE240" t="str">
        <f>IF(EmployeeData[[#This Row],[Satisfaction Score]]&lt;2,"Low",IF(EmployeeData[[#This Row],[Satisfaction Score]]&lt;3,"Medium","High"))</f>
        <v>Medium</v>
      </c>
    </row>
    <row r="241" spans="1:31" x14ac:dyDescent="0.25">
      <c r="A241" t="s">
        <v>1231</v>
      </c>
      <c r="B241" t="s">
        <v>1232</v>
      </c>
      <c r="C241" t="s">
        <v>58</v>
      </c>
      <c r="D241">
        <v>29</v>
      </c>
      <c r="E241" t="s">
        <v>27</v>
      </c>
      <c r="F241" t="s">
        <v>50</v>
      </c>
      <c r="G241" s="1">
        <v>40903</v>
      </c>
      <c r="H241">
        <v>80978</v>
      </c>
      <c r="I241" t="s">
        <v>30</v>
      </c>
      <c r="J241" t="s">
        <v>143</v>
      </c>
      <c r="K241" t="s">
        <v>113</v>
      </c>
      <c r="L241" t="s">
        <v>33</v>
      </c>
      <c r="M241">
        <v>1</v>
      </c>
      <c r="N241" t="s">
        <v>34</v>
      </c>
      <c r="O241">
        <v>4</v>
      </c>
      <c r="P241">
        <v>3</v>
      </c>
      <c r="Q241">
        <v>3</v>
      </c>
      <c r="R241">
        <v>3</v>
      </c>
      <c r="S241">
        <v>6</v>
      </c>
      <c r="T241">
        <v>8</v>
      </c>
      <c r="U241">
        <v>21</v>
      </c>
      <c r="V241" t="s">
        <v>1235</v>
      </c>
      <c r="W241" t="s">
        <v>34</v>
      </c>
      <c r="Y241" s="2" t="str">
        <f>IF(EmployeeData[[#This Row],[Age]]&lt;25,"Under 25",IF(EmployeeData[[#This Row],[Age]]&lt;=34,"25-34",IF(EmployeeData[[#This Row],[Age]]&lt;=44,"35-44",IF(EmployeeData[[#This Row],[Age]]&lt;=54,"45-54","55+"))))</f>
        <v>25-34</v>
      </c>
      <c r="Z241">
        <f ca="1">DATEDIF(EmployeeData[[#This Row],[DateOfJoining]],IF(AND(EmployeeData[[#This Row],[Attrition]]="Yes",EmployeeData[[#This Row],[LastWorkingDate]]&lt;&gt;""),EmployeeData[[#This Row],[LastWorkingDate]],TODAY()),"Y")</f>
        <v>14</v>
      </c>
      <c r="AA241" t="str">
        <f>IF(EmployeeData[[#This Row],[MonthlyIncome]]&lt;30000,"Low",IF(EmployeeData[[#This Row],[MonthlyIncome]]&lt;=60000,"Medium",IF(EmployeeData[[#This Row],[MonthlyIncome]]&lt;=100000,"High","Very High")))</f>
        <v>High</v>
      </c>
      <c r="AB241">
        <f>IF(EmployeeData[[#This Row],[Attrition]]="Yes",1,0)</f>
        <v>0</v>
      </c>
      <c r="AC241" t="str">
        <f ca="1">IF(EmployeeData[[#This Row],[Tenure Years]]&lt;1,"Less than 1 Year",IF(EmployeeData[[#This Row],[Tenure Years]]&lt;=3,"1-3 Years",IF(EmployeeData[[#This Row],[Tenure Years]]&lt;=5,"4-5 Years",IF(EmployeeData[[#This Row],[Tenure Years]]&lt;=10,"6-10 Years","More than 10 Years"))))</f>
        <v>More than 10 Years</v>
      </c>
      <c r="AD241">
        <f>ROUND(AVERAGE(EmployeeData[[#This Row],[JobSatisfaction]],EmployeeData[[#This Row],[EnvironmentSatisfaction]],EmployeeData[[#This Row],[WorkLifeBalance]]),2)</f>
        <v>3.33</v>
      </c>
      <c r="AE241" t="str">
        <f>IF(EmployeeData[[#This Row],[Satisfaction Score]]&lt;2,"Low",IF(EmployeeData[[#This Row],[Satisfaction Score]]&lt;3,"Medium","High"))</f>
        <v>High</v>
      </c>
    </row>
    <row r="242" spans="1:31" x14ac:dyDescent="0.25">
      <c r="A242" t="s">
        <v>1236</v>
      </c>
      <c r="B242" t="s">
        <v>1237</v>
      </c>
      <c r="C242" t="s">
        <v>58</v>
      </c>
      <c r="D242">
        <v>19</v>
      </c>
      <c r="E242" t="s">
        <v>5461</v>
      </c>
      <c r="F242" t="s">
        <v>261</v>
      </c>
      <c r="G242" s="1">
        <v>41378</v>
      </c>
      <c r="H242">
        <v>114321</v>
      </c>
      <c r="I242" t="s">
        <v>42</v>
      </c>
      <c r="J242" t="s">
        <v>31</v>
      </c>
      <c r="K242" t="s">
        <v>54</v>
      </c>
      <c r="L242" t="s">
        <v>62</v>
      </c>
      <c r="M242">
        <v>27</v>
      </c>
      <c r="N242" t="s">
        <v>34</v>
      </c>
      <c r="O242">
        <v>4</v>
      </c>
      <c r="P242">
        <v>3</v>
      </c>
      <c r="Q242">
        <v>3</v>
      </c>
      <c r="R242">
        <v>3</v>
      </c>
      <c r="S242">
        <v>5</v>
      </c>
      <c r="T242">
        <v>1</v>
      </c>
      <c r="U242">
        <v>11</v>
      </c>
      <c r="V242" t="s">
        <v>1239</v>
      </c>
      <c r="W242" t="s">
        <v>34</v>
      </c>
      <c r="Y242" s="2" t="str">
        <f>IF(EmployeeData[[#This Row],[Age]]&lt;25,"Under 25",IF(EmployeeData[[#This Row],[Age]]&lt;=34,"25-34",IF(EmployeeData[[#This Row],[Age]]&lt;=44,"35-44",IF(EmployeeData[[#This Row],[Age]]&lt;=54,"45-54","55+"))))</f>
        <v>Under 25</v>
      </c>
      <c r="Z242">
        <f ca="1">DATEDIF(EmployeeData[[#This Row],[DateOfJoining]],IF(AND(EmployeeData[[#This Row],[Attrition]]="Yes",EmployeeData[[#This Row],[LastWorkingDate]]&lt;&gt;""),EmployeeData[[#This Row],[LastWorkingDate]],TODAY()),"Y")</f>
        <v>13</v>
      </c>
      <c r="AA242" t="str">
        <f>IF(EmployeeData[[#This Row],[MonthlyIncome]]&lt;30000,"Low",IF(EmployeeData[[#This Row],[MonthlyIncome]]&lt;=60000,"Medium",IF(EmployeeData[[#This Row],[MonthlyIncome]]&lt;=100000,"High","Very High")))</f>
        <v>Very High</v>
      </c>
      <c r="AB242">
        <f>IF(EmployeeData[[#This Row],[Attrition]]="Yes",1,0)</f>
        <v>0</v>
      </c>
      <c r="AC242" t="str">
        <f ca="1">IF(EmployeeData[[#This Row],[Tenure Years]]&lt;1,"Less than 1 Year",IF(EmployeeData[[#This Row],[Tenure Years]]&lt;=3,"1-3 Years",IF(EmployeeData[[#This Row],[Tenure Years]]&lt;=5,"4-5 Years",IF(EmployeeData[[#This Row],[Tenure Years]]&lt;=10,"6-10 Years","More than 10 Years"))))</f>
        <v>More than 10 Years</v>
      </c>
      <c r="AD242">
        <f>ROUND(AVERAGE(EmployeeData[[#This Row],[JobSatisfaction]],EmployeeData[[#This Row],[EnvironmentSatisfaction]],EmployeeData[[#This Row],[WorkLifeBalance]]),2)</f>
        <v>3.33</v>
      </c>
      <c r="AE242" t="str">
        <f>IF(EmployeeData[[#This Row],[Satisfaction Score]]&lt;2,"Low",IF(EmployeeData[[#This Row],[Satisfaction Score]]&lt;3,"Medium","High"))</f>
        <v>High</v>
      </c>
    </row>
    <row r="243" spans="1:31" x14ac:dyDescent="0.25">
      <c r="A243" t="s">
        <v>1240</v>
      </c>
      <c r="B243" t="s">
        <v>1241</v>
      </c>
      <c r="C243" t="s">
        <v>58</v>
      </c>
      <c r="D243">
        <v>40</v>
      </c>
      <c r="E243" t="s">
        <v>5461</v>
      </c>
      <c r="F243" t="s">
        <v>261</v>
      </c>
      <c r="G243" s="1">
        <v>41938</v>
      </c>
      <c r="H243">
        <v>99279</v>
      </c>
      <c r="I243" t="s">
        <v>52</v>
      </c>
      <c r="J243" t="s">
        <v>31</v>
      </c>
      <c r="K243" t="s">
        <v>113</v>
      </c>
      <c r="L243" t="s">
        <v>33</v>
      </c>
      <c r="M243">
        <v>27</v>
      </c>
      <c r="N243" t="s">
        <v>34</v>
      </c>
      <c r="O243">
        <v>2</v>
      </c>
      <c r="P243">
        <v>1</v>
      </c>
      <c r="Q243">
        <v>3</v>
      </c>
      <c r="R243">
        <v>3</v>
      </c>
      <c r="S243">
        <v>6</v>
      </c>
      <c r="T243">
        <v>6</v>
      </c>
      <c r="U243">
        <v>13</v>
      </c>
      <c r="V243" t="s">
        <v>1244</v>
      </c>
      <c r="W243" t="s">
        <v>34</v>
      </c>
      <c r="Y243" s="2" t="str">
        <f>IF(EmployeeData[[#This Row],[Age]]&lt;25,"Under 25",IF(EmployeeData[[#This Row],[Age]]&lt;=34,"25-34",IF(EmployeeData[[#This Row],[Age]]&lt;=44,"35-44",IF(EmployeeData[[#This Row],[Age]]&lt;=54,"45-54","55+"))))</f>
        <v>35-44</v>
      </c>
      <c r="Z243">
        <f ca="1">DATEDIF(EmployeeData[[#This Row],[DateOfJoining]],IF(AND(EmployeeData[[#This Row],[Attrition]]="Yes",EmployeeData[[#This Row],[LastWorkingDate]]&lt;&gt;""),EmployeeData[[#This Row],[LastWorkingDate]],TODAY()),"Y")</f>
        <v>11</v>
      </c>
      <c r="AA243" t="str">
        <f>IF(EmployeeData[[#This Row],[MonthlyIncome]]&lt;30000,"Low",IF(EmployeeData[[#This Row],[MonthlyIncome]]&lt;=60000,"Medium",IF(EmployeeData[[#This Row],[MonthlyIncome]]&lt;=100000,"High","Very High")))</f>
        <v>High</v>
      </c>
      <c r="AB243">
        <f>IF(EmployeeData[[#This Row],[Attrition]]="Yes",1,0)</f>
        <v>0</v>
      </c>
      <c r="AC243" t="str">
        <f ca="1">IF(EmployeeData[[#This Row],[Tenure Years]]&lt;1,"Less than 1 Year",IF(EmployeeData[[#This Row],[Tenure Years]]&lt;=3,"1-3 Years",IF(EmployeeData[[#This Row],[Tenure Years]]&lt;=5,"4-5 Years",IF(EmployeeData[[#This Row],[Tenure Years]]&lt;=10,"6-10 Years","More than 10 Years"))))</f>
        <v>More than 10 Years</v>
      </c>
      <c r="AD243">
        <f>ROUND(AVERAGE(EmployeeData[[#This Row],[JobSatisfaction]],EmployeeData[[#This Row],[EnvironmentSatisfaction]],EmployeeData[[#This Row],[WorkLifeBalance]]),2)</f>
        <v>2</v>
      </c>
      <c r="AE243" t="str">
        <f>IF(EmployeeData[[#This Row],[Satisfaction Score]]&lt;2,"Low",IF(EmployeeData[[#This Row],[Satisfaction Score]]&lt;3,"Medium","High"))</f>
        <v>Medium</v>
      </c>
    </row>
    <row r="244" spans="1:31" x14ac:dyDescent="0.25">
      <c r="A244" t="s">
        <v>1245</v>
      </c>
      <c r="B244" t="s">
        <v>1246</v>
      </c>
      <c r="C244" t="s">
        <v>58</v>
      </c>
      <c r="D244">
        <v>32</v>
      </c>
      <c r="E244" t="s">
        <v>5461</v>
      </c>
      <c r="F244" t="s">
        <v>5464</v>
      </c>
      <c r="G244" s="1">
        <v>43464</v>
      </c>
      <c r="H244">
        <v>97458</v>
      </c>
      <c r="I244" t="s">
        <v>30</v>
      </c>
      <c r="J244" t="s">
        <v>61</v>
      </c>
      <c r="K244" t="s">
        <v>106</v>
      </c>
      <c r="L244" t="s">
        <v>33</v>
      </c>
      <c r="M244">
        <v>22</v>
      </c>
      <c r="N244" t="s">
        <v>34</v>
      </c>
      <c r="O244">
        <v>2</v>
      </c>
      <c r="P244">
        <v>4</v>
      </c>
      <c r="Q244">
        <v>4</v>
      </c>
      <c r="R244">
        <v>4</v>
      </c>
      <c r="S244">
        <v>3</v>
      </c>
      <c r="T244">
        <v>7</v>
      </c>
      <c r="U244">
        <v>15</v>
      </c>
      <c r="V244" t="s">
        <v>1248</v>
      </c>
      <c r="W244" t="s">
        <v>34</v>
      </c>
      <c r="Y244" s="2" t="str">
        <f>IF(EmployeeData[[#This Row],[Age]]&lt;25,"Under 25",IF(EmployeeData[[#This Row],[Age]]&lt;=34,"25-34",IF(EmployeeData[[#This Row],[Age]]&lt;=44,"35-44",IF(EmployeeData[[#This Row],[Age]]&lt;=54,"45-54","55+"))))</f>
        <v>25-34</v>
      </c>
      <c r="Z244">
        <f ca="1">DATEDIF(EmployeeData[[#This Row],[DateOfJoining]],IF(AND(EmployeeData[[#This Row],[Attrition]]="Yes",EmployeeData[[#This Row],[LastWorkingDate]]&lt;&gt;""),EmployeeData[[#This Row],[LastWorkingDate]],TODAY()),"Y")</f>
        <v>7</v>
      </c>
      <c r="AA244" t="str">
        <f>IF(EmployeeData[[#This Row],[MonthlyIncome]]&lt;30000,"Low",IF(EmployeeData[[#This Row],[MonthlyIncome]]&lt;=60000,"Medium",IF(EmployeeData[[#This Row],[MonthlyIncome]]&lt;=100000,"High","Very High")))</f>
        <v>High</v>
      </c>
      <c r="AB244">
        <f>IF(EmployeeData[[#This Row],[Attrition]]="Yes",1,0)</f>
        <v>0</v>
      </c>
      <c r="AC244" t="str">
        <f ca="1">IF(EmployeeData[[#This Row],[Tenure Years]]&lt;1,"Less than 1 Year",IF(EmployeeData[[#This Row],[Tenure Years]]&lt;=3,"1-3 Years",IF(EmployeeData[[#This Row],[Tenure Years]]&lt;=5,"4-5 Years",IF(EmployeeData[[#This Row],[Tenure Years]]&lt;=10,"6-10 Years","More than 10 Years"))))</f>
        <v>6-10 Years</v>
      </c>
      <c r="AD244">
        <f>ROUND(AVERAGE(EmployeeData[[#This Row],[JobSatisfaction]],EmployeeData[[#This Row],[EnvironmentSatisfaction]],EmployeeData[[#This Row],[WorkLifeBalance]]),2)</f>
        <v>3.33</v>
      </c>
      <c r="AE244" t="str">
        <f>IF(EmployeeData[[#This Row],[Satisfaction Score]]&lt;2,"Low",IF(EmployeeData[[#This Row],[Satisfaction Score]]&lt;3,"Medium","High"))</f>
        <v>High</v>
      </c>
    </row>
    <row r="245" spans="1:31" x14ac:dyDescent="0.25">
      <c r="A245" t="s">
        <v>1249</v>
      </c>
      <c r="B245" t="s">
        <v>1250</v>
      </c>
      <c r="C245" t="s">
        <v>49</v>
      </c>
      <c r="D245">
        <v>33</v>
      </c>
      <c r="E245" t="s">
        <v>5461</v>
      </c>
      <c r="F245" t="s">
        <v>261</v>
      </c>
      <c r="G245" s="1">
        <v>42145</v>
      </c>
      <c r="H245">
        <v>68651</v>
      </c>
      <c r="I245" t="s">
        <v>30</v>
      </c>
      <c r="J245" t="s">
        <v>143</v>
      </c>
      <c r="K245" t="s">
        <v>77</v>
      </c>
      <c r="L245" t="s">
        <v>33</v>
      </c>
      <c r="M245">
        <v>16</v>
      </c>
      <c r="N245" t="s">
        <v>34</v>
      </c>
      <c r="O245">
        <v>2</v>
      </c>
      <c r="P245">
        <v>2</v>
      </c>
      <c r="Q245">
        <v>2</v>
      </c>
      <c r="R245">
        <v>2</v>
      </c>
      <c r="S245">
        <v>2</v>
      </c>
      <c r="T245">
        <v>7</v>
      </c>
      <c r="U245">
        <v>23</v>
      </c>
      <c r="V245" t="s">
        <v>1253</v>
      </c>
      <c r="W245" t="s">
        <v>34</v>
      </c>
      <c r="Y245" s="2" t="str">
        <f>IF(EmployeeData[[#This Row],[Age]]&lt;25,"Under 25",IF(EmployeeData[[#This Row],[Age]]&lt;=34,"25-34",IF(EmployeeData[[#This Row],[Age]]&lt;=44,"35-44",IF(EmployeeData[[#This Row],[Age]]&lt;=54,"45-54","55+"))))</f>
        <v>25-34</v>
      </c>
      <c r="Z245">
        <f ca="1">DATEDIF(EmployeeData[[#This Row],[DateOfJoining]],IF(AND(EmployeeData[[#This Row],[Attrition]]="Yes",EmployeeData[[#This Row],[LastWorkingDate]]&lt;&gt;""),EmployeeData[[#This Row],[LastWorkingDate]],TODAY()),"Y")</f>
        <v>11</v>
      </c>
      <c r="AA245" t="str">
        <f>IF(EmployeeData[[#This Row],[MonthlyIncome]]&lt;30000,"Low",IF(EmployeeData[[#This Row],[MonthlyIncome]]&lt;=60000,"Medium",IF(EmployeeData[[#This Row],[MonthlyIncome]]&lt;=100000,"High","Very High")))</f>
        <v>High</v>
      </c>
      <c r="AB245">
        <f>IF(EmployeeData[[#This Row],[Attrition]]="Yes",1,0)</f>
        <v>0</v>
      </c>
      <c r="AC245" t="str">
        <f ca="1">IF(EmployeeData[[#This Row],[Tenure Years]]&lt;1,"Less than 1 Year",IF(EmployeeData[[#This Row],[Tenure Years]]&lt;=3,"1-3 Years",IF(EmployeeData[[#This Row],[Tenure Years]]&lt;=5,"4-5 Years",IF(EmployeeData[[#This Row],[Tenure Years]]&lt;=10,"6-10 Years","More than 10 Years"))))</f>
        <v>More than 10 Years</v>
      </c>
      <c r="AD245">
        <f>ROUND(AVERAGE(EmployeeData[[#This Row],[JobSatisfaction]],EmployeeData[[#This Row],[EnvironmentSatisfaction]],EmployeeData[[#This Row],[WorkLifeBalance]]),2)</f>
        <v>2</v>
      </c>
      <c r="AE245" t="str">
        <f>IF(EmployeeData[[#This Row],[Satisfaction Score]]&lt;2,"Low",IF(EmployeeData[[#This Row],[Satisfaction Score]]&lt;3,"Medium","High"))</f>
        <v>Medium</v>
      </c>
    </row>
    <row r="246" spans="1:31" x14ac:dyDescent="0.25">
      <c r="A246" t="s">
        <v>1254</v>
      </c>
      <c r="B246" t="s">
        <v>655</v>
      </c>
      <c r="C246" t="s">
        <v>58</v>
      </c>
      <c r="D246">
        <v>28</v>
      </c>
      <c r="E246" t="s">
        <v>128</v>
      </c>
      <c r="F246" t="s">
        <v>255</v>
      </c>
      <c r="G246" s="1">
        <v>46132</v>
      </c>
      <c r="H246">
        <v>86026</v>
      </c>
      <c r="I246" t="s">
        <v>42</v>
      </c>
      <c r="J246" t="s">
        <v>97</v>
      </c>
      <c r="K246" t="s">
        <v>98</v>
      </c>
      <c r="L246" t="s">
        <v>33</v>
      </c>
      <c r="M246">
        <v>42</v>
      </c>
      <c r="N246" t="s">
        <v>34</v>
      </c>
      <c r="O246">
        <v>2</v>
      </c>
      <c r="P246">
        <v>1</v>
      </c>
      <c r="Q246">
        <v>4</v>
      </c>
      <c r="R246">
        <v>4</v>
      </c>
      <c r="S246">
        <v>5</v>
      </c>
      <c r="T246">
        <v>2</v>
      </c>
      <c r="U246">
        <v>12</v>
      </c>
      <c r="V246" t="s">
        <v>1256</v>
      </c>
      <c r="W246" t="s">
        <v>45</v>
      </c>
      <c r="X246" s="1">
        <v>46163</v>
      </c>
      <c r="Y246" s="2" t="str">
        <f>IF(EmployeeData[[#This Row],[Age]]&lt;25,"Under 25",IF(EmployeeData[[#This Row],[Age]]&lt;=34,"25-34",IF(EmployeeData[[#This Row],[Age]]&lt;=44,"35-44",IF(EmployeeData[[#This Row],[Age]]&lt;=54,"45-54","55+"))))</f>
        <v>25-34</v>
      </c>
      <c r="Z246">
        <f ca="1">DATEDIF(EmployeeData[[#This Row],[DateOfJoining]],IF(AND(EmployeeData[[#This Row],[Attrition]]="Yes",EmployeeData[[#This Row],[LastWorkingDate]]&lt;&gt;""),EmployeeData[[#This Row],[LastWorkingDate]],TODAY()),"Y")</f>
        <v>0</v>
      </c>
      <c r="AA246" t="str">
        <f>IF(EmployeeData[[#This Row],[MonthlyIncome]]&lt;30000,"Low",IF(EmployeeData[[#This Row],[MonthlyIncome]]&lt;=60000,"Medium",IF(EmployeeData[[#This Row],[MonthlyIncome]]&lt;=100000,"High","Very High")))</f>
        <v>High</v>
      </c>
      <c r="AB246">
        <f>IF(EmployeeData[[#This Row],[Attrition]]="Yes",1,0)</f>
        <v>1</v>
      </c>
      <c r="AC246" t="str">
        <f ca="1">IF(EmployeeData[[#This Row],[Tenure Years]]&lt;1,"Less than 1 Year",IF(EmployeeData[[#This Row],[Tenure Years]]&lt;=3,"1-3 Years",IF(EmployeeData[[#This Row],[Tenure Years]]&lt;=5,"4-5 Years",IF(EmployeeData[[#This Row],[Tenure Years]]&lt;=10,"6-10 Years","More than 10 Years"))))</f>
        <v>Less than 1 Year</v>
      </c>
      <c r="AD246">
        <f>ROUND(AVERAGE(EmployeeData[[#This Row],[JobSatisfaction]],EmployeeData[[#This Row],[EnvironmentSatisfaction]],EmployeeData[[#This Row],[WorkLifeBalance]]),2)</f>
        <v>2.33</v>
      </c>
      <c r="AE246" t="str">
        <f>IF(EmployeeData[[#This Row],[Satisfaction Score]]&lt;2,"Low",IF(EmployeeData[[#This Row],[Satisfaction Score]]&lt;3,"Medium","High"))</f>
        <v>Medium</v>
      </c>
    </row>
    <row r="247" spans="1:31" x14ac:dyDescent="0.25">
      <c r="A247" t="s">
        <v>1258</v>
      </c>
      <c r="B247" t="s">
        <v>1259</v>
      </c>
      <c r="C247" t="s">
        <v>49</v>
      </c>
      <c r="D247">
        <v>29</v>
      </c>
      <c r="E247" t="s">
        <v>197</v>
      </c>
      <c r="F247" t="s">
        <v>323</v>
      </c>
      <c r="G247" s="1">
        <v>44032</v>
      </c>
      <c r="H247">
        <v>43412</v>
      </c>
      <c r="I247" t="s">
        <v>52</v>
      </c>
      <c r="J247" t="s">
        <v>31</v>
      </c>
      <c r="K247" t="s">
        <v>54</v>
      </c>
      <c r="L247" t="s">
        <v>62</v>
      </c>
      <c r="M247">
        <v>19</v>
      </c>
      <c r="N247" t="s">
        <v>45</v>
      </c>
      <c r="O247">
        <v>2</v>
      </c>
      <c r="P247">
        <v>1</v>
      </c>
      <c r="Q247">
        <v>2</v>
      </c>
      <c r="R247">
        <v>4</v>
      </c>
      <c r="S247">
        <v>6</v>
      </c>
      <c r="T247">
        <v>3</v>
      </c>
      <c r="U247">
        <v>13</v>
      </c>
      <c r="V247" t="s">
        <v>1261</v>
      </c>
      <c r="W247" t="s">
        <v>45</v>
      </c>
      <c r="X247" s="1">
        <v>45269</v>
      </c>
      <c r="Y247" s="2" t="str">
        <f>IF(EmployeeData[[#This Row],[Age]]&lt;25,"Under 25",IF(EmployeeData[[#This Row],[Age]]&lt;=34,"25-34",IF(EmployeeData[[#This Row],[Age]]&lt;=44,"35-44",IF(EmployeeData[[#This Row],[Age]]&lt;=54,"45-54","55+"))))</f>
        <v>25-34</v>
      </c>
      <c r="Z247">
        <f ca="1">DATEDIF(EmployeeData[[#This Row],[DateOfJoining]],IF(AND(EmployeeData[[#This Row],[Attrition]]="Yes",EmployeeData[[#This Row],[LastWorkingDate]]&lt;&gt;""),EmployeeData[[#This Row],[LastWorkingDate]],TODAY()),"Y")</f>
        <v>3</v>
      </c>
      <c r="AA247" t="str">
        <f>IF(EmployeeData[[#This Row],[MonthlyIncome]]&lt;30000,"Low",IF(EmployeeData[[#This Row],[MonthlyIncome]]&lt;=60000,"Medium",IF(EmployeeData[[#This Row],[MonthlyIncome]]&lt;=100000,"High","Very High")))</f>
        <v>Medium</v>
      </c>
      <c r="AB247">
        <f>IF(EmployeeData[[#This Row],[Attrition]]="Yes",1,0)</f>
        <v>1</v>
      </c>
      <c r="AC247" t="str">
        <f ca="1">IF(EmployeeData[[#This Row],[Tenure Years]]&lt;1,"Less than 1 Year",IF(EmployeeData[[#This Row],[Tenure Years]]&lt;=3,"1-3 Years",IF(EmployeeData[[#This Row],[Tenure Years]]&lt;=5,"4-5 Years",IF(EmployeeData[[#This Row],[Tenure Years]]&lt;=10,"6-10 Years","More than 10 Years"))))</f>
        <v>1-3 Years</v>
      </c>
      <c r="AD247">
        <f>ROUND(AVERAGE(EmployeeData[[#This Row],[JobSatisfaction]],EmployeeData[[#This Row],[EnvironmentSatisfaction]],EmployeeData[[#This Row],[WorkLifeBalance]]),2)</f>
        <v>1.67</v>
      </c>
      <c r="AE247" t="str">
        <f>IF(EmployeeData[[#This Row],[Satisfaction Score]]&lt;2,"Low",IF(EmployeeData[[#This Row],[Satisfaction Score]]&lt;3,"Medium","High"))</f>
        <v>Low</v>
      </c>
    </row>
    <row r="248" spans="1:31" x14ac:dyDescent="0.25">
      <c r="A248" t="s">
        <v>1263</v>
      </c>
      <c r="B248" t="s">
        <v>1264</v>
      </c>
      <c r="C248" t="s">
        <v>49</v>
      </c>
      <c r="D248">
        <v>35</v>
      </c>
      <c r="E248" t="s">
        <v>197</v>
      </c>
      <c r="F248" t="s">
        <v>323</v>
      </c>
      <c r="G248" s="1">
        <v>43289</v>
      </c>
      <c r="H248">
        <v>85773</v>
      </c>
      <c r="I248" t="s">
        <v>42</v>
      </c>
      <c r="J248" t="s">
        <v>61</v>
      </c>
      <c r="K248" t="s">
        <v>54</v>
      </c>
      <c r="L248" t="s">
        <v>33</v>
      </c>
      <c r="M248">
        <v>38</v>
      </c>
      <c r="N248" t="s">
        <v>34</v>
      </c>
      <c r="O248">
        <v>4</v>
      </c>
      <c r="P248">
        <v>3</v>
      </c>
      <c r="Q248">
        <v>1</v>
      </c>
      <c r="R248">
        <v>4</v>
      </c>
      <c r="S248">
        <v>4</v>
      </c>
      <c r="T248">
        <v>8</v>
      </c>
      <c r="U248">
        <v>16</v>
      </c>
      <c r="V248" t="s">
        <v>1266</v>
      </c>
      <c r="W248" t="s">
        <v>34</v>
      </c>
      <c r="Y248" s="2" t="str">
        <f>IF(EmployeeData[[#This Row],[Age]]&lt;25,"Under 25",IF(EmployeeData[[#This Row],[Age]]&lt;=34,"25-34",IF(EmployeeData[[#This Row],[Age]]&lt;=44,"35-44",IF(EmployeeData[[#This Row],[Age]]&lt;=54,"45-54","55+"))))</f>
        <v>35-44</v>
      </c>
      <c r="Z248">
        <f ca="1">DATEDIF(EmployeeData[[#This Row],[DateOfJoining]],IF(AND(EmployeeData[[#This Row],[Attrition]]="Yes",EmployeeData[[#This Row],[LastWorkingDate]]&lt;&gt;""),EmployeeData[[#This Row],[LastWorkingDate]],TODAY()),"Y")</f>
        <v>8</v>
      </c>
      <c r="AA248" t="str">
        <f>IF(EmployeeData[[#This Row],[MonthlyIncome]]&lt;30000,"Low",IF(EmployeeData[[#This Row],[MonthlyIncome]]&lt;=60000,"Medium",IF(EmployeeData[[#This Row],[MonthlyIncome]]&lt;=100000,"High","Very High")))</f>
        <v>High</v>
      </c>
      <c r="AB248">
        <f>IF(EmployeeData[[#This Row],[Attrition]]="Yes",1,0)</f>
        <v>0</v>
      </c>
      <c r="AC248" t="str">
        <f ca="1">IF(EmployeeData[[#This Row],[Tenure Years]]&lt;1,"Less than 1 Year",IF(EmployeeData[[#This Row],[Tenure Years]]&lt;=3,"1-3 Years",IF(EmployeeData[[#This Row],[Tenure Years]]&lt;=5,"4-5 Years",IF(EmployeeData[[#This Row],[Tenure Years]]&lt;=10,"6-10 Years","More than 10 Years"))))</f>
        <v>6-10 Years</v>
      </c>
      <c r="AD248">
        <f>ROUND(AVERAGE(EmployeeData[[#This Row],[JobSatisfaction]],EmployeeData[[#This Row],[EnvironmentSatisfaction]],EmployeeData[[#This Row],[WorkLifeBalance]]),2)</f>
        <v>2.67</v>
      </c>
      <c r="AE248" t="str">
        <f>IF(EmployeeData[[#This Row],[Satisfaction Score]]&lt;2,"Low",IF(EmployeeData[[#This Row],[Satisfaction Score]]&lt;3,"Medium","High"))</f>
        <v>Medium</v>
      </c>
    </row>
    <row r="249" spans="1:31" x14ac:dyDescent="0.25">
      <c r="A249" t="s">
        <v>1267</v>
      </c>
      <c r="B249" t="s">
        <v>1268</v>
      </c>
      <c r="C249" t="s">
        <v>49</v>
      </c>
      <c r="D249">
        <v>37</v>
      </c>
      <c r="E249" t="s">
        <v>128</v>
      </c>
      <c r="F249" t="s">
        <v>271</v>
      </c>
      <c r="G249" s="1">
        <v>42243</v>
      </c>
      <c r="H249">
        <v>66737</v>
      </c>
      <c r="I249" t="s">
        <v>30</v>
      </c>
      <c r="J249" t="s">
        <v>31</v>
      </c>
      <c r="K249" t="s">
        <v>113</v>
      </c>
      <c r="L249" t="s">
        <v>62</v>
      </c>
      <c r="M249">
        <v>37</v>
      </c>
      <c r="N249" t="s">
        <v>34</v>
      </c>
      <c r="O249">
        <v>2</v>
      </c>
      <c r="P249">
        <v>3</v>
      </c>
      <c r="Q249">
        <v>3</v>
      </c>
      <c r="R249">
        <v>4</v>
      </c>
      <c r="S249">
        <v>6</v>
      </c>
      <c r="T249">
        <v>1</v>
      </c>
      <c r="U249">
        <v>20</v>
      </c>
      <c r="V249" t="s">
        <v>1271</v>
      </c>
      <c r="W249" t="s">
        <v>34</v>
      </c>
      <c r="Y249" s="2" t="str">
        <f>IF(EmployeeData[[#This Row],[Age]]&lt;25,"Under 25",IF(EmployeeData[[#This Row],[Age]]&lt;=34,"25-34",IF(EmployeeData[[#This Row],[Age]]&lt;=44,"35-44",IF(EmployeeData[[#This Row],[Age]]&lt;=54,"45-54","55+"))))</f>
        <v>35-44</v>
      </c>
      <c r="Z249">
        <f ca="1">DATEDIF(EmployeeData[[#This Row],[DateOfJoining]],IF(AND(EmployeeData[[#This Row],[Attrition]]="Yes",EmployeeData[[#This Row],[LastWorkingDate]]&lt;&gt;""),EmployeeData[[#This Row],[LastWorkingDate]],TODAY()),"Y")</f>
        <v>11</v>
      </c>
      <c r="AA249" t="str">
        <f>IF(EmployeeData[[#This Row],[MonthlyIncome]]&lt;30000,"Low",IF(EmployeeData[[#This Row],[MonthlyIncome]]&lt;=60000,"Medium",IF(EmployeeData[[#This Row],[MonthlyIncome]]&lt;=100000,"High","Very High")))</f>
        <v>High</v>
      </c>
      <c r="AB249">
        <f>IF(EmployeeData[[#This Row],[Attrition]]="Yes",1,0)</f>
        <v>0</v>
      </c>
      <c r="AC249" t="str">
        <f ca="1">IF(EmployeeData[[#This Row],[Tenure Years]]&lt;1,"Less than 1 Year",IF(EmployeeData[[#This Row],[Tenure Years]]&lt;=3,"1-3 Years",IF(EmployeeData[[#This Row],[Tenure Years]]&lt;=5,"4-5 Years",IF(EmployeeData[[#This Row],[Tenure Years]]&lt;=10,"6-10 Years","More than 10 Years"))))</f>
        <v>More than 10 Years</v>
      </c>
      <c r="AD249">
        <f>ROUND(AVERAGE(EmployeeData[[#This Row],[JobSatisfaction]],EmployeeData[[#This Row],[EnvironmentSatisfaction]],EmployeeData[[#This Row],[WorkLifeBalance]]),2)</f>
        <v>2.67</v>
      </c>
      <c r="AE249" t="str">
        <f>IF(EmployeeData[[#This Row],[Satisfaction Score]]&lt;2,"Low",IF(EmployeeData[[#This Row],[Satisfaction Score]]&lt;3,"Medium","High"))</f>
        <v>Medium</v>
      </c>
    </row>
    <row r="250" spans="1:31" x14ac:dyDescent="0.25">
      <c r="A250" t="s">
        <v>1272</v>
      </c>
      <c r="B250" t="s">
        <v>1273</v>
      </c>
      <c r="C250" t="s">
        <v>49</v>
      </c>
      <c r="D250">
        <v>21</v>
      </c>
      <c r="E250" t="s">
        <v>128</v>
      </c>
      <c r="F250" t="s">
        <v>226</v>
      </c>
      <c r="G250" s="1">
        <v>43257</v>
      </c>
      <c r="H250">
        <v>92952</v>
      </c>
      <c r="I250" t="s">
        <v>30</v>
      </c>
      <c r="J250" t="s">
        <v>5459</v>
      </c>
      <c r="K250" t="s">
        <v>200</v>
      </c>
      <c r="L250" t="s">
        <v>33</v>
      </c>
      <c r="M250">
        <v>11</v>
      </c>
      <c r="N250" t="s">
        <v>34</v>
      </c>
      <c r="O250">
        <v>3</v>
      </c>
      <c r="P250">
        <v>3</v>
      </c>
      <c r="Q250">
        <v>4</v>
      </c>
      <c r="R250">
        <v>4</v>
      </c>
      <c r="S250">
        <v>4</v>
      </c>
      <c r="T250">
        <v>2</v>
      </c>
      <c r="U250">
        <v>18</v>
      </c>
      <c r="V250" t="s">
        <v>1277</v>
      </c>
      <c r="W250" t="s">
        <v>34</v>
      </c>
      <c r="Y250" s="2" t="str">
        <f>IF(EmployeeData[[#This Row],[Age]]&lt;25,"Under 25",IF(EmployeeData[[#This Row],[Age]]&lt;=34,"25-34",IF(EmployeeData[[#This Row],[Age]]&lt;=44,"35-44",IF(EmployeeData[[#This Row],[Age]]&lt;=54,"45-54","55+"))))</f>
        <v>Under 25</v>
      </c>
      <c r="Z250">
        <f ca="1">DATEDIF(EmployeeData[[#This Row],[DateOfJoining]],IF(AND(EmployeeData[[#This Row],[Attrition]]="Yes",EmployeeData[[#This Row],[LastWorkingDate]]&lt;&gt;""),EmployeeData[[#This Row],[LastWorkingDate]],TODAY()),"Y")</f>
        <v>8</v>
      </c>
      <c r="AA250" t="str">
        <f>IF(EmployeeData[[#This Row],[MonthlyIncome]]&lt;30000,"Low",IF(EmployeeData[[#This Row],[MonthlyIncome]]&lt;=60000,"Medium",IF(EmployeeData[[#This Row],[MonthlyIncome]]&lt;=100000,"High","Very High")))</f>
        <v>High</v>
      </c>
      <c r="AB250">
        <f>IF(EmployeeData[[#This Row],[Attrition]]="Yes",1,0)</f>
        <v>0</v>
      </c>
      <c r="AC250" t="str">
        <f ca="1">IF(EmployeeData[[#This Row],[Tenure Years]]&lt;1,"Less than 1 Year",IF(EmployeeData[[#This Row],[Tenure Years]]&lt;=3,"1-3 Years",IF(EmployeeData[[#This Row],[Tenure Years]]&lt;=5,"4-5 Years",IF(EmployeeData[[#This Row],[Tenure Years]]&lt;=10,"6-10 Years","More than 10 Years"))))</f>
        <v>6-10 Years</v>
      </c>
      <c r="AD250">
        <f>ROUND(AVERAGE(EmployeeData[[#This Row],[JobSatisfaction]],EmployeeData[[#This Row],[EnvironmentSatisfaction]],EmployeeData[[#This Row],[WorkLifeBalance]]),2)</f>
        <v>3.33</v>
      </c>
      <c r="AE250" t="str">
        <f>IF(EmployeeData[[#This Row],[Satisfaction Score]]&lt;2,"Low",IF(EmployeeData[[#This Row],[Satisfaction Score]]&lt;3,"Medium","High"))</f>
        <v>High</v>
      </c>
    </row>
    <row r="251" spans="1:31" x14ac:dyDescent="0.25">
      <c r="A251" t="s">
        <v>1278</v>
      </c>
      <c r="B251" t="s">
        <v>1279</v>
      </c>
      <c r="C251" t="s">
        <v>49</v>
      </c>
      <c r="D251">
        <v>34</v>
      </c>
      <c r="E251" t="s">
        <v>5461</v>
      </c>
      <c r="F251" t="s">
        <v>5463</v>
      </c>
      <c r="G251" s="1">
        <v>45425</v>
      </c>
      <c r="H251">
        <v>100810</v>
      </c>
      <c r="I251" t="s">
        <v>30</v>
      </c>
      <c r="J251" t="s">
        <v>61</v>
      </c>
      <c r="K251" t="s">
        <v>32</v>
      </c>
      <c r="L251" t="s">
        <v>43</v>
      </c>
      <c r="M251">
        <v>7</v>
      </c>
      <c r="N251" t="s">
        <v>34</v>
      </c>
      <c r="O251">
        <v>4</v>
      </c>
      <c r="P251">
        <v>3</v>
      </c>
      <c r="Q251">
        <v>3</v>
      </c>
      <c r="R251">
        <v>3</v>
      </c>
      <c r="S251">
        <v>2</v>
      </c>
      <c r="T251">
        <v>8</v>
      </c>
      <c r="U251">
        <v>22</v>
      </c>
      <c r="V251" t="s">
        <v>1281</v>
      </c>
      <c r="W251" t="s">
        <v>34</v>
      </c>
      <c r="Y251" s="2" t="str">
        <f>IF(EmployeeData[[#This Row],[Age]]&lt;25,"Under 25",IF(EmployeeData[[#This Row],[Age]]&lt;=34,"25-34",IF(EmployeeData[[#This Row],[Age]]&lt;=44,"35-44",IF(EmployeeData[[#This Row],[Age]]&lt;=54,"45-54","55+"))))</f>
        <v>25-34</v>
      </c>
      <c r="Z251">
        <f ca="1">DATEDIF(EmployeeData[[#This Row],[DateOfJoining]],IF(AND(EmployeeData[[#This Row],[Attrition]]="Yes",EmployeeData[[#This Row],[LastWorkingDate]]&lt;&gt;""),EmployeeData[[#This Row],[LastWorkingDate]],TODAY()),"Y")</f>
        <v>2</v>
      </c>
      <c r="AA251" t="str">
        <f>IF(EmployeeData[[#This Row],[MonthlyIncome]]&lt;30000,"Low",IF(EmployeeData[[#This Row],[MonthlyIncome]]&lt;=60000,"Medium",IF(EmployeeData[[#This Row],[MonthlyIncome]]&lt;=100000,"High","Very High")))</f>
        <v>Very High</v>
      </c>
      <c r="AB251">
        <f>IF(EmployeeData[[#This Row],[Attrition]]="Yes",1,0)</f>
        <v>0</v>
      </c>
      <c r="AC251" t="str">
        <f ca="1">IF(EmployeeData[[#This Row],[Tenure Years]]&lt;1,"Less than 1 Year",IF(EmployeeData[[#This Row],[Tenure Years]]&lt;=3,"1-3 Years",IF(EmployeeData[[#This Row],[Tenure Years]]&lt;=5,"4-5 Years",IF(EmployeeData[[#This Row],[Tenure Years]]&lt;=10,"6-10 Years","More than 10 Years"))))</f>
        <v>1-3 Years</v>
      </c>
      <c r="AD251">
        <f>ROUND(AVERAGE(EmployeeData[[#This Row],[JobSatisfaction]],EmployeeData[[#This Row],[EnvironmentSatisfaction]],EmployeeData[[#This Row],[WorkLifeBalance]]),2)</f>
        <v>3.33</v>
      </c>
      <c r="AE251" t="str">
        <f>IF(EmployeeData[[#This Row],[Satisfaction Score]]&lt;2,"Low",IF(EmployeeData[[#This Row],[Satisfaction Score]]&lt;3,"Medium","High"))</f>
        <v>High</v>
      </c>
    </row>
    <row r="252" spans="1:31" x14ac:dyDescent="0.25">
      <c r="A252" t="s">
        <v>1282</v>
      </c>
      <c r="B252" t="s">
        <v>1283</v>
      </c>
      <c r="C252" t="s">
        <v>58</v>
      </c>
      <c r="D252">
        <v>37</v>
      </c>
      <c r="E252" t="s">
        <v>128</v>
      </c>
      <c r="F252" t="s">
        <v>255</v>
      </c>
      <c r="G252" s="1">
        <v>41401</v>
      </c>
      <c r="H252">
        <v>107151</v>
      </c>
      <c r="I252" t="s">
        <v>42</v>
      </c>
      <c r="J252" t="s">
        <v>143</v>
      </c>
      <c r="K252" t="s">
        <v>54</v>
      </c>
      <c r="L252" t="s">
        <v>43</v>
      </c>
      <c r="M252">
        <v>9</v>
      </c>
      <c r="N252" t="s">
        <v>45</v>
      </c>
      <c r="O252">
        <v>2</v>
      </c>
      <c r="P252">
        <v>2</v>
      </c>
      <c r="Q252">
        <v>2</v>
      </c>
      <c r="R252">
        <v>3</v>
      </c>
      <c r="S252">
        <v>2</v>
      </c>
      <c r="T252">
        <v>7</v>
      </c>
      <c r="U252">
        <v>15</v>
      </c>
      <c r="V252" t="s">
        <v>1285</v>
      </c>
      <c r="W252" t="s">
        <v>45</v>
      </c>
      <c r="X252" s="1">
        <v>43401</v>
      </c>
      <c r="Y252" s="2" t="str">
        <f>IF(EmployeeData[[#This Row],[Age]]&lt;25,"Under 25",IF(EmployeeData[[#This Row],[Age]]&lt;=34,"25-34",IF(EmployeeData[[#This Row],[Age]]&lt;=44,"35-44",IF(EmployeeData[[#This Row],[Age]]&lt;=54,"45-54","55+"))))</f>
        <v>35-44</v>
      </c>
      <c r="Z252">
        <f ca="1">DATEDIF(EmployeeData[[#This Row],[DateOfJoining]],IF(AND(EmployeeData[[#This Row],[Attrition]]="Yes",EmployeeData[[#This Row],[LastWorkingDate]]&lt;&gt;""),EmployeeData[[#This Row],[LastWorkingDate]],TODAY()),"Y")</f>
        <v>5</v>
      </c>
      <c r="AA252" t="str">
        <f>IF(EmployeeData[[#This Row],[MonthlyIncome]]&lt;30000,"Low",IF(EmployeeData[[#This Row],[MonthlyIncome]]&lt;=60000,"Medium",IF(EmployeeData[[#This Row],[MonthlyIncome]]&lt;=100000,"High","Very High")))</f>
        <v>Very High</v>
      </c>
      <c r="AB252">
        <f>IF(EmployeeData[[#This Row],[Attrition]]="Yes",1,0)</f>
        <v>1</v>
      </c>
      <c r="AC252" t="str">
        <f ca="1">IF(EmployeeData[[#This Row],[Tenure Years]]&lt;1,"Less than 1 Year",IF(EmployeeData[[#This Row],[Tenure Years]]&lt;=3,"1-3 Years",IF(EmployeeData[[#This Row],[Tenure Years]]&lt;=5,"4-5 Years",IF(EmployeeData[[#This Row],[Tenure Years]]&lt;=10,"6-10 Years","More than 10 Years"))))</f>
        <v>4-5 Years</v>
      </c>
      <c r="AD252">
        <f>ROUND(AVERAGE(EmployeeData[[#This Row],[JobSatisfaction]],EmployeeData[[#This Row],[EnvironmentSatisfaction]],EmployeeData[[#This Row],[WorkLifeBalance]]),2)</f>
        <v>2</v>
      </c>
      <c r="AE252" t="str">
        <f>IF(EmployeeData[[#This Row],[Satisfaction Score]]&lt;2,"Low",IF(EmployeeData[[#This Row],[Satisfaction Score]]&lt;3,"Medium","High"))</f>
        <v>Medium</v>
      </c>
    </row>
    <row r="253" spans="1:31" x14ac:dyDescent="0.25">
      <c r="A253" t="s">
        <v>1287</v>
      </c>
      <c r="B253" t="s">
        <v>1288</v>
      </c>
      <c r="C253" t="s">
        <v>49</v>
      </c>
      <c r="D253">
        <v>33</v>
      </c>
      <c r="E253" t="s">
        <v>128</v>
      </c>
      <c r="F253" t="s">
        <v>123</v>
      </c>
      <c r="G253" s="1">
        <v>42224</v>
      </c>
      <c r="H253">
        <v>75369</v>
      </c>
      <c r="I253" t="s">
        <v>52</v>
      </c>
      <c r="J253" t="s">
        <v>31</v>
      </c>
      <c r="K253" t="s">
        <v>83</v>
      </c>
      <c r="L253" t="s">
        <v>43</v>
      </c>
      <c r="M253">
        <v>41</v>
      </c>
      <c r="N253" t="s">
        <v>34</v>
      </c>
      <c r="O253">
        <v>4</v>
      </c>
      <c r="P253">
        <v>3</v>
      </c>
      <c r="Q253">
        <v>1</v>
      </c>
      <c r="R253">
        <v>2</v>
      </c>
      <c r="S253">
        <v>3</v>
      </c>
      <c r="T253">
        <v>0</v>
      </c>
      <c r="U253">
        <v>20</v>
      </c>
      <c r="V253" t="s">
        <v>1290</v>
      </c>
      <c r="W253" t="s">
        <v>34</v>
      </c>
      <c r="Y253" s="2" t="str">
        <f>IF(EmployeeData[[#This Row],[Age]]&lt;25,"Under 25",IF(EmployeeData[[#This Row],[Age]]&lt;=34,"25-34",IF(EmployeeData[[#This Row],[Age]]&lt;=44,"35-44",IF(EmployeeData[[#This Row],[Age]]&lt;=54,"45-54","55+"))))</f>
        <v>25-34</v>
      </c>
      <c r="Z253">
        <f ca="1">DATEDIF(EmployeeData[[#This Row],[DateOfJoining]],IF(AND(EmployeeData[[#This Row],[Attrition]]="Yes",EmployeeData[[#This Row],[LastWorkingDate]]&lt;&gt;""),EmployeeData[[#This Row],[LastWorkingDate]],TODAY()),"Y")</f>
        <v>11</v>
      </c>
      <c r="AA253" t="str">
        <f>IF(EmployeeData[[#This Row],[MonthlyIncome]]&lt;30000,"Low",IF(EmployeeData[[#This Row],[MonthlyIncome]]&lt;=60000,"Medium",IF(EmployeeData[[#This Row],[MonthlyIncome]]&lt;=100000,"High","Very High")))</f>
        <v>High</v>
      </c>
      <c r="AB253">
        <f>IF(EmployeeData[[#This Row],[Attrition]]="Yes",1,0)</f>
        <v>0</v>
      </c>
      <c r="AC253" t="str">
        <f ca="1">IF(EmployeeData[[#This Row],[Tenure Years]]&lt;1,"Less than 1 Year",IF(EmployeeData[[#This Row],[Tenure Years]]&lt;=3,"1-3 Years",IF(EmployeeData[[#This Row],[Tenure Years]]&lt;=5,"4-5 Years",IF(EmployeeData[[#This Row],[Tenure Years]]&lt;=10,"6-10 Years","More than 10 Years"))))</f>
        <v>More than 10 Years</v>
      </c>
      <c r="AD253">
        <f>ROUND(AVERAGE(EmployeeData[[#This Row],[JobSatisfaction]],EmployeeData[[#This Row],[EnvironmentSatisfaction]],EmployeeData[[#This Row],[WorkLifeBalance]]),2)</f>
        <v>2.67</v>
      </c>
      <c r="AE253" t="str">
        <f>IF(EmployeeData[[#This Row],[Satisfaction Score]]&lt;2,"Low",IF(EmployeeData[[#This Row],[Satisfaction Score]]&lt;3,"Medium","High"))</f>
        <v>Medium</v>
      </c>
    </row>
    <row r="254" spans="1:31" x14ac:dyDescent="0.25">
      <c r="A254" t="s">
        <v>1291</v>
      </c>
      <c r="B254" t="s">
        <v>1292</v>
      </c>
      <c r="C254" t="s">
        <v>49</v>
      </c>
      <c r="D254">
        <v>35</v>
      </c>
      <c r="E254" t="s">
        <v>197</v>
      </c>
      <c r="F254" t="s">
        <v>323</v>
      </c>
      <c r="G254" s="1">
        <v>43046</v>
      </c>
      <c r="H254">
        <v>100032</v>
      </c>
      <c r="I254" t="s">
        <v>52</v>
      </c>
      <c r="J254" t="s">
        <v>61</v>
      </c>
      <c r="K254" t="s">
        <v>77</v>
      </c>
      <c r="L254" t="s">
        <v>33</v>
      </c>
      <c r="M254">
        <v>40</v>
      </c>
      <c r="N254" t="s">
        <v>34</v>
      </c>
      <c r="O254">
        <v>1</v>
      </c>
      <c r="P254">
        <v>4</v>
      </c>
      <c r="Q254">
        <v>3</v>
      </c>
      <c r="R254">
        <v>3</v>
      </c>
      <c r="S254">
        <v>4</v>
      </c>
      <c r="T254">
        <v>1</v>
      </c>
      <c r="U254">
        <v>25</v>
      </c>
      <c r="V254" t="s">
        <v>1294</v>
      </c>
      <c r="W254" t="s">
        <v>34</v>
      </c>
      <c r="Y254" s="2" t="str">
        <f>IF(EmployeeData[[#This Row],[Age]]&lt;25,"Under 25",IF(EmployeeData[[#This Row],[Age]]&lt;=34,"25-34",IF(EmployeeData[[#This Row],[Age]]&lt;=44,"35-44",IF(EmployeeData[[#This Row],[Age]]&lt;=54,"45-54","55+"))))</f>
        <v>35-44</v>
      </c>
      <c r="Z254">
        <f ca="1">DATEDIF(EmployeeData[[#This Row],[DateOfJoining]],IF(AND(EmployeeData[[#This Row],[Attrition]]="Yes",EmployeeData[[#This Row],[LastWorkingDate]]&lt;&gt;""),EmployeeData[[#This Row],[LastWorkingDate]],TODAY()),"Y")</f>
        <v>8</v>
      </c>
      <c r="AA254" t="str">
        <f>IF(EmployeeData[[#This Row],[MonthlyIncome]]&lt;30000,"Low",IF(EmployeeData[[#This Row],[MonthlyIncome]]&lt;=60000,"Medium",IF(EmployeeData[[#This Row],[MonthlyIncome]]&lt;=100000,"High","Very High")))</f>
        <v>Very High</v>
      </c>
      <c r="AB254">
        <f>IF(EmployeeData[[#This Row],[Attrition]]="Yes",1,0)</f>
        <v>0</v>
      </c>
      <c r="AC254" t="str">
        <f ca="1">IF(EmployeeData[[#This Row],[Tenure Years]]&lt;1,"Less than 1 Year",IF(EmployeeData[[#This Row],[Tenure Years]]&lt;=3,"1-3 Years",IF(EmployeeData[[#This Row],[Tenure Years]]&lt;=5,"4-5 Years",IF(EmployeeData[[#This Row],[Tenure Years]]&lt;=10,"6-10 Years","More than 10 Years"))))</f>
        <v>6-10 Years</v>
      </c>
      <c r="AD254">
        <f>ROUND(AVERAGE(EmployeeData[[#This Row],[JobSatisfaction]],EmployeeData[[#This Row],[EnvironmentSatisfaction]],EmployeeData[[#This Row],[WorkLifeBalance]]),2)</f>
        <v>2.67</v>
      </c>
      <c r="AE254" t="str">
        <f>IF(EmployeeData[[#This Row],[Satisfaction Score]]&lt;2,"Low",IF(EmployeeData[[#This Row],[Satisfaction Score]]&lt;3,"Medium","High"))</f>
        <v>Medium</v>
      </c>
    </row>
    <row r="255" spans="1:31" x14ac:dyDescent="0.25">
      <c r="A255" t="s">
        <v>1295</v>
      </c>
      <c r="B255" t="s">
        <v>1296</v>
      </c>
      <c r="C255" t="s">
        <v>58</v>
      </c>
      <c r="D255">
        <v>19</v>
      </c>
      <c r="E255" t="s">
        <v>94</v>
      </c>
      <c r="F255" t="s">
        <v>639</v>
      </c>
      <c r="G255" s="1">
        <v>45976</v>
      </c>
      <c r="H255">
        <v>100981</v>
      </c>
      <c r="I255" t="s">
        <v>30</v>
      </c>
      <c r="J255" t="s">
        <v>31</v>
      </c>
      <c r="K255" t="s">
        <v>83</v>
      </c>
      <c r="L255" t="s">
        <v>33</v>
      </c>
      <c r="M255">
        <v>2</v>
      </c>
      <c r="N255" t="s">
        <v>34</v>
      </c>
      <c r="O255">
        <v>4</v>
      </c>
      <c r="P255">
        <v>1</v>
      </c>
      <c r="Q255">
        <v>1</v>
      </c>
      <c r="R255">
        <v>2</v>
      </c>
      <c r="S255">
        <v>1</v>
      </c>
      <c r="T255">
        <v>6</v>
      </c>
      <c r="U255">
        <v>16</v>
      </c>
      <c r="V255" t="s">
        <v>1298</v>
      </c>
      <c r="W255" t="s">
        <v>34</v>
      </c>
      <c r="Y255" s="2" t="str">
        <f>IF(EmployeeData[[#This Row],[Age]]&lt;25,"Under 25",IF(EmployeeData[[#This Row],[Age]]&lt;=34,"25-34",IF(EmployeeData[[#This Row],[Age]]&lt;=44,"35-44",IF(EmployeeData[[#This Row],[Age]]&lt;=54,"45-54","55+"))))</f>
        <v>Under 25</v>
      </c>
      <c r="Z255">
        <f ca="1">DATEDIF(EmployeeData[[#This Row],[DateOfJoining]],IF(AND(EmployeeData[[#This Row],[Attrition]]="Yes",EmployeeData[[#This Row],[LastWorkingDate]]&lt;&gt;""),EmployeeData[[#This Row],[LastWorkingDate]],TODAY()),"Y")</f>
        <v>0</v>
      </c>
      <c r="AA255" t="str">
        <f>IF(EmployeeData[[#This Row],[MonthlyIncome]]&lt;30000,"Low",IF(EmployeeData[[#This Row],[MonthlyIncome]]&lt;=60000,"Medium",IF(EmployeeData[[#This Row],[MonthlyIncome]]&lt;=100000,"High","Very High")))</f>
        <v>Very High</v>
      </c>
      <c r="AB255">
        <f>IF(EmployeeData[[#This Row],[Attrition]]="Yes",1,0)</f>
        <v>0</v>
      </c>
      <c r="AC255" t="str">
        <f ca="1">IF(EmployeeData[[#This Row],[Tenure Years]]&lt;1,"Less than 1 Year",IF(EmployeeData[[#This Row],[Tenure Years]]&lt;=3,"1-3 Years",IF(EmployeeData[[#This Row],[Tenure Years]]&lt;=5,"4-5 Years",IF(EmployeeData[[#This Row],[Tenure Years]]&lt;=10,"6-10 Years","More than 10 Years"))))</f>
        <v>Less than 1 Year</v>
      </c>
      <c r="AD255">
        <f>ROUND(AVERAGE(EmployeeData[[#This Row],[JobSatisfaction]],EmployeeData[[#This Row],[EnvironmentSatisfaction]],EmployeeData[[#This Row],[WorkLifeBalance]]),2)</f>
        <v>2</v>
      </c>
      <c r="AE255" t="str">
        <f>IF(EmployeeData[[#This Row],[Satisfaction Score]]&lt;2,"Low",IF(EmployeeData[[#This Row],[Satisfaction Score]]&lt;3,"Medium","High"))</f>
        <v>Medium</v>
      </c>
    </row>
    <row r="256" spans="1:31" x14ac:dyDescent="0.25">
      <c r="A256" t="s">
        <v>1299</v>
      </c>
      <c r="B256" t="s">
        <v>1300</v>
      </c>
      <c r="C256" t="s">
        <v>49</v>
      </c>
      <c r="D256">
        <v>40</v>
      </c>
      <c r="E256" t="s">
        <v>128</v>
      </c>
      <c r="F256" t="s">
        <v>5459</v>
      </c>
      <c r="G256" s="1">
        <v>43475</v>
      </c>
      <c r="H256">
        <v>53911</v>
      </c>
      <c r="I256" t="s">
        <v>52</v>
      </c>
      <c r="J256" t="s">
        <v>143</v>
      </c>
      <c r="K256" t="s">
        <v>106</v>
      </c>
      <c r="L256" t="s">
        <v>62</v>
      </c>
      <c r="M256">
        <v>41</v>
      </c>
      <c r="N256" t="s">
        <v>34</v>
      </c>
      <c r="O256">
        <v>1</v>
      </c>
      <c r="P256">
        <v>1</v>
      </c>
      <c r="Q256">
        <v>3</v>
      </c>
      <c r="R256">
        <v>3</v>
      </c>
      <c r="S256">
        <v>4</v>
      </c>
      <c r="T256">
        <v>1</v>
      </c>
      <c r="U256">
        <v>24</v>
      </c>
      <c r="V256" t="s">
        <v>1302</v>
      </c>
      <c r="W256" t="s">
        <v>34</v>
      </c>
      <c r="Y256" s="2" t="str">
        <f>IF(EmployeeData[[#This Row],[Age]]&lt;25,"Under 25",IF(EmployeeData[[#This Row],[Age]]&lt;=34,"25-34",IF(EmployeeData[[#This Row],[Age]]&lt;=44,"35-44",IF(EmployeeData[[#This Row],[Age]]&lt;=54,"45-54","55+"))))</f>
        <v>35-44</v>
      </c>
      <c r="Z256">
        <f ca="1">DATEDIF(EmployeeData[[#This Row],[DateOfJoining]],IF(AND(EmployeeData[[#This Row],[Attrition]]="Yes",EmployeeData[[#This Row],[LastWorkingDate]]&lt;&gt;""),EmployeeData[[#This Row],[LastWorkingDate]],TODAY()),"Y")</f>
        <v>7</v>
      </c>
      <c r="AA256" t="str">
        <f>IF(EmployeeData[[#This Row],[MonthlyIncome]]&lt;30000,"Low",IF(EmployeeData[[#This Row],[MonthlyIncome]]&lt;=60000,"Medium",IF(EmployeeData[[#This Row],[MonthlyIncome]]&lt;=100000,"High","Very High")))</f>
        <v>Medium</v>
      </c>
      <c r="AB256">
        <f>IF(EmployeeData[[#This Row],[Attrition]]="Yes",1,0)</f>
        <v>0</v>
      </c>
      <c r="AC256" t="str">
        <f ca="1">IF(EmployeeData[[#This Row],[Tenure Years]]&lt;1,"Less than 1 Year",IF(EmployeeData[[#This Row],[Tenure Years]]&lt;=3,"1-3 Years",IF(EmployeeData[[#This Row],[Tenure Years]]&lt;=5,"4-5 Years",IF(EmployeeData[[#This Row],[Tenure Years]]&lt;=10,"6-10 Years","More than 10 Years"))))</f>
        <v>6-10 Years</v>
      </c>
      <c r="AD256">
        <f>ROUND(AVERAGE(EmployeeData[[#This Row],[JobSatisfaction]],EmployeeData[[#This Row],[EnvironmentSatisfaction]],EmployeeData[[#This Row],[WorkLifeBalance]]),2)</f>
        <v>1.67</v>
      </c>
      <c r="AE256" t="str">
        <f>IF(EmployeeData[[#This Row],[Satisfaction Score]]&lt;2,"Low",IF(EmployeeData[[#This Row],[Satisfaction Score]]&lt;3,"Medium","High"))</f>
        <v>Low</v>
      </c>
    </row>
    <row r="257" spans="1:31" x14ac:dyDescent="0.25">
      <c r="A257" t="s">
        <v>1303</v>
      </c>
      <c r="B257" t="s">
        <v>1304</v>
      </c>
      <c r="C257" t="s">
        <v>58</v>
      </c>
      <c r="D257">
        <v>35</v>
      </c>
      <c r="E257" t="s">
        <v>27</v>
      </c>
      <c r="F257" t="s">
        <v>75</v>
      </c>
      <c r="G257" s="1">
        <v>43700</v>
      </c>
      <c r="H257">
        <v>96998</v>
      </c>
      <c r="I257" t="s">
        <v>52</v>
      </c>
      <c r="J257" t="s">
        <v>31</v>
      </c>
      <c r="K257" t="s">
        <v>32</v>
      </c>
      <c r="L257" t="s">
        <v>62</v>
      </c>
      <c r="M257">
        <v>20</v>
      </c>
      <c r="N257" t="s">
        <v>45</v>
      </c>
      <c r="O257">
        <v>3</v>
      </c>
      <c r="P257">
        <v>3</v>
      </c>
      <c r="Q257">
        <v>2</v>
      </c>
      <c r="R257">
        <v>3</v>
      </c>
      <c r="S257">
        <v>6</v>
      </c>
      <c r="T257">
        <v>7</v>
      </c>
      <c r="U257">
        <v>12</v>
      </c>
      <c r="V257" t="s">
        <v>1306</v>
      </c>
      <c r="W257" t="s">
        <v>45</v>
      </c>
      <c r="X257" s="1">
        <v>45345</v>
      </c>
      <c r="Y257" s="2" t="str">
        <f>IF(EmployeeData[[#This Row],[Age]]&lt;25,"Under 25",IF(EmployeeData[[#This Row],[Age]]&lt;=34,"25-34",IF(EmployeeData[[#This Row],[Age]]&lt;=44,"35-44",IF(EmployeeData[[#This Row],[Age]]&lt;=54,"45-54","55+"))))</f>
        <v>35-44</v>
      </c>
      <c r="Z257">
        <f ca="1">DATEDIF(EmployeeData[[#This Row],[DateOfJoining]],IF(AND(EmployeeData[[#This Row],[Attrition]]="Yes",EmployeeData[[#This Row],[LastWorkingDate]]&lt;&gt;""),EmployeeData[[#This Row],[LastWorkingDate]],TODAY()),"Y")</f>
        <v>4</v>
      </c>
      <c r="AA257" t="str">
        <f>IF(EmployeeData[[#This Row],[MonthlyIncome]]&lt;30000,"Low",IF(EmployeeData[[#This Row],[MonthlyIncome]]&lt;=60000,"Medium",IF(EmployeeData[[#This Row],[MonthlyIncome]]&lt;=100000,"High","Very High")))</f>
        <v>High</v>
      </c>
      <c r="AB257">
        <f>IF(EmployeeData[[#This Row],[Attrition]]="Yes",1,0)</f>
        <v>1</v>
      </c>
      <c r="AC257" t="str">
        <f ca="1">IF(EmployeeData[[#This Row],[Tenure Years]]&lt;1,"Less than 1 Year",IF(EmployeeData[[#This Row],[Tenure Years]]&lt;=3,"1-3 Years",IF(EmployeeData[[#This Row],[Tenure Years]]&lt;=5,"4-5 Years",IF(EmployeeData[[#This Row],[Tenure Years]]&lt;=10,"6-10 Years","More than 10 Years"))))</f>
        <v>4-5 Years</v>
      </c>
      <c r="AD257">
        <f>ROUND(AVERAGE(EmployeeData[[#This Row],[JobSatisfaction]],EmployeeData[[#This Row],[EnvironmentSatisfaction]],EmployeeData[[#This Row],[WorkLifeBalance]]),2)</f>
        <v>2.67</v>
      </c>
      <c r="AE257" t="str">
        <f>IF(EmployeeData[[#This Row],[Satisfaction Score]]&lt;2,"Low",IF(EmployeeData[[#This Row],[Satisfaction Score]]&lt;3,"Medium","High"))</f>
        <v>Medium</v>
      </c>
    </row>
    <row r="258" spans="1:31" x14ac:dyDescent="0.25">
      <c r="A258" t="s">
        <v>1308</v>
      </c>
      <c r="B258" t="s">
        <v>1309</v>
      </c>
      <c r="C258" t="s">
        <v>49</v>
      </c>
      <c r="D258">
        <v>40</v>
      </c>
      <c r="E258" t="s">
        <v>27</v>
      </c>
      <c r="F258" t="s">
        <v>188</v>
      </c>
      <c r="G258" s="1">
        <v>43195</v>
      </c>
      <c r="H258">
        <v>103310</v>
      </c>
      <c r="I258" t="s">
        <v>42</v>
      </c>
      <c r="J258" t="s">
        <v>97</v>
      </c>
      <c r="K258" t="s">
        <v>106</v>
      </c>
      <c r="L258" t="s">
        <v>33</v>
      </c>
      <c r="M258">
        <v>28</v>
      </c>
      <c r="N258" t="s">
        <v>34</v>
      </c>
      <c r="O258">
        <v>4</v>
      </c>
      <c r="P258">
        <v>4</v>
      </c>
      <c r="Q258">
        <v>3</v>
      </c>
      <c r="R258">
        <v>3</v>
      </c>
      <c r="S258">
        <v>2</v>
      </c>
      <c r="T258">
        <v>2</v>
      </c>
      <c r="U258">
        <v>11</v>
      </c>
      <c r="V258" t="s">
        <v>1311</v>
      </c>
      <c r="W258" t="s">
        <v>34</v>
      </c>
      <c r="Y258" s="2" t="str">
        <f>IF(EmployeeData[[#This Row],[Age]]&lt;25,"Under 25",IF(EmployeeData[[#This Row],[Age]]&lt;=34,"25-34",IF(EmployeeData[[#This Row],[Age]]&lt;=44,"35-44",IF(EmployeeData[[#This Row],[Age]]&lt;=54,"45-54","55+"))))</f>
        <v>35-44</v>
      </c>
      <c r="Z258">
        <f ca="1">DATEDIF(EmployeeData[[#This Row],[DateOfJoining]],IF(AND(EmployeeData[[#This Row],[Attrition]]="Yes",EmployeeData[[#This Row],[LastWorkingDate]]&lt;&gt;""),EmployeeData[[#This Row],[LastWorkingDate]],TODAY()),"Y")</f>
        <v>8</v>
      </c>
      <c r="AA258" t="str">
        <f>IF(EmployeeData[[#This Row],[MonthlyIncome]]&lt;30000,"Low",IF(EmployeeData[[#This Row],[MonthlyIncome]]&lt;=60000,"Medium",IF(EmployeeData[[#This Row],[MonthlyIncome]]&lt;=100000,"High","Very High")))</f>
        <v>Very High</v>
      </c>
      <c r="AB258">
        <f>IF(EmployeeData[[#This Row],[Attrition]]="Yes",1,0)</f>
        <v>0</v>
      </c>
      <c r="AC258" t="str">
        <f ca="1">IF(EmployeeData[[#This Row],[Tenure Years]]&lt;1,"Less than 1 Year",IF(EmployeeData[[#This Row],[Tenure Years]]&lt;=3,"1-3 Years",IF(EmployeeData[[#This Row],[Tenure Years]]&lt;=5,"4-5 Years",IF(EmployeeData[[#This Row],[Tenure Years]]&lt;=10,"6-10 Years","More than 10 Years"))))</f>
        <v>6-10 Years</v>
      </c>
      <c r="AD258">
        <f>ROUND(AVERAGE(EmployeeData[[#This Row],[JobSatisfaction]],EmployeeData[[#This Row],[EnvironmentSatisfaction]],EmployeeData[[#This Row],[WorkLifeBalance]]),2)</f>
        <v>3.67</v>
      </c>
      <c r="AE258" t="str">
        <f>IF(EmployeeData[[#This Row],[Satisfaction Score]]&lt;2,"Low",IF(EmployeeData[[#This Row],[Satisfaction Score]]&lt;3,"Medium","High"))</f>
        <v>High</v>
      </c>
    </row>
    <row r="259" spans="1:31" x14ac:dyDescent="0.25">
      <c r="A259" t="s">
        <v>1312</v>
      </c>
      <c r="B259" t="s">
        <v>1313</v>
      </c>
      <c r="C259" t="s">
        <v>58</v>
      </c>
      <c r="D259">
        <v>35</v>
      </c>
      <c r="E259" t="s">
        <v>5461</v>
      </c>
      <c r="F259" t="s">
        <v>89</v>
      </c>
      <c r="G259" s="1">
        <v>45008</v>
      </c>
      <c r="H259">
        <v>62894</v>
      </c>
      <c r="I259" t="s">
        <v>42</v>
      </c>
      <c r="J259" t="s">
        <v>143</v>
      </c>
      <c r="K259" t="s">
        <v>131</v>
      </c>
      <c r="L259" t="s">
        <v>62</v>
      </c>
      <c r="M259">
        <v>23</v>
      </c>
      <c r="N259" t="s">
        <v>34</v>
      </c>
      <c r="O259">
        <v>4</v>
      </c>
      <c r="P259">
        <v>3</v>
      </c>
      <c r="Q259">
        <v>1</v>
      </c>
      <c r="R259">
        <v>2</v>
      </c>
      <c r="S259">
        <v>6</v>
      </c>
      <c r="T259">
        <v>8</v>
      </c>
      <c r="U259">
        <v>18</v>
      </c>
      <c r="V259" t="s">
        <v>5459</v>
      </c>
      <c r="W259" t="s">
        <v>34</v>
      </c>
      <c r="Y259" s="2" t="str">
        <f>IF(EmployeeData[[#This Row],[Age]]&lt;25,"Under 25",IF(EmployeeData[[#This Row],[Age]]&lt;=34,"25-34",IF(EmployeeData[[#This Row],[Age]]&lt;=44,"35-44",IF(EmployeeData[[#This Row],[Age]]&lt;=54,"45-54","55+"))))</f>
        <v>35-44</v>
      </c>
      <c r="Z259">
        <f ca="1">DATEDIF(EmployeeData[[#This Row],[DateOfJoining]],IF(AND(EmployeeData[[#This Row],[Attrition]]="Yes",EmployeeData[[#This Row],[LastWorkingDate]]&lt;&gt;""),EmployeeData[[#This Row],[LastWorkingDate]],TODAY()),"Y")</f>
        <v>3</v>
      </c>
      <c r="AA259" t="str">
        <f>IF(EmployeeData[[#This Row],[MonthlyIncome]]&lt;30000,"Low",IF(EmployeeData[[#This Row],[MonthlyIncome]]&lt;=60000,"Medium",IF(EmployeeData[[#This Row],[MonthlyIncome]]&lt;=100000,"High","Very High")))</f>
        <v>High</v>
      </c>
      <c r="AB259">
        <f>IF(EmployeeData[[#This Row],[Attrition]]="Yes",1,0)</f>
        <v>0</v>
      </c>
      <c r="AC259" t="str">
        <f ca="1">IF(EmployeeData[[#This Row],[Tenure Years]]&lt;1,"Less than 1 Year",IF(EmployeeData[[#This Row],[Tenure Years]]&lt;=3,"1-3 Years",IF(EmployeeData[[#This Row],[Tenure Years]]&lt;=5,"4-5 Years",IF(EmployeeData[[#This Row],[Tenure Years]]&lt;=10,"6-10 Years","More than 10 Years"))))</f>
        <v>1-3 Years</v>
      </c>
      <c r="AD259">
        <f>ROUND(AVERAGE(EmployeeData[[#This Row],[JobSatisfaction]],EmployeeData[[#This Row],[EnvironmentSatisfaction]],EmployeeData[[#This Row],[WorkLifeBalance]]),2)</f>
        <v>2.67</v>
      </c>
      <c r="AE259" t="str">
        <f>IF(EmployeeData[[#This Row],[Satisfaction Score]]&lt;2,"Low",IF(EmployeeData[[#This Row],[Satisfaction Score]]&lt;3,"Medium","High"))</f>
        <v>Medium</v>
      </c>
    </row>
    <row r="260" spans="1:31" x14ac:dyDescent="0.25">
      <c r="A260" t="s">
        <v>1315</v>
      </c>
      <c r="B260" t="s">
        <v>1316</v>
      </c>
      <c r="C260" t="s">
        <v>5459</v>
      </c>
      <c r="D260">
        <v>39</v>
      </c>
      <c r="E260" t="s">
        <v>94</v>
      </c>
      <c r="F260" t="s">
        <v>266</v>
      </c>
      <c r="G260" s="1">
        <v>40897</v>
      </c>
      <c r="H260">
        <v>136095</v>
      </c>
      <c r="I260" t="s">
        <v>30</v>
      </c>
      <c r="J260" t="s">
        <v>61</v>
      </c>
      <c r="K260" t="s">
        <v>98</v>
      </c>
      <c r="L260" t="s">
        <v>43</v>
      </c>
      <c r="M260">
        <v>24</v>
      </c>
      <c r="N260" t="s">
        <v>34</v>
      </c>
      <c r="O260">
        <v>1</v>
      </c>
      <c r="P260">
        <v>1</v>
      </c>
      <c r="Q260">
        <v>1</v>
      </c>
      <c r="R260">
        <v>3</v>
      </c>
      <c r="S260">
        <v>2</v>
      </c>
      <c r="T260">
        <v>8</v>
      </c>
      <c r="U260">
        <v>21</v>
      </c>
      <c r="V260" t="s">
        <v>1318</v>
      </c>
      <c r="W260" t="s">
        <v>34</v>
      </c>
      <c r="Y260" s="2" t="str">
        <f>IF(EmployeeData[[#This Row],[Age]]&lt;25,"Under 25",IF(EmployeeData[[#This Row],[Age]]&lt;=34,"25-34",IF(EmployeeData[[#This Row],[Age]]&lt;=44,"35-44",IF(EmployeeData[[#This Row],[Age]]&lt;=54,"45-54","55+"))))</f>
        <v>35-44</v>
      </c>
      <c r="Z260">
        <f ca="1">DATEDIF(EmployeeData[[#This Row],[DateOfJoining]],IF(AND(EmployeeData[[#This Row],[Attrition]]="Yes",EmployeeData[[#This Row],[LastWorkingDate]]&lt;&gt;""),EmployeeData[[#This Row],[LastWorkingDate]],TODAY()),"Y")</f>
        <v>14</v>
      </c>
      <c r="AA260" t="str">
        <f>IF(EmployeeData[[#This Row],[MonthlyIncome]]&lt;30000,"Low",IF(EmployeeData[[#This Row],[MonthlyIncome]]&lt;=60000,"Medium",IF(EmployeeData[[#This Row],[MonthlyIncome]]&lt;=100000,"High","Very High")))</f>
        <v>Very High</v>
      </c>
      <c r="AB260">
        <f>IF(EmployeeData[[#This Row],[Attrition]]="Yes",1,0)</f>
        <v>0</v>
      </c>
      <c r="AC260" t="str">
        <f ca="1">IF(EmployeeData[[#This Row],[Tenure Years]]&lt;1,"Less than 1 Year",IF(EmployeeData[[#This Row],[Tenure Years]]&lt;=3,"1-3 Years",IF(EmployeeData[[#This Row],[Tenure Years]]&lt;=5,"4-5 Years",IF(EmployeeData[[#This Row],[Tenure Years]]&lt;=10,"6-10 Years","More than 10 Years"))))</f>
        <v>More than 10 Years</v>
      </c>
      <c r="AD260">
        <f>ROUND(AVERAGE(EmployeeData[[#This Row],[JobSatisfaction]],EmployeeData[[#This Row],[EnvironmentSatisfaction]],EmployeeData[[#This Row],[WorkLifeBalance]]),2)</f>
        <v>1</v>
      </c>
      <c r="AE260" t="str">
        <f>IF(EmployeeData[[#This Row],[Satisfaction Score]]&lt;2,"Low",IF(EmployeeData[[#This Row],[Satisfaction Score]]&lt;3,"Medium","High"))</f>
        <v>Low</v>
      </c>
    </row>
    <row r="261" spans="1:31" x14ac:dyDescent="0.25">
      <c r="A261" t="s">
        <v>1319</v>
      </c>
      <c r="B261" t="s">
        <v>1320</v>
      </c>
      <c r="C261" t="s">
        <v>58</v>
      </c>
      <c r="D261">
        <v>21</v>
      </c>
      <c r="E261" t="s">
        <v>94</v>
      </c>
      <c r="F261" t="s">
        <v>266</v>
      </c>
      <c r="G261" s="1">
        <v>41595</v>
      </c>
      <c r="H261">
        <v>115667</v>
      </c>
      <c r="I261" t="s">
        <v>52</v>
      </c>
      <c r="J261" t="s">
        <v>61</v>
      </c>
      <c r="K261" t="s">
        <v>167</v>
      </c>
      <c r="L261" t="s">
        <v>43</v>
      </c>
      <c r="M261">
        <v>41</v>
      </c>
      <c r="N261" t="s">
        <v>34</v>
      </c>
      <c r="O261">
        <v>2</v>
      </c>
      <c r="P261">
        <v>4</v>
      </c>
      <c r="Q261">
        <v>4</v>
      </c>
      <c r="R261">
        <v>4</v>
      </c>
      <c r="S261">
        <v>2</v>
      </c>
      <c r="T261">
        <v>4</v>
      </c>
      <c r="U261">
        <v>18</v>
      </c>
      <c r="V261" t="s">
        <v>1322</v>
      </c>
      <c r="W261" t="s">
        <v>34</v>
      </c>
      <c r="Y261" s="2" t="str">
        <f>IF(EmployeeData[[#This Row],[Age]]&lt;25,"Under 25",IF(EmployeeData[[#This Row],[Age]]&lt;=34,"25-34",IF(EmployeeData[[#This Row],[Age]]&lt;=44,"35-44",IF(EmployeeData[[#This Row],[Age]]&lt;=54,"45-54","55+"))))</f>
        <v>Under 25</v>
      </c>
      <c r="Z261">
        <f ca="1">DATEDIF(EmployeeData[[#This Row],[DateOfJoining]],IF(AND(EmployeeData[[#This Row],[Attrition]]="Yes",EmployeeData[[#This Row],[LastWorkingDate]]&lt;&gt;""),EmployeeData[[#This Row],[LastWorkingDate]],TODAY()),"Y")</f>
        <v>12</v>
      </c>
      <c r="AA261" t="str">
        <f>IF(EmployeeData[[#This Row],[MonthlyIncome]]&lt;30000,"Low",IF(EmployeeData[[#This Row],[MonthlyIncome]]&lt;=60000,"Medium",IF(EmployeeData[[#This Row],[MonthlyIncome]]&lt;=100000,"High","Very High")))</f>
        <v>Very High</v>
      </c>
      <c r="AB261">
        <f>IF(EmployeeData[[#This Row],[Attrition]]="Yes",1,0)</f>
        <v>0</v>
      </c>
      <c r="AC261" t="str">
        <f ca="1">IF(EmployeeData[[#This Row],[Tenure Years]]&lt;1,"Less than 1 Year",IF(EmployeeData[[#This Row],[Tenure Years]]&lt;=3,"1-3 Years",IF(EmployeeData[[#This Row],[Tenure Years]]&lt;=5,"4-5 Years",IF(EmployeeData[[#This Row],[Tenure Years]]&lt;=10,"6-10 Years","More than 10 Years"))))</f>
        <v>More than 10 Years</v>
      </c>
      <c r="AD261">
        <f>ROUND(AVERAGE(EmployeeData[[#This Row],[JobSatisfaction]],EmployeeData[[#This Row],[EnvironmentSatisfaction]],EmployeeData[[#This Row],[WorkLifeBalance]]),2)</f>
        <v>3.33</v>
      </c>
      <c r="AE261" t="str">
        <f>IF(EmployeeData[[#This Row],[Satisfaction Score]]&lt;2,"Low",IF(EmployeeData[[#This Row],[Satisfaction Score]]&lt;3,"Medium","High"))</f>
        <v>High</v>
      </c>
    </row>
    <row r="262" spans="1:31" x14ac:dyDescent="0.25">
      <c r="A262" t="s">
        <v>1323</v>
      </c>
      <c r="B262" t="s">
        <v>1324</v>
      </c>
      <c r="C262" t="s">
        <v>49</v>
      </c>
      <c r="D262">
        <v>31</v>
      </c>
      <c r="E262" t="s">
        <v>94</v>
      </c>
      <c r="F262" t="s">
        <v>306</v>
      </c>
      <c r="G262" s="1">
        <v>43485</v>
      </c>
      <c r="H262">
        <v>82680</v>
      </c>
      <c r="I262" t="s">
        <v>42</v>
      </c>
      <c r="J262" t="s">
        <v>97</v>
      </c>
      <c r="K262" t="s">
        <v>77</v>
      </c>
      <c r="L262" t="s">
        <v>43</v>
      </c>
      <c r="M262">
        <v>23</v>
      </c>
      <c r="N262" t="s">
        <v>34</v>
      </c>
      <c r="O262">
        <v>3</v>
      </c>
      <c r="P262">
        <v>3</v>
      </c>
      <c r="Q262">
        <v>2</v>
      </c>
      <c r="R262">
        <v>3</v>
      </c>
      <c r="S262">
        <v>1</v>
      </c>
      <c r="T262">
        <v>5</v>
      </c>
      <c r="U262">
        <v>11</v>
      </c>
      <c r="V262" t="s">
        <v>1327</v>
      </c>
      <c r="W262" t="s">
        <v>34</v>
      </c>
      <c r="Y262" s="2" t="str">
        <f>IF(EmployeeData[[#This Row],[Age]]&lt;25,"Under 25",IF(EmployeeData[[#This Row],[Age]]&lt;=34,"25-34",IF(EmployeeData[[#This Row],[Age]]&lt;=44,"35-44",IF(EmployeeData[[#This Row],[Age]]&lt;=54,"45-54","55+"))))</f>
        <v>25-34</v>
      </c>
      <c r="Z262">
        <f ca="1">DATEDIF(EmployeeData[[#This Row],[DateOfJoining]],IF(AND(EmployeeData[[#This Row],[Attrition]]="Yes",EmployeeData[[#This Row],[LastWorkingDate]]&lt;&gt;""),EmployeeData[[#This Row],[LastWorkingDate]],TODAY()),"Y")</f>
        <v>7</v>
      </c>
      <c r="AA262" t="str">
        <f>IF(EmployeeData[[#This Row],[MonthlyIncome]]&lt;30000,"Low",IF(EmployeeData[[#This Row],[MonthlyIncome]]&lt;=60000,"Medium",IF(EmployeeData[[#This Row],[MonthlyIncome]]&lt;=100000,"High","Very High")))</f>
        <v>High</v>
      </c>
      <c r="AB262">
        <f>IF(EmployeeData[[#This Row],[Attrition]]="Yes",1,0)</f>
        <v>0</v>
      </c>
      <c r="AC262" t="str">
        <f ca="1">IF(EmployeeData[[#This Row],[Tenure Years]]&lt;1,"Less than 1 Year",IF(EmployeeData[[#This Row],[Tenure Years]]&lt;=3,"1-3 Years",IF(EmployeeData[[#This Row],[Tenure Years]]&lt;=5,"4-5 Years",IF(EmployeeData[[#This Row],[Tenure Years]]&lt;=10,"6-10 Years","More than 10 Years"))))</f>
        <v>6-10 Years</v>
      </c>
      <c r="AD262">
        <f>ROUND(AVERAGE(EmployeeData[[#This Row],[JobSatisfaction]],EmployeeData[[#This Row],[EnvironmentSatisfaction]],EmployeeData[[#This Row],[WorkLifeBalance]]),2)</f>
        <v>2.67</v>
      </c>
      <c r="AE262" t="str">
        <f>IF(EmployeeData[[#This Row],[Satisfaction Score]]&lt;2,"Low",IF(EmployeeData[[#This Row],[Satisfaction Score]]&lt;3,"Medium","High"))</f>
        <v>Medium</v>
      </c>
    </row>
    <row r="263" spans="1:31" x14ac:dyDescent="0.25">
      <c r="A263" t="s">
        <v>1328</v>
      </c>
      <c r="B263" t="s">
        <v>1329</v>
      </c>
      <c r="C263" t="s">
        <v>49</v>
      </c>
      <c r="D263">
        <v>38</v>
      </c>
      <c r="E263" t="s">
        <v>5461</v>
      </c>
      <c r="F263" t="s">
        <v>483</v>
      </c>
      <c r="G263" s="1">
        <v>44564</v>
      </c>
      <c r="H263">
        <v>114657</v>
      </c>
      <c r="I263" t="s">
        <v>30</v>
      </c>
      <c r="J263" t="s">
        <v>61</v>
      </c>
      <c r="K263" t="s">
        <v>54</v>
      </c>
      <c r="L263" t="s">
        <v>33</v>
      </c>
      <c r="M263">
        <v>31</v>
      </c>
      <c r="N263" t="s">
        <v>34</v>
      </c>
      <c r="O263">
        <v>3</v>
      </c>
      <c r="P263">
        <v>4</v>
      </c>
      <c r="Q263">
        <v>4</v>
      </c>
      <c r="R263">
        <v>4</v>
      </c>
      <c r="S263">
        <v>1</v>
      </c>
      <c r="T263">
        <v>2</v>
      </c>
      <c r="U263">
        <v>15</v>
      </c>
      <c r="V263" t="s">
        <v>1331</v>
      </c>
      <c r="W263" t="s">
        <v>34</v>
      </c>
      <c r="Y263" s="2" t="str">
        <f>IF(EmployeeData[[#This Row],[Age]]&lt;25,"Under 25",IF(EmployeeData[[#This Row],[Age]]&lt;=34,"25-34",IF(EmployeeData[[#This Row],[Age]]&lt;=44,"35-44",IF(EmployeeData[[#This Row],[Age]]&lt;=54,"45-54","55+"))))</f>
        <v>35-44</v>
      </c>
      <c r="Z263">
        <f ca="1">DATEDIF(EmployeeData[[#This Row],[DateOfJoining]],IF(AND(EmployeeData[[#This Row],[Attrition]]="Yes",EmployeeData[[#This Row],[LastWorkingDate]]&lt;&gt;""),EmployeeData[[#This Row],[LastWorkingDate]],TODAY()),"Y")</f>
        <v>4</v>
      </c>
      <c r="AA263" t="str">
        <f>IF(EmployeeData[[#This Row],[MonthlyIncome]]&lt;30000,"Low",IF(EmployeeData[[#This Row],[MonthlyIncome]]&lt;=60000,"Medium",IF(EmployeeData[[#This Row],[MonthlyIncome]]&lt;=100000,"High","Very High")))</f>
        <v>Very High</v>
      </c>
      <c r="AB263">
        <f>IF(EmployeeData[[#This Row],[Attrition]]="Yes",1,0)</f>
        <v>0</v>
      </c>
      <c r="AC263" t="str">
        <f ca="1">IF(EmployeeData[[#This Row],[Tenure Years]]&lt;1,"Less than 1 Year",IF(EmployeeData[[#This Row],[Tenure Years]]&lt;=3,"1-3 Years",IF(EmployeeData[[#This Row],[Tenure Years]]&lt;=5,"4-5 Years",IF(EmployeeData[[#This Row],[Tenure Years]]&lt;=10,"6-10 Years","More than 10 Years"))))</f>
        <v>4-5 Years</v>
      </c>
      <c r="AD263">
        <f>ROUND(AVERAGE(EmployeeData[[#This Row],[JobSatisfaction]],EmployeeData[[#This Row],[EnvironmentSatisfaction]],EmployeeData[[#This Row],[WorkLifeBalance]]),2)</f>
        <v>3.67</v>
      </c>
      <c r="AE263" t="str">
        <f>IF(EmployeeData[[#This Row],[Satisfaction Score]]&lt;2,"Low",IF(EmployeeData[[#This Row],[Satisfaction Score]]&lt;3,"Medium","High"))</f>
        <v>High</v>
      </c>
    </row>
    <row r="264" spans="1:31" x14ac:dyDescent="0.25">
      <c r="A264" t="s">
        <v>1332</v>
      </c>
      <c r="B264" t="s">
        <v>1333</v>
      </c>
      <c r="C264" t="s">
        <v>49</v>
      </c>
      <c r="D264">
        <v>26</v>
      </c>
      <c r="E264" t="s">
        <v>5461</v>
      </c>
      <c r="F264" t="s">
        <v>261</v>
      </c>
      <c r="G264" s="1">
        <v>44162</v>
      </c>
      <c r="H264">
        <v>82983</v>
      </c>
      <c r="I264" t="s">
        <v>52</v>
      </c>
      <c r="J264" t="s">
        <v>61</v>
      </c>
      <c r="K264" t="s">
        <v>83</v>
      </c>
      <c r="L264" t="s">
        <v>33</v>
      </c>
      <c r="M264">
        <v>10</v>
      </c>
      <c r="N264" t="s">
        <v>34</v>
      </c>
      <c r="O264">
        <v>3</v>
      </c>
      <c r="P264">
        <v>1</v>
      </c>
      <c r="Q264">
        <v>3</v>
      </c>
      <c r="R264">
        <v>2</v>
      </c>
      <c r="S264">
        <v>1</v>
      </c>
      <c r="T264">
        <v>4</v>
      </c>
      <c r="U264">
        <v>14</v>
      </c>
      <c r="V264" t="s">
        <v>1335</v>
      </c>
      <c r="W264" t="s">
        <v>34</v>
      </c>
      <c r="Y264" s="2" t="str">
        <f>IF(EmployeeData[[#This Row],[Age]]&lt;25,"Under 25",IF(EmployeeData[[#This Row],[Age]]&lt;=34,"25-34",IF(EmployeeData[[#This Row],[Age]]&lt;=44,"35-44",IF(EmployeeData[[#This Row],[Age]]&lt;=54,"45-54","55+"))))</f>
        <v>25-34</v>
      </c>
      <c r="Z264">
        <f ca="1">DATEDIF(EmployeeData[[#This Row],[DateOfJoining]],IF(AND(EmployeeData[[#This Row],[Attrition]]="Yes",EmployeeData[[#This Row],[LastWorkingDate]]&lt;&gt;""),EmployeeData[[#This Row],[LastWorkingDate]],TODAY()),"Y")</f>
        <v>5</v>
      </c>
      <c r="AA264" t="str">
        <f>IF(EmployeeData[[#This Row],[MonthlyIncome]]&lt;30000,"Low",IF(EmployeeData[[#This Row],[MonthlyIncome]]&lt;=60000,"Medium",IF(EmployeeData[[#This Row],[MonthlyIncome]]&lt;=100000,"High","Very High")))</f>
        <v>High</v>
      </c>
      <c r="AB264">
        <f>IF(EmployeeData[[#This Row],[Attrition]]="Yes",1,0)</f>
        <v>0</v>
      </c>
      <c r="AC264" t="str">
        <f ca="1">IF(EmployeeData[[#This Row],[Tenure Years]]&lt;1,"Less than 1 Year",IF(EmployeeData[[#This Row],[Tenure Years]]&lt;=3,"1-3 Years",IF(EmployeeData[[#This Row],[Tenure Years]]&lt;=5,"4-5 Years",IF(EmployeeData[[#This Row],[Tenure Years]]&lt;=10,"6-10 Years","More than 10 Years"))))</f>
        <v>4-5 Years</v>
      </c>
      <c r="AD264">
        <f>ROUND(AVERAGE(EmployeeData[[#This Row],[JobSatisfaction]],EmployeeData[[#This Row],[EnvironmentSatisfaction]],EmployeeData[[#This Row],[WorkLifeBalance]]),2)</f>
        <v>2.33</v>
      </c>
      <c r="AE264" t="str">
        <f>IF(EmployeeData[[#This Row],[Satisfaction Score]]&lt;2,"Low",IF(EmployeeData[[#This Row],[Satisfaction Score]]&lt;3,"Medium","High"))</f>
        <v>Medium</v>
      </c>
    </row>
    <row r="265" spans="1:31" x14ac:dyDescent="0.25">
      <c r="A265" t="s">
        <v>1336</v>
      </c>
      <c r="B265" t="s">
        <v>1337</v>
      </c>
      <c r="C265" t="s">
        <v>49</v>
      </c>
      <c r="D265">
        <v>32</v>
      </c>
      <c r="E265" t="s">
        <v>128</v>
      </c>
      <c r="F265" t="s">
        <v>271</v>
      </c>
      <c r="G265" s="1">
        <v>45297</v>
      </c>
      <c r="H265">
        <v>83427</v>
      </c>
      <c r="I265" t="s">
        <v>52</v>
      </c>
      <c r="J265" t="s">
        <v>61</v>
      </c>
      <c r="K265" t="s">
        <v>98</v>
      </c>
      <c r="L265" t="s">
        <v>43</v>
      </c>
      <c r="M265">
        <v>17</v>
      </c>
      <c r="N265" t="s">
        <v>34</v>
      </c>
      <c r="O265">
        <v>1</v>
      </c>
      <c r="P265">
        <v>4</v>
      </c>
      <c r="Q265">
        <v>3</v>
      </c>
      <c r="R265">
        <v>2</v>
      </c>
      <c r="S265">
        <v>3</v>
      </c>
      <c r="T265">
        <v>4</v>
      </c>
      <c r="U265">
        <v>13</v>
      </c>
      <c r="V265" t="s">
        <v>1339</v>
      </c>
      <c r="W265" t="s">
        <v>34</v>
      </c>
      <c r="Y265" s="2" t="str">
        <f>IF(EmployeeData[[#This Row],[Age]]&lt;25,"Under 25",IF(EmployeeData[[#This Row],[Age]]&lt;=34,"25-34",IF(EmployeeData[[#This Row],[Age]]&lt;=44,"35-44",IF(EmployeeData[[#This Row],[Age]]&lt;=54,"45-54","55+"))))</f>
        <v>25-34</v>
      </c>
      <c r="Z265">
        <f ca="1">DATEDIF(EmployeeData[[#This Row],[DateOfJoining]],IF(AND(EmployeeData[[#This Row],[Attrition]]="Yes",EmployeeData[[#This Row],[LastWorkingDate]]&lt;&gt;""),EmployeeData[[#This Row],[LastWorkingDate]],TODAY()),"Y")</f>
        <v>2</v>
      </c>
      <c r="AA265" t="str">
        <f>IF(EmployeeData[[#This Row],[MonthlyIncome]]&lt;30000,"Low",IF(EmployeeData[[#This Row],[MonthlyIncome]]&lt;=60000,"Medium",IF(EmployeeData[[#This Row],[MonthlyIncome]]&lt;=100000,"High","Very High")))</f>
        <v>High</v>
      </c>
      <c r="AB265">
        <f>IF(EmployeeData[[#This Row],[Attrition]]="Yes",1,0)</f>
        <v>0</v>
      </c>
      <c r="AC265" t="str">
        <f ca="1">IF(EmployeeData[[#This Row],[Tenure Years]]&lt;1,"Less than 1 Year",IF(EmployeeData[[#This Row],[Tenure Years]]&lt;=3,"1-3 Years",IF(EmployeeData[[#This Row],[Tenure Years]]&lt;=5,"4-5 Years",IF(EmployeeData[[#This Row],[Tenure Years]]&lt;=10,"6-10 Years","More than 10 Years"))))</f>
        <v>1-3 Years</v>
      </c>
      <c r="AD265">
        <f>ROUND(AVERAGE(EmployeeData[[#This Row],[JobSatisfaction]],EmployeeData[[#This Row],[EnvironmentSatisfaction]],EmployeeData[[#This Row],[WorkLifeBalance]]),2)</f>
        <v>2.67</v>
      </c>
      <c r="AE265" t="str">
        <f>IF(EmployeeData[[#This Row],[Satisfaction Score]]&lt;2,"Low",IF(EmployeeData[[#This Row],[Satisfaction Score]]&lt;3,"Medium","High"))</f>
        <v>Medium</v>
      </c>
    </row>
    <row r="266" spans="1:31" x14ac:dyDescent="0.25">
      <c r="A266" t="s">
        <v>1340</v>
      </c>
      <c r="B266" t="s">
        <v>1341</v>
      </c>
      <c r="C266" t="s">
        <v>58</v>
      </c>
      <c r="D266">
        <v>30</v>
      </c>
      <c r="E266" t="s">
        <v>5461</v>
      </c>
      <c r="F266" t="s">
        <v>89</v>
      </c>
      <c r="G266" s="1">
        <v>42848</v>
      </c>
      <c r="H266">
        <v>82647</v>
      </c>
      <c r="I266" t="s">
        <v>42</v>
      </c>
      <c r="J266" t="s">
        <v>143</v>
      </c>
      <c r="K266" t="s">
        <v>200</v>
      </c>
      <c r="L266" t="s">
        <v>33</v>
      </c>
      <c r="M266">
        <v>16</v>
      </c>
      <c r="N266" t="s">
        <v>34</v>
      </c>
      <c r="O266">
        <v>3</v>
      </c>
      <c r="P266">
        <v>4</v>
      </c>
      <c r="Q266">
        <v>1</v>
      </c>
      <c r="R266">
        <v>3</v>
      </c>
      <c r="S266">
        <v>4</v>
      </c>
      <c r="T266">
        <v>3</v>
      </c>
      <c r="U266">
        <v>20</v>
      </c>
      <c r="V266" t="s">
        <v>1344</v>
      </c>
      <c r="W266" t="s">
        <v>34</v>
      </c>
      <c r="Y266" s="2" t="str">
        <f>IF(EmployeeData[[#This Row],[Age]]&lt;25,"Under 25",IF(EmployeeData[[#This Row],[Age]]&lt;=34,"25-34",IF(EmployeeData[[#This Row],[Age]]&lt;=44,"35-44",IF(EmployeeData[[#This Row],[Age]]&lt;=54,"45-54","55+"))))</f>
        <v>25-34</v>
      </c>
      <c r="Z266">
        <f ca="1">DATEDIF(EmployeeData[[#This Row],[DateOfJoining]],IF(AND(EmployeeData[[#This Row],[Attrition]]="Yes",EmployeeData[[#This Row],[LastWorkingDate]]&lt;&gt;""),EmployeeData[[#This Row],[LastWorkingDate]],TODAY()),"Y")</f>
        <v>9</v>
      </c>
      <c r="AA266" t="str">
        <f>IF(EmployeeData[[#This Row],[MonthlyIncome]]&lt;30000,"Low",IF(EmployeeData[[#This Row],[MonthlyIncome]]&lt;=60000,"Medium",IF(EmployeeData[[#This Row],[MonthlyIncome]]&lt;=100000,"High","Very High")))</f>
        <v>High</v>
      </c>
      <c r="AB266">
        <f>IF(EmployeeData[[#This Row],[Attrition]]="Yes",1,0)</f>
        <v>0</v>
      </c>
      <c r="AC266" t="str">
        <f ca="1">IF(EmployeeData[[#This Row],[Tenure Years]]&lt;1,"Less than 1 Year",IF(EmployeeData[[#This Row],[Tenure Years]]&lt;=3,"1-3 Years",IF(EmployeeData[[#This Row],[Tenure Years]]&lt;=5,"4-5 Years",IF(EmployeeData[[#This Row],[Tenure Years]]&lt;=10,"6-10 Years","More than 10 Years"))))</f>
        <v>6-10 Years</v>
      </c>
      <c r="AD266">
        <f>ROUND(AVERAGE(EmployeeData[[#This Row],[JobSatisfaction]],EmployeeData[[#This Row],[EnvironmentSatisfaction]],EmployeeData[[#This Row],[WorkLifeBalance]]),2)</f>
        <v>2.67</v>
      </c>
      <c r="AE266" t="str">
        <f>IF(EmployeeData[[#This Row],[Satisfaction Score]]&lt;2,"Low",IF(EmployeeData[[#This Row],[Satisfaction Score]]&lt;3,"Medium","High"))</f>
        <v>Medium</v>
      </c>
    </row>
    <row r="267" spans="1:31" x14ac:dyDescent="0.25">
      <c r="A267" t="s">
        <v>1345</v>
      </c>
      <c r="B267" t="s">
        <v>1346</v>
      </c>
      <c r="C267" t="s">
        <v>49</v>
      </c>
      <c r="D267">
        <v>31</v>
      </c>
      <c r="E267" t="s">
        <v>27</v>
      </c>
      <c r="F267" t="s">
        <v>188</v>
      </c>
      <c r="G267" s="1">
        <v>40799</v>
      </c>
      <c r="H267">
        <v>121597</v>
      </c>
      <c r="I267" t="s">
        <v>52</v>
      </c>
      <c r="J267" t="s">
        <v>61</v>
      </c>
      <c r="K267" t="s">
        <v>131</v>
      </c>
      <c r="L267" t="s">
        <v>33</v>
      </c>
      <c r="M267">
        <v>14</v>
      </c>
      <c r="N267" t="s">
        <v>34</v>
      </c>
      <c r="O267">
        <v>4</v>
      </c>
      <c r="P267">
        <v>2</v>
      </c>
      <c r="Q267">
        <v>2</v>
      </c>
      <c r="R267">
        <v>2</v>
      </c>
      <c r="S267">
        <v>5</v>
      </c>
      <c r="T267">
        <v>5</v>
      </c>
      <c r="U267">
        <v>25</v>
      </c>
      <c r="V267" t="s">
        <v>1348</v>
      </c>
      <c r="W267" t="s">
        <v>34</v>
      </c>
      <c r="Y267" s="2" t="str">
        <f>IF(EmployeeData[[#This Row],[Age]]&lt;25,"Under 25",IF(EmployeeData[[#This Row],[Age]]&lt;=34,"25-34",IF(EmployeeData[[#This Row],[Age]]&lt;=44,"35-44",IF(EmployeeData[[#This Row],[Age]]&lt;=54,"45-54","55+"))))</f>
        <v>25-34</v>
      </c>
      <c r="Z267">
        <f ca="1">DATEDIF(EmployeeData[[#This Row],[DateOfJoining]],IF(AND(EmployeeData[[#This Row],[Attrition]]="Yes",EmployeeData[[#This Row],[LastWorkingDate]]&lt;&gt;""),EmployeeData[[#This Row],[LastWorkingDate]],TODAY()),"Y")</f>
        <v>14</v>
      </c>
      <c r="AA267" t="str">
        <f>IF(EmployeeData[[#This Row],[MonthlyIncome]]&lt;30000,"Low",IF(EmployeeData[[#This Row],[MonthlyIncome]]&lt;=60000,"Medium",IF(EmployeeData[[#This Row],[MonthlyIncome]]&lt;=100000,"High","Very High")))</f>
        <v>Very High</v>
      </c>
      <c r="AB267">
        <f>IF(EmployeeData[[#This Row],[Attrition]]="Yes",1,0)</f>
        <v>0</v>
      </c>
      <c r="AC267" t="str">
        <f ca="1">IF(EmployeeData[[#This Row],[Tenure Years]]&lt;1,"Less than 1 Year",IF(EmployeeData[[#This Row],[Tenure Years]]&lt;=3,"1-3 Years",IF(EmployeeData[[#This Row],[Tenure Years]]&lt;=5,"4-5 Years",IF(EmployeeData[[#This Row],[Tenure Years]]&lt;=10,"6-10 Years","More than 10 Years"))))</f>
        <v>More than 10 Years</v>
      </c>
      <c r="AD267">
        <f>ROUND(AVERAGE(EmployeeData[[#This Row],[JobSatisfaction]],EmployeeData[[#This Row],[EnvironmentSatisfaction]],EmployeeData[[#This Row],[WorkLifeBalance]]),2)</f>
        <v>2.67</v>
      </c>
      <c r="AE267" t="str">
        <f>IF(EmployeeData[[#This Row],[Satisfaction Score]]&lt;2,"Low",IF(EmployeeData[[#This Row],[Satisfaction Score]]&lt;3,"Medium","High"))</f>
        <v>Medium</v>
      </c>
    </row>
    <row r="268" spans="1:31" x14ac:dyDescent="0.25">
      <c r="A268" t="s">
        <v>1349</v>
      </c>
      <c r="B268" t="s">
        <v>1350</v>
      </c>
      <c r="C268" t="s">
        <v>49</v>
      </c>
      <c r="D268">
        <v>32</v>
      </c>
      <c r="E268" t="s">
        <v>27</v>
      </c>
      <c r="F268" t="s">
        <v>75</v>
      </c>
      <c r="G268" s="1">
        <v>41761</v>
      </c>
      <c r="H268">
        <v>114578</v>
      </c>
      <c r="I268" t="s">
        <v>30</v>
      </c>
      <c r="J268" t="s">
        <v>61</v>
      </c>
      <c r="K268" t="s">
        <v>83</v>
      </c>
      <c r="L268" t="s">
        <v>43</v>
      </c>
      <c r="M268">
        <v>2</v>
      </c>
      <c r="N268" t="s">
        <v>45</v>
      </c>
      <c r="O268">
        <v>3</v>
      </c>
      <c r="P268">
        <v>3</v>
      </c>
      <c r="Q268">
        <v>4</v>
      </c>
      <c r="R268">
        <v>3</v>
      </c>
      <c r="S268">
        <v>0</v>
      </c>
      <c r="T268">
        <v>6</v>
      </c>
      <c r="U268">
        <v>18</v>
      </c>
      <c r="V268" t="s">
        <v>1352</v>
      </c>
      <c r="W268" t="s">
        <v>34</v>
      </c>
      <c r="Y268" s="2" t="str">
        <f>IF(EmployeeData[[#This Row],[Age]]&lt;25,"Under 25",IF(EmployeeData[[#This Row],[Age]]&lt;=34,"25-34",IF(EmployeeData[[#This Row],[Age]]&lt;=44,"35-44",IF(EmployeeData[[#This Row],[Age]]&lt;=54,"45-54","55+"))))</f>
        <v>25-34</v>
      </c>
      <c r="Z268">
        <f ca="1">DATEDIF(EmployeeData[[#This Row],[DateOfJoining]],IF(AND(EmployeeData[[#This Row],[Attrition]]="Yes",EmployeeData[[#This Row],[LastWorkingDate]]&lt;&gt;""),EmployeeData[[#This Row],[LastWorkingDate]],TODAY()),"Y")</f>
        <v>12</v>
      </c>
      <c r="AA268" t="str">
        <f>IF(EmployeeData[[#This Row],[MonthlyIncome]]&lt;30000,"Low",IF(EmployeeData[[#This Row],[MonthlyIncome]]&lt;=60000,"Medium",IF(EmployeeData[[#This Row],[MonthlyIncome]]&lt;=100000,"High","Very High")))</f>
        <v>Very High</v>
      </c>
      <c r="AB268">
        <f>IF(EmployeeData[[#This Row],[Attrition]]="Yes",1,0)</f>
        <v>0</v>
      </c>
      <c r="AC268" t="str">
        <f ca="1">IF(EmployeeData[[#This Row],[Tenure Years]]&lt;1,"Less than 1 Year",IF(EmployeeData[[#This Row],[Tenure Years]]&lt;=3,"1-3 Years",IF(EmployeeData[[#This Row],[Tenure Years]]&lt;=5,"4-5 Years",IF(EmployeeData[[#This Row],[Tenure Years]]&lt;=10,"6-10 Years","More than 10 Years"))))</f>
        <v>More than 10 Years</v>
      </c>
      <c r="AD268">
        <f>ROUND(AVERAGE(EmployeeData[[#This Row],[JobSatisfaction]],EmployeeData[[#This Row],[EnvironmentSatisfaction]],EmployeeData[[#This Row],[WorkLifeBalance]]),2)</f>
        <v>3.33</v>
      </c>
      <c r="AE268" t="str">
        <f>IF(EmployeeData[[#This Row],[Satisfaction Score]]&lt;2,"Low",IF(EmployeeData[[#This Row],[Satisfaction Score]]&lt;3,"Medium","High"))</f>
        <v>High</v>
      </c>
    </row>
    <row r="269" spans="1:31" x14ac:dyDescent="0.25">
      <c r="A269" t="s">
        <v>1353</v>
      </c>
      <c r="B269" t="s">
        <v>1354</v>
      </c>
      <c r="C269" t="s">
        <v>49</v>
      </c>
      <c r="D269">
        <v>24</v>
      </c>
      <c r="E269" t="s">
        <v>412</v>
      </c>
      <c r="F269" t="s">
        <v>828</v>
      </c>
      <c r="G269" s="1">
        <v>43105</v>
      </c>
      <c r="H269">
        <v>37058</v>
      </c>
      <c r="I269" t="s">
        <v>30</v>
      </c>
      <c r="J269" t="s">
        <v>143</v>
      </c>
      <c r="K269" t="s">
        <v>83</v>
      </c>
      <c r="L269" t="s">
        <v>62</v>
      </c>
      <c r="M269">
        <v>35</v>
      </c>
      <c r="N269" t="s">
        <v>34</v>
      </c>
      <c r="O269">
        <v>1</v>
      </c>
      <c r="P269">
        <v>4</v>
      </c>
      <c r="Q269">
        <v>4</v>
      </c>
      <c r="R269">
        <v>3</v>
      </c>
      <c r="S269">
        <v>1</v>
      </c>
      <c r="T269">
        <v>2</v>
      </c>
      <c r="U269">
        <v>13</v>
      </c>
      <c r="V269" t="s">
        <v>1358</v>
      </c>
      <c r="W269" t="s">
        <v>34</v>
      </c>
      <c r="Y269" s="2" t="str">
        <f>IF(EmployeeData[[#This Row],[Age]]&lt;25,"Under 25",IF(EmployeeData[[#This Row],[Age]]&lt;=34,"25-34",IF(EmployeeData[[#This Row],[Age]]&lt;=44,"35-44",IF(EmployeeData[[#This Row],[Age]]&lt;=54,"45-54","55+"))))</f>
        <v>Under 25</v>
      </c>
      <c r="Z269">
        <f ca="1">DATEDIF(EmployeeData[[#This Row],[DateOfJoining]],IF(AND(EmployeeData[[#This Row],[Attrition]]="Yes",EmployeeData[[#This Row],[LastWorkingDate]]&lt;&gt;""),EmployeeData[[#This Row],[LastWorkingDate]],TODAY()),"Y")</f>
        <v>8</v>
      </c>
      <c r="AA269" t="str">
        <f>IF(EmployeeData[[#This Row],[MonthlyIncome]]&lt;30000,"Low",IF(EmployeeData[[#This Row],[MonthlyIncome]]&lt;=60000,"Medium",IF(EmployeeData[[#This Row],[MonthlyIncome]]&lt;=100000,"High","Very High")))</f>
        <v>Medium</v>
      </c>
      <c r="AB269">
        <f>IF(EmployeeData[[#This Row],[Attrition]]="Yes",1,0)</f>
        <v>0</v>
      </c>
      <c r="AC269" t="str">
        <f ca="1">IF(EmployeeData[[#This Row],[Tenure Years]]&lt;1,"Less than 1 Year",IF(EmployeeData[[#This Row],[Tenure Years]]&lt;=3,"1-3 Years",IF(EmployeeData[[#This Row],[Tenure Years]]&lt;=5,"4-5 Years",IF(EmployeeData[[#This Row],[Tenure Years]]&lt;=10,"6-10 Years","More than 10 Years"))))</f>
        <v>6-10 Years</v>
      </c>
      <c r="AD269">
        <f>ROUND(AVERAGE(EmployeeData[[#This Row],[JobSatisfaction]],EmployeeData[[#This Row],[EnvironmentSatisfaction]],EmployeeData[[#This Row],[WorkLifeBalance]]),2)</f>
        <v>3</v>
      </c>
      <c r="AE269" t="str">
        <f>IF(EmployeeData[[#This Row],[Satisfaction Score]]&lt;2,"Low",IF(EmployeeData[[#This Row],[Satisfaction Score]]&lt;3,"Medium","High"))</f>
        <v>High</v>
      </c>
    </row>
    <row r="270" spans="1:31" x14ac:dyDescent="0.25">
      <c r="A270" t="s">
        <v>1359</v>
      </c>
      <c r="B270" t="s">
        <v>1360</v>
      </c>
      <c r="C270" t="s">
        <v>58</v>
      </c>
      <c r="D270">
        <v>39</v>
      </c>
      <c r="E270" t="s">
        <v>94</v>
      </c>
      <c r="F270" t="s">
        <v>306</v>
      </c>
      <c r="G270" s="1">
        <v>41917</v>
      </c>
      <c r="H270">
        <v>120015</v>
      </c>
      <c r="I270" t="s">
        <v>42</v>
      </c>
      <c r="J270" t="s">
        <v>53</v>
      </c>
      <c r="K270" t="s">
        <v>54</v>
      </c>
      <c r="L270" t="s">
        <v>62</v>
      </c>
      <c r="M270">
        <v>7</v>
      </c>
      <c r="N270" t="s">
        <v>34</v>
      </c>
      <c r="O270">
        <v>1</v>
      </c>
      <c r="P270">
        <v>3</v>
      </c>
      <c r="Q270">
        <v>3</v>
      </c>
      <c r="R270">
        <v>1</v>
      </c>
      <c r="S270">
        <v>4</v>
      </c>
      <c r="T270">
        <v>0</v>
      </c>
      <c r="U270">
        <v>24</v>
      </c>
      <c r="V270" t="s">
        <v>1362</v>
      </c>
      <c r="W270" t="s">
        <v>34</v>
      </c>
      <c r="Y270" s="2" t="str">
        <f>IF(EmployeeData[[#This Row],[Age]]&lt;25,"Under 25",IF(EmployeeData[[#This Row],[Age]]&lt;=34,"25-34",IF(EmployeeData[[#This Row],[Age]]&lt;=44,"35-44",IF(EmployeeData[[#This Row],[Age]]&lt;=54,"45-54","55+"))))</f>
        <v>35-44</v>
      </c>
      <c r="Z270">
        <f ca="1">DATEDIF(EmployeeData[[#This Row],[DateOfJoining]],IF(AND(EmployeeData[[#This Row],[Attrition]]="Yes",EmployeeData[[#This Row],[LastWorkingDate]]&lt;&gt;""),EmployeeData[[#This Row],[LastWorkingDate]],TODAY()),"Y")</f>
        <v>11</v>
      </c>
      <c r="AA270" t="str">
        <f>IF(EmployeeData[[#This Row],[MonthlyIncome]]&lt;30000,"Low",IF(EmployeeData[[#This Row],[MonthlyIncome]]&lt;=60000,"Medium",IF(EmployeeData[[#This Row],[MonthlyIncome]]&lt;=100000,"High","Very High")))</f>
        <v>Very High</v>
      </c>
      <c r="AB270">
        <f>IF(EmployeeData[[#This Row],[Attrition]]="Yes",1,0)</f>
        <v>0</v>
      </c>
      <c r="AC270" t="str">
        <f ca="1">IF(EmployeeData[[#This Row],[Tenure Years]]&lt;1,"Less than 1 Year",IF(EmployeeData[[#This Row],[Tenure Years]]&lt;=3,"1-3 Years",IF(EmployeeData[[#This Row],[Tenure Years]]&lt;=5,"4-5 Years",IF(EmployeeData[[#This Row],[Tenure Years]]&lt;=10,"6-10 Years","More than 10 Years"))))</f>
        <v>More than 10 Years</v>
      </c>
      <c r="AD270">
        <f>ROUND(AVERAGE(EmployeeData[[#This Row],[JobSatisfaction]],EmployeeData[[#This Row],[EnvironmentSatisfaction]],EmployeeData[[#This Row],[WorkLifeBalance]]),2)</f>
        <v>2.33</v>
      </c>
      <c r="AE270" t="str">
        <f>IF(EmployeeData[[#This Row],[Satisfaction Score]]&lt;2,"Low",IF(EmployeeData[[#This Row],[Satisfaction Score]]&lt;3,"Medium","High"))</f>
        <v>Medium</v>
      </c>
    </row>
    <row r="271" spans="1:31" x14ac:dyDescent="0.25">
      <c r="A271" t="s">
        <v>1363</v>
      </c>
      <c r="B271" t="s">
        <v>1364</v>
      </c>
      <c r="C271" t="s">
        <v>49</v>
      </c>
      <c r="D271">
        <v>23</v>
      </c>
      <c r="E271" t="s">
        <v>27</v>
      </c>
      <c r="F271" t="s">
        <v>50</v>
      </c>
      <c r="G271" s="1">
        <v>41265</v>
      </c>
      <c r="H271">
        <v>115271</v>
      </c>
      <c r="I271" t="s">
        <v>52</v>
      </c>
      <c r="J271" t="s">
        <v>143</v>
      </c>
      <c r="K271" t="s">
        <v>77</v>
      </c>
      <c r="L271" t="s">
        <v>62</v>
      </c>
      <c r="M271">
        <v>23</v>
      </c>
      <c r="N271" t="s">
        <v>45</v>
      </c>
      <c r="O271">
        <v>4</v>
      </c>
      <c r="P271">
        <v>1</v>
      </c>
      <c r="Q271">
        <v>3</v>
      </c>
      <c r="R271">
        <v>4</v>
      </c>
      <c r="S271">
        <v>6</v>
      </c>
      <c r="T271">
        <v>1</v>
      </c>
      <c r="U271">
        <v>20</v>
      </c>
      <c r="V271" t="s">
        <v>1366</v>
      </c>
      <c r="W271" t="s">
        <v>34</v>
      </c>
      <c r="Y271" s="2" t="str">
        <f>IF(EmployeeData[[#This Row],[Age]]&lt;25,"Under 25",IF(EmployeeData[[#This Row],[Age]]&lt;=34,"25-34",IF(EmployeeData[[#This Row],[Age]]&lt;=44,"35-44",IF(EmployeeData[[#This Row],[Age]]&lt;=54,"45-54","55+"))))</f>
        <v>Under 25</v>
      </c>
      <c r="Z271">
        <f ca="1">DATEDIF(EmployeeData[[#This Row],[DateOfJoining]],IF(AND(EmployeeData[[#This Row],[Attrition]]="Yes",EmployeeData[[#This Row],[LastWorkingDate]]&lt;&gt;""),EmployeeData[[#This Row],[LastWorkingDate]],TODAY()),"Y")</f>
        <v>13</v>
      </c>
      <c r="AA271" t="str">
        <f>IF(EmployeeData[[#This Row],[MonthlyIncome]]&lt;30000,"Low",IF(EmployeeData[[#This Row],[MonthlyIncome]]&lt;=60000,"Medium",IF(EmployeeData[[#This Row],[MonthlyIncome]]&lt;=100000,"High","Very High")))</f>
        <v>Very High</v>
      </c>
      <c r="AB271">
        <f>IF(EmployeeData[[#This Row],[Attrition]]="Yes",1,0)</f>
        <v>0</v>
      </c>
      <c r="AC271" t="str">
        <f ca="1">IF(EmployeeData[[#This Row],[Tenure Years]]&lt;1,"Less than 1 Year",IF(EmployeeData[[#This Row],[Tenure Years]]&lt;=3,"1-3 Years",IF(EmployeeData[[#This Row],[Tenure Years]]&lt;=5,"4-5 Years",IF(EmployeeData[[#This Row],[Tenure Years]]&lt;=10,"6-10 Years","More than 10 Years"))))</f>
        <v>More than 10 Years</v>
      </c>
      <c r="AD271">
        <f>ROUND(AVERAGE(EmployeeData[[#This Row],[JobSatisfaction]],EmployeeData[[#This Row],[EnvironmentSatisfaction]],EmployeeData[[#This Row],[WorkLifeBalance]]),2)</f>
        <v>2.67</v>
      </c>
      <c r="AE271" t="str">
        <f>IF(EmployeeData[[#This Row],[Satisfaction Score]]&lt;2,"Low",IF(EmployeeData[[#This Row],[Satisfaction Score]]&lt;3,"Medium","High"))</f>
        <v>Medium</v>
      </c>
    </row>
    <row r="272" spans="1:31" x14ac:dyDescent="0.25">
      <c r="A272" t="s">
        <v>1367</v>
      </c>
      <c r="B272" t="s">
        <v>1368</v>
      </c>
      <c r="C272" t="s">
        <v>49</v>
      </c>
      <c r="D272">
        <v>39</v>
      </c>
      <c r="E272" t="s">
        <v>27</v>
      </c>
      <c r="F272" t="s">
        <v>50</v>
      </c>
      <c r="G272" s="1">
        <v>42051</v>
      </c>
      <c r="H272">
        <v>59442</v>
      </c>
      <c r="I272" t="s">
        <v>42</v>
      </c>
      <c r="J272" t="s">
        <v>31</v>
      </c>
      <c r="K272" t="s">
        <v>200</v>
      </c>
      <c r="L272" t="s">
        <v>62</v>
      </c>
      <c r="M272">
        <v>30</v>
      </c>
      <c r="N272" t="s">
        <v>34</v>
      </c>
      <c r="O272">
        <v>1</v>
      </c>
      <c r="P272">
        <v>3</v>
      </c>
      <c r="Q272">
        <v>4</v>
      </c>
      <c r="R272">
        <v>3</v>
      </c>
      <c r="S272">
        <v>3</v>
      </c>
      <c r="T272">
        <v>3</v>
      </c>
      <c r="U272">
        <v>15</v>
      </c>
      <c r="V272" t="s">
        <v>1370</v>
      </c>
      <c r="W272" t="s">
        <v>34</v>
      </c>
      <c r="Y272" s="2" t="str">
        <f>IF(EmployeeData[[#This Row],[Age]]&lt;25,"Under 25",IF(EmployeeData[[#This Row],[Age]]&lt;=34,"25-34",IF(EmployeeData[[#This Row],[Age]]&lt;=44,"35-44",IF(EmployeeData[[#This Row],[Age]]&lt;=54,"45-54","55+"))))</f>
        <v>35-44</v>
      </c>
      <c r="Z272">
        <f ca="1">DATEDIF(EmployeeData[[#This Row],[DateOfJoining]],IF(AND(EmployeeData[[#This Row],[Attrition]]="Yes",EmployeeData[[#This Row],[LastWorkingDate]]&lt;&gt;""),EmployeeData[[#This Row],[LastWorkingDate]],TODAY()),"Y")</f>
        <v>11</v>
      </c>
      <c r="AA272" t="str">
        <f>IF(EmployeeData[[#This Row],[MonthlyIncome]]&lt;30000,"Low",IF(EmployeeData[[#This Row],[MonthlyIncome]]&lt;=60000,"Medium",IF(EmployeeData[[#This Row],[MonthlyIncome]]&lt;=100000,"High","Very High")))</f>
        <v>Medium</v>
      </c>
      <c r="AB272">
        <f>IF(EmployeeData[[#This Row],[Attrition]]="Yes",1,0)</f>
        <v>0</v>
      </c>
      <c r="AC272" t="str">
        <f ca="1">IF(EmployeeData[[#This Row],[Tenure Years]]&lt;1,"Less than 1 Year",IF(EmployeeData[[#This Row],[Tenure Years]]&lt;=3,"1-3 Years",IF(EmployeeData[[#This Row],[Tenure Years]]&lt;=5,"4-5 Years",IF(EmployeeData[[#This Row],[Tenure Years]]&lt;=10,"6-10 Years","More than 10 Years"))))</f>
        <v>More than 10 Years</v>
      </c>
      <c r="AD272">
        <f>ROUND(AVERAGE(EmployeeData[[#This Row],[JobSatisfaction]],EmployeeData[[#This Row],[EnvironmentSatisfaction]],EmployeeData[[#This Row],[WorkLifeBalance]]),2)</f>
        <v>2.67</v>
      </c>
      <c r="AE272" t="str">
        <f>IF(EmployeeData[[#This Row],[Satisfaction Score]]&lt;2,"Low",IF(EmployeeData[[#This Row],[Satisfaction Score]]&lt;3,"Medium","High"))</f>
        <v>Medium</v>
      </c>
    </row>
    <row r="273" spans="1:31" x14ac:dyDescent="0.25">
      <c r="A273" t="s">
        <v>1371</v>
      </c>
      <c r="B273" t="s">
        <v>1372</v>
      </c>
      <c r="C273" t="s">
        <v>58</v>
      </c>
      <c r="D273">
        <v>40</v>
      </c>
      <c r="E273" t="s">
        <v>5461</v>
      </c>
      <c r="F273" t="s">
        <v>89</v>
      </c>
      <c r="G273" s="1">
        <v>43737</v>
      </c>
      <c r="H273">
        <v>108869</v>
      </c>
      <c r="I273" t="s">
        <v>42</v>
      </c>
      <c r="J273" t="s">
        <v>61</v>
      </c>
      <c r="K273" t="s">
        <v>98</v>
      </c>
      <c r="L273" t="s">
        <v>33</v>
      </c>
      <c r="M273">
        <v>13</v>
      </c>
      <c r="N273" t="s">
        <v>45</v>
      </c>
      <c r="O273">
        <v>1</v>
      </c>
      <c r="P273">
        <v>3</v>
      </c>
      <c r="Q273">
        <v>3</v>
      </c>
      <c r="R273">
        <v>5</v>
      </c>
      <c r="S273">
        <v>1</v>
      </c>
      <c r="T273">
        <v>4</v>
      </c>
      <c r="U273">
        <v>24</v>
      </c>
      <c r="V273" t="s">
        <v>1374</v>
      </c>
      <c r="W273" t="s">
        <v>34</v>
      </c>
      <c r="Y273" s="2" t="str">
        <f>IF(EmployeeData[[#This Row],[Age]]&lt;25,"Under 25",IF(EmployeeData[[#This Row],[Age]]&lt;=34,"25-34",IF(EmployeeData[[#This Row],[Age]]&lt;=44,"35-44",IF(EmployeeData[[#This Row],[Age]]&lt;=54,"45-54","55+"))))</f>
        <v>35-44</v>
      </c>
      <c r="Z273">
        <f ca="1">DATEDIF(EmployeeData[[#This Row],[DateOfJoining]],IF(AND(EmployeeData[[#This Row],[Attrition]]="Yes",EmployeeData[[#This Row],[LastWorkingDate]]&lt;&gt;""),EmployeeData[[#This Row],[LastWorkingDate]],TODAY()),"Y")</f>
        <v>6</v>
      </c>
      <c r="AA273" t="str">
        <f>IF(EmployeeData[[#This Row],[MonthlyIncome]]&lt;30000,"Low",IF(EmployeeData[[#This Row],[MonthlyIncome]]&lt;=60000,"Medium",IF(EmployeeData[[#This Row],[MonthlyIncome]]&lt;=100000,"High","Very High")))</f>
        <v>Very High</v>
      </c>
      <c r="AB273">
        <f>IF(EmployeeData[[#This Row],[Attrition]]="Yes",1,0)</f>
        <v>0</v>
      </c>
      <c r="AC273" t="str">
        <f ca="1">IF(EmployeeData[[#This Row],[Tenure Years]]&lt;1,"Less than 1 Year",IF(EmployeeData[[#This Row],[Tenure Years]]&lt;=3,"1-3 Years",IF(EmployeeData[[#This Row],[Tenure Years]]&lt;=5,"4-5 Years",IF(EmployeeData[[#This Row],[Tenure Years]]&lt;=10,"6-10 Years","More than 10 Years"))))</f>
        <v>6-10 Years</v>
      </c>
      <c r="AD273">
        <f>ROUND(AVERAGE(EmployeeData[[#This Row],[JobSatisfaction]],EmployeeData[[#This Row],[EnvironmentSatisfaction]],EmployeeData[[#This Row],[WorkLifeBalance]]),2)</f>
        <v>2.33</v>
      </c>
      <c r="AE273" t="str">
        <f>IF(EmployeeData[[#This Row],[Satisfaction Score]]&lt;2,"Low",IF(EmployeeData[[#This Row],[Satisfaction Score]]&lt;3,"Medium","High"))</f>
        <v>Medium</v>
      </c>
    </row>
    <row r="274" spans="1:31" x14ac:dyDescent="0.25">
      <c r="A274" t="s">
        <v>1375</v>
      </c>
      <c r="B274" t="s">
        <v>1376</v>
      </c>
      <c r="C274" t="s">
        <v>49</v>
      </c>
      <c r="D274">
        <v>27</v>
      </c>
      <c r="E274" t="s">
        <v>128</v>
      </c>
      <c r="F274" t="s">
        <v>123</v>
      </c>
      <c r="G274" s="1">
        <v>43676</v>
      </c>
      <c r="H274">
        <v>43086</v>
      </c>
      <c r="I274" t="s">
        <v>30</v>
      </c>
      <c r="J274" t="s">
        <v>31</v>
      </c>
      <c r="K274" t="s">
        <v>54</v>
      </c>
      <c r="L274" t="s">
        <v>33</v>
      </c>
      <c r="M274">
        <v>12</v>
      </c>
      <c r="N274" t="s">
        <v>34</v>
      </c>
      <c r="O274">
        <v>2</v>
      </c>
      <c r="P274">
        <v>2</v>
      </c>
      <c r="Q274">
        <v>3</v>
      </c>
      <c r="R274">
        <v>2</v>
      </c>
      <c r="S274">
        <v>3</v>
      </c>
      <c r="T274">
        <v>5</v>
      </c>
      <c r="U274">
        <v>22</v>
      </c>
      <c r="V274" t="s">
        <v>1378</v>
      </c>
      <c r="W274" t="s">
        <v>34</v>
      </c>
      <c r="Y274" s="2" t="str">
        <f>IF(EmployeeData[[#This Row],[Age]]&lt;25,"Under 25",IF(EmployeeData[[#This Row],[Age]]&lt;=34,"25-34",IF(EmployeeData[[#This Row],[Age]]&lt;=44,"35-44",IF(EmployeeData[[#This Row],[Age]]&lt;=54,"45-54","55+"))))</f>
        <v>25-34</v>
      </c>
      <c r="Z274">
        <f ca="1">DATEDIF(EmployeeData[[#This Row],[DateOfJoining]],IF(AND(EmployeeData[[#This Row],[Attrition]]="Yes",EmployeeData[[#This Row],[LastWorkingDate]]&lt;&gt;""),EmployeeData[[#This Row],[LastWorkingDate]],TODAY()),"Y")</f>
        <v>7</v>
      </c>
      <c r="AA274" t="str">
        <f>IF(EmployeeData[[#This Row],[MonthlyIncome]]&lt;30000,"Low",IF(EmployeeData[[#This Row],[MonthlyIncome]]&lt;=60000,"Medium",IF(EmployeeData[[#This Row],[MonthlyIncome]]&lt;=100000,"High","Very High")))</f>
        <v>Medium</v>
      </c>
      <c r="AB274">
        <f>IF(EmployeeData[[#This Row],[Attrition]]="Yes",1,0)</f>
        <v>0</v>
      </c>
      <c r="AC274" t="str">
        <f ca="1">IF(EmployeeData[[#This Row],[Tenure Years]]&lt;1,"Less than 1 Year",IF(EmployeeData[[#This Row],[Tenure Years]]&lt;=3,"1-3 Years",IF(EmployeeData[[#This Row],[Tenure Years]]&lt;=5,"4-5 Years",IF(EmployeeData[[#This Row],[Tenure Years]]&lt;=10,"6-10 Years","More than 10 Years"))))</f>
        <v>6-10 Years</v>
      </c>
      <c r="AD274">
        <f>ROUND(AVERAGE(EmployeeData[[#This Row],[JobSatisfaction]],EmployeeData[[#This Row],[EnvironmentSatisfaction]],EmployeeData[[#This Row],[WorkLifeBalance]]),2)</f>
        <v>2.33</v>
      </c>
      <c r="AE274" t="str">
        <f>IF(EmployeeData[[#This Row],[Satisfaction Score]]&lt;2,"Low",IF(EmployeeData[[#This Row],[Satisfaction Score]]&lt;3,"Medium","High"))</f>
        <v>Medium</v>
      </c>
    </row>
    <row r="275" spans="1:31" x14ac:dyDescent="0.25">
      <c r="A275" t="s">
        <v>1379</v>
      </c>
      <c r="B275" t="s">
        <v>1380</v>
      </c>
      <c r="C275" t="s">
        <v>58</v>
      </c>
      <c r="D275">
        <v>29</v>
      </c>
      <c r="E275" t="s">
        <v>197</v>
      </c>
      <c r="F275" t="s">
        <v>323</v>
      </c>
      <c r="G275" s="1">
        <v>41146</v>
      </c>
      <c r="H275">
        <v>101103</v>
      </c>
      <c r="I275" t="s">
        <v>30</v>
      </c>
      <c r="J275" t="s">
        <v>31</v>
      </c>
      <c r="K275" t="s">
        <v>113</v>
      </c>
      <c r="L275" t="s">
        <v>62</v>
      </c>
      <c r="M275">
        <v>24</v>
      </c>
      <c r="N275" t="s">
        <v>45</v>
      </c>
      <c r="O275">
        <v>3</v>
      </c>
      <c r="P275">
        <v>3</v>
      </c>
      <c r="Q275">
        <v>4</v>
      </c>
      <c r="R275">
        <v>3</v>
      </c>
      <c r="S275">
        <v>0</v>
      </c>
      <c r="T275">
        <v>7</v>
      </c>
      <c r="U275">
        <v>11</v>
      </c>
      <c r="V275" t="s">
        <v>1383</v>
      </c>
      <c r="W275" t="s">
        <v>34</v>
      </c>
      <c r="Y275" s="2" t="str">
        <f>IF(EmployeeData[[#This Row],[Age]]&lt;25,"Under 25",IF(EmployeeData[[#This Row],[Age]]&lt;=34,"25-34",IF(EmployeeData[[#This Row],[Age]]&lt;=44,"35-44",IF(EmployeeData[[#This Row],[Age]]&lt;=54,"45-54","55+"))))</f>
        <v>25-34</v>
      </c>
      <c r="Z275">
        <f ca="1">DATEDIF(EmployeeData[[#This Row],[DateOfJoining]],IF(AND(EmployeeData[[#This Row],[Attrition]]="Yes",EmployeeData[[#This Row],[LastWorkingDate]]&lt;&gt;""),EmployeeData[[#This Row],[LastWorkingDate]],TODAY()),"Y")</f>
        <v>14</v>
      </c>
      <c r="AA275" t="str">
        <f>IF(EmployeeData[[#This Row],[MonthlyIncome]]&lt;30000,"Low",IF(EmployeeData[[#This Row],[MonthlyIncome]]&lt;=60000,"Medium",IF(EmployeeData[[#This Row],[MonthlyIncome]]&lt;=100000,"High","Very High")))</f>
        <v>Very High</v>
      </c>
      <c r="AB275">
        <f>IF(EmployeeData[[#This Row],[Attrition]]="Yes",1,0)</f>
        <v>0</v>
      </c>
      <c r="AC275" t="str">
        <f ca="1">IF(EmployeeData[[#This Row],[Tenure Years]]&lt;1,"Less than 1 Year",IF(EmployeeData[[#This Row],[Tenure Years]]&lt;=3,"1-3 Years",IF(EmployeeData[[#This Row],[Tenure Years]]&lt;=5,"4-5 Years",IF(EmployeeData[[#This Row],[Tenure Years]]&lt;=10,"6-10 Years","More than 10 Years"))))</f>
        <v>More than 10 Years</v>
      </c>
      <c r="AD275">
        <f>ROUND(AVERAGE(EmployeeData[[#This Row],[JobSatisfaction]],EmployeeData[[#This Row],[EnvironmentSatisfaction]],EmployeeData[[#This Row],[WorkLifeBalance]]),2)</f>
        <v>3.33</v>
      </c>
      <c r="AE275" t="str">
        <f>IF(EmployeeData[[#This Row],[Satisfaction Score]]&lt;2,"Low",IF(EmployeeData[[#This Row],[Satisfaction Score]]&lt;3,"Medium","High"))</f>
        <v>High</v>
      </c>
    </row>
    <row r="276" spans="1:31" x14ac:dyDescent="0.25">
      <c r="A276" t="s">
        <v>1384</v>
      </c>
      <c r="B276" t="s">
        <v>1385</v>
      </c>
      <c r="C276" t="s">
        <v>49</v>
      </c>
      <c r="D276">
        <v>30</v>
      </c>
      <c r="E276" t="s">
        <v>38</v>
      </c>
      <c r="F276" t="s">
        <v>5460</v>
      </c>
      <c r="G276" s="1">
        <v>42171</v>
      </c>
      <c r="H276">
        <v>47016</v>
      </c>
      <c r="I276" t="s">
        <v>5459</v>
      </c>
      <c r="J276" t="s">
        <v>53</v>
      </c>
      <c r="K276" t="s">
        <v>131</v>
      </c>
      <c r="L276" t="s">
        <v>62</v>
      </c>
      <c r="M276">
        <v>20</v>
      </c>
      <c r="N276" t="s">
        <v>45</v>
      </c>
      <c r="O276">
        <v>1</v>
      </c>
      <c r="P276">
        <v>3</v>
      </c>
      <c r="Q276">
        <v>3</v>
      </c>
      <c r="R276">
        <v>3</v>
      </c>
      <c r="S276">
        <v>0</v>
      </c>
      <c r="T276">
        <v>1</v>
      </c>
      <c r="U276">
        <v>18</v>
      </c>
      <c r="V276" t="s">
        <v>1387</v>
      </c>
      <c r="W276" t="s">
        <v>34</v>
      </c>
      <c r="Y276" s="2" t="str">
        <f>IF(EmployeeData[[#This Row],[Age]]&lt;25,"Under 25",IF(EmployeeData[[#This Row],[Age]]&lt;=34,"25-34",IF(EmployeeData[[#This Row],[Age]]&lt;=44,"35-44",IF(EmployeeData[[#This Row],[Age]]&lt;=54,"45-54","55+"))))</f>
        <v>25-34</v>
      </c>
      <c r="Z276">
        <f ca="1">DATEDIF(EmployeeData[[#This Row],[DateOfJoining]],IF(AND(EmployeeData[[#This Row],[Attrition]]="Yes",EmployeeData[[#This Row],[LastWorkingDate]]&lt;&gt;""),EmployeeData[[#This Row],[LastWorkingDate]],TODAY()),"Y")</f>
        <v>11</v>
      </c>
      <c r="AA276" t="str">
        <f>IF(EmployeeData[[#This Row],[MonthlyIncome]]&lt;30000,"Low",IF(EmployeeData[[#This Row],[MonthlyIncome]]&lt;=60000,"Medium",IF(EmployeeData[[#This Row],[MonthlyIncome]]&lt;=100000,"High","Very High")))</f>
        <v>Medium</v>
      </c>
      <c r="AB276">
        <f>IF(EmployeeData[[#This Row],[Attrition]]="Yes",1,0)</f>
        <v>0</v>
      </c>
      <c r="AC276" t="str">
        <f ca="1">IF(EmployeeData[[#This Row],[Tenure Years]]&lt;1,"Less than 1 Year",IF(EmployeeData[[#This Row],[Tenure Years]]&lt;=3,"1-3 Years",IF(EmployeeData[[#This Row],[Tenure Years]]&lt;=5,"4-5 Years",IF(EmployeeData[[#This Row],[Tenure Years]]&lt;=10,"6-10 Years","More than 10 Years"))))</f>
        <v>More than 10 Years</v>
      </c>
      <c r="AD276">
        <f>ROUND(AVERAGE(EmployeeData[[#This Row],[JobSatisfaction]],EmployeeData[[#This Row],[EnvironmentSatisfaction]],EmployeeData[[#This Row],[WorkLifeBalance]]),2)</f>
        <v>2.33</v>
      </c>
      <c r="AE276" t="str">
        <f>IF(EmployeeData[[#This Row],[Satisfaction Score]]&lt;2,"Low",IF(EmployeeData[[#This Row],[Satisfaction Score]]&lt;3,"Medium","High"))</f>
        <v>Medium</v>
      </c>
    </row>
    <row r="277" spans="1:31" x14ac:dyDescent="0.25">
      <c r="A277" t="s">
        <v>1388</v>
      </c>
      <c r="B277" t="s">
        <v>1389</v>
      </c>
      <c r="C277" t="s">
        <v>58</v>
      </c>
      <c r="D277">
        <v>39</v>
      </c>
      <c r="E277" t="s">
        <v>128</v>
      </c>
      <c r="F277" t="s">
        <v>255</v>
      </c>
      <c r="G277" s="1">
        <v>43753</v>
      </c>
      <c r="H277">
        <v>64606</v>
      </c>
      <c r="I277" t="s">
        <v>52</v>
      </c>
      <c r="J277" t="s">
        <v>61</v>
      </c>
      <c r="K277" t="s">
        <v>113</v>
      </c>
      <c r="L277" t="s">
        <v>33</v>
      </c>
      <c r="M277">
        <v>12</v>
      </c>
      <c r="N277" t="s">
        <v>34</v>
      </c>
      <c r="O277">
        <v>2</v>
      </c>
      <c r="P277">
        <v>4</v>
      </c>
      <c r="Q277">
        <v>4</v>
      </c>
      <c r="R277">
        <v>2</v>
      </c>
      <c r="S277">
        <v>0</v>
      </c>
      <c r="T277">
        <v>2</v>
      </c>
      <c r="U277">
        <v>18</v>
      </c>
      <c r="V277" t="s">
        <v>1392</v>
      </c>
      <c r="W277" t="s">
        <v>34</v>
      </c>
      <c r="Y277" s="2" t="str">
        <f>IF(EmployeeData[[#This Row],[Age]]&lt;25,"Under 25",IF(EmployeeData[[#This Row],[Age]]&lt;=34,"25-34",IF(EmployeeData[[#This Row],[Age]]&lt;=44,"35-44",IF(EmployeeData[[#This Row],[Age]]&lt;=54,"45-54","55+"))))</f>
        <v>35-44</v>
      </c>
      <c r="Z277">
        <f ca="1">DATEDIF(EmployeeData[[#This Row],[DateOfJoining]],IF(AND(EmployeeData[[#This Row],[Attrition]]="Yes",EmployeeData[[#This Row],[LastWorkingDate]]&lt;&gt;""),EmployeeData[[#This Row],[LastWorkingDate]],TODAY()),"Y")</f>
        <v>6</v>
      </c>
      <c r="AA277" t="str">
        <f>IF(EmployeeData[[#This Row],[MonthlyIncome]]&lt;30000,"Low",IF(EmployeeData[[#This Row],[MonthlyIncome]]&lt;=60000,"Medium",IF(EmployeeData[[#This Row],[MonthlyIncome]]&lt;=100000,"High","Very High")))</f>
        <v>High</v>
      </c>
      <c r="AB277">
        <f>IF(EmployeeData[[#This Row],[Attrition]]="Yes",1,0)</f>
        <v>0</v>
      </c>
      <c r="AC277" t="str">
        <f ca="1">IF(EmployeeData[[#This Row],[Tenure Years]]&lt;1,"Less than 1 Year",IF(EmployeeData[[#This Row],[Tenure Years]]&lt;=3,"1-3 Years",IF(EmployeeData[[#This Row],[Tenure Years]]&lt;=5,"4-5 Years",IF(EmployeeData[[#This Row],[Tenure Years]]&lt;=10,"6-10 Years","More than 10 Years"))))</f>
        <v>6-10 Years</v>
      </c>
      <c r="AD277">
        <f>ROUND(AVERAGE(EmployeeData[[#This Row],[JobSatisfaction]],EmployeeData[[#This Row],[EnvironmentSatisfaction]],EmployeeData[[#This Row],[WorkLifeBalance]]),2)</f>
        <v>3.33</v>
      </c>
      <c r="AE277" t="str">
        <f>IF(EmployeeData[[#This Row],[Satisfaction Score]]&lt;2,"Low",IF(EmployeeData[[#This Row],[Satisfaction Score]]&lt;3,"Medium","High"))</f>
        <v>High</v>
      </c>
    </row>
    <row r="278" spans="1:31" x14ac:dyDescent="0.25">
      <c r="A278" t="s">
        <v>1393</v>
      </c>
      <c r="B278" t="s">
        <v>1394</v>
      </c>
      <c r="C278" t="s">
        <v>49</v>
      </c>
      <c r="D278">
        <v>42</v>
      </c>
      <c r="E278" t="s">
        <v>128</v>
      </c>
      <c r="F278" t="s">
        <v>123</v>
      </c>
      <c r="G278" s="1">
        <v>44867</v>
      </c>
      <c r="H278">
        <v>45121</v>
      </c>
      <c r="I278" t="s">
        <v>30</v>
      </c>
      <c r="J278" t="s">
        <v>61</v>
      </c>
      <c r="K278" t="s">
        <v>32</v>
      </c>
      <c r="L278" t="s">
        <v>62</v>
      </c>
      <c r="M278">
        <v>32</v>
      </c>
      <c r="N278" t="s">
        <v>34</v>
      </c>
      <c r="O278">
        <v>4</v>
      </c>
      <c r="P278">
        <v>2</v>
      </c>
      <c r="Q278">
        <v>1</v>
      </c>
      <c r="R278">
        <v>4</v>
      </c>
      <c r="S278">
        <v>4</v>
      </c>
      <c r="T278">
        <v>3</v>
      </c>
      <c r="U278">
        <v>19</v>
      </c>
      <c r="V278" t="s">
        <v>1396</v>
      </c>
      <c r="W278" t="s">
        <v>34</v>
      </c>
      <c r="Y278" s="2" t="str">
        <f>IF(EmployeeData[[#This Row],[Age]]&lt;25,"Under 25",IF(EmployeeData[[#This Row],[Age]]&lt;=34,"25-34",IF(EmployeeData[[#This Row],[Age]]&lt;=44,"35-44",IF(EmployeeData[[#This Row],[Age]]&lt;=54,"45-54","55+"))))</f>
        <v>35-44</v>
      </c>
      <c r="Z278">
        <f ca="1">DATEDIF(EmployeeData[[#This Row],[DateOfJoining]],IF(AND(EmployeeData[[#This Row],[Attrition]]="Yes",EmployeeData[[#This Row],[LastWorkingDate]]&lt;&gt;""),EmployeeData[[#This Row],[LastWorkingDate]],TODAY()),"Y")</f>
        <v>3</v>
      </c>
      <c r="AA278" t="str">
        <f>IF(EmployeeData[[#This Row],[MonthlyIncome]]&lt;30000,"Low",IF(EmployeeData[[#This Row],[MonthlyIncome]]&lt;=60000,"Medium",IF(EmployeeData[[#This Row],[MonthlyIncome]]&lt;=100000,"High","Very High")))</f>
        <v>Medium</v>
      </c>
      <c r="AB278">
        <f>IF(EmployeeData[[#This Row],[Attrition]]="Yes",1,0)</f>
        <v>0</v>
      </c>
      <c r="AC278" t="str">
        <f ca="1">IF(EmployeeData[[#This Row],[Tenure Years]]&lt;1,"Less than 1 Year",IF(EmployeeData[[#This Row],[Tenure Years]]&lt;=3,"1-3 Years",IF(EmployeeData[[#This Row],[Tenure Years]]&lt;=5,"4-5 Years",IF(EmployeeData[[#This Row],[Tenure Years]]&lt;=10,"6-10 Years","More than 10 Years"))))</f>
        <v>1-3 Years</v>
      </c>
      <c r="AD278">
        <f>ROUND(AVERAGE(EmployeeData[[#This Row],[JobSatisfaction]],EmployeeData[[#This Row],[EnvironmentSatisfaction]],EmployeeData[[#This Row],[WorkLifeBalance]]),2)</f>
        <v>2.33</v>
      </c>
      <c r="AE278" t="str">
        <f>IF(EmployeeData[[#This Row],[Satisfaction Score]]&lt;2,"Low",IF(EmployeeData[[#This Row],[Satisfaction Score]]&lt;3,"Medium","High"))</f>
        <v>Medium</v>
      </c>
    </row>
    <row r="279" spans="1:31" x14ac:dyDescent="0.25">
      <c r="A279" t="s">
        <v>1397</v>
      </c>
      <c r="B279" t="s">
        <v>1398</v>
      </c>
      <c r="C279" t="s">
        <v>58</v>
      </c>
      <c r="D279">
        <v>25</v>
      </c>
      <c r="E279" t="s">
        <v>38</v>
      </c>
      <c r="F279" t="s">
        <v>5465</v>
      </c>
      <c r="G279" s="1">
        <v>44013</v>
      </c>
      <c r="H279">
        <v>88396</v>
      </c>
      <c r="I279" t="s">
        <v>5459</v>
      </c>
      <c r="J279" t="s">
        <v>143</v>
      </c>
      <c r="K279" t="s">
        <v>54</v>
      </c>
      <c r="L279" t="s">
        <v>43</v>
      </c>
      <c r="M279">
        <v>31</v>
      </c>
      <c r="N279" t="s">
        <v>34</v>
      </c>
      <c r="O279">
        <v>4</v>
      </c>
      <c r="P279">
        <v>3</v>
      </c>
      <c r="Q279">
        <v>2</v>
      </c>
      <c r="R279">
        <v>3</v>
      </c>
      <c r="S279">
        <v>1</v>
      </c>
      <c r="T279">
        <v>4</v>
      </c>
      <c r="U279">
        <v>14</v>
      </c>
      <c r="V279" t="s">
        <v>1400</v>
      </c>
      <c r="W279" t="s">
        <v>34</v>
      </c>
      <c r="Y279" s="2" t="str">
        <f>IF(EmployeeData[[#This Row],[Age]]&lt;25,"Under 25",IF(EmployeeData[[#This Row],[Age]]&lt;=34,"25-34",IF(EmployeeData[[#This Row],[Age]]&lt;=44,"35-44",IF(EmployeeData[[#This Row],[Age]]&lt;=54,"45-54","55+"))))</f>
        <v>25-34</v>
      </c>
      <c r="Z279">
        <f ca="1">DATEDIF(EmployeeData[[#This Row],[DateOfJoining]],IF(AND(EmployeeData[[#This Row],[Attrition]]="Yes",EmployeeData[[#This Row],[LastWorkingDate]]&lt;&gt;""),EmployeeData[[#This Row],[LastWorkingDate]],TODAY()),"Y")</f>
        <v>6</v>
      </c>
      <c r="AA279" t="str">
        <f>IF(EmployeeData[[#This Row],[MonthlyIncome]]&lt;30000,"Low",IF(EmployeeData[[#This Row],[MonthlyIncome]]&lt;=60000,"Medium",IF(EmployeeData[[#This Row],[MonthlyIncome]]&lt;=100000,"High","Very High")))</f>
        <v>High</v>
      </c>
      <c r="AB279">
        <f>IF(EmployeeData[[#This Row],[Attrition]]="Yes",1,0)</f>
        <v>0</v>
      </c>
      <c r="AC279" t="str">
        <f ca="1">IF(EmployeeData[[#This Row],[Tenure Years]]&lt;1,"Less than 1 Year",IF(EmployeeData[[#This Row],[Tenure Years]]&lt;=3,"1-3 Years",IF(EmployeeData[[#This Row],[Tenure Years]]&lt;=5,"4-5 Years",IF(EmployeeData[[#This Row],[Tenure Years]]&lt;=10,"6-10 Years","More than 10 Years"))))</f>
        <v>6-10 Years</v>
      </c>
      <c r="AD279">
        <f>ROUND(AVERAGE(EmployeeData[[#This Row],[JobSatisfaction]],EmployeeData[[#This Row],[EnvironmentSatisfaction]],EmployeeData[[#This Row],[WorkLifeBalance]]),2)</f>
        <v>3</v>
      </c>
      <c r="AE279" t="str">
        <f>IF(EmployeeData[[#This Row],[Satisfaction Score]]&lt;2,"Low",IF(EmployeeData[[#This Row],[Satisfaction Score]]&lt;3,"Medium","High"))</f>
        <v>High</v>
      </c>
    </row>
    <row r="280" spans="1:31" x14ac:dyDescent="0.25">
      <c r="A280" t="s">
        <v>1401</v>
      </c>
      <c r="B280" t="s">
        <v>1402</v>
      </c>
      <c r="C280" t="s">
        <v>49</v>
      </c>
      <c r="D280">
        <v>25</v>
      </c>
      <c r="E280" t="s">
        <v>197</v>
      </c>
      <c r="F280" t="s">
        <v>235</v>
      </c>
      <c r="G280" s="1">
        <v>41826</v>
      </c>
      <c r="H280">
        <v>75293</v>
      </c>
      <c r="I280" t="s">
        <v>42</v>
      </c>
      <c r="J280" t="s">
        <v>61</v>
      </c>
      <c r="K280" t="s">
        <v>113</v>
      </c>
      <c r="L280" t="s">
        <v>33</v>
      </c>
      <c r="M280">
        <v>2</v>
      </c>
      <c r="N280" t="s">
        <v>34</v>
      </c>
      <c r="O280">
        <v>1</v>
      </c>
      <c r="P280">
        <v>4</v>
      </c>
      <c r="Q280">
        <v>4</v>
      </c>
      <c r="R280">
        <v>3</v>
      </c>
      <c r="S280">
        <v>2</v>
      </c>
      <c r="T280">
        <v>1</v>
      </c>
      <c r="U280">
        <v>19</v>
      </c>
      <c r="V280" t="s">
        <v>1404</v>
      </c>
      <c r="W280" t="s">
        <v>34</v>
      </c>
      <c r="Y280" s="2" t="str">
        <f>IF(EmployeeData[[#This Row],[Age]]&lt;25,"Under 25",IF(EmployeeData[[#This Row],[Age]]&lt;=34,"25-34",IF(EmployeeData[[#This Row],[Age]]&lt;=44,"35-44",IF(EmployeeData[[#This Row],[Age]]&lt;=54,"45-54","55+"))))</f>
        <v>25-34</v>
      </c>
      <c r="Z280">
        <f ca="1">DATEDIF(EmployeeData[[#This Row],[DateOfJoining]],IF(AND(EmployeeData[[#This Row],[Attrition]]="Yes",EmployeeData[[#This Row],[LastWorkingDate]]&lt;&gt;""),EmployeeData[[#This Row],[LastWorkingDate]],TODAY()),"Y")</f>
        <v>12</v>
      </c>
      <c r="AA280" t="str">
        <f>IF(EmployeeData[[#This Row],[MonthlyIncome]]&lt;30000,"Low",IF(EmployeeData[[#This Row],[MonthlyIncome]]&lt;=60000,"Medium",IF(EmployeeData[[#This Row],[MonthlyIncome]]&lt;=100000,"High","Very High")))</f>
        <v>High</v>
      </c>
      <c r="AB280">
        <f>IF(EmployeeData[[#This Row],[Attrition]]="Yes",1,0)</f>
        <v>0</v>
      </c>
      <c r="AC280" t="str">
        <f ca="1">IF(EmployeeData[[#This Row],[Tenure Years]]&lt;1,"Less than 1 Year",IF(EmployeeData[[#This Row],[Tenure Years]]&lt;=3,"1-3 Years",IF(EmployeeData[[#This Row],[Tenure Years]]&lt;=5,"4-5 Years",IF(EmployeeData[[#This Row],[Tenure Years]]&lt;=10,"6-10 Years","More than 10 Years"))))</f>
        <v>More than 10 Years</v>
      </c>
      <c r="AD280">
        <f>ROUND(AVERAGE(EmployeeData[[#This Row],[JobSatisfaction]],EmployeeData[[#This Row],[EnvironmentSatisfaction]],EmployeeData[[#This Row],[WorkLifeBalance]]),2)</f>
        <v>3</v>
      </c>
      <c r="AE280" t="str">
        <f>IF(EmployeeData[[#This Row],[Satisfaction Score]]&lt;2,"Low",IF(EmployeeData[[#This Row],[Satisfaction Score]]&lt;3,"Medium","High"))</f>
        <v>High</v>
      </c>
    </row>
    <row r="281" spans="1:31" x14ac:dyDescent="0.25">
      <c r="A281" t="s">
        <v>1405</v>
      </c>
      <c r="B281" t="s">
        <v>1406</v>
      </c>
      <c r="C281" t="s">
        <v>58</v>
      </c>
      <c r="D281">
        <v>24</v>
      </c>
      <c r="E281" t="s">
        <v>128</v>
      </c>
      <c r="F281" t="s">
        <v>123</v>
      </c>
      <c r="G281" s="1">
        <v>41662</v>
      </c>
      <c r="H281">
        <v>79232</v>
      </c>
      <c r="I281" t="s">
        <v>30</v>
      </c>
      <c r="J281" t="s">
        <v>5459</v>
      </c>
      <c r="K281" t="s">
        <v>54</v>
      </c>
      <c r="L281" t="s">
        <v>62</v>
      </c>
      <c r="M281">
        <v>22</v>
      </c>
      <c r="N281" t="s">
        <v>34</v>
      </c>
      <c r="O281">
        <v>2</v>
      </c>
      <c r="P281">
        <v>1</v>
      </c>
      <c r="Q281">
        <v>2</v>
      </c>
      <c r="R281">
        <v>1</v>
      </c>
      <c r="S281">
        <v>1</v>
      </c>
      <c r="T281">
        <v>0</v>
      </c>
      <c r="U281">
        <v>14</v>
      </c>
      <c r="V281" t="s">
        <v>1408</v>
      </c>
      <c r="W281" t="s">
        <v>34</v>
      </c>
      <c r="Y281" s="2" t="str">
        <f>IF(EmployeeData[[#This Row],[Age]]&lt;25,"Under 25",IF(EmployeeData[[#This Row],[Age]]&lt;=34,"25-34",IF(EmployeeData[[#This Row],[Age]]&lt;=44,"35-44",IF(EmployeeData[[#This Row],[Age]]&lt;=54,"45-54","55+"))))</f>
        <v>Under 25</v>
      </c>
      <c r="Z281">
        <f ca="1">DATEDIF(EmployeeData[[#This Row],[DateOfJoining]],IF(AND(EmployeeData[[#This Row],[Attrition]]="Yes",EmployeeData[[#This Row],[LastWorkingDate]]&lt;&gt;""),EmployeeData[[#This Row],[LastWorkingDate]],TODAY()),"Y")</f>
        <v>12</v>
      </c>
      <c r="AA281" t="str">
        <f>IF(EmployeeData[[#This Row],[MonthlyIncome]]&lt;30000,"Low",IF(EmployeeData[[#This Row],[MonthlyIncome]]&lt;=60000,"Medium",IF(EmployeeData[[#This Row],[MonthlyIncome]]&lt;=100000,"High","Very High")))</f>
        <v>High</v>
      </c>
      <c r="AB281">
        <f>IF(EmployeeData[[#This Row],[Attrition]]="Yes",1,0)</f>
        <v>0</v>
      </c>
      <c r="AC281" t="str">
        <f ca="1">IF(EmployeeData[[#This Row],[Tenure Years]]&lt;1,"Less than 1 Year",IF(EmployeeData[[#This Row],[Tenure Years]]&lt;=3,"1-3 Years",IF(EmployeeData[[#This Row],[Tenure Years]]&lt;=5,"4-5 Years",IF(EmployeeData[[#This Row],[Tenure Years]]&lt;=10,"6-10 Years","More than 10 Years"))))</f>
        <v>More than 10 Years</v>
      </c>
      <c r="AD281">
        <f>ROUND(AVERAGE(EmployeeData[[#This Row],[JobSatisfaction]],EmployeeData[[#This Row],[EnvironmentSatisfaction]],EmployeeData[[#This Row],[WorkLifeBalance]]),2)</f>
        <v>1.67</v>
      </c>
      <c r="AE281" t="str">
        <f>IF(EmployeeData[[#This Row],[Satisfaction Score]]&lt;2,"Low",IF(EmployeeData[[#This Row],[Satisfaction Score]]&lt;3,"Medium","High"))</f>
        <v>Low</v>
      </c>
    </row>
    <row r="282" spans="1:31" x14ac:dyDescent="0.25">
      <c r="A282" t="s">
        <v>1409</v>
      </c>
      <c r="B282" t="s">
        <v>1410</v>
      </c>
      <c r="C282" t="s">
        <v>58</v>
      </c>
      <c r="D282">
        <v>26</v>
      </c>
      <c r="E282" t="s">
        <v>27</v>
      </c>
      <c r="F282" t="s">
        <v>75</v>
      </c>
      <c r="G282" s="1">
        <v>44607</v>
      </c>
      <c r="H282">
        <v>104119</v>
      </c>
      <c r="I282" t="s">
        <v>42</v>
      </c>
      <c r="J282" t="s">
        <v>5459</v>
      </c>
      <c r="K282" t="s">
        <v>113</v>
      </c>
      <c r="L282" t="s">
        <v>33</v>
      </c>
      <c r="M282">
        <v>5</v>
      </c>
      <c r="N282" t="s">
        <v>34</v>
      </c>
      <c r="O282">
        <v>4</v>
      </c>
      <c r="P282">
        <v>4</v>
      </c>
      <c r="Q282">
        <v>4</v>
      </c>
      <c r="R282">
        <v>5</v>
      </c>
      <c r="S282">
        <v>3</v>
      </c>
      <c r="T282">
        <v>3</v>
      </c>
      <c r="U282">
        <v>15</v>
      </c>
      <c r="V282" t="s">
        <v>1412</v>
      </c>
      <c r="W282" t="s">
        <v>34</v>
      </c>
      <c r="Y282" s="2" t="str">
        <f>IF(EmployeeData[[#This Row],[Age]]&lt;25,"Under 25",IF(EmployeeData[[#This Row],[Age]]&lt;=34,"25-34",IF(EmployeeData[[#This Row],[Age]]&lt;=44,"35-44",IF(EmployeeData[[#This Row],[Age]]&lt;=54,"45-54","55+"))))</f>
        <v>25-34</v>
      </c>
      <c r="Z282">
        <f ca="1">DATEDIF(EmployeeData[[#This Row],[DateOfJoining]],IF(AND(EmployeeData[[#This Row],[Attrition]]="Yes",EmployeeData[[#This Row],[LastWorkingDate]]&lt;&gt;""),EmployeeData[[#This Row],[LastWorkingDate]],TODAY()),"Y")</f>
        <v>4</v>
      </c>
      <c r="AA282" t="str">
        <f>IF(EmployeeData[[#This Row],[MonthlyIncome]]&lt;30000,"Low",IF(EmployeeData[[#This Row],[MonthlyIncome]]&lt;=60000,"Medium",IF(EmployeeData[[#This Row],[MonthlyIncome]]&lt;=100000,"High","Very High")))</f>
        <v>Very High</v>
      </c>
      <c r="AB282">
        <f>IF(EmployeeData[[#This Row],[Attrition]]="Yes",1,0)</f>
        <v>0</v>
      </c>
      <c r="AC282" t="str">
        <f ca="1">IF(EmployeeData[[#This Row],[Tenure Years]]&lt;1,"Less than 1 Year",IF(EmployeeData[[#This Row],[Tenure Years]]&lt;=3,"1-3 Years",IF(EmployeeData[[#This Row],[Tenure Years]]&lt;=5,"4-5 Years",IF(EmployeeData[[#This Row],[Tenure Years]]&lt;=10,"6-10 Years","More than 10 Years"))))</f>
        <v>4-5 Years</v>
      </c>
      <c r="AD282">
        <f>ROUND(AVERAGE(EmployeeData[[#This Row],[JobSatisfaction]],EmployeeData[[#This Row],[EnvironmentSatisfaction]],EmployeeData[[#This Row],[WorkLifeBalance]]),2)</f>
        <v>4</v>
      </c>
      <c r="AE282" t="str">
        <f>IF(EmployeeData[[#This Row],[Satisfaction Score]]&lt;2,"Low",IF(EmployeeData[[#This Row],[Satisfaction Score]]&lt;3,"Medium","High"))</f>
        <v>High</v>
      </c>
    </row>
    <row r="283" spans="1:31" x14ac:dyDescent="0.25">
      <c r="A283" t="s">
        <v>1413</v>
      </c>
      <c r="B283" t="s">
        <v>1414</v>
      </c>
      <c r="C283" t="s">
        <v>49</v>
      </c>
      <c r="D283">
        <v>37</v>
      </c>
      <c r="E283" t="s">
        <v>5459</v>
      </c>
      <c r="F283" t="s">
        <v>188</v>
      </c>
      <c r="G283" s="1">
        <v>43102</v>
      </c>
      <c r="H283">
        <v>98395</v>
      </c>
      <c r="I283" t="s">
        <v>30</v>
      </c>
      <c r="J283" t="s">
        <v>31</v>
      </c>
      <c r="K283" t="s">
        <v>131</v>
      </c>
      <c r="L283" t="s">
        <v>43</v>
      </c>
      <c r="M283">
        <v>26</v>
      </c>
      <c r="N283" t="s">
        <v>34</v>
      </c>
      <c r="O283">
        <v>3</v>
      </c>
      <c r="P283">
        <v>1</v>
      </c>
      <c r="Q283">
        <v>3</v>
      </c>
      <c r="R283">
        <v>4</v>
      </c>
      <c r="S283">
        <v>5</v>
      </c>
      <c r="T283">
        <v>1</v>
      </c>
      <c r="U283">
        <v>21</v>
      </c>
      <c r="V283" t="s">
        <v>1417</v>
      </c>
      <c r="W283" t="s">
        <v>34</v>
      </c>
      <c r="Y283" s="2" t="str">
        <f>IF(EmployeeData[[#This Row],[Age]]&lt;25,"Under 25",IF(EmployeeData[[#This Row],[Age]]&lt;=34,"25-34",IF(EmployeeData[[#This Row],[Age]]&lt;=44,"35-44",IF(EmployeeData[[#This Row],[Age]]&lt;=54,"45-54","55+"))))</f>
        <v>35-44</v>
      </c>
      <c r="Z283">
        <f ca="1">DATEDIF(EmployeeData[[#This Row],[DateOfJoining]],IF(AND(EmployeeData[[#This Row],[Attrition]]="Yes",EmployeeData[[#This Row],[LastWorkingDate]]&lt;&gt;""),EmployeeData[[#This Row],[LastWorkingDate]],TODAY()),"Y")</f>
        <v>8</v>
      </c>
      <c r="AA283" t="str">
        <f>IF(EmployeeData[[#This Row],[MonthlyIncome]]&lt;30000,"Low",IF(EmployeeData[[#This Row],[MonthlyIncome]]&lt;=60000,"Medium",IF(EmployeeData[[#This Row],[MonthlyIncome]]&lt;=100000,"High","Very High")))</f>
        <v>High</v>
      </c>
      <c r="AB283">
        <f>IF(EmployeeData[[#This Row],[Attrition]]="Yes",1,0)</f>
        <v>0</v>
      </c>
      <c r="AC283" t="str">
        <f ca="1">IF(EmployeeData[[#This Row],[Tenure Years]]&lt;1,"Less than 1 Year",IF(EmployeeData[[#This Row],[Tenure Years]]&lt;=3,"1-3 Years",IF(EmployeeData[[#This Row],[Tenure Years]]&lt;=5,"4-5 Years",IF(EmployeeData[[#This Row],[Tenure Years]]&lt;=10,"6-10 Years","More than 10 Years"))))</f>
        <v>6-10 Years</v>
      </c>
      <c r="AD283">
        <f>ROUND(AVERAGE(EmployeeData[[#This Row],[JobSatisfaction]],EmployeeData[[#This Row],[EnvironmentSatisfaction]],EmployeeData[[#This Row],[WorkLifeBalance]]),2)</f>
        <v>2.33</v>
      </c>
      <c r="AE283" t="str">
        <f>IF(EmployeeData[[#This Row],[Satisfaction Score]]&lt;2,"Low",IF(EmployeeData[[#This Row],[Satisfaction Score]]&lt;3,"Medium","High"))</f>
        <v>Medium</v>
      </c>
    </row>
    <row r="284" spans="1:31" x14ac:dyDescent="0.25">
      <c r="A284" t="s">
        <v>1418</v>
      </c>
      <c r="B284" t="s">
        <v>1419</v>
      </c>
      <c r="C284" t="s">
        <v>58</v>
      </c>
      <c r="D284">
        <v>47</v>
      </c>
      <c r="E284" t="s">
        <v>27</v>
      </c>
      <c r="F284" t="s">
        <v>59</v>
      </c>
      <c r="G284" s="1">
        <v>45192</v>
      </c>
      <c r="H284">
        <v>112928</v>
      </c>
      <c r="I284" t="s">
        <v>52</v>
      </c>
      <c r="J284" t="s">
        <v>61</v>
      </c>
      <c r="K284" t="s">
        <v>113</v>
      </c>
      <c r="L284" t="s">
        <v>43</v>
      </c>
      <c r="M284">
        <v>43</v>
      </c>
      <c r="N284" t="s">
        <v>45</v>
      </c>
      <c r="O284">
        <v>4</v>
      </c>
      <c r="P284">
        <v>4</v>
      </c>
      <c r="Q284">
        <v>1</v>
      </c>
      <c r="R284">
        <v>4</v>
      </c>
      <c r="S284">
        <v>5</v>
      </c>
      <c r="T284">
        <v>0</v>
      </c>
      <c r="U284">
        <v>19</v>
      </c>
      <c r="V284" t="s">
        <v>1422</v>
      </c>
      <c r="W284" t="s">
        <v>45</v>
      </c>
      <c r="X284" s="1">
        <v>45259</v>
      </c>
      <c r="Y284" s="2" t="str">
        <f>IF(EmployeeData[[#This Row],[Age]]&lt;25,"Under 25",IF(EmployeeData[[#This Row],[Age]]&lt;=34,"25-34",IF(EmployeeData[[#This Row],[Age]]&lt;=44,"35-44",IF(EmployeeData[[#This Row],[Age]]&lt;=54,"45-54","55+"))))</f>
        <v>45-54</v>
      </c>
      <c r="Z284">
        <f ca="1">DATEDIF(EmployeeData[[#This Row],[DateOfJoining]],IF(AND(EmployeeData[[#This Row],[Attrition]]="Yes",EmployeeData[[#This Row],[LastWorkingDate]]&lt;&gt;""),EmployeeData[[#This Row],[LastWorkingDate]],TODAY()),"Y")</f>
        <v>0</v>
      </c>
      <c r="AA284" t="str">
        <f>IF(EmployeeData[[#This Row],[MonthlyIncome]]&lt;30000,"Low",IF(EmployeeData[[#This Row],[MonthlyIncome]]&lt;=60000,"Medium",IF(EmployeeData[[#This Row],[MonthlyIncome]]&lt;=100000,"High","Very High")))</f>
        <v>Very High</v>
      </c>
      <c r="AB284">
        <f>IF(EmployeeData[[#This Row],[Attrition]]="Yes",1,0)</f>
        <v>1</v>
      </c>
      <c r="AC284" t="str">
        <f ca="1">IF(EmployeeData[[#This Row],[Tenure Years]]&lt;1,"Less than 1 Year",IF(EmployeeData[[#This Row],[Tenure Years]]&lt;=3,"1-3 Years",IF(EmployeeData[[#This Row],[Tenure Years]]&lt;=5,"4-5 Years",IF(EmployeeData[[#This Row],[Tenure Years]]&lt;=10,"6-10 Years","More than 10 Years"))))</f>
        <v>Less than 1 Year</v>
      </c>
      <c r="AD284">
        <f>ROUND(AVERAGE(EmployeeData[[#This Row],[JobSatisfaction]],EmployeeData[[#This Row],[EnvironmentSatisfaction]],EmployeeData[[#This Row],[WorkLifeBalance]]),2)</f>
        <v>3</v>
      </c>
      <c r="AE284" t="str">
        <f>IF(EmployeeData[[#This Row],[Satisfaction Score]]&lt;2,"Low",IF(EmployeeData[[#This Row],[Satisfaction Score]]&lt;3,"Medium","High"))</f>
        <v>High</v>
      </c>
    </row>
    <row r="285" spans="1:31" x14ac:dyDescent="0.25">
      <c r="A285" t="s">
        <v>1424</v>
      </c>
      <c r="B285" t="s">
        <v>1425</v>
      </c>
      <c r="C285" t="s">
        <v>58</v>
      </c>
      <c r="D285">
        <v>26</v>
      </c>
      <c r="E285" t="s">
        <v>38</v>
      </c>
      <c r="F285" t="s">
        <v>5465</v>
      </c>
      <c r="G285" s="1">
        <v>41537</v>
      </c>
      <c r="H285">
        <v>40881</v>
      </c>
      <c r="I285" t="s">
        <v>42</v>
      </c>
      <c r="J285" t="s">
        <v>61</v>
      </c>
      <c r="K285" t="s">
        <v>131</v>
      </c>
      <c r="L285" t="s">
        <v>43</v>
      </c>
      <c r="M285">
        <v>37</v>
      </c>
      <c r="N285" t="s">
        <v>34</v>
      </c>
      <c r="O285">
        <v>4</v>
      </c>
      <c r="P285">
        <v>1</v>
      </c>
      <c r="Q285">
        <v>1</v>
      </c>
      <c r="R285">
        <v>1</v>
      </c>
      <c r="S285">
        <v>3</v>
      </c>
      <c r="T285">
        <v>6</v>
      </c>
      <c r="U285">
        <v>24</v>
      </c>
      <c r="V285" t="s">
        <v>1428</v>
      </c>
      <c r="W285" t="s">
        <v>34</v>
      </c>
      <c r="Y285" s="2" t="str">
        <f>IF(EmployeeData[[#This Row],[Age]]&lt;25,"Under 25",IF(EmployeeData[[#This Row],[Age]]&lt;=34,"25-34",IF(EmployeeData[[#This Row],[Age]]&lt;=44,"35-44",IF(EmployeeData[[#This Row],[Age]]&lt;=54,"45-54","55+"))))</f>
        <v>25-34</v>
      </c>
      <c r="Z285">
        <f ca="1">DATEDIF(EmployeeData[[#This Row],[DateOfJoining]],IF(AND(EmployeeData[[#This Row],[Attrition]]="Yes",EmployeeData[[#This Row],[LastWorkingDate]]&lt;&gt;""),EmployeeData[[#This Row],[LastWorkingDate]],TODAY()),"Y")</f>
        <v>12</v>
      </c>
      <c r="AA285" t="str">
        <f>IF(EmployeeData[[#This Row],[MonthlyIncome]]&lt;30000,"Low",IF(EmployeeData[[#This Row],[MonthlyIncome]]&lt;=60000,"Medium",IF(EmployeeData[[#This Row],[MonthlyIncome]]&lt;=100000,"High","Very High")))</f>
        <v>Medium</v>
      </c>
      <c r="AB285">
        <f>IF(EmployeeData[[#This Row],[Attrition]]="Yes",1,0)</f>
        <v>0</v>
      </c>
      <c r="AC285" t="str">
        <f ca="1">IF(EmployeeData[[#This Row],[Tenure Years]]&lt;1,"Less than 1 Year",IF(EmployeeData[[#This Row],[Tenure Years]]&lt;=3,"1-3 Years",IF(EmployeeData[[#This Row],[Tenure Years]]&lt;=5,"4-5 Years",IF(EmployeeData[[#This Row],[Tenure Years]]&lt;=10,"6-10 Years","More than 10 Years"))))</f>
        <v>More than 10 Years</v>
      </c>
      <c r="AD285">
        <f>ROUND(AVERAGE(EmployeeData[[#This Row],[JobSatisfaction]],EmployeeData[[#This Row],[EnvironmentSatisfaction]],EmployeeData[[#This Row],[WorkLifeBalance]]),2)</f>
        <v>2</v>
      </c>
      <c r="AE285" t="str">
        <f>IF(EmployeeData[[#This Row],[Satisfaction Score]]&lt;2,"Low",IF(EmployeeData[[#This Row],[Satisfaction Score]]&lt;3,"Medium","High"))</f>
        <v>Medium</v>
      </c>
    </row>
    <row r="286" spans="1:31" x14ac:dyDescent="0.25">
      <c r="A286" t="s">
        <v>1429</v>
      </c>
      <c r="B286" t="s">
        <v>1430</v>
      </c>
      <c r="C286" t="s">
        <v>49</v>
      </c>
      <c r="D286">
        <v>33</v>
      </c>
      <c r="E286" t="s">
        <v>27</v>
      </c>
      <c r="F286" t="s">
        <v>75</v>
      </c>
      <c r="G286" s="1">
        <v>42517</v>
      </c>
      <c r="H286">
        <v>97825</v>
      </c>
      <c r="I286" t="s">
        <v>30</v>
      </c>
      <c r="J286" t="s">
        <v>31</v>
      </c>
      <c r="K286" t="s">
        <v>113</v>
      </c>
      <c r="L286" t="s">
        <v>43</v>
      </c>
      <c r="M286">
        <v>40</v>
      </c>
      <c r="N286" t="s">
        <v>45</v>
      </c>
      <c r="O286">
        <v>1</v>
      </c>
      <c r="P286">
        <v>2</v>
      </c>
      <c r="Q286">
        <v>3</v>
      </c>
      <c r="R286">
        <v>3</v>
      </c>
      <c r="S286">
        <v>0</v>
      </c>
      <c r="T286">
        <v>3</v>
      </c>
      <c r="U286">
        <v>24</v>
      </c>
      <c r="V286" t="s">
        <v>1432</v>
      </c>
      <c r="W286" t="s">
        <v>45</v>
      </c>
      <c r="X286" s="1">
        <v>44206</v>
      </c>
      <c r="Y286" s="2" t="str">
        <f>IF(EmployeeData[[#This Row],[Age]]&lt;25,"Under 25",IF(EmployeeData[[#This Row],[Age]]&lt;=34,"25-34",IF(EmployeeData[[#This Row],[Age]]&lt;=44,"35-44",IF(EmployeeData[[#This Row],[Age]]&lt;=54,"45-54","55+"))))</f>
        <v>25-34</v>
      </c>
      <c r="Z286">
        <f ca="1">DATEDIF(EmployeeData[[#This Row],[DateOfJoining]],IF(AND(EmployeeData[[#This Row],[Attrition]]="Yes",EmployeeData[[#This Row],[LastWorkingDate]]&lt;&gt;""),EmployeeData[[#This Row],[LastWorkingDate]],TODAY()),"Y")</f>
        <v>4</v>
      </c>
      <c r="AA286" t="str">
        <f>IF(EmployeeData[[#This Row],[MonthlyIncome]]&lt;30000,"Low",IF(EmployeeData[[#This Row],[MonthlyIncome]]&lt;=60000,"Medium",IF(EmployeeData[[#This Row],[MonthlyIncome]]&lt;=100000,"High","Very High")))</f>
        <v>High</v>
      </c>
      <c r="AB286">
        <f>IF(EmployeeData[[#This Row],[Attrition]]="Yes",1,0)</f>
        <v>1</v>
      </c>
      <c r="AC286" t="str">
        <f ca="1">IF(EmployeeData[[#This Row],[Tenure Years]]&lt;1,"Less than 1 Year",IF(EmployeeData[[#This Row],[Tenure Years]]&lt;=3,"1-3 Years",IF(EmployeeData[[#This Row],[Tenure Years]]&lt;=5,"4-5 Years",IF(EmployeeData[[#This Row],[Tenure Years]]&lt;=10,"6-10 Years","More than 10 Years"))))</f>
        <v>4-5 Years</v>
      </c>
      <c r="AD286">
        <f>ROUND(AVERAGE(EmployeeData[[#This Row],[JobSatisfaction]],EmployeeData[[#This Row],[EnvironmentSatisfaction]],EmployeeData[[#This Row],[WorkLifeBalance]]),2)</f>
        <v>2</v>
      </c>
      <c r="AE286" t="str">
        <f>IF(EmployeeData[[#This Row],[Satisfaction Score]]&lt;2,"Low",IF(EmployeeData[[#This Row],[Satisfaction Score]]&lt;3,"Medium","High"))</f>
        <v>Medium</v>
      </c>
    </row>
    <row r="287" spans="1:31" x14ac:dyDescent="0.25">
      <c r="A287" t="s">
        <v>1434</v>
      </c>
      <c r="B287" t="s">
        <v>1435</v>
      </c>
      <c r="C287" t="s">
        <v>49</v>
      </c>
      <c r="D287">
        <v>35</v>
      </c>
      <c r="E287" t="s">
        <v>94</v>
      </c>
      <c r="F287" t="s">
        <v>266</v>
      </c>
      <c r="G287" s="1">
        <v>43330</v>
      </c>
      <c r="H287">
        <v>93236</v>
      </c>
      <c r="I287" t="s">
        <v>30</v>
      </c>
      <c r="J287" t="s">
        <v>61</v>
      </c>
      <c r="K287" t="s">
        <v>32</v>
      </c>
      <c r="L287" t="s">
        <v>62</v>
      </c>
      <c r="M287">
        <v>45</v>
      </c>
      <c r="N287" t="s">
        <v>45</v>
      </c>
      <c r="O287">
        <v>3</v>
      </c>
      <c r="P287">
        <v>3</v>
      </c>
      <c r="Q287">
        <v>4</v>
      </c>
      <c r="R287">
        <v>5</v>
      </c>
      <c r="S287">
        <v>3</v>
      </c>
      <c r="T287">
        <v>7</v>
      </c>
      <c r="U287">
        <v>12</v>
      </c>
      <c r="V287" t="s">
        <v>1438</v>
      </c>
      <c r="W287" t="s">
        <v>34</v>
      </c>
      <c r="Y287" s="2" t="str">
        <f>IF(EmployeeData[[#This Row],[Age]]&lt;25,"Under 25",IF(EmployeeData[[#This Row],[Age]]&lt;=34,"25-34",IF(EmployeeData[[#This Row],[Age]]&lt;=44,"35-44",IF(EmployeeData[[#This Row],[Age]]&lt;=54,"45-54","55+"))))</f>
        <v>35-44</v>
      </c>
      <c r="Z287">
        <f ca="1">DATEDIF(EmployeeData[[#This Row],[DateOfJoining]],IF(AND(EmployeeData[[#This Row],[Attrition]]="Yes",EmployeeData[[#This Row],[LastWorkingDate]]&lt;&gt;""),EmployeeData[[#This Row],[LastWorkingDate]],TODAY()),"Y")</f>
        <v>8</v>
      </c>
      <c r="AA287" t="str">
        <f>IF(EmployeeData[[#This Row],[MonthlyIncome]]&lt;30000,"Low",IF(EmployeeData[[#This Row],[MonthlyIncome]]&lt;=60000,"Medium",IF(EmployeeData[[#This Row],[MonthlyIncome]]&lt;=100000,"High","Very High")))</f>
        <v>High</v>
      </c>
      <c r="AB287">
        <f>IF(EmployeeData[[#This Row],[Attrition]]="Yes",1,0)</f>
        <v>0</v>
      </c>
      <c r="AC287" t="str">
        <f ca="1">IF(EmployeeData[[#This Row],[Tenure Years]]&lt;1,"Less than 1 Year",IF(EmployeeData[[#This Row],[Tenure Years]]&lt;=3,"1-3 Years",IF(EmployeeData[[#This Row],[Tenure Years]]&lt;=5,"4-5 Years",IF(EmployeeData[[#This Row],[Tenure Years]]&lt;=10,"6-10 Years","More than 10 Years"))))</f>
        <v>6-10 Years</v>
      </c>
      <c r="AD287">
        <f>ROUND(AVERAGE(EmployeeData[[#This Row],[JobSatisfaction]],EmployeeData[[#This Row],[EnvironmentSatisfaction]],EmployeeData[[#This Row],[WorkLifeBalance]]),2)</f>
        <v>3.33</v>
      </c>
      <c r="AE287" t="str">
        <f>IF(EmployeeData[[#This Row],[Satisfaction Score]]&lt;2,"Low",IF(EmployeeData[[#This Row],[Satisfaction Score]]&lt;3,"Medium","High"))</f>
        <v>High</v>
      </c>
    </row>
    <row r="288" spans="1:31" x14ac:dyDescent="0.25">
      <c r="A288" t="s">
        <v>1439</v>
      </c>
      <c r="B288" t="s">
        <v>1440</v>
      </c>
      <c r="C288" t="s">
        <v>49</v>
      </c>
      <c r="D288">
        <v>29</v>
      </c>
      <c r="E288" t="s">
        <v>5461</v>
      </c>
      <c r="F288" t="s">
        <v>89</v>
      </c>
      <c r="G288" s="1">
        <v>45053</v>
      </c>
      <c r="H288">
        <v>69108</v>
      </c>
      <c r="I288" t="s">
        <v>30</v>
      </c>
      <c r="J288" t="s">
        <v>31</v>
      </c>
      <c r="K288" t="s">
        <v>131</v>
      </c>
      <c r="L288" t="s">
        <v>62</v>
      </c>
      <c r="M288">
        <v>9</v>
      </c>
      <c r="N288" t="s">
        <v>45</v>
      </c>
      <c r="O288">
        <v>2</v>
      </c>
      <c r="P288">
        <v>4</v>
      </c>
      <c r="Q288">
        <v>3</v>
      </c>
      <c r="R288">
        <v>3</v>
      </c>
      <c r="S288">
        <v>0</v>
      </c>
      <c r="T288">
        <v>6</v>
      </c>
      <c r="U288">
        <v>18</v>
      </c>
      <c r="V288" t="s">
        <v>1443</v>
      </c>
      <c r="W288" t="s">
        <v>45</v>
      </c>
      <c r="X288" s="1">
        <v>45542</v>
      </c>
      <c r="Y288" s="2" t="str">
        <f>IF(EmployeeData[[#This Row],[Age]]&lt;25,"Under 25",IF(EmployeeData[[#This Row],[Age]]&lt;=34,"25-34",IF(EmployeeData[[#This Row],[Age]]&lt;=44,"35-44",IF(EmployeeData[[#This Row],[Age]]&lt;=54,"45-54","55+"))))</f>
        <v>25-34</v>
      </c>
      <c r="Z288">
        <f ca="1">DATEDIF(EmployeeData[[#This Row],[DateOfJoining]],IF(AND(EmployeeData[[#This Row],[Attrition]]="Yes",EmployeeData[[#This Row],[LastWorkingDate]]&lt;&gt;""),EmployeeData[[#This Row],[LastWorkingDate]],TODAY()),"Y")</f>
        <v>1</v>
      </c>
      <c r="AA288" t="str">
        <f>IF(EmployeeData[[#This Row],[MonthlyIncome]]&lt;30000,"Low",IF(EmployeeData[[#This Row],[MonthlyIncome]]&lt;=60000,"Medium",IF(EmployeeData[[#This Row],[MonthlyIncome]]&lt;=100000,"High","Very High")))</f>
        <v>High</v>
      </c>
      <c r="AB288">
        <f>IF(EmployeeData[[#This Row],[Attrition]]="Yes",1,0)</f>
        <v>1</v>
      </c>
      <c r="AC288" t="str">
        <f ca="1">IF(EmployeeData[[#This Row],[Tenure Years]]&lt;1,"Less than 1 Year",IF(EmployeeData[[#This Row],[Tenure Years]]&lt;=3,"1-3 Years",IF(EmployeeData[[#This Row],[Tenure Years]]&lt;=5,"4-5 Years",IF(EmployeeData[[#This Row],[Tenure Years]]&lt;=10,"6-10 Years","More than 10 Years"))))</f>
        <v>1-3 Years</v>
      </c>
      <c r="AD288">
        <f>ROUND(AVERAGE(EmployeeData[[#This Row],[JobSatisfaction]],EmployeeData[[#This Row],[EnvironmentSatisfaction]],EmployeeData[[#This Row],[WorkLifeBalance]]),2)</f>
        <v>3</v>
      </c>
      <c r="AE288" t="str">
        <f>IF(EmployeeData[[#This Row],[Satisfaction Score]]&lt;2,"Low",IF(EmployeeData[[#This Row],[Satisfaction Score]]&lt;3,"Medium","High"))</f>
        <v>High</v>
      </c>
    </row>
    <row r="289" spans="1:31" x14ac:dyDescent="0.25">
      <c r="A289" t="s">
        <v>1445</v>
      </c>
      <c r="B289" t="s">
        <v>1446</v>
      </c>
      <c r="C289" t="s">
        <v>49</v>
      </c>
      <c r="D289">
        <v>49</v>
      </c>
      <c r="E289" t="s">
        <v>27</v>
      </c>
      <c r="F289" t="s">
        <v>50</v>
      </c>
      <c r="G289" s="1">
        <v>43387</v>
      </c>
      <c r="H289">
        <v>121888</v>
      </c>
      <c r="I289" t="s">
        <v>52</v>
      </c>
      <c r="J289" t="s">
        <v>97</v>
      </c>
      <c r="K289" t="s">
        <v>54</v>
      </c>
      <c r="L289" t="s">
        <v>43</v>
      </c>
      <c r="M289">
        <v>20</v>
      </c>
      <c r="N289" t="s">
        <v>34</v>
      </c>
      <c r="O289">
        <v>4</v>
      </c>
      <c r="P289">
        <v>3</v>
      </c>
      <c r="Q289">
        <v>2</v>
      </c>
      <c r="R289">
        <v>2</v>
      </c>
      <c r="S289">
        <v>0</v>
      </c>
      <c r="T289">
        <v>7</v>
      </c>
      <c r="U289">
        <v>16</v>
      </c>
      <c r="V289" t="s">
        <v>1448</v>
      </c>
      <c r="W289" t="s">
        <v>34</v>
      </c>
      <c r="Y289" s="2" t="str">
        <f>IF(EmployeeData[[#This Row],[Age]]&lt;25,"Under 25",IF(EmployeeData[[#This Row],[Age]]&lt;=34,"25-34",IF(EmployeeData[[#This Row],[Age]]&lt;=44,"35-44",IF(EmployeeData[[#This Row],[Age]]&lt;=54,"45-54","55+"))))</f>
        <v>45-54</v>
      </c>
      <c r="Z289">
        <f ca="1">DATEDIF(EmployeeData[[#This Row],[DateOfJoining]],IF(AND(EmployeeData[[#This Row],[Attrition]]="Yes",EmployeeData[[#This Row],[LastWorkingDate]]&lt;&gt;""),EmployeeData[[#This Row],[LastWorkingDate]],TODAY()),"Y")</f>
        <v>7</v>
      </c>
      <c r="AA289" t="str">
        <f>IF(EmployeeData[[#This Row],[MonthlyIncome]]&lt;30000,"Low",IF(EmployeeData[[#This Row],[MonthlyIncome]]&lt;=60000,"Medium",IF(EmployeeData[[#This Row],[MonthlyIncome]]&lt;=100000,"High","Very High")))</f>
        <v>Very High</v>
      </c>
      <c r="AB289">
        <f>IF(EmployeeData[[#This Row],[Attrition]]="Yes",1,0)</f>
        <v>0</v>
      </c>
      <c r="AC289" t="str">
        <f ca="1">IF(EmployeeData[[#This Row],[Tenure Years]]&lt;1,"Less than 1 Year",IF(EmployeeData[[#This Row],[Tenure Years]]&lt;=3,"1-3 Years",IF(EmployeeData[[#This Row],[Tenure Years]]&lt;=5,"4-5 Years",IF(EmployeeData[[#This Row],[Tenure Years]]&lt;=10,"6-10 Years","More than 10 Years"))))</f>
        <v>6-10 Years</v>
      </c>
      <c r="AD289">
        <f>ROUND(AVERAGE(EmployeeData[[#This Row],[JobSatisfaction]],EmployeeData[[#This Row],[EnvironmentSatisfaction]],EmployeeData[[#This Row],[WorkLifeBalance]]),2)</f>
        <v>3</v>
      </c>
      <c r="AE289" t="str">
        <f>IF(EmployeeData[[#This Row],[Satisfaction Score]]&lt;2,"Low",IF(EmployeeData[[#This Row],[Satisfaction Score]]&lt;3,"Medium","High"))</f>
        <v>High</v>
      </c>
    </row>
    <row r="290" spans="1:31" x14ac:dyDescent="0.25">
      <c r="A290" t="s">
        <v>1449</v>
      </c>
      <c r="B290" t="s">
        <v>1450</v>
      </c>
      <c r="C290" t="s">
        <v>49</v>
      </c>
      <c r="D290">
        <v>47</v>
      </c>
      <c r="E290" t="s">
        <v>94</v>
      </c>
      <c r="F290" t="s">
        <v>356</v>
      </c>
      <c r="G290" s="1">
        <v>45481</v>
      </c>
      <c r="H290">
        <v>54480</v>
      </c>
      <c r="I290" t="s">
        <v>30</v>
      </c>
      <c r="J290" t="s">
        <v>61</v>
      </c>
      <c r="K290" t="s">
        <v>167</v>
      </c>
      <c r="L290" t="s">
        <v>62</v>
      </c>
      <c r="M290">
        <v>6</v>
      </c>
      <c r="N290" t="s">
        <v>34</v>
      </c>
      <c r="O290">
        <v>4</v>
      </c>
      <c r="P290">
        <v>3</v>
      </c>
      <c r="Q290">
        <v>2</v>
      </c>
      <c r="R290">
        <v>1</v>
      </c>
      <c r="S290">
        <v>1</v>
      </c>
      <c r="T290">
        <v>2</v>
      </c>
      <c r="U290">
        <v>18</v>
      </c>
      <c r="V290" t="s">
        <v>1452</v>
      </c>
      <c r="W290" t="s">
        <v>34</v>
      </c>
      <c r="Y290" s="2" t="str">
        <f>IF(EmployeeData[[#This Row],[Age]]&lt;25,"Under 25",IF(EmployeeData[[#This Row],[Age]]&lt;=34,"25-34",IF(EmployeeData[[#This Row],[Age]]&lt;=44,"35-44",IF(EmployeeData[[#This Row],[Age]]&lt;=54,"45-54","55+"))))</f>
        <v>45-54</v>
      </c>
      <c r="Z290">
        <f ca="1">DATEDIF(EmployeeData[[#This Row],[DateOfJoining]],IF(AND(EmployeeData[[#This Row],[Attrition]]="Yes",EmployeeData[[#This Row],[LastWorkingDate]]&lt;&gt;""),EmployeeData[[#This Row],[LastWorkingDate]],TODAY()),"Y")</f>
        <v>2</v>
      </c>
      <c r="AA290" t="str">
        <f>IF(EmployeeData[[#This Row],[MonthlyIncome]]&lt;30000,"Low",IF(EmployeeData[[#This Row],[MonthlyIncome]]&lt;=60000,"Medium",IF(EmployeeData[[#This Row],[MonthlyIncome]]&lt;=100000,"High","Very High")))</f>
        <v>Medium</v>
      </c>
      <c r="AB290">
        <f>IF(EmployeeData[[#This Row],[Attrition]]="Yes",1,0)</f>
        <v>0</v>
      </c>
      <c r="AC290" t="str">
        <f ca="1">IF(EmployeeData[[#This Row],[Tenure Years]]&lt;1,"Less than 1 Year",IF(EmployeeData[[#This Row],[Tenure Years]]&lt;=3,"1-3 Years",IF(EmployeeData[[#This Row],[Tenure Years]]&lt;=5,"4-5 Years",IF(EmployeeData[[#This Row],[Tenure Years]]&lt;=10,"6-10 Years","More than 10 Years"))))</f>
        <v>1-3 Years</v>
      </c>
      <c r="AD290">
        <f>ROUND(AVERAGE(EmployeeData[[#This Row],[JobSatisfaction]],EmployeeData[[#This Row],[EnvironmentSatisfaction]],EmployeeData[[#This Row],[WorkLifeBalance]]),2)</f>
        <v>3</v>
      </c>
      <c r="AE290" t="str">
        <f>IF(EmployeeData[[#This Row],[Satisfaction Score]]&lt;2,"Low",IF(EmployeeData[[#This Row],[Satisfaction Score]]&lt;3,"Medium","High"))</f>
        <v>High</v>
      </c>
    </row>
    <row r="291" spans="1:31" x14ac:dyDescent="0.25">
      <c r="A291" t="s">
        <v>1453</v>
      </c>
      <c r="B291" t="s">
        <v>1454</v>
      </c>
      <c r="C291" t="s">
        <v>49</v>
      </c>
      <c r="D291">
        <v>45</v>
      </c>
      <c r="E291" t="s">
        <v>5461</v>
      </c>
      <c r="F291" t="s">
        <v>5463</v>
      </c>
      <c r="G291" s="1">
        <v>42570</v>
      </c>
      <c r="H291">
        <v>96408</v>
      </c>
      <c r="I291" t="s">
        <v>42</v>
      </c>
      <c r="J291" t="s">
        <v>61</v>
      </c>
      <c r="K291" t="s">
        <v>131</v>
      </c>
      <c r="L291" t="s">
        <v>33</v>
      </c>
      <c r="M291">
        <v>19</v>
      </c>
      <c r="N291" t="s">
        <v>34</v>
      </c>
      <c r="O291">
        <v>2</v>
      </c>
      <c r="P291">
        <v>4</v>
      </c>
      <c r="Q291">
        <v>4</v>
      </c>
      <c r="R291">
        <v>3</v>
      </c>
      <c r="S291">
        <v>5</v>
      </c>
      <c r="T291">
        <v>0</v>
      </c>
      <c r="U291">
        <v>16</v>
      </c>
      <c r="V291" t="s">
        <v>1456</v>
      </c>
      <c r="W291" t="s">
        <v>34</v>
      </c>
      <c r="Y291" s="2" t="str">
        <f>IF(EmployeeData[[#This Row],[Age]]&lt;25,"Under 25",IF(EmployeeData[[#This Row],[Age]]&lt;=34,"25-34",IF(EmployeeData[[#This Row],[Age]]&lt;=44,"35-44",IF(EmployeeData[[#This Row],[Age]]&lt;=54,"45-54","55+"))))</f>
        <v>45-54</v>
      </c>
      <c r="Z291">
        <f ca="1">DATEDIF(EmployeeData[[#This Row],[DateOfJoining]],IF(AND(EmployeeData[[#This Row],[Attrition]]="Yes",EmployeeData[[#This Row],[LastWorkingDate]]&lt;&gt;""),EmployeeData[[#This Row],[LastWorkingDate]],TODAY()),"Y")</f>
        <v>10</v>
      </c>
      <c r="AA291" t="str">
        <f>IF(EmployeeData[[#This Row],[MonthlyIncome]]&lt;30000,"Low",IF(EmployeeData[[#This Row],[MonthlyIncome]]&lt;=60000,"Medium",IF(EmployeeData[[#This Row],[MonthlyIncome]]&lt;=100000,"High","Very High")))</f>
        <v>High</v>
      </c>
      <c r="AB291">
        <f>IF(EmployeeData[[#This Row],[Attrition]]="Yes",1,0)</f>
        <v>0</v>
      </c>
      <c r="AC291" t="str">
        <f ca="1">IF(EmployeeData[[#This Row],[Tenure Years]]&lt;1,"Less than 1 Year",IF(EmployeeData[[#This Row],[Tenure Years]]&lt;=3,"1-3 Years",IF(EmployeeData[[#This Row],[Tenure Years]]&lt;=5,"4-5 Years",IF(EmployeeData[[#This Row],[Tenure Years]]&lt;=10,"6-10 Years","More than 10 Years"))))</f>
        <v>6-10 Years</v>
      </c>
      <c r="AD291">
        <f>ROUND(AVERAGE(EmployeeData[[#This Row],[JobSatisfaction]],EmployeeData[[#This Row],[EnvironmentSatisfaction]],EmployeeData[[#This Row],[WorkLifeBalance]]),2)</f>
        <v>3.33</v>
      </c>
      <c r="AE291" t="str">
        <f>IF(EmployeeData[[#This Row],[Satisfaction Score]]&lt;2,"Low",IF(EmployeeData[[#This Row],[Satisfaction Score]]&lt;3,"Medium","High"))</f>
        <v>High</v>
      </c>
    </row>
    <row r="292" spans="1:31" x14ac:dyDescent="0.25">
      <c r="A292" t="s">
        <v>1457</v>
      </c>
      <c r="B292" t="s">
        <v>1458</v>
      </c>
      <c r="C292" t="s">
        <v>49</v>
      </c>
      <c r="D292">
        <v>37</v>
      </c>
      <c r="E292" t="s">
        <v>27</v>
      </c>
      <c r="F292" t="s">
        <v>75</v>
      </c>
      <c r="G292" s="1">
        <v>43176</v>
      </c>
      <c r="H292">
        <v>124186</v>
      </c>
      <c r="I292" t="s">
        <v>30</v>
      </c>
      <c r="J292" t="s">
        <v>143</v>
      </c>
      <c r="K292" t="s">
        <v>32</v>
      </c>
      <c r="L292" t="s">
        <v>43</v>
      </c>
      <c r="M292">
        <v>16</v>
      </c>
      <c r="N292" t="s">
        <v>45</v>
      </c>
      <c r="O292">
        <v>3</v>
      </c>
      <c r="P292">
        <v>2</v>
      </c>
      <c r="Q292">
        <v>2</v>
      </c>
      <c r="R292">
        <v>1</v>
      </c>
      <c r="S292">
        <v>2</v>
      </c>
      <c r="T292">
        <v>6</v>
      </c>
      <c r="U292">
        <v>25</v>
      </c>
      <c r="V292" t="s">
        <v>1461</v>
      </c>
      <c r="W292" t="s">
        <v>34</v>
      </c>
      <c r="Y292" s="2" t="str">
        <f>IF(EmployeeData[[#This Row],[Age]]&lt;25,"Under 25",IF(EmployeeData[[#This Row],[Age]]&lt;=34,"25-34",IF(EmployeeData[[#This Row],[Age]]&lt;=44,"35-44",IF(EmployeeData[[#This Row],[Age]]&lt;=54,"45-54","55+"))))</f>
        <v>35-44</v>
      </c>
      <c r="Z292">
        <f ca="1">DATEDIF(EmployeeData[[#This Row],[DateOfJoining]],IF(AND(EmployeeData[[#This Row],[Attrition]]="Yes",EmployeeData[[#This Row],[LastWorkingDate]]&lt;&gt;""),EmployeeData[[#This Row],[LastWorkingDate]],TODAY()),"Y")</f>
        <v>8</v>
      </c>
      <c r="AA292" t="str">
        <f>IF(EmployeeData[[#This Row],[MonthlyIncome]]&lt;30000,"Low",IF(EmployeeData[[#This Row],[MonthlyIncome]]&lt;=60000,"Medium",IF(EmployeeData[[#This Row],[MonthlyIncome]]&lt;=100000,"High","Very High")))</f>
        <v>Very High</v>
      </c>
      <c r="AB292">
        <f>IF(EmployeeData[[#This Row],[Attrition]]="Yes",1,0)</f>
        <v>0</v>
      </c>
      <c r="AC292" t="str">
        <f ca="1">IF(EmployeeData[[#This Row],[Tenure Years]]&lt;1,"Less than 1 Year",IF(EmployeeData[[#This Row],[Tenure Years]]&lt;=3,"1-3 Years",IF(EmployeeData[[#This Row],[Tenure Years]]&lt;=5,"4-5 Years",IF(EmployeeData[[#This Row],[Tenure Years]]&lt;=10,"6-10 Years","More than 10 Years"))))</f>
        <v>6-10 Years</v>
      </c>
      <c r="AD292">
        <f>ROUND(AVERAGE(EmployeeData[[#This Row],[JobSatisfaction]],EmployeeData[[#This Row],[EnvironmentSatisfaction]],EmployeeData[[#This Row],[WorkLifeBalance]]),2)</f>
        <v>2.33</v>
      </c>
      <c r="AE292" t="str">
        <f>IF(EmployeeData[[#This Row],[Satisfaction Score]]&lt;2,"Low",IF(EmployeeData[[#This Row],[Satisfaction Score]]&lt;3,"Medium","High"))</f>
        <v>Medium</v>
      </c>
    </row>
    <row r="293" spans="1:31" x14ac:dyDescent="0.25">
      <c r="A293" t="s">
        <v>1462</v>
      </c>
      <c r="B293" t="s">
        <v>1463</v>
      </c>
      <c r="C293" t="s">
        <v>5459</v>
      </c>
      <c r="D293">
        <v>22</v>
      </c>
      <c r="E293" t="s">
        <v>5461</v>
      </c>
      <c r="F293" t="s">
        <v>261</v>
      </c>
      <c r="G293" s="1">
        <v>45320</v>
      </c>
      <c r="H293">
        <v>111792</v>
      </c>
      <c r="I293" t="s">
        <v>30</v>
      </c>
      <c r="J293" t="s">
        <v>61</v>
      </c>
      <c r="K293" t="s">
        <v>98</v>
      </c>
      <c r="L293" t="s">
        <v>33</v>
      </c>
      <c r="M293">
        <v>24</v>
      </c>
      <c r="N293" t="s">
        <v>34</v>
      </c>
      <c r="O293">
        <v>3</v>
      </c>
      <c r="P293">
        <v>4</v>
      </c>
      <c r="Q293">
        <v>2</v>
      </c>
      <c r="R293">
        <v>3</v>
      </c>
      <c r="S293">
        <v>6</v>
      </c>
      <c r="T293">
        <v>4</v>
      </c>
      <c r="U293">
        <v>13</v>
      </c>
      <c r="V293" t="s">
        <v>1466</v>
      </c>
      <c r="W293" t="s">
        <v>34</v>
      </c>
      <c r="Y293" s="2" t="str">
        <f>IF(EmployeeData[[#This Row],[Age]]&lt;25,"Under 25",IF(EmployeeData[[#This Row],[Age]]&lt;=34,"25-34",IF(EmployeeData[[#This Row],[Age]]&lt;=44,"35-44",IF(EmployeeData[[#This Row],[Age]]&lt;=54,"45-54","55+"))))</f>
        <v>Under 25</v>
      </c>
      <c r="Z293">
        <f ca="1">DATEDIF(EmployeeData[[#This Row],[DateOfJoining]],IF(AND(EmployeeData[[#This Row],[Attrition]]="Yes",EmployeeData[[#This Row],[LastWorkingDate]]&lt;&gt;""),EmployeeData[[#This Row],[LastWorkingDate]],TODAY()),"Y")</f>
        <v>2</v>
      </c>
      <c r="AA293" t="str">
        <f>IF(EmployeeData[[#This Row],[MonthlyIncome]]&lt;30000,"Low",IF(EmployeeData[[#This Row],[MonthlyIncome]]&lt;=60000,"Medium",IF(EmployeeData[[#This Row],[MonthlyIncome]]&lt;=100000,"High","Very High")))</f>
        <v>Very High</v>
      </c>
      <c r="AB293">
        <f>IF(EmployeeData[[#This Row],[Attrition]]="Yes",1,0)</f>
        <v>0</v>
      </c>
      <c r="AC293" t="str">
        <f ca="1">IF(EmployeeData[[#This Row],[Tenure Years]]&lt;1,"Less than 1 Year",IF(EmployeeData[[#This Row],[Tenure Years]]&lt;=3,"1-3 Years",IF(EmployeeData[[#This Row],[Tenure Years]]&lt;=5,"4-5 Years",IF(EmployeeData[[#This Row],[Tenure Years]]&lt;=10,"6-10 Years","More than 10 Years"))))</f>
        <v>1-3 Years</v>
      </c>
      <c r="AD293">
        <f>ROUND(AVERAGE(EmployeeData[[#This Row],[JobSatisfaction]],EmployeeData[[#This Row],[EnvironmentSatisfaction]],EmployeeData[[#This Row],[WorkLifeBalance]]),2)</f>
        <v>3</v>
      </c>
      <c r="AE293" t="str">
        <f>IF(EmployeeData[[#This Row],[Satisfaction Score]]&lt;2,"Low",IF(EmployeeData[[#This Row],[Satisfaction Score]]&lt;3,"Medium","High"))</f>
        <v>High</v>
      </c>
    </row>
    <row r="294" spans="1:31" x14ac:dyDescent="0.25">
      <c r="A294" t="s">
        <v>1467</v>
      </c>
      <c r="B294" t="s">
        <v>1468</v>
      </c>
      <c r="C294" t="s">
        <v>58</v>
      </c>
      <c r="D294">
        <v>27</v>
      </c>
      <c r="E294" t="s">
        <v>128</v>
      </c>
      <c r="F294" t="s">
        <v>255</v>
      </c>
      <c r="G294" s="1">
        <v>44452</v>
      </c>
      <c r="H294">
        <v>89727</v>
      </c>
      <c r="I294" t="s">
        <v>30</v>
      </c>
      <c r="J294" t="s">
        <v>61</v>
      </c>
      <c r="K294" t="s">
        <v>98</v>
      </c>
      <c r="L294" t="s">
        <v>33</v>
      </c>
      <c r="M294">
        <v>42</v>
      </c>
      <c r="N294" t="s">
        <v>34</v>
      </c>
      <c r="O294">
        <v>2</v>
      </c>
      <c r="P294">
        <v>2</v>
      </c>
      <c r="Q294">
        <v>1</v>
      </c>
      <c r="R294">
        <v>5</v>
      </c>
      <c r="S294">
        <v>0</v>
      </c>
      <c r="T294">
        <v>5</v>
      </c>
      <c r="U294">
        <v>25</v>
      </c>
      <c r="V294" t="s">
        <v>1470</v>
      </c>
      <c r="W294" t="s">
        <v>34</v>
      </c>
      <c r="Y294" s="2" t="str">
        <f>IF(EmployeeData[[#This Row],[Age]]&lt;25,"Under 25",IF(EmployeeData[[#This Row],[Age]]&lt;=34,"25-34",IF(EmployeeData[[#This Row],[Age]]&lt;=44,"35-44",IF(EmployeeData[[#This Row],[Age]]&lt;=54,"45-54","55+"))))</f>
        <v>25-34</v>
      </c>
      <c r="Z294">
        <f ca="1">DATEDIF(EmployeeData[[#This Row],[DateOfJoining]],IF(AND(EmployeeData[[#This Row],[Attrition]]="Yes",EmployeeData[[#This Row],[LastWorkingDate]]&lt;&gt;""),EmployeeData[[#This Row],[LastWorkingDate]],TODAY()),"Y")</f>
        <v>4</v>
      </c>
      <c r="AA294" t="str">
        <f>IF(EmployeeData[[#This Row],[MonthlyIncome]]&lt;30000,"Low",IF(EmployeeData[[#This Row],[MonthlyIncome]]&lt;=60000,"Medium",IF(EmployeeData[[#This Row],[MonthlyIncome]]&lt;=100000,"High","Very High")))</f>
        <v>High</v>
      </c>
      <c r="AB294">
        <f>IF(EmployeeData[[#This Row],[Attrition]]="Yes",1,0)</f>
        <v>0</v>
      </c>
      <c r="AC294" t="str">
        <f ca="1">IF(EmployeeData[[#This Row],[Tenure Years]]&lt;1,"Less than 1 Year",IF(EmployeeData[[#This Row],[Tenure Years]]&lt;=3,"1-3 Years",IF(EmployeeData[[#This Row],[Tenure Years]]&lt;=5,"4-5 Years",IF(EmployeeData[[#This Row],[Tenure Years]]&lt;=10,"6-10 Years","More than 10 Years"))))</f>
        <v>4-5 Years</v>
      </c>
      <c r="AD294">
        <f>ROUND(AVERAGE(EmployeeData[[#This Row],[JobSatisfaction]],EmployeeData[[#This Row],[EnvironmentSatisfaction]],EmployeeData[[#This Row],[WorkLifeBalance]]),2)</f>
        <v>1.67</v>
      </c>
      <c r="AE294" t="str">
        <f>IF(EmployeeData[[#This Row],[Satisfaction Score]]&lt;2,"Low",IF(EmployeeData[[#This Row],[Satisfaction Score]]&lt;3,"Medium","High"))</f>
        <v>Low</v>
      </c>
    </row>
    <row r="295" spans="1:31" x14ac:dyDescent="0.25">
      <c r="A295" t="s">
        <v>1471</v>
      </c>
      <c r="B295" t="s">
        <v>1472</v>
      </c>
      <c r="C295" t="s">
        <v>5459</v>
      </c>
      <c r="D295">
        <v>37</v>
      </c>
      <c r="E295" t="s">
        <v>27</v>
      </c>
      <c r="F295" t="s">
        <v>59</v>
      </c>
      <c r="G295" s="1">
        <v>45604</v>
      </c>
      <c r="H295">
        <v>45950</v>
      </c>
      <c r="I295" t="s">
        <v>52</v>
      </c>
      <c r="J295" t="s">
        <v>143</v>
      </c>
      <c r="K295" t="s">
        <v>113</v>
      </c>
      <c r="L295" t="s">
        <v>43</v>
      </c>
      <c r="M295">
        <v>21</v>
      </c>
      <c r="N295" t="s">
        <v>34</v>
      </c>
      <c r="O295">
        <v>2</v>
      </c>
      <c r="P295">
        <v>1</v>
      </c>
      <c r="Q295">
        <v>2</v>
      </c>
      <c r="R295">
        <v>3</v>
      </c>
      <c r="S295">
        <v>3</v>
      </c>
      <c r="T295">
        <v>4</v>
      </c>
      <c r="U295">
        <v>18</v>
      </c>
      <c r="V295" t="s">
        <v>1474</v>
      </c>
      <c r="W295" t="s">
        <v>45</v>
      </c>
      <c r="X295" s="1">
        <v>45975</v>
      </c>
      <c r="Y295" s="2" t="str">
        <f>IF(EmployeeData[[#This Row],[Age]]&lt;25,"Under 25",IF(EmployeeData[[#This Row],[Age]]&lt;=34,"25-34",IF(EmployeeData[[#This Row],[Age]]&lt;=44,"35-44",IF(EmployeeData[[#This Row],[Age]]&lt;=54,"45-54","55+"))))</f>
        <v>35-44</v>
      </c>
      <c r="Z295">
        <f ca="1">DATEDIF(EmployeeData[[#This Row],[DateOfJoining]],IF(AND(EmployeeData[[#This Row],[Attrition]]="Yes",EmployeeData[[#This Row],[LastWorkingDate]]&lt;&gt;""),EmployeeData[[#This Row],[LastWorkingDate]],TODAY()),"Y")</f>
        <v>1</v>
      </c>
      <c r="AA295" t="str">
        <f>IF(EmployeeData[[#This Row],[MonthlyIncome]]&lt;30000,"Low",IF(EmployeeData[[#This Row],[MonthlyIncome]]&lt;=60000,"Medium",IF(EmployeeData[[#This Row],[MonthlyIncome]]&lt;=100000,"High","Very High")))</f>
        <v>Medium</v>
      </c>
      <c r="AB295">
        <f>IF(EmployeeData[[#This Row],[Attrition]]="Yes",1,0)</f>
        <v>1</v>
      </c>
      <c r="AC295" t="str">
        <f ca="1">IF(EmployeeData[[#This Row],[Tenure Years]]&lt;1,"Less than 1 Year",IF(EmployeeData[[#This Row],[Tenure Years]]&lt;=3,"1-3 Years",IF(EmployeeData[[#This Row],[Tenure Years]]&lt;=5,"4-5 Years",IF(EmployeeData[[#This Row],[Tenure Years]]&lt;=10,"6-10 Years","More than 10 Years"))))</f>
        <v>1-3 Years</v>
      </c>
      <c r="AD295">
        <f>ROUND(AVERAGE(EmployeeData[[#This Row],[JobSatisfaction]],EmployeeData[[#This Row],[EnvironmentSatisfaction]],EmployeeData[[#This Row],[WorkLifeBalance]]),2)</f>
        <v>1.67</v>
      </c>
      <c r="AE295" t="str">
        <f>IF(EmployeeData[[#This Row],[Satisfaction Score]]&lt;2,"Low",IF(EmployeeData[[#This Row],[Satisfaction Score]]&lt;3,"Medium","High"))</f>
        <v>Low</v>
      </c>
    </row>
    <row r="296" spans="1:31" x14ac:dyDescent="0.25">
      <c r="A296" t="s">
        <v>1476</v>
      </c>
      <c r="B296" t="s">
        <v>1477</v>
      </c>
      <c r="C296" t="s">
        <v>49</v>
      </c>
      <c r="D296">
        <v>51</v>
      </c>
      <c r="E296" t="s">
        <v>128</v>
      </c>
      <c r="F296" t="s">
        <v>271</v>
      </c>
      <c r="G296" s="1">
        <v>41958</v>
      </c>
      <c r="H296">
        <v>43985</v>
      </c>
      <c r="I296" t="s">
        <v>42</v>
      </c>
      <c r="J296" t="s">
        <v>61</v>
      </c>
      <c r="K296" t="s">
        <v>54</v>
      </c>
      <c r="L296" t="s">
        <v>62</v>
      </c>
      <c r="M296">
        <v>11</v>
      </c>
      <c r="N296" t="s">
        <v>34</v>
      </c>
      <c r="O296">
        <v>4</v>
      </c>
      <c r="P296">
        <v>1</v>
      </c>
      <c r="Q296">
        <v>2</v>
      </c>
      <c r="R296">
        <v>1</v>
      </c>
      <c r="S296">
        <v>1</v>
      </c>
      <c r="T296">
        <v>7</v>
      </c>
      <c r="U296">
        <v>20</v>
      </c>
      <c r="V296" t="s">
        <v>1479</v>
      </c>
      <c r="W296" t="s">
        <v>34</v>
      </c>
      <c r="Y296" s="2" t="str">
        <f>IF(EmployeeData[[#This Row],[Age]]&lt;25,"Under 25",IF(EmployeeData[[#This Row],[Age]]&lt;=34,"25-34",IF(EmployeeData[[#This Row],[Age]]&lt;=44,"35-44",IF(EmployeeData[[#This Row],[Age]]&lt;=54,"45-54","55+"))))</f>
        <v>45-54</v>
      </c>
      <c r="Z296">
        <f ca="1">DATEDIF(EmployeeData[[#This Row],[DateOfJoining]],IF(AND(EmployeeData[[#This Row],[Attrition]]="Yes",EmployeeData[[#This Row],[LastWorkingDate]]&lt;&gt;""),EmployeeData[[#This Row],[LastWorkingDate]],TODAY()),"Y")</f>
        <v>11</v>
      </c>
      <c r="AA296" t="str">
        <f>IF(EmployeeData[[#This Row],[MonthlyIncome]]&lt;30000,"Low",IF(EmployeeData[[#This Row],[MonthlyIncome]]&lt;=60000,"Medium",IF(EmployeeData[[#This Row],[MonthlyIncome]]&lt;=100000,"High","Very High")))</f>
        <v>Medium</v>
      </c>
      <c r="AB296">
        <f>IF(EmployeeData[[#This Row],[Attrition]]="Yes",1,0)</f>
        <v>0</v>
      </c>
      <c r="AC296" t="str">
        <f ca="1">IF(EmployeeData[[#This Row],[Tenure Years]]&lt;1,"Less than 1 Year",IF(EmployeeData[[#This Row],[Tenure Years]]&lt;=3,"1-3 Years",IF(EmployeeData[[#This Row],[Tenure Years]]&lt;=5,"4-5 Years",IF(EmployeeData[[#This Row],[Tenure Years]]&lt;=10,"6-10 Years","More than 10 Years"))))</f>
        <v>More than 10 Years</v>
      </c>
      <c r="AD296">
        <f>ROUND(AVERAGE(EmployeeData[[#This Row],[JobSatisfaction]],EmployeeData[[#This Row],[EnvironmentSatisfaction]],EmployeeData[[#This Row],[WorkLifeBalance]]),2)</f>
        <v>2.33</v>
      </c>
      <c r="AE296" t="str">
        <f>IF(EmployeeData[[#This Row],[Satisfaction Score]]&lt;2,"Low",IF(EmployeeData[[#This Row],[Satisfaction Score]]&lt;3,"Medium","High"))</f>
        <v>Medium</v>
      </c>
    </row>
    <row r="297" spans="1:31" x14ac:dyDescent="0.25">
      <c r="A297" t="s">
        <v>1480</v>
      </c>
      <c r="B297" t="s">
        <v>1481</v>
      </c>
      <c r="C297" t="s">
        <v>58</v>
      </c>
      <c r="D297">
        <v>34</v>
      </c>
      <c r="E297" t="s">
        <v>412</v>
      </c>
      <c r="F297" t="s">
        <v>828</v>
      </c>
      <c r="G297" s="1">
        <v>42163</v>
      </c>
      <c r="H297">
        <v>55921</v>
      </c>
      <c r="I297" t="s">
        <v>30</v>
      </c>
      <c r="J297" t="s">
        <v>143</v>
      </c>
      <c r="K297" t="s">
        <v>77</v>
      </c>
      <c r="L297" t="s">
        <v>43</v>
      </c>
      <c r="M297">
        <v>6</v>
      </c>
      <c r="N297" t="s">
        <v>34</v>
      </c>
      <c r="O297">
        <v>4</v>
      </c>
      <c r="P297">
        <v>3</v>
      </c>
      <c r="Q297">
        <v>1</v>
      </c>
      <c r="R297">
        <v>4</v>
      </c>
      <c r="S297">
        <v>5</v>
      </c>
      <c r="T297">
        <v>5</v>
      </c>
      <c r="U297">
        <v>14</v>
      </c>
      <c r="V297" t="s">
        <v>1484</v>
      </c>
      <c r="W297" t="s">
        <v>34</v>
      </c>
      <c r="Y297" s="2" t="str">
        <f>IF(EmployeeData[[#This Row],[Age]]&lt;25,"Under 25",IF(EmployeeData[[#This Row],[Age]]&lt;=34,"25-34",IF(EmployeeData[[#This Row],[Age]]&lt;=44,"35-44",IF(EmployeeData[[#This Row],[Age]]&lt;=54,"45-54","55+"))))</f>
        <v>25-34</v>
      </c>
      <c r="Z297">
        <f ca="1">DATEDIF(EmployeeData[[#This Row],[DateOfJoining]],IF(AND(EmployeeData[[#This Row],[Attrition]]="Yes",EmployeeData[[#This Row],[LastWorkingDate]]&lt;&gt;""),EmployeeData[[#This Row],[LastWorkingDate]],TODAY()),"Y")</f>
        <v>11</v>
      </c>
      <c r="AA297" t="str">
        <f>IF(EmployeeData[[#This Row],[MonthlyIncome]]&lt;30000,"Low",IF(EmployeeData[[#This Row],[MonthlyIncome]]&lt;=60000,"Medium",IF(EmployeeData[[#This Row],[MonthlyIncome]]&lt;=100000,"High","Very High")))</f>
        <v>Medium</v>
      </c>
      <c r="AB297">
        <f>IF(EmployeeData[[#This Row],[Attrition]]="Yes",1,0)</f>
        <v>0</v>
      </c>
      <c r="AC297" t="str">
        <f ca="1">IF(EmployeeData[[#This Row],[Tenure Years]]&lt;1,"Less than 1 Year",IF(EmployeeData[[#This Row],[Tenure Years]]&lt;=3,"1-3 Years",IF(EmployeeData[[#This Row],[Tenure Years]]&lt;=5,"4-5 Years",IF(EmployeeData[[#This Row],[Tenure Years]]&lt;=10,"6-10 Years","More than 10 Years"))))</f>
        <v>More than 10 Years</v>
      </c>
      <c r="AD297">
        <f>ROUND(AVERAGE(EmployeeData[[#This Row],[JobSatisfaction]],EmployeeData[[#This Row],[EnvironmentSatisfaction]],EmployeeData[[#This Row],[WorkLifeBalance]]),2)</f>
        <v>2.67</v>
      </c>
      <c r="AE297" t="str">
        <f>IF(EmployeeData[[#This Row],[Satisfaction Score]]&lt;2,"Low",IF(EmployeeData[[#This Row],[Satisfaction Score]]&lt;3,"Medium","High"))</f>
        <v>Medium</v>
      </c>
    </row>
    <row r="298" spans="1:31" x14ac:dyDescent="0.25">
      <c r="A298" t="s">
        <v>1485</v>
      </c>
      <c r="B298" t="s">
        <v>1486</v>
      </c>
      <c r="C298" t="s">
        <v>58</v>
      </c>
      <c r="D298">
        <v>39</v>
      </c>
      <c r="E298" t="s">
        <v>197</v>
      </c>
      <c r="F298" t="s">
        <v>235</v>
      </c>
      <c r="G298" s="1">
        <v>44043</v>
      </c>
      <c r="H298">
        <v>60628</v>
      </c>
      <c r="I298" t="s">
        <v>42</v>
      </c>
      <c r="J298" t="s">
        <v>31</v>
      </c>
      <c r="K298" t="s">
        <v>83</v>
      </c>
      <c r="L298" t="s">
        <v>33</v>
      </c>
      <c r="M298">
        <v>36</v>
      </c>
      <c r="N298" t="s">
        <v>34</v>
      </c>
      <c r="O298">
        <v>4</v>
      </c>
      <c r="P298">
        <v>4</v>
      </c>
      <c r="Q298">
        <v>2</v>
      </c>
      <c r="R298">
        <v>3</v>
      </c>
      <c r="S298">
        <v>6</v>
      </c>
      <c r="T298">
        <v>1</v>
      </c>
      <c r="U298">
        <v>13</v>
      </c>
      <c r="V298" t="s">
        <v>1488</v>
      </c>
      <c r="W298" t="s">
        <v>34</v>
      </c>
      <c r="Y298" s="2" t="str">
        <f>IF(EmployeeData[[#This Row],[Age]]&lt;25,"Under 25",IF(EmployeeData[[#This Row],[Age]]&lt;=34,"25-34",IF(EmployeeData[[#This Row],[Age]]&lt;=44,"35-44",IF(EmployeeData[[#This Row],[Age]]&lt;=54,"45-54","55+"))))</f>
        <v>35-44</v>
      </c>
      <c r="Z298">
        <f ca="1">DATEDIF(EmployeeData[[#This Row],[DateOfJoining]],IF(AND(EmployeeData[[#This Row],[Attrition]]="Yes",EmployeeData[[#This Row],[LastWorkingDate]]&lt;&gt;""),EmployeeData[[#This Row],[LastWorkingDate]],TODAY()),"Y")</f>
        <v>6</v>
      </c>
      <c r="AA298" t="str">
        <f>IF(EmployeeData[[#This Row],[MonthlyIncome]]&lt;30000,"Low",IF(EmployeeData[[#This Row],[MonthlyIncome]]&lt;=60000,"Medium",IF(EmployeeData[[#This Row],[MonthlyIncome]]&lt;=100000,"High","Very High")))</f>
        <v>High</v>
      </c>
      <c r="AB298">
        <f>IF(EmployeeData[[#This Row],[Attrition]]="Yes",1,0)</f>
        <v>0</v>
      </c>
      <c r="AC298" t="str">
        <f ca="1">IF(EmployeeData[[#This Row],[Tenure Years]]&lt;1,"Less than 1 Year",IF(EmployeeData[[#This Row],[Tenure Years]]&lt;=3,"1-3 Years",IF(EmployeeData[[#This Row],[Tenure Years]]&lt;=5,"4-5 Years",IF(EmployeeData[[#This Row],[Tenure Years]]&lt;=10,"6-10 Years","More than 10 Years"))))</f>
        <v>6-10 Years</v>
      </c>
      <c r="AD298">
        <f>ROUND(AVERAGE(EmployeeData[[#This Row],[JobSatisfaction]],EmployeeData[[#This Row],[EnvironmentSatisfaction]],EmployeeData[[#This Row],[WorkLifeBalance]]),2)</f>
        <v>3.33</v>
      </c>
      <c r="AE298" t="str">
        <f>IF(EmployeeData[[#This Row],[Satisfaction Score]]&lt;2,"Low",IF(EmployeeData[[#This Row],[Satisfaction Score]]&lt;3,"Medium","High"))</f>
        <v>High</v>
      </c>
    </row>
    <row r="299" spans="1:31" x14ac:dyDescent="0.25">
      <c r="A299" t="s">
        <v>1489</v>
      </c>
      <c r="B299" t="s">
        <v>1490</v>
      </c>
      <c r="C299" t="s">
        <v>58</v>
      </c>
      <c r="D299">
        <v>31</v>
      </c>
      <c r="E299" t="s">
        <v>94</v>
      </c>
      <c r="F299" t="s">
        <v>639</v>
      </c>
      <c r="G299" s="1">
        <v>45776</v>
      </c>
      <c r="H299">
        <v>128612</v>
      </c>
      <c r="I299" t="s">
        <v>42</v>
      </c>
      <c r="J299" t="s">
        <v>61</v>
      </c>
      <c r="K299" t="s">
        <v>54</v>
      </c>
      <c r="L299" t="s">
        <v>33</v>
      </c>
      <c r="M299">
        <v>45</v>
      </c>
      <c r="N299" t="s">
        <v>34</v>
      </c>
      <c r="O299">
        <v>4</v>
      </c>
      <c r="P299">
        <v>2</v>
      </c>
      <c r="Q299">
        <v>3</v>
      </c>
      <c r="R299">
        <v>4</v>
      </c>
      <c r="S299">
        <v>1</v>
      </c>
      <c r="T299">
        <v>8</v>
      </c>
      <c r="U299">
        <v>20</v>
      </c>
      <c r="V299" t="s">
        <v>1492</v>
      </c>
      <c r="W299" t="s">
        <v>34</v>
      </c>
      <c r="Y299" s="2" t="str">
        <f>IF(EmployeeData[[#This Row],[Age]]&lt;25,"Under 25",IF(EmployeeData[[#This Row],[Age]]&lt;=34,"25-34",IF(EmployeeData[[#This Row],[Age]]&lt;=44,"35-44",IF(EmployeeData[[#This Row],[Age]]&lt;=54,"45-54","55+"))))</f>
        <v>25-34</v>
      </c>
      <c r="Z299">
        <f ca="1">DATEDIF(EmployeeData[[#This Row],[DateOfJoining]],IF(AND(EmployeeData[[#This Row],[Attrition]]="Yes",EmployeeData[[#This Row],[LastWorkingDate]]&lt;&gt;""),EmployeeData[[#This Row],[LastWorkingDate]],TODAY()),"Y")</f>
        <v>1</v>
      </c>
      <c r="AA299" t="str">
        <f>IF(EmployeeData[[#This Row],[MonthlyIncome]]&lt;30000,"Low",IF(EmployeeData[[#This Row],[MonthlyIncome]]&lt;=60000,"Medium",IF(EmployeeData[[#This Row],[MonthlyIncome]]&lt;=100000,"High","Very High")))</f>
        <v>Very High</v>
      </c>
      <c r="AB299">
        <f>IF(EmployeeData[[#This Row],[Attrition]]="Yes",1,0)</f>
        <v>0</v>
      </c>
      <c r="AC299" t="str">
        <f ca="1">IF(EmployeeData[[#This Row],[Tenure Years]]&lt;1,"Less than 1 Year",IF(EmployeeData[[#This Row],[Tenure Years]]&lt;=3,"1-3 Years",IF(EmployeeData[[#This Row],[Tenure Years]]&lt;=5,"4-5 Years",IF(EmployeeData[[#This Row],[Tenure Years]]&lt;=10,"6-10 Years","More than 10 Years"))))</f>
        <v>1-3 Years</v>
      </c>
      <c r="AD299">
        <f>ROUND(AVERAGE(EmployeeData[[#This Row],[JobSatisfaction]],EmployeeData[[#This Row],[EnvironmentSatisfaction]],EmployeeData[[#This Row],[WorkLifeBalance]]),2)</f>
        <v>3</v>
      </c>
      <c r="AE299" t="str">
        <f>IF(EmployeeData[[#This Row],[Satisfaction Score]]&lt;2,"Low",IF(EmployeeData[[#This Row],[Satisfaction Score]]&lt;3,"Medium","High"))</f>
        <v>High</v>
      </c>
    </row>
    <row r="300" spans="1:31" x14ac:dyDescent="0.25">
      <c r="A300" t="s">
        <v>1493</v>
      </c>
      <c r="B300" t="s">
        <v>1494</v>
      </c>
      <c r="C300" t="s">
        <v>58</v>
      </c>
      <c r="D300">
        <v>32</v>
      </c>
      <c r="E300" t="s">
        <v>5461</v>
      </c>
      <c r="F300" t="s">
        <v>89</v>
      </c>
      <c r="G300" s="1">
        <v>42862</v>
      </c>
      <c r="H300">
        <v>129368</v>
      </c>
      <c r="I300" t="s">
        <v>42</v>
      </c>
      <c r="J300" t="s">
        <v>31</v>
      </c>
      <c r="K300" t="s">
        <v>167</v>
      </c>
      <c r="L300" t="s">
        <v>43</v>
      </c>
      <c r="M300">
        <v>45</v>
      </c>
      <c r="N300" t="s">
        <v>34</v>
      </c>
      <c r="O300">
        <v>1</v>
      </c>
      <c r="P300">
        <v>2</v>
      </c>
      <c r="Q300">
        <v>2</v>
      </c>
      <c r="R300">
        <v>3</v>
      </c>
      <c r="S300">
        <v>0</v>
      </c>
      <c r="T300">
        <v>2</v>
      </c>
      <c r="U300">
        <v>16</v>
      </c>
      <c r="V300" t="s">
        <v>1497</v>
      </c>
      <c r="W300" t="s">
        <v>45</v>
      </c>
      <c r="X300" s="1">
        <v>45400</v>
      </c>
      <c r="Y300" s="2" t="str">
        <f>IF(EmployeeData[[#This Row],[Age]]&lt;25,"Under 25",IF(EmployeeData[[#This Row],[Age]]&lt;=34,"25-34",IF(EmployeeData[[#This Row],[Age]]&lt;=44,"35-44",IF(EmployeeData[[#This Row],[Age]]&lt;=54,"45-54","55+"))))</f>
        <v>25-34</v>
      </c>
      <c r="Z300">
        <f ca="1">DATEDIF(EmployeeData[[#This Row],[DateOfJoining]],IF(AND(EmployeeData[[#This Row],[Attrition]]="Yes",EmployeeData[[#This Row],[LastWorkingDate]]&lt;&gt;""),EmployeeData[[#This Row],[LastWorkingDate]],TODAY()),"Y")</f>
        <v>6</v>
      </c>
      <c r="AA300" t="str">
        <f>IF(EmployeeData[[#This Row],[MonthlyIncome]]&lt;30000,"Low",IF(EmployeeData[[#This Row],[MonthlyIncome]]&lt;=60000,"Medium",IF(EmployeeData[[#This Row],[MonthlyIncome]]&lt;=100000,"High","Very High")))</f>
        <v>Very High</v>
      </c>
      <c r="AB300">
        <f>IF(EmployeeData[[#This Row],[Attrition]]="Yes",1,0)</f>
        <v>1</v>
      </c>
      <c r="AC300" t="str">
        <f ca="1">IF(EmployeeData[[#This Row],[Tenure Years]]&lt;1,"Less than 1 Year",IF(EmployeeData[[#This Row],[Tenure Years]]&lt;=3,"1-3 Years",IF(EmployeeData[[#This Row],[Tenure Years]]&lt;=5,"4-5 Years",IF(EmployeeData[[#This Row],[Tenure Years]]&lt;=10,"6-10 Years","More than 10 Years"))))</f>
        <v>6-10 Years</v>
      </c>
      <c r="AD300">
        <f>ROUND(AVERAGE(EmployeeData[[#This Row],[JobSatisfaction]],EmployeeData[[#This Row],[EnvironmentSatisfaction]],EmployeeData[[#This Row],[WorkLifeBalance]]),2)</f>
        <v>1.67</v>
      </c>
      <c r="AE300" t="str">
        <f>IF(EmployeeData[[#This Row],[Satisfaction Score]]&lt;2,"Low",IF(EmployeeData[[#This Row],[Satisfaction Score]]&lt;3,"Medium","High"))</f>
        <v>Low</v>
      </c>
    </row>
    <row r="301" spans="1:31" x14ac:dyDescent="0.25">
      <c r="A301" t="s">
        <v>1499</v>
      </c>
      <c r="B301" t="s">
        <v>1500</v>
      </c>
      <c r="C301" t="s">
        <v>49</v>
      </c>
      <c r="D301">
        <v>42</v>
      </c>
      <c r="E301" t="s">
        <v>197</v>
      </c>
      <c r="F301" t="s">
        <v>573</v>
      </c>
      <c r="G301" s="1">
        <v>46146</v>
      </c>
      <c r="H301">
        <v>101263</v>
      </c>
      <c r="I301" t="s">
        <v>52</v>
      </c>
      <c r="J301" t="s">
        <v>31</v>
      </c>
      <c r="K301" t="s">
        <v>54</v>
      </c>
      <c r="L301" t="s">
        <v>33</v>
      </c>
      <c r="M301">
        <v>33</v>
      </c>
      <c r="N301" t="s">
        <v>34</v>
      </c>
      <c r="O301">
        <v>3</v>
      </c>
      <c r="P301">
        <v>1</v>
      </c>
      <c r="Q301">
        <v>1</v>
      </c>
      <c r="R301">
        <v>3</v>
      </c>
      <c r="S301">
        <v>4</v>
      </c>
      <c r="T301">
        <v>0</v>
      </c>
      <c r="U301">
        <v>17</v>
      </c>
      <c r="V301" t="s">
        <v>1502</v>
      </c>
      <c r="W301" t="s">
        <v>45</v>
      </c>
      <c r="X301" s="1">
        <v>46239</v>
      </c>
      <c r="Y301" s="2" t="str">
        <f>IF(EmployeeData[[#This Row],[Age]]&lt;25,"Under 25",IF(EmployeeData[[#This Row],[Age]]&lt;=34,"25-34",IF(EmployeeData[[#This Row],[Age]]&lt;=44,"35-44",IF(EmployeeData[[#This Row],[Age]]&lt;=54,"45-54","55+"))))</f>
        <v>35-44</v>
      </c>
      <c r="Z301">
        <f ca="1">DATEDIF(EmployeeData[[#This Row],[DateOfJoining]],IF(AND(EmployeeData[[#This Row],[Attrition]]="Yes",EmployeeData[[#This Row],[LastWorkingDate]]&lt;&gt;""),EmployeeData[[#This Row],[LastWorkingDate]],TODAY()),"Y")</f>
        <v>0</v>
      </c>
      <c r="AA301" t="str">
        <f>IF(EmployeeData[[#This Row],[MonthlyIncome]]&lt;30000,"Low",IF(EmployeeData[[#This Row],[MonthlyIncome]]&lt;=60000,"Medium",IF(EmployeeData[[#This Row],[MonthlyIncome]]&lt;=100000,"High","Very High")))</f>
        <v>Very High</v>
      </c>
      <c r="AB301">
        <f>IF(EmployeeData[[#This Row],[Attrition]]="Yes",1,0)</f>
        <v>1</v>
      </c>
      <c r="AC301" t="str">
        <f ca="1">IF(EmployeeData[[#This Row],[Tenure Years]]&lt;1,"Less than 1 Year",IF(EmployeeData[[#This Row],[Tenure Years]]&lt;=3,"1-3 Years",IF(EmployeeData[[#This Row],[Tenure Years]]&lt;=5,"4-5 Years",IF(EmployeeData[[#This Row],[Tenure Years]]&lt;=10,"6-10 Years","More than 10 Years"))))</f>
        <v>Less than 1 Year</v>
      </c>
      <c r="AD301">
        <f>ROUND(AVERAGE(EmployeeData[[#This Row],[JobSatisfaction]],EmployeeData[[#This Row],[EnvironmentSatisfaction]],EmployeeData[[#This Row],[WorkLifeBalance]]),2)</f>
        <v>1.67</v>
      </c>
      <c r="AE301" t="str">
        <f>IF(EmployeeData[[#This Row],[Satisfaction Score]]&lt;2,"Low",IF(EmployeeData[[#This Row],[Satisfaction Score]]&lt;3,"Medium","High"))</f>
        <v>Low</v>
      </c>
    </row>
    <row r="302" spans="1:31" x14ac:dyDescent="0.25">
      <c r="A302" t="s">
        <v>1504</v>
      </c>
      <c r="B302" t="s">
        <v>1505</v>
      </c>
      <c r="C302" t="s">
        <v>49</v>
      </c>
      <c r="D302">
        <v>35</v>
      </c>
      <c r="E302" t="s">
        <v>128</v>
      </c>
      <c r="F302" t="s">
        <v>255</v>
      </c>
      <c r="G302" s="1">
        <v>44274</v>
      </c>
      <c r="H302">
        <v>98852</v>
      </c>
      <c r="I302" t="s">
        <v>52</v>
      </c>
      <c r="J302" t="s">
        <v>31</v>
      </c>
      <c r="K302" t="s">
        <v>32</v>
      </c>
      <c r="L302" t="s">
        <v>62</v>
      </c>
      <c r="M302">
        <v>20</v>
      </c>
      <c r="N302" t="s">
        <v>45</v>
      </c>
      <c r="O302">
        <v>2</v>
      </c>
      <c r="P302">
        <v>4</v>
      </c>
      <c r="Q302">
        <v>3</v>
      </c>
      <c r="R302">
        <v>2</v>
      </c>
      <c r="S302">
        <v>3</v>
      </c>
      <c r="T302">
        <v>4</v>
      </c>
      <c r="U302">
        <v>17</v>
      </c>
      <c r="V302" t="s">
        <v>1507</v>
      </c>
      <c r="W302" t="s">
        <v>45</v>
      </c>
      <c r="X302" s="1">
        <v>44996</v>
      </c>
      <c r="Y302" s="2" t="str">
        <f>IF(EmployeeData[[#This Row],[Age]]&lt;25,"Under 25",IF(EmployeeData[[#This Row],[Age]]&lt;=34,"25-34",IF(EmployeeData[[#This Row],[Age]]&lt;=44,"35-44",IF(EmployeeData[[#This Row],[Age]]&lt;=54,"45-54","55+"))))</f>
        <v>35-44</v>
      </c>
      <c r="Z302">
        <f ca="1">DATEDIF(EmployeeData[[#This Row],[DateOfJoining]],IF(AND(EmployeeData[[#This Row],[Attrition]]="Yes",EmployeeData[[#This Row],[LastWorkingDate]]&lt;&gt;""),EmployeeData[[#This Row],[LastWorkingDate]],TODAY()),"Y")</f>
        <v>1</v>
      </c>
      <c r="AA302" t="str">
        <f>IF(EmployeeData[[#This Row],[MonthlyIncome]]&lt;30000,"Low",IF(EmployeeData[[#This Row],[MonthlyIncome]]&lt;=60000,"Medium",IF(EmployeeData[[#This Row],[MonthlyIncome]]&lt;=100000,"High","Very High")))</f>
        <v>High</v>
      </c>
      <c r="AB302">
        <f>IF(EmployeeData[[#This Row],[Attrition]]="Yes",1,0)</f>
        <v>1</v>
      </c>
      <c r="AC302" t="str">
        <f ca="1">IF(EmployeeData[[#This Row],[Tenure Years]]&lt;1,"Less than 1 Year",IF(EmployeeData[[#This Row],[Tenure Years]]&lt;=3,"1-3 Years",IF(EmployeeData[[#This Row],[Tenure Years]]&lt;=5,"4-5 Years",IF(EmployeeData[[#This Row],[Tenure Years]]&lt;=10,"6-10 Years","More than 10 Years"))))</f>
        <v>1-3 Years</v>
      </c>
      <c r="AD302">
        <f>ROUND(AVERAGE(EmployeeData[[#This Row],[JobSatisfaction]],EmployeeData[[#This Row],[EnvironmentSatisfaction]],EmployeeData[[#This Row],[WorkLifeBalance]]),2)</f>
        <v>3</v>
      </c>
      <c r="AE302" t="str">
        <f>IF(EmployeeData[[#This Row],[Satisfaction Score]]&lt;2,"Low",IF(EmployeeData[[#This Row],[Satisfaction Score]]&lt;3,"Medium","High"))</f>
        <v>High</v>
      </c>
    </row>
    <row r="303" spans="1:31" x14ac:dyDescent="0.25">
      <c r="A303" t="s">
        <v>1509</v>
      </c>
      <c r="B303" t="s">
        <v>1510</v>
      </c>
      <c r="C303" t="s">
        <v>49</v>
      </c>
      <c r="D303">
        <v>27</v>
      </c>
      <c r="E303" t="s">
        <v>128</v>
      </c>
      <c r="F303" t="s">
        <v>123</v>
      </c>
      <c r="G303" s="1">
        <v>41618</v>
      </c>
      <c r="H303">
        <v>71864</v>
      </c>
      <c r="I303" t="s">
        <v>30</v>
      </c>
      <c r="J303" t="s">
        <v>31</v>
      </c>
      <c r="K303" t="s">
        <v>113</v>
      </c>
      <c r="L303" t="s">
        <v>62</v>
      </c>
      <c r="M303">
        <v>13</v>
      </c>
      <c r="N303" t="s">
        <v>34</v>
      </c>
      <c r="O303">
        <v>4</v>
      </c>
      <c r="P303">
        <v>4</v>
      </c>
      <c r="Q303">
        <v>4</v>
      </c>
      <c r="R303">
        <v>4</v>
      </c>
      <c r="S303">
        <v>3</v>
      </c>
      <c r="T303">
        <v>3</v>
      </c>
      <c r="U303">
        <v>19</v>
      </c>
      <c r="V303" t="s">
        <v>1512</v>
      </c>
      <c r="W303" t="s">
        <v>34</v>
      </c>
      <c r="Y303" s="2" t="str">
        <f>IF(EmployeeData[[#This Row],[Age]]&lt;25,"Under 25",IF(EmployeeData[[#This Row],[Age]]&lt;=34,"25-34",IF(EmployeeData[[#This Row],[Age]]&lt;=44,"35-44",IF(EmployeeData[[#This Row],[Age]]&lt;=54,"45-54","55+"))))</f>
        <v>25-34</v>
      </c>
      <c r="Z303">
        <f ca="1">DATEDIF(EmployeeData[[#This Row],[DateOfJoining]],IF(AND(EmployeeData[[#This Row],[Attrition]]="Yes",EmployeeData[[#This Row],[LastWorkingDate]]&lt;&gt;""),EmployeeData[[#This Row],[LastWorkingDate]],TODAY()),"Y")</f>
        <v>12</v>
      </c>
      <c r="AA303" t="str">
        <f>IF(EmployeeData[[#This Row],[MonthlyIncome]]&lt;30000,"Low",IF(EmployeeData[[#This Row],[MonthlyIncome]]&lt;=60000,"Medium",IF(EmployeeData[[#This Row],[MonthlyIncome]]&lt;=100000,"High","Very High")))</f>
        <v>High</v>
      </c>
      <c r="AB303">
        <f>IF(EmployeeData[[#This Row],[Attrition]]="Yes",1,0)</f>
        <v>0</v>
      </c>
      <c r="AC303" t="str">
        <f ca="1">IF(EmployeeData[[#This Row],[Tenure Years]]&lt;1,"Less than 1 Year",IF(EmployeeData[[#This Row],[Tenure Years]]&lt;=3,"1-3 Years",IF(EmployeeData[[#This Row],[Tenure Years]]&lt;=5,"4-5 Years",IF(EmployeeData[[#This Row],[Tenure Years]]&lt;=10,"6-10 Years","More than 10 Years"))))</f>
        <v>More than 10 Years</v>
      </c>
      <c r="AD303">
        <f>ROUND(AVERAGE(EmployeeData[[#This Row],[JobSatisfaction]],EmployeeData[[#This Row],[EnvironmentSatisfaction]],EmployeeData[[#This Row],[WorkLifeBalance]]),2)</f>
        <v>4</v>
      </c>
      <c r="AE303" t="str">
        <f>IF(EmployeeData[[#This Row],[Satisfaction Score]]&lt;2,"Low",IF(EmployeeData[[#This Row],[Satisfaction Score]]&lt;3,"Medium","High"))</f>
        <v>High</v>
      </c>
    </row>
    <row r="304" spans="1:31" x14ac:dyDescent="0.25">
      <c r="A304" t="s">
        <v>1513</v>
      </c>
      <c r="B304" t="s">
        <v>1514</v>
      </c>
      <c r="C304" t="s">
        <v>5459</v>
      </c>
      <c r="D304">
        <v>45</v>
      </c>
      <c r="E304" t="s">
        <v>128</v>
      </c>
      <c r="F304" t="s">
        <v>226</v>
      </c>
      <c r="G304" s="1">
        <v>45376</v>
      </c>
      <c r="H304">
        <v>46879</v>
      </c>
      <c r="I304" t="s">
        <v>52</v>
      </c>
      <c r="J304" t="s">
        <v>61</v>
      </c>
      <c r="K304" t="s">
        <v>131</v>
      </c>
      <c r="L304" t="s">
        <v>33</v>
      </c>
      <c r="M304">
        <v>33</v>
      </c>
      <c r="N304" t="s">
        <v>45</v>
      </c>
      <c r="O304">
        <v>3</v>
      </c>
      <c r="P304">
        <v>4</v>
      </c>
      <c r="Q304">
        <v>4</v>
      </c>
      <c r="R304">
        <v>5</v>
      </c>
      <c r="S304">
        <v>5</v>
      </c>
      <c r="T304">
        <v>1</v>
      </c>
      <c r="U304">
        <v>13</v>
      </c>
      <c r="V304" t="s">
        <v>1516</v>
      </c>
      <c r="W304" t="s">
        <v>34</v>
      </c>
      <c r="Y304" s="2" t="str">
        <f>IF(EmployeeData[[#This Row],[Age]]&lt;25,"Under 25",IF(EmployeeData[[#This Row],[Age]]&lt;=34,"25-34",IF(EmployeeData[[#This Row],[Age]]&lt;=44,"35-44",IF(EmployeeData[[#This Row],[Age]]&lt;=54,"45-54","55+"))))</f>
        <v>45-54</v>
      </c>
      <c r="Z304">
        <f ca="1">DATEDIF(EmployeeData[[#This Row],[DateOfJoining]],IF(AND(EmployeeData[[#This Row],[Attrition]]="Yes",EmployeeData[[#This Row],[LastWorkingDate]]&lt;&gt;""),EmployeeData[[#This Row],[LastWorkingDate]],TODAY()),"Y")</f>
        <v>2</v>
      </c>
      <c r="AA304" t="str">
        <f>IF(EmployeeData[[#This Row],[MonthlyIncome]]&lt;30000,"Low",IF(EmployeeData[[#This Row],[MonthlyIncome]]&lt;=60000,"Medium",IF(EmployeeData[[#This Row],[MonthlyIncome]]&lt;=100000,"High","Very High")))</f>
        <v>Medium</v>
      </c>
      <c r="AB304">
        <f>IF(EmployeeData[[#This Row],[Attrition]]="Yes",1,0)</f>
        <v>0</v>
      </c>
      <c r="AC304" t="str">
        <f ca="1">IF(EmployeeData[[#This Row],[Tenure Years]]&lt;1,"Less than 1 Year",IF(EmployeeData[[#This Row],[Tenure Years]]&lt;=3,"1-3 Years",IF(EmployeeData[[#This Row],[Tenure Years]]&lt;=5,"4-5 Years",IF(EmployeeData[[#This Row],[Tenure Years]]&lt;=10,"6-10 Years","More than 10 Years"))))</f>
        <v>1-3 Years</v>
      </c>
      <c r="AD304">
        <f>ROUND(AVERAGE(EmployeeData[[#This Row],[JobSatisfaction]],EmployeeData[[#This Row],[EnvironmentSatisfaction]],EmployeeData[[#This Row],[WorkLifeBalance]]),2)</f>
        <v>3.67</v>
      </c>
      <c r="AE304" t="str">
        <f>IF(EmployeeData[[#This Row],[Satisfaction Score]]&lt;2,"Low",IF(EmployeeData[[#This Row],[Satisfaction Score]]&lt;3,"Medium","High"))</f>
        <v>High</v>
      </c>
    </row>
    <row r="305" spans="1:31" x14ac:dyDescent="0.25">
      <c r="A305" t="s">
        <v>1517</v>
      </c>
      <c r="B305" t="s">
        <v>1518</v>
      </c>
      <c r="C305" t="s">
        <v>58</v>
      </c>
      <c r="D305">
        <v>37</v>
      </c>
      <c r="E305" t="s">
        <v>128</v>
      </c>
      <c r="F305" t="s">
        <v>255</v>
      </c>
      <c r="G305" s="1">
        <v>41418</v>
      </c>
      <c r="H305">
        <v>57841</v>
      </c>
      <c r="I305" t="s">
        <v>52</v>
      </c>
      <c r="J305" t="s">
        <v>61</v>
      </c>
      <c r="K305" t="s">
        <v>32</v>
      </c>
      <c r="L305" t="s">
        <v>62</v>
      </c>
      <c r="M305">
        <v>15</v>
      </c>
      <c r="N305" t="s">
        <v>34</v>
      </c>
      <c r="O305">
        <v>3</v>
      </c>
      <c r="P305">
        <v>3</v>
      </c>
      <c r="Q305">
        <v>3</v>
      </c>
      <c r="R305">
        <v>5</v>
      </c>
      <c r="S305">
        <v>3</v>
      </c>
      <c r="T305">
        <v>4</v>
      </c>
      <c r="U305">
        <v>14</v>
      </c>
      <c r="V305" t="s">
        <v>1521</v>
      </c>
      <c r="W305" t="s">
        <v>34</v>
      </c>
      <c r="Y305" s="2" t="str">
        <f>IF(EmployeeData[[#This Row],[Age]]&lt;25,"Under 25",IF(EmployeeData[[#This Row],[Age]]&lt;=34,"25-34",IF(EmployeeData[[#This Row],[Age]]&lt;=44,"35-44",IF(EmployeeData[[#This Row],[Age]]&lt;=54,"45-54","55+"))))</f>
        <v>35-44</v>
      </c>
      <c r="Z305">
        <f ca="1">DATEDIF(EmployeeData[[#This Row],[DateOfJoining]],IF(AND(EmployeeData[[#This Row],[Attrition]]="Yes",EmployeeData[[#This Row],[LastWorkingDate]]&lt;&gt;""),EmployeeData[[#This Row],[LastWorkingDate]],TODAY()),"Y")</f>
        <v>13</v>
      </c>
      <c r="AA305" t="str">
        <f>IF(EmployeeData[[#This Row],[MonthlyIncome]]&lt;30000,"Low",IF(EmployeeData[[#This Row],[MonthlyIncome]]&lt;=60000,"Medium",IF(EmployeeData[[#This Row],[MonthlyIncome]]&lt;=100000,"High","Very High")))</f>
        <v>Medium</v>
      </c>
      <c r="AB305">
        <f>IF(EmployeeData[[#This Row],[Attrition]]="Yes",1,0)</f>
        <v>0</v>
      </c>
      <c r="AC305" t="str">
        <f ca="1">IF(EmployeeData[[#This Row],[Tenure Years]]&lt;1,"Less than 1 Year",IF(EmployeeData[[#This Row],[Tenure Years]]&lt;=3,"1-3 Years",IF(EmployeeData[[#This Row],[Tenure Years]]&lt;=5,"4-5 Years",IF(EmployeeData[[#This Row],[Tenure Years]]&lt;=10,"6-10 Years","More than 10 Years"))))</f>
        <v>More than 10 Years</v>
      </c>
      <c r="AD305">
        <f>ROUND(AVERAGE(EmployeeData[[#This Row],[JobSatisfaction]],EmployeeData[[#This Row],[EnvironmentSatisfaction]],EmployeeData[[#This Row],[WorkLifeBalance]]),2)</f>
        <v>3</v>
      </c>
      <c r="AE305" t="str">
        <f>IF(EmployeeData[[#This Row],[Satisfaction Score]]&lt;2,"Low",IF(EmployeeData[[#This Row],[Satisfaction Score]]&lt;3,"Medium","High"))</f>
        <v>High</v>
      </c>
    </row>
    <row r="306" spans="1:31" x14ac:dyDescent="0.25">
      <c r="A306" t="s">
        <v>1522</v>
      </c>
      <c r="B306" t="s">
        <v>1523</v>
      </c>
      <c r="C306" t="s">
        <v>5459</v>
      </c>
      <c r="D306">
        <v>28</v>
      </c>
      <c r="E306" t="s">
        <v>412</v>
      </c>
      <c r="F306" t="s">
        <v>1093</v>
      </c>
      <c r="G306" s="1">
        <v>41140</v>
      </c>
      <c r="H306">
        <v>47261</v>
      </c>
      <c r="I306" t="s">
        <v>42</v>
      </c>
      <c r="J306" t="s">
        <v>97</v>
      </c>
      <c r="K306" t="s">
        <v>98</v>
      </c>
      <c r="L306" t="s">
        <v>43</v>
      </c>
      <c r="M306">
        <v>27</v>
      </c>
      <c r="N306" t="s">
        <v>34</v>
      </c>
      <c r="O306">
        <v>4</v>
      </c>
      <c r="P306">
        <v>1</v>
      </c>
      <c r="Q306">
        <v>2</v>
      </c>
      <c r="R306">
        <v>3</v>
      </c>
      <c r="S306">
        <v>6</v>
      </c>
      <c r="T306">
        <v>5</v>
      </c>
      <c r="U306">
        <v>18</v>
      </c>
      <c r="V306" t="s">
        <v>1525</v>
      </c>
      <c r="W306" t="s">
        <v>34</v>
      </c>
      <c r="Y306" s="2" t="str">
        <f>IF(EmployeeData[[#This Row],[Age]]&lt;25,"Under 25",IF(EmployeeData[[#This Row],[Age]]&lt;=34,"25-34",IF(EmployeeData[[#This Row],[Age]]&lt;=44,"35-44",IF(EmployeeData[[#This Row],[Age]]&lt;=54,"45-54","55+"))))</f>
        <v>25-34</v>
      </c>
      <c r="Z306">
        <f ca="1">DATEDIF(EmployeeData[[#This Row],[DateOfJoining]],IF(AND(EmployeeData[[#This Row],[Attrition]]="Yes",EmployeeData[[#This Row],[LastWorkingDate]]&lt;&gt;""),EmployeeData[[#This Row],[LastWorkingDate]],TODAY()),"Y")</f>
        <v>14</v>
      </c>
      <c r="AA306" t="str">
        <f>IF(EmployeeData[[#This Row],[MonthlyIncome]]&lt;30000,"Low",IF(EmployeeData[[#This Row],[MonthlyIncome]]&lt;=60000,"Medium",IF(EmployeeData[[#This Row],[MonthlyIncome]]&lt;=100000,"High","Very High")))</f>
        <v>Medium</v>
      </c>
      <c r="AB306">
        <f>IF(EmployeeData[[#This Row],[Attrition]]="Yes",1,0)</f>
        <v>0</v>
      </c>
      <c r="AC306" t="str">
        <f ca="1">IF(EmployeeData[[#This Row],[Tenure Years]]&lt;1,"Less than 1 Year",IF(EmployeeData[[#This Row],[Tenure Years]]&lt;=3,"1-3 Years",IF(EmployeeData[[#This Row],[Tenure Years]]&lt;=5,"4-5 Years",IF(EmployeeData[[#This Row],[Tenure Years]]&lt;=10,"6-10 Years","More than 10 Years"))))</f>
        <v>More than 10 Years</v>
      </c>
      <c r="AD306">
        <f>ROUND(AVERAGE(EmployeeData[[#This Row],[JobSatisfaction]],EmployeeData[[#This Row],[EnvironmentSatisfaction]],EmployeeData[[#This Row],[WorkLifeBalance]]),2)</f>
        <v>2.33</v>
      </c>
      <c r="AE306" t="str">
        <f>IF(EmployeeData[[#This Row],[Satisfaction Score]]&lt;2,"Low",IF(EmployeeData[[#This Row],[Satisfaction Score]]&lt;3,"Medium","High"))</f>
        <v>Medium</v>
      </c>
    </row>
    <row r="307" spans="1:31" x14ac:dyDescent="0.25">
      <c r="A307" t="s">
        <v>1526</v>
      </c>
      <c r="B307" t="s">
        <v>1527</v>
      </c>
      <c r="C307" t="s">
        <v>49</v>
      </c>
      <c r="D307">
        <v>40</v>
      </c>
      <c r="E307" t="s">
        <v>27</v>
      </c>
      <c r="F307" t="s">
        <v>50</v>
      </c>
      <c r="G307" s="1">
        <v>44600</v>
      </c>
      <c r="H307">
        <v>83084</v>
      </c>
      <c r="I307" t="s">
        <v>30</v>
      </c>
      <c r="J307" t="s">
        <v>143</v>
      </c>
      <c r="K307" t="s">
        <v>54</v>
      </c>
      <c r="L307" t="s">
        <v>33</v>
      </c>
      <c r="M307">
        <v>6</v>
      </c>
      <c r="N307" t="s">
        <v>45</v>
      </c>
      <c r="O307">
        <v>1</v>
      </c>
      <c r="P307">
        <v>1</v>
      </c>
      <c r="Q307">
        <v>1</v>
      </c>
      <c r="R307">
        <v>4</v>
      </c>
      <c r="S307">
        <v>3</v>
      </c>
      <c r="T307">
        <v>3</v>
      </c>
      <c r="U307">
        <v>19</v>
      </c>
      <c r="V307" t="s">
        <v>1529</v>
      </c>
      <c r="W307" t="s">
        <v>45</v>
      </c>
      <c r="X307" s="1">
        <v>46106</v>
      </c>
      <c r="Y307" s="2" t="str">
        <f>IF(EmployeeData[[#This Row],[Age]]&lt;25,"Under 25",IF(EmployeeData[[#This Row],[Age]]&lt;=34,"25-34",IF(EmployeeData[[#This Row],[Age]]&lt;=44,"35-44",IF(EmployeeData[[#This Row],[Age]]&lt;=54,"45-54","55+"))))</f>
        <v>35-44</v>
      </c>
      <c r="Z307">
        <f ca="1">DATEDIF(EmployeeData[[#This Row],[DateOfJoining]],IF(AND(EmployeeData[[#This Row],[Attrition]]="Yes",EmployeeData[[#This Row],[LastWorkingDate]]&lt;&gt;""),EmployeeData[[#This Row],[LastWorkingDate]],TODAY()),"Y")</f>
        <v>4</v>
      </c>
      <c r="AA307" t="str">
        <f>IF(EmployeeData[[#This Row],[MonthlyIncome]]&lt;30000,"Low",IF(EmployeeData[[#This Row],[MonthlyIncome]]&lt;=60000,"Medium",IF(EmployeeData[[#This Row],[MonthlyIncome]]&lt;=100000,"High","Very High")))</f>
        <v>High</v>
      </c>
      <c r="AB307">
        <f>IF(EmployeeData[[#This Row],[Attrition]]="Yes",1,0)</f>
        <v>1</v>
      </c>
      <c r="AC307" t="str">
        <f ca="1">IF(EmployeeData[[#This Row],[Tenure Years]]&lt;1,"Less than 1 Year",IF(EmployeeData[[#This Row],[Tenure Years]]&lt;=3,"1-3 Years",IF(EmployeeData[[#This Row],[Tenure Years]]&lt;=5,"4-5 Years",IF(EmployeeData[[#This Row],[Tenure Years]]&lt;=10,"6-10 Years","More than 10 Years"))))</f>
        <v>4-5 Years</v>
      </c>
      <c r="AD307">
        <f>ROUND(AVERAGE(EmployeeData[[#This Row],[JobSatisfaction]],EmployeeData[[#This Row],[EnvironmentSatisfaction]],EmployeeData[[#This Row],[WorkLifeBalance]]),2)</f>
        <v>1</v>
      </c>
      <c r="AE307" t="str">
        <f>IF(EmployeeData[[#This Row],[Satisfaction Score]]&lt;2,"Low",IF(EmployeeData[[#This Row],[Satisfaction Score]]&lt;3,"Medium","High"))</f>
        <v>Low</v>
      </c>
    </row>
    <row r="308" spans="1:31" x14ac:dyDescent="0.25">
      <c r="A308" t="s">
        <v>1531</v>
      </c>
      <c r="B308" t="s">
        <v>1532</v>
      </c>
      <c r="C308" t="s">
        <v>49</v>
      </c>
      <c r="D308">
        <v>40</v>
      </c>
      <c r="E308" t="s">
        <v>27</v>
      </c>
      <c r="F308" t="s">
        <v>75</v>
      </c>
      <c r="G308" s="1">
        <v>44068</v>
      </c>
      <c r="H308">
        <v>63603</v>
      </c>
      <c r="I308" t="s">
        <v>30</v>
      </c>
      <c r="J308" t="s">
        <v>31</v>
      </c>
      <c r="K308" t="s">
        <v>54</v>
      </c>
      <c r="L308" t="s">
        <v>62</v>
      </c>
      <c r="M308">
        <v>34</v>
      </c>
      <c r="N308" t="s">
        <v>34</v>
      </c>
      <c r="O308">
        <v>1</v>
      </c>
      <c r="P308">
        <v>1</v>
      </c>
      <c r="Q308">
        <v>4</v>
      </c>
      <c r="R308">
        <v>3</v>
      </c>
      <c r="S308">
        <v>0</v>
      </c>
      <c r="T308">
        <v>1</v>
      </c>
      <c r="U308">
        <v>20</v>
      </c>
      <c r="V308" t="s">
        <v>1534</v>
      </c>
      <c r="W308" t="s">
        <v>34</v>
      </c>
      <c r="Y308" s="2" t="str">
        <f>IF(EmployeeData[[#This Row],[Age]]&lt;25,"Under 25",IF(EmployeeData[[#This Row],[Age]]&lt;=34,"25-34",IF(EmployeeData[[#This Row],[Age]]&lt;=44,"35-44",IF(EmployeeData[[#This Row],[Age]]&lt;=54,"45-54","55+"))))</f>
        <v>35-44</v>
      </c>
      <c r="Z308">
        <f ca="1">DATEDIF(EmployeeData[[#This Row],[DateOfJoining]],IF(AND(EmployeeData[[#This Row],[Attrition]]="Yes",EmployeeData[[#This Row],[LastWorkingDate]]&lt;&gt;""),EmployeeData[[#This Row],[LastWorkingDate]],TODAY()),"Y")</f>
        <v>6</v>
      </c>
      <c r="AA308" t="str">
        <f>IF(EmployeeData[[#This Row],[MonthlyIncome]]&lt;30000,"Low",IF(EmployeeData[[#This Row],[MonthlyIncome]]&lt;=60000,"Medium",IF(EmployeeData[[#This Row],[MonthlyIncome]]&lt;=100000,"High","Very High")))</f>
        <v>High</v>
      </c>
      <c r="AB308">
        <f>IF(EmployeeData[[#This Row],[Attrition]]="Yes",1,0)</f>
        <v>0</v>
      </c>
      <c r="AC308" t="str">
        <f ca="1">IF(EmployeeData[[#This Row],[Tenure Years]]&lt;1,"Less than 1 Year",IF(EmployeeData[[#This Row],[Tenure Years]]&lt;=3,"1-3 Years",IF(EmployeeData[[#This Row],[Tenure Years]]&lt;=5,"4-5 Years",IF(EmployeeData[[#This Row],[Tenure Years]]&lt;=10,"6-10 Years","More than 10 Years"))))</f>
        <v>6-10 Years</v>
      </c>
      <c r="AD308">
        <f>ROUND(AVERAGE(EmployeeData[[#This Row],[JobSatisfaction]],EmployeeData[[#This Row],[EnvironmentSatisfaction]],EmployeeData[[#This Row],[WorkLifeBalance]]),2)</f>
        <v>2</v>
      </c>
      <c r="AE308" t="str">
        <f>IF(EmployeeData[[#This Row],[Satisfaction Score]]&lt;2,"Low",IF(EmployeeData[[#This Row],[Satisfaction Score]]&lt;3,"Medium","High"))</f>
        <v>Medium</v>
      </c>
    </row>
    <row r="309" spans="1:31" x14ac:dyDescent="0.25">
      <c r="A309" t="s">
        <v>1535</v>
      </c>
      <c r="B309" t="s">
        <v>1536</v>
      </c>
      <c r="C309" t="s">
        <v>58</v>
      </c>
      <c r="D309">
        <v>34</v>
      </c>
      <c r="E309" t="s">
        <v>128</v>
      </c>
      <c r="F309" t="s">
        <v>226</v>
      </c>
      <c r="G309" s="1">
        <v>45925</v>
      </c>
      <c r="H309">
        <v>40243</v>
      </c>
      <c r="I309" t="s">
        <v>52</v>
      </c>
      <c r="J309" t="s">
        <v>61</v>
      </c>
      <c r="K309" t="s">
        <v>106</v>
      </c>
      <c r="L309" t="s">
        <v>43</v>
      </c>
      <c r="M309">
        <v>37</v>
      </c>
      <c r="N309" t="s">
        <v>34</v>
      </c>
      <c r="O309">
        <v>3</v>
      </c>
      <c r="P309">
        <v>1</v>
      </c>
      <c r="Q309">
        <v>2</v>
      </c>
      <c r="R309">
        <v>5</v>
      </c>
      <c r="S309">
        <v>6</v>
      </c>
      <c r="T309">
        <v>0</v>
      </c>
      <c r="U309">
        <v>16</v>
      </c>
      <c r="V309" t="s">
        <v>1538</v>
      </c>
      <c r="W309" t="s">
        <v>34</v>
      </c>
      <c r="Y309" s="2" t="str">
        <f>IF(EmployeeData[[#This Row],[Age]]&lt;25,"Under 25",IF(EmployeeData[[#This Row],[Age]]&lt;=34,"25-34",IF(EmployeeData[[#This Row],[Age]]&lt;=44,"35-44",IF(EmployeeData[[#This Row],[Age]]&lt;=54,"45-54","55+"))))</f>
        <v>25-34</v>
      </c>
      <c r="Z309">
        <f ca="1">DATEDIF(EmployeeData[[#This Row],[DateOfJoining]],IF(AND(EmployeeData[[#This Row],[Attrition]]="Yes",EmployeeData[[#This Row],[LastWorkingDate]]&lt;&gt;""),EmployeeData[[#This Row],[LastWorkingDate]],TODAY()),"Y")</f>
        <v>0</v>
      </c>
      <c r="AA309" t="str">
        <f>IF(EmployeeData[[#This Row],[MonthlyIncome]]&lt;30000,"Low",IF(EmployeeData[[#This Row],[MonthlyIncome]]&lt;=60000,"Medium",IF(EmployeeData[[#This Row],[MonthlyIncome]]&lt;=100000,"High","Very High")))</f>
        <v>Medium</v>
      </c>
      <c r="AB309">
        <f>IF(EmployeeData[[#This Row],[Attrition]]="Yes",1,0)</f>
        <v>0</v>
      </c>
      <c r="AC309" t="str">
        <f ca="1">IF(EmployeeData[[#This Row],[Tenure Years]]&lt;1,"Less than 1 Year",IF(EmployeeData[[#This Row],[Tenure Years]]&lt;=3,"1-3 Years",IF(EmployeeData[[#This Row],[Tenure Years]]&lt;=5,"4-5 Years",IF(EmployeeData[[#This Row],[Tenure Years]]&lt;=10,"6-10 Years","More than 10 Years"))))</f>
        <v>Less than 1 Year</v>
      </c>
      <c r="AD309">
        <f>ROUND(AVERAGE(EmployeeData[[#This Row],[JobSatisfaction]],EmployeeData[[#This Row],[EnvironmentSatisfaction]],EmployeeData[[#This Row],[WorkLifeBalance]]),2)</f>
        <v>2</v>
      </c>
      <c r="AE309" t="str">
        <f>IF(EmployeeData[[#This Row],[Satisfaction Score]]&lt;2,"Low",IF(EmployeeData[[#This Row],[Satisfaction Score]]&lt;3,"Medium","High"))</f>
        <v>Medium</v>
      </c>
    </row>
    <row r="310" spans="1:31" x14ac:dyDescent="0.25">
      <c r="A310" t="s">
        <v>1539</v>
      </c>
      <c r="B310" t="s">
        <v>1540</v>
      </c>
      <c r="C310" t="s">
        <v>49</v>
      </c>
      <c r="D310">
        <v>28</v>
      </c>
      <c r="E310" t="s">
        <v>94</v>
      </c>
      <c r="F310" t="s">
        <v>266</v>
      </c>
      <c r="G310" s="1">
        <v>45447</v>
      </c>
      <c r="H310">
        <v>113734</v>
      </c>
      <c r="I310" t="s">
        <v>52</v>
      </c>
      <c r="J310" t="s">
        <v>31</v>
      </c>
      <c r="K310" t="s">
        <v>98</v>
      </c>
      <c r="L310" t="s">
        <v>43</v>
      </c>
      <c r="M310">
        <v>10</v>
      </c>
      <c r="N310" t="s">
        <v>45</v>
      </c>
      <c r="O310">
        <v>2</v>
      </c>
      <c r="P310">
        <v>3</v>
      </c>
      <c r="Q310">
        <v>1</v>
      </c>
      <c r="R310">
        <v>2</v>
      </c>
      <c r="S310">
        <v>2</v>
      </c>
      <c r="T310">
        <v>1</v>
      </c>
      <c r="U310">
        <v>11</v>
      </c>
      <c r="V310" t="s">
        <v>1542</v>
      </c>
      <c r="W310" t="s">
        <v>45</v>
      </c>
      <c r="X310" s="1">
        <v>45528</v>
      </c>
      <c r="Y310" s="2" t="str">
        <f>IF(EmployeeData[[#This Row],[Age]]&lt;25,"Under 25",IF(EmployeeData[[#This Row],[Age]]&lt;=34,"25-34",IF(EmployeeData[[#This Row],[Age]]&lt;=44,"35-44",IF(EmployeeData[[#This Row],[Age]]&lt;=54,"45-54","55+"))))</f>
        <v>25-34</v>
      </c>
      <c r="Z310">
        <f ca="1">DATEDIF(EmployeeData[[#This Row],[DateOfJoining]],IF(AND(EmployeeData[[#This Row],[Attrition]]="Yes",EmployeeData[[#This Row],[LastWorkingDate]]&lt;&gt;""),EmployeeData[[#This Row],[LastWorkingDate]],TODAY()),"Y")</f>
        <v>0</v>
      </c>
      <c r="AA310" t="str">
        <f>IF(EmployeeData[[#This Row],[MonthlyIncome]]&lt;30000,"Low",IF(EmployeeData[[#This Row],[MonthlyIncome]]&lt;=60000,"Medium",IF(EmployeeData[[#This Row],[MonthlyIncome]]&lt;=100000,"High","Very High")))</f>
        <v>Very High</v>
      </c>
      <c r="AB310">
        <f>IF(EmployeeData[[#This Row],[Attrition]]="Yes",1,0)</f>
        <v>1</v>
      </c>
      <c r="AC310" t="str">
        <f ca="1">IF(EmployeeData[[#This Row],[Tenure Years]]&lt;1,"Less than 1 Year",IF(EmployeeData[[#This Row],[Tenure Years]]&lt;=3,"1-3 Years",IF(EmployeeData[[#This Row],[Tenure Years]]&lt;=5,"4-5 Years",IF(EmployeeData[[#This Row],[Tenure Years]]&lt;=10,"6-10 Years","More than 10 Years"))))</f>
        <v>Less than 1 Year</v>
      </c>
      <c r="AD310">
        <f>ROUND(AVERAGE(EmployeeData[[#This Row],[JobSatisfaction]],EmployeeData[[#This Row],[EnvironmentSatisfaction]],EmployeeData[[#This Row],[WorkLifeBalance]]),2)</f>
        <v>2</v>
      </c>
      <c r="AE310" t="str">
        <f>IF(EmployeeData[[#This Row],[Satisfaction Score]]&lt;2,"Low",IF(EmployeeData[[#This Row],[Satisfaction Score]]&lt;3,"Medium","High"))</f>
        <v>Medium</v>
      </c>
    </row>
    <row r="311" spans="1:31" x14ac:dyDescent="0.25">
      <c r="A311" t="s">
        <v>1544</v>
      </c>
      <c r="B311" t="s">
        <v>1545</v>
      </c>
      <c r="C311" t="s">
        <v>58</v>
      </c>
      <c r="D311">
        <v>34</v>
      </c>
      <c r="E311" t="s">
        <v>27</v>
      </c>
      <c r="F311" t="s">
        <v>59</v>
      </c>
      <c r="G311" s="1">
        <v>43809</v>
      </c>
      <c r="H311">
        <v>75586</v>
      </c>
      <c r="I311" t="s">
        <v>52</v>
      </c>
      <c r="J311" t="s">
        <v>31</v>
      </c>
      <c r="K311" t="s">
        <v>167</v>
      </c>
      <c r="L311" t="s">
        <v>43</v>
      </c>
      <c r="M311">
        <v>14</v>
      </c>
      <c r="N311" t="s">
        <v>45</v>
      </c>
      <c r="O311">
        <v>1</v>
      </c>
      <c r="P311">
        <v>3</v>
      </c>
      <c r="Q311">
        <v>2</v>
      </c>
      <c r="R311">
        <v>3</v>
      </c>
      <c r="S311">
        <v>6</v>
      </c>
      <c r="T311">
        <v>2</v>
      </c>
      <c r="U311">
        <v>24</v>
      </c>
      <c r="V311" t="s">
        <v>1547</v>
      </c>
      <c r="W311" t="s">
        <v>45</v>
      </c>
      <c r="X311" s="1">
        <v>45011</v>
      </c>
      <c r="Y311" s="2" t="str">
        <f>IF(EmployeeData[[#This Row],[Age]]&lt;25,"Under 25",IF(EmployeeData[[#This Row],[Age]]&lt;=34,"25-34",IF(EmployeeData[[#This Row],[Age]]&lt;=44,"35-44",IF(EmployeeData[[#This Row],[Age]]&lt;=54,"45-54","55+"))))</f>
        <v>25-34</v>
      </c>
      <c r="Z311">
        <f ca="1">DATEDIF(EmployeeData[[#This Row],[DateOfJoining]],IF(AND(EmployeeData[[#This Row],[Attrition]]="Yes",EmployeeData[[#This Row],[LastWorkingDate]]&lt;&gt;""),EmployeeData[[#This Row],[LastWorkingDate]],TODAY()),"Y")</f>
        <v>3</v>
      </c>
      <c r="AA311" t="str">
        <f>IF(EmployeeData[[#This Row],[MonthlyIncome]]&lt;30000,"Low",IF(EmployeeData[[#This Row],[MonthlyIncome]]&lt;=60000,"Medium",IF(EmployeeData[[#This Row],[MonthlyIncome]]&lt;=100000,"High","Very High")))</f>
        <v>High</v>
      </c>
      <c r="AB311">
        <f>IF(EmployeeData[[#This Row],[Attrition]]="Yes",1,0)</f>
        <v>1</v>
      </c>
      <c r="AC311" t="str">
        <f ca="1">IF(EmployeeData[[#This Row],[Tenure Years]]&lt;1,"Less than 1 Year",IF(EmployeeData[[#This Row],[Tenure Years]]&lt;=3,"1-3 Years",IF(EmployeeData[[#This Row],[Tenure Years]]&lt;=5,"4-5 Years",IF(EmployeeData[[#This Row],[Tenure Years]]&lt;=10,"6-10 Years","More than 10 Years"))))</f>
        <v>1-3 Years</v>
      </c>
      <c r="AD311">
        <f>ROUND(AVERAGE(EmployeeData[[#This Row],[JobSatisfaction]],EmployeeData[[#This Row],[EnvironmentSatisfaction]],EmployeeData[[#This Row],[WorkLifeBalance]]),2)</f>
        <v>2</v>
      </c>
      <c r="AE311" t="str">
        <f>IF(EmployeeData[[#This Row],[Satisfaction Score]]&lt;2,"Low",IF(EmployeeData[[#This Row],[Satisfaction Score]]&lt;3,"Medium","High"))</f>
        <v>Medium</v>
      </c>
    </row>
    <row r="312" spans="1:31" x14ac:dyDescent="0.25">
      <c r="A312" t="s">
        <v>1549</v>
      </c>
      <c r="B312" t="s">
        <v>1550</v>
      </c>
      <c r="C312" t="s">
        <v>58</v>
      </c>
      <c r="D312">
        <v>30</v>
      </c>
      <c r="E312" t="s">
        <v>128</v>
      </c>
      <c r="F312" t="s">
        <v>5459</v>
      </c>
      <c r="G312" s="1">
        <v>41100</v>
      </c>
      <c r="H312">
        <v>95160</v>
      </c>
      <c r="I312" t="s">
        <v>52</v>
      </c>
      <c r="J312" t="s">
        <v>31</v>
      </c>
      <c r="K312" t="s">
        <v>167</v>
      </c>
      <c r="L312" t="s">
        <v>43</v>
      </c>
      <c r="M312">
        <v>15</v>
      </c>
      <c r="N312" t="s">
        <v>34</v>
      </c>
      <c r="O312">
        <v>3</v>
      </c>
      <c r="P312">
        <v>1</v>
      </c>
      <c r="Q312">
        <v>3</v>
      </c>
      <c r="R312">
        <v>3</v>
      </c>
      <c r="S312">
        <v>3</v>
      </c>
      <c r="T312">
        <v>1</v>
      </c>
      <c r="U312">
        <v>14</v>
      </c>
      <c r="V312" t="s">
        <v>5459</v>
      </c>
      <c r="W312" t="s">
        <v>34</v>
      </c>
      <c r="Y312" s="2" t="str">
        <f>IF(EmployeeData[[#This Row],[Age]]&lt;25,"Under 25",IF(EmployeeData[[#This Row],[Age]]&lt;=34,"25-34",IF(EmployeeData[[#This Row],[Age]]&lt;=44,"35-44",IF(EmployeeData[[#This Row],[Age]]&lt;=54,"45-54","55+"))))</f>
        <v>25-34</v>
      </c>
      <c r="Z312">
        <f ca="1">DATEDIF(EmployeeData[[#This Row],[DateOfJoining]],IF(AND(EmployeeData[[#This Row],[Attrition]]="Yes",EmployeeData[[#This Row],[LastWorkingDate]]&lt;&gt;""),EmployeeData[[#This Row],[LastWorkingDate]],TODAY()),"Y")</f>
        <v>14</v>
      </c>
      <c r="AA312" t="str">
        <f>IF(EmployeeData[[#This Row],[MonthlyIncome]]&lt;30000,"Low",IF(EmployeeData[[#This Row],[MonthlyIncome]]&lt;=60000,"Medium",IF(EmployeeData[[#This Row],[MonthlyIncome]]&lt;=100000,"High","Very High")))</f>
        <v>High</v>
      </c>
      <c r="AB312">
        <f>IF(EmployeeData[[#This Row],[Attrition]]="Yes",1,0)</f>
        <v>0</v>
      </c>
      <c r="AC312" t="str">
        <f ca="1">IF(EmployeeData[[#This Row],[Tenure Years]]&lt;1,"Less than 1 Year",IF(EmployeeData[[#This Row],[Tenure Years]]&lt;=3,"1-3 Years",IF(EmployeeData[[#This Row],[Tenure Years]]&lt;=5,"4-5 Years",IF(EmployeeData[[#This Row],[Tenure Years]]&lt;=10,"6-10 Years","More than 10 Years"))))</f>
        <v>More than 10 Years</v>
      </c>
      <c r="AD312">
        <f>ROUND(AVERAGE(EmployeeData[[#This Row],[JobSatisfaction]],EmployeeData[[#This Row],[EnvironmentSatisfaction]],EmployeeData[[#This Row],[WorkLifeBalance]]),2)</f>
        <v>2.33</v>
      </c>
      <c r="AE312" t="str">
        <f>IF(EmployeeData[[#This Row],[Satisfaction Score]]&lt;2,"Low",IF(EmployeeData[[#This Row],[Satisfaction Score]]&lt;3,"Medium","High"))</f>
        <v>Medium</v>
      </c>
    </row>
    <row r="313" spans="1:31" x14ac:dyDescent="0.25">
      <c r="A313" t="s">
        <v>1552</v>
      </c>
      <c r="B313" t="s">
        <v>1553</v>
      </c>
      <c r="C313" t="s">
        <v>49</v>
      </c>
      <c r="D313">
        <v>27</v>
      </c>
      <c r="E313" t="s">
        <v>38</v>
      </c>
      <c r="F313" t="s">
        <v>5460</v>
      </c>
      <c r="G313" s="1">
        <v>43317</v>
      </c>
      <c r="H313">
        <v>55870</v>
      </c>
      <c r="I313" t="s">
        <v>30</v>
      </c>
      <c r="J313" t="s">
        <v>31</v>
      </c>
      <c r="K313" t="s">
        <v>32</v>
      </c>
      <c r="L313" t="s">
        <v>62</v>
      </c>
      <c r="M313">
        <v>21</v>
      </c>
      <c r="N313" t="s">
        <v>34</v>
      </c>
      <c r="O313">
        <v>1</v>
      </c>
      <c r="P313">
        <v>1</v>
      </c>
      <c r="Q313">
        <v>4</v>
      </c>
      <c r="R313">
        <v>3</v>
      </c>
      <c r="S313">
        <v>0</v>
      </c>
      <c r="T313">
        <v>7</v>
      </c>
      <c r="U313">
        <v>24</v>
      </c>
      <c r="V313" t="s">
        <v>1555</v>
      </c>
      <c r="W313" t="s">
        <v>34</v>
      </c>
      <c r="Y313" s="2" t="str">
        <f>IF(EmployeeData[[#This Row],[Age]]&lt;25,"Under 25",IF(EmployeeData[[#This Row],[Age]]&lt;=34,"25-34",IF(EmployeeData[[#This Row],[Age]]&lt;=44,"35-44",IF(EmployeeData[[#This Row],[Age]]&lt;=54,"45-54","55+"))))</f>
        <v>25-34</v>
      </c>
      <c r="Z313">
        <f ca="1">DATEDIF(EmployeeData[[#This Row],[DateOfJoining]],IF(AND(EmployeeData[[#This Row],[Attrition]]="Yes",EmployeeData[[#This Row],[LastWorkingDate]]&lt;&gt;""),EmployeeData[[#This Row],[LastWorkingDate]],TODAY()),"Y")</f>
        <v>8</v>
      </c>
      <c r="AA313" t="str">
        <f>IF(EmployeeData[[#This Row],[MonthlyIncome]]&lt;30000,"Low",IF(EmployeeData[[#This Row],[MonthlyIncome]]&lt;=60000,"Medium",IF(EmployeeData[[#This Row],[MonthlyIncome]]&lt;=100000,"High","Very High")))</f>
        <v>Medium</v>
      </c>
      <c r="AB313">
        <f>IF(EmployeeData[[#This Row],[Attrition]]="Yes",1,0)</f>
        <v>0</v>
      </c>
      <c r="AC313" t="str">
        <f ca="1">IF(EmployeeData[[#This Row],[Tenure Years]]&lt;1,"Less than 1 Year",IF(EmployeeData[[#This Row],[Tenure Years]]&lt;=3,"1-3 Years",IF(EmployeeData[[#This Row],[Tenure Years]]&lt;=5,"4-5 Years",IF(EmployeeData[[#This Row],[Tenure Years]]&lt;=10,"6-10 Years","More than 10 Years"))))</f>
        <v>6-10 Years</v>
      </c>
      <c r="AD313">
        <f>ROUND(AVERAGE(EmployeeData[[#This Row],[JobSatisfaction]],EmployeeData[[#This Row],[EnvironmentSatisfaction]],EmployeeData[[#This Row],[WorkLifeBalance]]),2)</f>
        <v>2</v>
      </c>
      <c r="AE313" t="str">
        <f>IF(EmployeeData[[#This Row],[Satisfaction Score]]&lt;2,"Low",IF(EmployeeData[[#This Row],[Satisfaction Score]]&lt;3,"Medium","High"))</f>
        <v>Medium</v>
      </c>
    </row>
    <row r="314" spans="1:31" x14ac:dyDescent="0.25">
      <c r="A314" t="s">
        <v>1556</v>
      </c>
      <c r="B314" t="s">
        <v>1557</v>
      </c>
      <c r="C314" t="s">
        <v>49</v>
      </c>
      <c r="D314">
        <v>41</v>
      </c>
      <c r="E314" t="s">
        <v>38</v>
      </c>
      <c r="F314" t="s">
        <v>5460</v>
      </c>
      <c r="G314" s="1">
        <v>41313</v>
      </c>
      <c r="H314">
        <v>88792</v>
      </c>
      <c r="I314" t="s">
        <v>42</v>
      </c>
      <c r="J314" t="s">
        <v>31</v>
      </c>
      <c r="K314" t="s">
        <v>77</v>
      </c>
      <c r="L314" t="s">
        <v>62</v>
      </c>
      <c r="M314">
        <v>24</v>
      </c>
      <c r="N314" t="s">
        <v>34</v>
      </c>
      <c r="O314">
        <v>3</v>
      </c>
      <c r="P314">
        <v>2</v>
      </c>
      <c r="Q314">
        <v>2</v>
      </c>
      <c r="R314">
        <v>4</v>
      </c>
      <c r="S314">
        <v>4</v>
      </c>
      <c r="T314">
        <v>5</v>
      </c>
      <c r="U314">
        <v>18</v>
      </c>
      <c r="V314" t="s">
        <v>1560</v>
      </c>
      <c r="W314" t="s">
        <v>34</v>
      </c>
      <c r="Y314" s="2" t="str">
        <f>IF(EmployeeData[[#This Row],[Age]]&lt;25,"Under 25",IF(EmployeeData[[#This Row],[Age]]&lt;=34,"25-34",IF(EmployeeData[[#This Row],[Age]]&lt;=44,"35-44",IF(EmployeeData[[#This Row],[Age]]&lt;=54,"45-54","55+"))))</f>
        <v>35-44</v>
      </c>
      <c r="Z314">
        <f ca="1">DATEDIF(EmployeeData[[#This Row],[DateOfJoining]],IF(AND(EmployeeData[[#This Row],[Attrition]]="Yes",EmployeeData[[#This Row],[LastWorkingDate]]&lt;&gt;""),EmployeeData[[#This Row],[LastWorkingDate]],TODAY()),"Y")</f>
        <v>13</v>
      </c>
      <c r="AA314" t="str">
        <f>IF(EmployeeData[[#This Row],[MonthlyIncome]]&lt;30000,"Low",IF(EmployeeData[[#This Row],[MonthlyIncome]]&lt;=60000,"Medium",IF(EmployeeData[[#This Row],[MonthlyIncome]]&lt;=100000,"High","Very High")))</f>
        <v>High</v>
      </c>
      <c r="AB314">
        <f>IF(EmployeeData[[#This Row],[Attrition]]="Yes",1,0)</f>
        <v>0</v>
      </c>
      <c r="AC314" t="str">
        <f ca="1">IF(EmployeeData[[#This Row],[Tenure Years]]&lt;1,"Less than 1 Year",IF(EmployeeData[[#This Row],[Tenure Years]]&lt;=3,"1-3 Years",IF(EmployeeData[[#This Row],[Tenure Years]]&lt;=5,"4-5 Years",IF(EmployeeData[[#This Row],[Tenure Years]]&lt;=10,"6-10 Years","More than 10 Years"))))</f>
        <v>More than 10 Years</v>
      </c>
      <c r="AD314">
        <f>ROUND(AVERAGE(EmployeeData[[#This Row],[JobSatisfaction]],EmployeeData[[#This Row],[EnvironmentSatisfaction]],EmployeeData[[#This Row],[WorkLifeBalance]]),2)</f>
        <v>2.33</v>
      </c>
      <c r="AE314" t="str">
        <f>IF(EmployeeData[[#This Row],[Satisfaction Score]]&lt;2,"Low",IF(EmployeeData[[#This Row],[Satisfaction Score]]&lt;3,"Medium","High"))</f>
        <v>Medium</v>
      </c>
    </row>
    <row r="315" spans="1:31" x14ac:dyDescent="0.25">
      <c r="A315" t="s">
        <v>1561</v>
      </c>
      <c r="B315" t="s">
        <v>1562</v>
      </c>
      <c r="C315" t="s">
        <v>49</v>
      </c>
      <c r="D315">
        <v>31</v>
      </c>
      <c r="E315" t="s">
        <v>128</v>
      </c>
      <c r="F315" t="s">
        <v>271</v>
      </c>
      <c r="G315" s="1">
        <v>42765</v>
      </c>
      <c r="H315">
        <v>104008</v>
      </c>
      <c r="I315" t="s">
        <v>52</v>
      </c>
      <c r="J315" t="s">
        <v>61</v>
      </c>
      <c r="K315" t="s">
        <v>98</v>
      </c>
      <c r="L315" t="s">
        <v>43</v>
      </c>
      <c r="M315">
        <v>17</v>
      </c>
      <c r="N315" t="s">
        <v>34</v>
      </c>
      <c r="O315">
        <v>2</v>
      </c>
      <c r="P315">
        <v>4</v>
      </c>
      <c r="Q315">
        <v>4</v>
      </c>
      <c r="R315">
        <v>5</v>
      </c>
      <c r="S315">
        <v>1</v>
      </c>
      <c r="T315">
        <v>6</v>
      </c>
      <c r="U315">
        <v>25</v>
      </c>
      <c r="V315" t="s">
        <v>1565</v>
      </c>
      <c r="W315" t="s">
        <v>34</v>
      </c>
      <c r="Y315" s="2" t="str">
        <f>IF(EmployeeData[[#This Row],[Age]]&lt;25,"Under 25",IF(EmployeeData[[#This Row],[Age]]&lt;=34,"25-34",IF(EmployeeData[[#This Row],[Age]]&lt;=44,"35-44",IF(EmployeeData[[#This Row],[Age]]&lt;=54,"45-54","55+"))))</f>
        <v>25-34</v>
      </c>
      <c r="Z315">
        <f ca="1">DATEDIF(EmployeeData[[#This Row],[DateOfJoining]],IF(AND(EmployeeData[[#This Row],[Attrition]]="Yes",EmployeeData[[#This Row],[LastWorkingDate]]&lt;&gt;""),EmployeeData[[#This Row],[LastWorkingDate]],TODAY()),"Y")</f>
        <v>9</v>
      </c>
      <c r="AA315" t="str">
        <f>IF(EmployeeData[[#This Row],[MonthlyIncome]]&lt;30000,"Low",IF(EmployeeData[[#This Row],[MonthlyIncome]]&lt;=60000,"Medium",IF(EmployeeData[[#This Row],[MonthlyIncome]]&lt;=100000,"High","Very High")))</f>
        <v>Very High</v>
      </c>
      <c r="AB315">
        <f>IF(EmployeeData[[#This Row],[Attrition]]="Yes",1,0)</f>
        <v>0</v>
      </c>
      <c r="AC315" t="str">
        <f ca="1">IF(EmployeeData[[#This Row],[Tenure Years]]&lt;1,"Less than 1 Year",IF(EmployeeData[[#This Row],[Tenure Years]]&lt;=3,"1-3 Years",IF(EmployeeData[[#This Row],[Tenure Years]]&lt;=5,"4-5 Years",IF(EmployeeData[[#This Row],[Tenure Years]]&lt;=10,"6-10 Years","More than 10 Years"))))</f>
        <v>6-10 Years</v>
      </c>
      <c r="AD315">
        <f>ROUND(AVERAGE(EmployeeData[[#This Row],[JobSatisfaction]],EmployeeData[[#This Row],[EnvironmentSatisfaction]],EmployeeData[[#This Row],[WorkLifeBalance]]),2)</f>
        <v>3.33</v>
      </c>
      <c r="AE315" t="str">
        <f>IF(EmployeeData[[#This Row],[Satisfaction Score]]&lt;2,"Low",IF(EmployeeData[[#This Row],[Satisfaction Score]]&lt;3,"Medium","High"))</f>
        <v>High</v>
      </c>
    </row>
    <row r="316" spans="1:31" x14ac:dyDescent="0.25">
      <c r="A316" t="s">
        <v>1566</v>
      </c>
      <c r="B316" t="s">
        <v>1567</v>
      </c>
      <c r="C316" t="s">
        <v>58</v>
      </c>
      <c r="D316">
        <v>34</v>
      </c>
      <c r="E316" t="s">
        <v>94</v>
      </c>
      <c r="F316" t="s">
        <v>5459</v>
      </c>
      <c r="G316" s="1">
        <v>44120</v>
      </c>
      <c r="H316">
        <v>94631</v>
      </c>
      <c r="I316" t="s">
        <v>5459</v>
      </c>
      <c r="J316" t="s">
        <v>61</v>
      </c>
      <c r="K316" t="s">
        <v>113</v>
      </c>
      <c r="L316" t="s">
        <v>43</v>
      </c>
      <c r="M316">
        <v>3</v>
      </c>
      <c r="N316" t="s">
        <v>45</v>
      </c>
      <c r="O316">
        <v>3</v>
      </c>
      <c r="P316">
        <v>2</v>
      </c>
      <c r="Q316">
        <v>2</v>
      </c>
      <c r="R316">
        <v>4</v>
      </c>
      <c r="S316">
        <v>4</v>
      </c>
      <c r="T316">
        <v>3</v>
      </c>
      <c r="U316">
        <v>20</v>
      </c>
      <c r="V316" t="s">
        <v>1569</v>
      </c>
      <c r="W316" t="s">
        <v>45</v>
      </c>
      <c r="X316" s="1">
        <v>44304</v>
      </c>
      <c r="Y316" s="2" t="str">
        <f>IF(EmployeeData[[#This Row],[Age]]&lt;25,"Under 25",IF(EmployeeData[[#This Row],[Age]]&lt;=34,"25-34",IF(EmployeeData[[#This Row],[Age]]&lt;=44,"35-44",IF(EmployeeData[[#This Row],[Age]]&lt;=54,"45-54","55+"))))</f>
        <v>25-34</v>
      </c>
      <c r="Z316">
        <f ca="1">DATEDIF(EmployeeData[[#This Row],[DateOfJoining]],IF(AND(EmployeeData[[#This Row],[Attrition]]="Yes",EmployeeData[[#This Row],[LastWorkingDate]]&lt;&gt;""),EmployeeData[[#This Row],[LastWorkingDate]],TODAY()),"Y")</f>
        <v>0</v>
      </c>
      <c r="AA316" t="str">
        <f>IF(EmployeeData[[#This Row],[MonthlyIncome]]&lt;30000,"Low",IF(EmployeeData[[#This Row],[MonthlyIncome]]&lt;=60000,"Medium",IF(EmployeeData[[#This Row],[MonthlyIncome]]&lt;=100000,"High","Very High")))</f>
        <v>High</v>
      </c>
      <c r="AB316">
        <f>IF(EmployeeData[[#This Row],[Attrition]]="Yes",1,0)</f>
        <v>1</v>
      </c>
      <c r="AC316" t="str">
        <f ca="1">IF(EmployeeData[[#This Row],[Tenure Years]]&lt;1,"Less than 1 Year",IF(EmployeeData[[#This Row],[Tenure Years]]&lt;=3,"1-3 Years",IF(EmployeeData[[#This Row],[Tenure Years]]&lt;=5,"4-5 Years",IF(EmployeeData[[#This Row],[Tenure Years]]&lt;=10,"6-10 Years","More than 10 Years"))))</f>
        <v>Less than 1 Year</v>
      </c>
      <c r="AD316">
        <f>ROUND(AVERAGE(EmployeeData[[#This Row],[JobSatisfaction]],EmployeeData[[#This Row],[EnvironmentSatisfaction]],EmployeeData[[#This Row],[WorkLifeBalance]]),2)</f>
        <v>2.33</v>
      </c>
      <c r="AE316" t="str">
        <f>IF(EmployeeData[[#This Row],[Satisfaction Score]]&lt;2,"Low",IF(EmployeeData[[#This Row],[Satisfaction Score]]&lt;3,"Medium","High"))</f>
        <v>Medium</v>
      </c>
    </row>
    <row r="317" spans="1:31" x14ac:dyDescent="0.25">
      <c r="A317" t="s">
        <v>1571</v>
      </c>
      <c r="B317" t="s">
        <v>1572</v>
      </c>
      <c r="C317" t="s">
        <v>58</v>
      </c>
      <c r="D317">
        <v>25</v>
      </c>
      <c r="E317" t="s">
        <v>128</v>
      </c>
      <c r="F317" t="s">
        <v>271</v>
      </c>
      <c r="G317" s="1">
        <v>43594</v>
      </c>
      <c r="H317">
        <v>56505</v>
      </c>
      <c r="I317" t="s">
        <v>30</v>
      </c>
      <c r="J317" t="s">
        <v>61</v>
      </c>
      <c r="K317" t="s">
        <v>98</v>
      </c>
      <c r="L317" t="s">
        <v>62</v>
      </c>
      <c r="M317">
        <v>3</v>
      </c>
      <c r="N317" t="s">
        <v>34</v>
      </c>
      <c r="O317">
        <v>2</v>
      </c>
      <c r="P317">
        <v>4</v>
      </c>
      <c r="Q317">
        <v>3</v>
      </c>
      <c r="R317">
        <v>3</v>
      </c>
      <c r="S317">
        <v>0</v>
      </c>
      <c r="T317">
        <v>4</v>
      </c>
      <c r="U317">
        <v>24</v>
      </c>
      <c r="V317" t="s">
        <v>1575</v>
      </c>
      <c r="W317" t="s">
        <v>34</v>
      </c>
      <c r="Y317" s="2" t="str">
        <f>IF(EmployeeData[[#This Row],[Age]]&lt;25,"Under 25",IF(EmployeeData[[#This Row],[Age]]&lt;=34,"25-34",IF(EmployeeData[[#This Row],[Age]]&lt;=44,"35-44",IF(EmployeeData[[#This Row],[Age]]&lt;=54,"45-54","55+"))))</f>
        <v>25-34</v>
      </c>
      <c r="Z317">
        <f ca="1">DATEDIF(EmployeeData[[#This Row],[DateOfJoining]],IF(AND(EmployeeData[[#This Row],[Attrition]]="Yes",EmployeeData[[#This Row],[LastWorkingDate]]&lt;&gt;""),EmployeeData[[#This Row],[LastWorkingDate]],TODAY()),"Y")</f>
        <v>7</v>
      </c>
      <c r="AA317" t="str">
        <f>IF(EmployeeData[[#This Row],[MonthlyIncome]]&lt;30000,"Low",IF(EmployeeData[[#This Row],[MonthlyIncome]]&lt;=60000,"Medium",IF(EmployeeData[[#This Row],[MonthlyIncome]]&lt;=100000,"High","Very High")))</f>
        <v>Medium</v>
      </c>
      <c r="AB317">
        <f>IF(EmployeeData[[#This Row],[Attrition]]="Yes",1,0)</f>
        <v>0</v>
      </c>
      <c r="AC317" t="str">
        <f ca="1">IF(EmployeeData[[#This Row],[Tenure Years]]&lt;1,"Less than 1 Year",IF(EmployeeData[[#This Row],[Tenure Years]]&lt;=3,"1-3 Years",IF(EmployeeData[[#This Row],[Tenure Years]]&lt;=5,"4-5 Years",IF(EmployeeData[[#This Row],[Tenure Years]]&lt;=10,"6-10 Years","More than 10 Years"))))</f>
        <v>6-10 Years</v>
      </c>
      <c r="AD317">
        <f>ROUND(AVERAGE(EmployeeData[[#This Row],[JobSatisfaction]],EmployeeData[[#This Row],[EnvironmentSatisfaction]],EmployeeData[[#This Row],[WorkLifeBalance]]),2)</f>
        <v>3</v>
      </c>
      <c r="AE317" t="str">
        <f>IF(EmployeeData[[#This Row],[Satisfaction Score]]&lt;2,"Low",IF(EmployeeData[[#This Row],[Satisfaction Score]]&lt;3,"Medium","High"))</f>
        <v>High</v>
      </c>
    </row>
    <row r="318" spans="1:31" x14ac:dyDescent="0.25">
      <c r="A318" t="s">
        <v>1576</v>
      </c>
      <c r="B318" t="s">
        <v>1577</v>
      </c>
      <c r="C318" t="s">
        <v>49</v>
      </c>
      <c r="D318">
        <v>27</v>
      </c>
      <c r="E318" t="s">
        <v>94</v>
      </c>
      <c r="F318" t="s">
        <v>266</v>
      </c>
      <c r="G318" s="1">
        <v>44993</v>
      </c>
      <c r="H318">
        <v>83324</v>
      </c>
      <c r="I318" t="s">
        <v>52</v>
      </c>
      <c r="J318" t="s">
        <v>61</v>
      </c>
      <c r="K318" t="s">
        <v>106</v>
      </c>
      <c r="L318" t="s">
        <v>5459</v>
      </c>
      <c r="M318">
        <v>21</v>
      </c>
      <c r="N318" t="s">
        <v>34</v>
      </c>
      <c r="O318">
        <v>4</v>
      </c>
      <c r="P318">
        <v>4</v>
      </c>
      <c r="Q318">
        <v>1</v>
      </c>
      <c r="R318">
        <v>4</v>
      </c>
      <c r="S318">
        <v>2</v>
      </c>
      <c r="T318">
        <v>5</v>
      </c>
      <c r="U318">
        <v>15</v>
      </c>
      <c r="V318" t="s">
        <v>1579</v>
      </c>
      <c r="W318" t="s">
        <v>34</v>
      </c>
      <c r="Y318" s="2" t="str">
        <f>IF(EmployeeData[[#This Row],[Age]]&lt;25,"Under 25",IF(EmployeeData[[#This Row],[Age]]&lt;=34,"25-34",IF(EmployeeData[[#This Row],[Age]]&lt;=44,"35-44",IF(EmployeeData[[#This Row],[Age]]&lt;=54,"45-54","55+"))))</f>
        <v>25-34</v>
      </c>
      <c r="Z318">
        <f ca="1">DATEDIF(EmployeeData[[#This Row],[DateOfJoining]],IF(AND(EmployeeData[[#This Row],[Attrition]]="Yes",EmployeeData[[#This Row],[LastWorkingDate]]&lt;&gt;""),EmployeeData[[#This Row],[LastWorkingDate]],TODAY()),"Y")</f>
        <v>3</v>
      </c>
      <c r="AA318" t="str">
        <f>IF(EmployeeData[[#This Row],[MonthlyIncome]]&lt;30000,"Low",IF(EmployeeData[[#This Row],[MonthlyIncome]]&lt;=60000,"Medium",IF(EmployeeData[[#This Row],[MonthlyIncome]]&lt;=100000,"High","Very High")))</f>
        <v>High</v>
      </c>
      <c r="AB318">
        <f>IF(EmployeeData[[#This Row],[Attrition]]="Yes",1,0)</f>
        <v>0</v>
      </c>
      <c r="AC318" t="str">
        <f ca="1">IF(EmployeeData[[#This Row],[Tenure Years]]&lt;1,"Less than 1 Year",IF(EmployeeData[[#This Row],[Tenure Years]]&lt;=3,"1-3 Years",IF(EmployeeData[[#This Row],[Tenure Years]]&lt;=5,"4-5 Years",IF(EmployeeData[[#This Row],[Tenure Years]]&lt;=10,"6-10 Years","More than 10 Years"))))</f>
        <v>1-3 Years</v>
      </c>
      <c r="AD318">
        <f>ROUND(AVERAGE(EmployeeData[[#This Row],[JobSatisfaction]],EmployeeData[[#This Row],[EnvironmentSatisfaction]],EmployeeData[[#This Row],[WorkLifeBalance]]),2)</f>
        <v>3</v>
      </c>
      <c r="AE318" t="str">
        <f>IF(EmployeeData[[#This Row],[Satisfaction Score]]&lt;2,"Low",IF(EmployeeData[[#This Row],[Satisfaction Score]]&lt;3,"Medium","High"))</f>
        <v>High</v>
      </c>
    </row>
    <row r="319" spans="1:31" x14ac:dyDescent="0.25">
      <c r="A319" t="s">
        <v>1580</v>
      </c>
      <c r="B319" t="s">
        <v>1581</v>
      </c>
      <c r="C319" t="s">
        <v>58</v>
      </c>
      <c r="D319">
        <v>28</v>
      </c>
      <c r="E319" t="s">
        <v>94</v>
      </c>
      <c r="F319" t="s">
        <v>639</v>
      </c>
      <c r="G319" s="1">
        <v>45115</v>
      </c>
      <c r="H319">
        <v>106450</v>
      </c>
      <c r="I319" t="s">
        <v>42</v>
      </c>
      <c r="J319" t="s">
        <v>143</v>
      </c>
      <c r="K319" t="s">
        <v>167</v>
      </c>
      <c r="L319" t="s">
        <v>33</v>
      </c>
      <c r="M319">
        <v>22</v>
      </c>
      <c r="N319" t="s">
        <v>45</v>
      </c>
      <c r="O319">
        <v>4</v>
      </c>
      <c r="P319">
        <v>2</v>
      </c>
      <c r="Q319">
        <v>4</v>
      </c>
      <c r="R319">
        <v>4</v>
      </c>
      <c r="S319">
        <v>6</v>
      </c>
      <c r="T319">
        <v>1</v>
      </c>
      <c r="U319">
        <v>25</v>
      </c>
      <c r="V319" t="s">
        <v>1583</v>
      </c>
      <c r="W319" t="s">
        <v>34</v>
      </c>
      <c r="Y319" s="2" t="str">
        <f>IF(EmployeeData[[#This Row],[Age]]&lt;25,"Under 25",IF(EmployeeData[[#This Row],[Age]]&lt;=34,"25-34",IF(EmployeeData[[#This Row],[Age]]&lt;=44,"35-44",IF(EmployeeData[[#This Row],[Age]]&lt;=54,"45-54","55+"))))</f>
        <v>25-34</v>
      </c>
      <c r="Z319">
        <f ca="1">DATEDIF(EmployeeData[[#This Row],[DateOfJoining]],IF(AND(EmployeeData[[#This Row],[Attrition]]="Yes",EmployeeData[[#This Row],[LastWorkingDate]]&lt;&gt;""),EmployeeData[[#This Row],[LastWorkingDate]],TODAY()),"Y")</f>
        <v>3</v>
      </c>
      <c r="AA319" t="str">
        <f>IF(EmployeeData[[#This Row],[MonthlyIncome]]&lt;30000,"Low",IF(EmployeeData[[#This Row],[MonthlyIncome]]&lt;=60000,"Medium",IF(EmployeeData[[#This Row],[MonthlyIncome]]&lt;=100000,"High","Very High")))</f>
        <v>Very High</v>
      </c>
      <c r="AB319">
        <f>IF(EmployeeData[[#This Row],[Attrition]]="Yes",1,0)</f>
        <v>0</v>
      </c>
      <c r="AC319" t="str">
        <f ca="1">IF(EmployeeData[[#This Row],[Tenure Years]]&lt;1,"Less than 1 Year",IF(EmployeeData[[#This Row],[Tenure Years]]&lt;=3,"1-3 Years",IF(EmployeeData[[#This Row],[Tenure Years]]&lt;=5,"4-5 Years",IF(EmployeeData[[#This Row],[Tenure Years]]&lt;=10,"6-10 Years","More than 10 Years"))))</f>
        <v>1-3 Years</v>
      </c>
      <c r="AD319">
        <f>ROUND(AVERAGE(EmployeeData[[#This Row],[JobSatisfaction]],EmployeeData[[#This Row],[EnvironmentSatisfaction]],EmployeeData[[#This Row],[WorkLifeBalance]]),2)</f>
        <v>3.33</v>
      </c>
      <c r="AE319" t="str">
        <f>IF(EmployeeData[[#This Row],[Satisfaction Score]]&lt;2,"Low",IF(EmployeeData[[#This Row],[Satisfaction Score]]&lt;3,"Medium","High"))</f>
        <v>High</v>
      </c>
    </row>
    <row r="320" spans="1:31" x14ac:dyDescent="0.25">
      <c r="A320" t="s">
        <v>1584</v>
      </c>
      <c r="B320" t="s">
        <v>1585</v>
      </c>
      <c r="C320" t="s">
        <v>58</v>
      </c>
      <c r="D320">
        <v>40</v>
      </c>
      <c r="E320" t="s">
        <v>128</v>
      </c>
      <c r="F320" t="s">
        <v>271</v>
      </c>
      <c r="G320" s="1">
        <v>45436</v>
      </c>
      <c r="H320">
        <v>71864</v>
      </c>
      <c r="I320" t="s">
        <v>30</v>
      </c>
      <c r="J320" t="s">
        <v>31</v>
      </c>
      <c r="K320" t="s">
        <v>77</v>
      </c>
      <c r="L320" t="s">
        <v>62</v>
      </c>
      <c r="M320">
        <v>24</v>
      </c>
      <c r="N320" t="s">
        <v>34</v>
      </c>
      <c r="O320">
        <v>2</v>
      </c>
      <c r="P320">
        <v>1</v>
      </c>
      <c r="Q320">
        <v>2</v>
      </c>
      <c r="R320">
        <v>3</v>
      </c>
      <c r="S320">
        <v>2</v>
      </c>
      <c r="T320">
        <v>4</v>
      </c>
      <c r="U320">
        <v>25</v>
      </c>
      <c r="V320" t="s">
        <v>1587</v>
      </c>
      <c r="W320" t="s">
        <v>34</v>
      </c>
      <c r="Y320" s="2" t="str">
        <f>IF(EmployeeData[[#This Row],[Age]]&lt;25,"Under 25",IF(EmployeeData[[#This Row],[Age]]&lt;=34,"25-34",IF(EmployeeData[[#This Row],[Age]]&lt;=44,"35-44",IF(EmployeeData[[#This Row],[Age]]&lt;=54,"45-54","55+"))))</f>
        <v>35-44</v>
      </c>
      <c r="Z320">
        <f ca="1">DATEDIF(EmployeeData[[#This Row],[DateOfJoining]],IF(AND(EmployeeData[[#This Row],[Attrition]]="Yes",EmployeeData[[#This Row],[LastWorkingDate]]&lt;&gt;""),EmployeeData[[#This Row],[LastWorkingDate]],TODAY()),"Y")</f>
        <v>2</v>
      </c>
      <c r="AA320" t="str">
        <f>IF(EmployeeData[[#This Row],[MonthlyIncome]]&lt;30000,"Low",IF(EmployeeData[[#This Row],[MonthlyIncome]]&lt;=60000,"Medium",IF(EmployeeData[[#This Row],[MonthlyIncome]]&lt;=100000,"High","Very High")))</f>
        <v>High</v>
      </c>
      <c r="AB320">
        <f>IF(EmployeeData[[#This Row],[Attrition]]="Yes",1,0)</f>
        <v>0</v>
      </c>
      <c r="AC320" t="str">
        <f ca="1">IF(EmployeeData[[#This Row],[Tenure Years]]&lt;1,"Less than 1 Year",IF(EmployeeData[[#This Row],[Tenure Years]]&lt;=3,"1-3 Years",IF(EmployeeData[[#This Row],[Tenure Years]]&lt;=5,"4-5 Years",IF(EmployeeData[[#This Row],[Tenure Years]]&lt;=10,"6-10 Years","More than 10 Years"))))</f>
        <v>1-3 Years</v>
      </c>
      <c r="AD320">
        <f>ROUND(AVERAGE(EmployeeData[[#This Row],[JobSatisfaction]],EmployeeData[[#This Row],[EnvironmentSatisfaction]],EmployeeData[[#This Row],[WorkLifeBalance]]),2)</f>
        <v>1.67</v>
      </c>
      <c r="AE320" t="str">
        <f>IF(EmployeeData[[#This Row],[Satisfaction Score]]&lt;2,"Low",IF(EmployeeData[[#This Row],[Satisfaction Score]]&lt;3,"Medium","High"))</f>
        <v>Low</v>
      </c>
    </row>
    <row r="321" spans="1:31" x14ac:dyDescent="0.25">
      <c r="A321" t="s">
        <v>1588</v>
      </c>
      <c r="B321" t="s">
        <v>1589</v>
      </c>
      <c r="C321" t="s">
        <v>58</v>
      </c>
      <c r="D321">
        <v>38</v>
      </c>
      <c r="E321" t="s">
        <v>27</v>
      </c>
      <c r="F321" t="s">
        <v>188</v>
      </c>
      <c r="G321" s="1">
        <v>45816</v>
      </c>
      <c r="H321">
        <v>103088</v>
      </c>
      <c r="I321" t="s">
        <v>52</v>
      </c>
      <c r="J321" t="s">
        <v>97</v>
      </c>
      <c r="K321" t="s">
        <v>77</v>
      </c>
      <c r="L321" t="s">
        <v>43</v>
      </c>
      <c r="M321">
        <v>2</v>
      </c>
      <c r="N321" t="s">
        <v>34</v>
      </c>
      <c r="O321">
        <v>3</v>
      </c>
      <c r="P321">
        <v>2</v>
      </c>
      <c r="Q321">
        <v>4</v>
      </c>
      <c r="R321">
        <v>2</v>
      </c>
      <c r="S321">
        <v>4</v>
      </c>
      <c r="T321">
        <v>3</v>
      </c>
      <c r="U321">
        <v>21</v>
      </c>
      <c r="V321" t="s">
        <v>1592</v>
      </c>
      <c r="W321" t="s">
        <v>34</v>
      </c>
      <c r="Y321" s="2" t="str">
        <f>IF(EmployeeData[[#This Row],[Age]]&lt;25,"Under 25",IF(EmployeeData[[#This Row],[Age]]&lt;=34,"25-34",IF(EmployeeData[[#This Row],[Age]]&lt;=44,"35-44",IF(EmployeeData[[#This Row],[Age]]&lt;=54,"45-54","55+"))))</f>
        <v>35-44</v>
      </c>
      <c r="Z321">
        <f ca="1">DATEDIF(EmployeeData[[#This Row],[DateOfJoining]],IF(AND(EmployeeData[[#This Row],[Attrition]]="Yes",EmployeeData[[#This Row],[LastWorkingDate]]&lt;&gt;""),EmployeeData[[#This Row],[LastWorkingDate]],TODAY()),"Y")</f>
        <v>1</v>
      </c>
      <c r="AA321" t="str">
        <f>IF(EmployeeData[[#This Row],[MonthlyIncome]]&lt;30000,"Low",IF(EmployeeData[[#This Row],[MonthlyIncome]]&lt;=60000,"Medium",IF(EmployeeData[[#This Row],[MonthlyIncome]]&lt;=100000,"High","Very High")))</f>
        <v>Very High</v>
      </c>
      <c r="AB321">
        <f>IF(EmployeeData[[#This Row],[Attrition]]="Yes",1,0)</f>
        <v>0</v>
      </c>
      <c r="AC321" t="str">
        <f ca="1">IF(EmployeeData[[#This Row],[Tenure Years]]&lt;1,"Less than 1 Year",IF(EmployeeData[[#This Row],[Tenure Years]]&lt;=3,"1-3 Years",IF(EmployeeData[[#This Row],[Tenure Years]]&lt;=5,"4-5 Years",IF(EmployeeData[[#This Row],[Tenure Years]]&lt;=10,"6-10 Years","More than 10 Years"))))</f>
        <v>1-3 Years</v>
      </c>
      <c r="AD321">
        <f>ROUND(AVERAGE(EmployeeData[[#This Row],[JobSatisfaction]],EmployeeData[[#This Row],[EnvironmentSatisfaction]],EmployeeData[[#This Row],[WorkLifeBalance]]),2)</f>
        <v>3</v>
      </c>
      <c r="AE321" t="str">
        <f>IF(EmployeeData[[#This Row],[Satisfaction Score]]&lt;2,"Low",IF(EmployeeData[[#This Row],[Satisfaction Score]]&lt;3,"Medium","High"))</f>
        <v>High</v>
      </c>
    </row>
    <row r="322" spans="1:31" x14ac:dyDescent="0.25">
      <c r="A322" t="s">
        <v>1593</v>
      </c>
      <c r="B322" t="s">
        <v>1594</v>
      </c>
      <c r="C322" t="s">
        <v>49</v>
      </c>
      <c r="D322">
        <v>34</v>
      </c>
      <c r="E322" t="s">
        <v>5461</v>
      </c>
      <c r="F322" t="s">
        <v>483</v>
      </c>
      <c r="G322" s="1">
        <v>41097</v>
      </c>
      <c r="H322">
        <v>100527</v>
      </c>
      <c r="I322" t="s">
        <v>52</v>
      </c>
      <c r="J322" t="s">
        <v>61</v>
      </c>
      <c r="K322" t="s">
        <v>113</v>
      </c>
      <c r="L322" t="s">
        <v>43</v>
      </c>
      <c r="M322">
        <v>25</v>
      </c>
      <c r="N322" t="s">
        <v>34</v>
      </c>
      <c r="O322">
        <v>4</v>
      </c>
      <c r="P322">
        <v>3</v>
      </c>
      <c r="Q322">
        <v>4</v>
      </c>
      <c r="R322">
        <v>4</v>
      </c>
      <c r="S322">
        <v>6</v>
      </c>
      <c r="T322">
        <v>6</v>
      </c>
      <c r="U322">
        <v>16</v>
      </c>
      <c r="V322" t="s">
        <v>5459</v>
      </c>
      <c r="W322" t="s">
        <v>34</v>
      </c>
      <c r="Y322" s="2" t="str">
        <f>IF(EmployeeData[[#This Row],[Age]]&lt;25,"Under 25",IF(EmployeeData[[#This Row],[Age]]&lt;=34,"25-34",IF(EmployeeData[[#This Row],[Age]]&lt;=44,"35-44",IF(EmployeeData[[#This Row],[Age]]&lt;=54,"45-54","55+"))))</f>
        <v>25-34</v>
      </c>
      <c r="Z322">
        <f ca="1">DATEDIF(EmployeeData[[#This Row],[DateOfJoining]],IF(AND(EmployeeData[[#This Row],[Attrition]]="Yes",EmployeeData[[#This Row],[LastWorkingDate]]&lt;&gt;""),EmployeeData[[#This Row],[LastWorkingDate]],TODAY()),"Y")</f>
        <v>14</v>
      </c>
      <c r="AA322" t="str">
        <f>IF(EmployeeData[[#This Row],[MonthlyIncome]]&lt;30000,"Low",IF(EmployeeData[[#This Row],[MonthlyIncome]]&lt;=60000,"Medium",IF(EmployeeData[[#This Row],[MonthlyIncome]]&lt;=100000,"High","Very High")))</f>
        <v>Very High</v>
      </c>
      <c r="AB322">
        <f>IF(EmployeeData[[#This Row],[Attrition]]="Yes",1,0)</f>
        <v>0</v>
      </c>
      <c r="AC322" t="str">
        <f ca="1">IF(EmployeeData[[#This Row],[Tenure Years]]&lt;1,"Less than 1 Year",IF(EmployeeData[[#This Row],[Tenure Years]]&lt;=3,"1-3 Years",IF(EmployeeData[[#This Row],[Tenure Years]]&lt;=5,"4-5 Years",IF(EmployeeData[[#This Row],[Tenure Years]]&lt;=10,"6-10 Years","More than 10 Years"))))</f>
        <v>More than 10 Years</v>
      </c>
      <c r="AD322">
        <f>ROUND(AVERAGE(EmployeeData[[#This Row],[JobSatisfaction]],EmployeeData[[#This Row],[EnvironmentSatisfaction]],EmployeeData[[#This Row],[WorkLifeBalance]]),2)</f>
        <v>3.67</v>
      </c>
      <c r="AE322" t="str">
        <f>IF(EmployeeData[[#This Row],[Satisfaction Score]]&lt;2,"Low",IF(EmployeeData[[#This Row],[Satisfaction Score]]&lt;3,"Medium","High"))</f>
        <v>High</v>
      </c>
    </row>
    <row r="323" spans="1:31" x14ac:dyDescent="0.25">
      <c r="A323" t="s">
        <v>1596</v>
      </c>
      <c r="B323" t="s">
        <v>1597</v>
      </c>
      <c r="C323" t="s">
        <v>49</v>
      </c>
      <c r="D323">
        <v>29</v>
      </c>
      <c r="E323" t="s">
        <v>5459</v>
      </c>
      <c r="F323" t="s">
        <v>226</v>
      </c>
      <c r="G323" s="1">
        <v>45033</v>
      </c>
      <c r="H323">
        <v>56852</v>
      </c>
      <c r="I323" t="s">
        <v>42</v>
      </c>
      <c r="J323" t="s">
        <v>61</v>
      </c>
      <c r="K323" t="s">
        <v>54</v>
      </c>
      <c r="L323" t="s">
        <v>43</v>
      </c>
      <c r="M323">
        <v>38</v>
      </c>
      <c r="N323" t="s">
        <v>34</v>
      </c>
      <c r="O323">
        <v>2</v>
      </c>
      <c r="P323">
        <v>4</v>
      </c>
      <c r="Q323">
        <v>2</v>
      </c>
      <c r="R323">
        <v>3</v>
      </c>
      <c r="S323">
        <v>1</v>
      </c>
      <c r="T323">
        <v>0</v>
      </c>
      <c r="U323">
        <v>14</v>
      </c>
      <c r="V323" t="s">
        <v>1599</v>
      </c>
      <c r="W323" t="s">
        <v>45</v>
      </c>
      <c r="X323" s="1">
        <v>45384</v>
      </c>
      <c r="Y323" s="2" t="str">
        <f>IF(EmployeeData[[#This Row],[Age]]&lt;25,"Under 25",IF(EmployeeData[[#This Row],[Age]]&lt;=34,"25-34",IF(EmployeeData[[#This Row],[Age]]&lt;=44,"35-44",IF(EmployeeData[[#This Row],[Age]]&lt;=54,"45-54","55+"))))</f>
        <v>25-34</v>
      </c>
      <c r="Z323">
        <f ca="1">DATEDIF(EmployeeData[[#This Row],[DateOfJoining]],IF(AND(EmployeeData[[#This Row],[Attrition]]="Yes",EmployeeData[[#This Row],[LastWorkingDate]]&lt;&gt;""),EmployeeData[[#This Row],[LastWorkingDate]],TODAY()),"Y")</f>
        <v>0</v>
      </c>
      <c r="AA323" t="str">
        <f>IF(EmployeeData[[#This Row],[MonthlyIncome]]&lt;30000,"Low",IF(EmployeeData[[#This Row],[MonthlyIncome]]&lt;=60000,"Medium",IF(EmployeeData[[#This Row],[MonthlyIncome]]&lt;=100000,"High","Very High")))</f>
        <v>Medium</v>
      </c>
      <c r="AB323">
        <f>IF(EmployeeData[[#This Row],[Attrition]]="Yes",1,0)</f>
        <v>1</v>
      </c>
      <c r="AC323" t="str">
        <f ca="1">IF(EmployeeData[[#This Row],[Tenure Years]]&lt;1,"Less than 1 Year",IF(EmployeeData[[#This Row],[Tenure Years]]&lt;=3,"1-3 Years",IF(EmployeeData[[#This Row],[Tenure Years]]&lt;=5,"4-5 Years",IF(EmployeeData[[#This Row],[Tenure Years]]&lt;=10,"6-10 Years","More than 10 Years"))))</f>
        <v>Less than 1 Year</v>
      </c>
      <c r="AD323">
        <f>ROUND(AVERAGE(EmployeeData[[#This Row],[JobSatisfaction]],EmployeeData[[#This Row],[EnvironmentSatisfaction]],EmployeeData[[#This Row],[WorkLifeBalance]]),2)</f>
        <v>2.67</v>
      </c>
      <c r="AE323" t="str">
        <f>IF(EmployeeData[[#This Row],[Satisfaction Score]]&lt;2,"Low",IF(EmployeeData[[#This Row],[Satisfaction Score]]&lt;3,"Medium","High"))</f>
        <v>Medium</v>
      </c>
    </row>
    <row r="324" spans="1:31" x14ac:dyDescent="0.25">
      <c r="A324" t="s">
        <v>1601</v>
      </c>
      <c r="B324" t="s">
        <v>1602</v>
      </c>
      <c r="C324" t="s">
        <v>49</v>
      </c>
      <c r="D324">
        <v>51</v>
      </c>
      <c r="E324" t="s">
        <v>27</v>
      </c>
      <c r="F324" t="s">
        <v>50</v>
      </c>
      <c r="G324" s="1">
        <v>43706</v>
      </c>
      <c r="H324">
        <v>49563</v>
      </c>
      <c r="I324" t="s">
        <v>52</v>
      </c>
      <c r="J324" t="s">
        <v>61</v>
      </c>
      <c r="K324" t="s">
        <v>98</v>
      </c>
      <c r="L324" t="s">
        <v>43</v>
      </c>
      <c r="M324">
        <v>25</v>
      </c>
      <c r="N324" t="s">
        <v>34</v>
      </c>
      <c r="O324">
        <v>3</v>
      </c>
      <c r="P324">
        <v>2</v>
      </c>
      <c r="Q324">
        <v>2</v>
      </c>
      <c r="R324">
        <v>3</v>
      </c>
      <c r="S324">
        <v>0</v>
      </c>
      <c r="T324">
        <v>3</v>
      </c>
      <c r="U324">
        <v>21</v>
      </c>
      <c r="V324" t="s">
        <v>1604</v>
      </c>
      <c r="W324" t="s">
        <v>34</v>
      </c>
      <c r="Y324" s="2" t="str">
        <f>IF(EmployeeData[[#This Row],[Age]]&lt;25,"Under 25",IF(EmployeeData[[#This Row],[Age]]&lt;=34,"25-34",IF(EmployeeData[[#This Row],[Age]]&lt;=44,"35-44",IF(EmployeeData[[#This Row],[Age]]&lt;=54,"45-54","55+"))))</f>
        <v>45-54</v>
      </c>
      <c r="Z324">
        <f ca="1">DATEDIF(EmployeeData[[#This Row],[DateOfJoining]],IF(AND(EmployeeData[[#This Row],[Attrition]]="Yes",EmployeeData[[#This Row],[LastWorkingDate]]&lt;&gt;""),EmployeeData[[#This Row],[LastWorkingDate]],TODAY()),"Y")</f>
        <v>7</v>
      </c>
      <c r="AA324" t="str">
        <f>IF(EmployeeData[[#This Row],[MonthlyIncome]]&lt;30000,"Low",IF(EmployeeData[[#This Row],[MonthlyIncome]]&lt;=60000,"Medium",IF(EmployeeData[[#This Row],[MonthlyIncome]]&lt;=100000,"High","Very High")))</f>
        <v>Medium</v>
      </c>
      <c r="AB324">
        <f>IF(EmployeeData[[#This Row],[Attrition]]="Yes",1,0)</f>
        <v>0</v>
      </c>
      <c r="AC324" t="str">
        <f ca="1">IF(EmployeeData[[#This Row],[Tenure Years]]&lt;1,"Less than 1 Year",IF(EmployeeData[[#This Row],[Tenure Years]]&lt;=3,"1-3 Years",IF(EmployeeData[[#This Row],[Tenure Years]]&lt;=5,"4-5 Years",IF(EmployeeData[[#This Row],[Tenure Years]]&lt;=10,"6-10 Years","More than 10 Years"))))</f>
        <v>6-10 Years</v>
      </c>
      <c r="AD324">
        <f>ROUND(AVERAGE(EmployeeData[[#This Row],[JobSatisfaction]],EmployeeData[[#This Row],[EnvironmentSatisfaction]],EmployeeData[[#This Row],[WorkLifeBalance]]),2)</f>
        <v>2.33</v>
      </c>
      <c r="AE324" t="str">
        <f>IF(EmployeeData[[#This Row],[Satisfaction Score]]&lt;2,"Low",IF(EmployeeData[[#This Row],[Satisfaction Score]]&lt;3,"Medium","High"))</f>
        <v>Medium</v>
      </c>
    </row>
    <row r="325" spans="1:31" x14ac:dyDescent="0.25">
      <c r="A325" t="s">
        <v>1605</v>
      </c>
      <c r="B325" t="s">
        <v>1606</v>
      </c>
      <c r="C325" t="s">
        <v>49</v>
      </c>
      <c r="D325">
        <v>51</v>
      </c>
      <c r="E325" t="s">
        <v>5461</v>
      </c>
      <c r="F325" t="s">
        <v>5463</v>
      </c>
      <c r="G325" s="1">
        <v>46223</v>
      </c>
      <c r="H325">
        <v>63578</v>
      </c>
      <c r="I325" t="s">
        <v>42</v>
      </c>
      <c r="J325" t="s">
        <v>61</v>
      </c>
      <c r="K325" t="s">
        <v>83</v>
      </c>
      <c r="L325" t="s">
        <v>62</v>
      </c>
      <c r="M325">
        <v>10</v>
      </c>
      <c r="N325" t="s">
        <v>34</v>
      </c>
      <c r="O325">
        <v>4</v>
      </c>
      <c r="P325">
        <v>1</v>
      </c>
      <c r="Q325">
        <v>4</v>
      </c>
      <c r="R325">
        <v>3</v>
      </c>
      <c r="S325">
        <v>5</v>
      </c>
      <c r="T325">
        <v>7</v>
      </c>
      <c r="U325">
        <v>12</v>
      </c>
      <c r="V325" t="s">
        <v>1608</v>
      </c>
      <c r="W325" t="s">
        <v>34</v>
      </c>
      <c r="Y325" s="2" t="str">
        <f>IF(EmployeeData[[#This Row],[Age]]&lt;25,"Under 25",IF(EmployeeData[[#This Row],[Age]]&lt;=34,"25-34",IF(EmployeeData[[#This Row],[Age]]&lt;=44,"35-44",IF(EmployeeData[[#This Row],[Age]]&lt;=54,"45-54","55+"))))</f>
        <v>45-54</v>
      </c>
      <c r="Z325">
        <f ca="1">DATEDIF(EmployeeData[[#This Row],[DateOfJoining]],IF(AND(EmployeeData[[#This Row],[Attrition]]="Yes",EmployeeData[[#This Row],[LastWorkingDate]]&lt;&gt;""),EmployeeData[[#This Row],[LastWorkingDate]],TODAY()),"Y")</f>
        <v>0</v>
      </c>
      <c r="AA325" t="str">
        <f>IF(EmployeeData[[#This Row],[MonthlyIncome]]&lt;30000,"Low",IF(EmployeeData[[#This Row],[MonthlyIncome]]&lt;=60000,"Medium",IF(EmployeeData[[#This Row],[MonthlyIncome]]&lt;=100000,"High","Very High")))</f>
        <v>High</v>
      </c>
      <c r="AB325">
        <f>IF(EmployeeData[[#This Row],[Attrition]]="Yes",1,0)</f>
        <v>0</v>
      </c>
      <c r="AC325" t="str">
        <f ca="1">IF(EmployeeData[[#This Row],[Tenure Years]]&lt;1,"Less than 1 Year",IF(EmployeeData[[#This Row],[Tenure Years]]&lt;=3,"1-3 Years",IF(EmployeeData[[#This Row],[Tenure Years]]&lt;=5,"4-5 Years",IF(EmployeeData[[#This Row],[Tenure Years]]&lt;=10,"6-10 Years","More than 10 Years"))))</f>
        <v>Less than 1 Year</v>
      </c>
      <c r="AD325">
        <f>ROUND(AVERAGE(EmployeeData[[#This Row],[JobSatisfaction]],EmployeeData[[#This Row],[EnvironmentSatisfaction]],EmployeeData[[#This Row],[WorkLifeBalance]]),2)</f>
        <v>3</v>
      </c>
      <c r="AE325" t="str">
        <f>IF(EmployeeData[[#This Row],[Satisfaction Score]]&lt;2,"Low",IF(EmployeeData[[#This Row],[Satisfaction Score]]&lt;3,"Medium","High"))</f>
        <v>High</v>
      </c>
    </row>
    <row r="326" spans="1:31" x14ac:dyDescent="0.25">
      <c r="A326" t="s">
        <v>1609</v>
      </c>
      <c r="B326" t="s">
        <v>5459</v>
      </c>
      <c r="C326" t="s">
        <v>49</v>
      </c>
      <c r="D326">
        <v>28</v>
      </c>
      <c r="E326" t="s">
        <v>27</v>
      </c>
      <c r="F326" t="s">
        <v>50</v>
      </c>
      <c r="G326" s="1">
        <v>42133</v>
      </c>
      <c r="H326">
        <v>92820</v>
      </c>
      <c r="I326" t="s">
        <v>30</v>
      </c>
      <c r="J326" t="s">
        <v>53</v>
      </c>
      <c r="K326" t="s">
        <v>106</v>
      </c>
      <c r="L326" t="s">
        <v>33</v>
      </c>
      <c r="M326">
        <v>24</v>
      </c>
      <c r="N326" t="s">
        <v>45</v>
      </c>
      <c r="O326">
        <v>3</v>
      </c>
      <c r="P326">
        <v>4</v>
      </c>
      <c r="Q326">
        <v>1</v>
      </c>
      <c r="R326">
        <v>3</v>
      </c>
      <c r="S326">
        <v>4</v>
      </c>
      <c r="T326">
        <v>3</v>
      </c>
      <c r="U326">
        <v>18</v>
      </c>
      <c r="V326" t="s">
        <v>1612</v>
      </c>
      <c r="W326" t="s">
        <v>34</v>
      </c>
      <c r="Y326" s="2" t="str">
        <f>IF(EmployeeData[[#This Row],[Age]]&lt;25,"Under 25",IF(EmployeeData[[#This Row],[Age]]&lt;=34,"25-34",IF(EmployeeData[[#This Row],[Age]]&lt;=44,"35-44",IF(EmployeeData[[#This Row],[Age]]&lt;=54,"45-54","55+"))))</f>
        <v>25-34</v>
      </c>
      <c r="Z326">
        <f ca="1">DATEDIF(EmployeeData[[#This Row],[DateOfJoining]],IF(AND(EmployeeData[[#This Row],[Attrition]]="Yes",EmployeeData[[#This Row],[LastWorkingDate]]&lt;&gt;""),EmployeeData[[#This Row],[LastWorkingDate]],TODAY()),"Y")</f>
        <v>11</v>
      </c>
      <c r="AA326" t="str">
        <f>IF(EmployeeData[[#This Row],[MonthlyIncome]]&lt;30000,"Low",IF(EmployeeData[[#This Row],[MonthlyIncome]]&lt;=60000,"Medium",IF(EmployeeData[[#This Row],[MonthlyIncome]]&lt;=100000,"High","Very High")))</f>
        <v>High</v>
      </c>
      <c r="AB326">
        <f>IF(EmployeeData[[#This Row],[Attrition]]="Yes",1,0)</f>
        <v>0</v>
      </c>
      <c r="AC326" t="str">
        <f ca="1">IF(EmployeeData[[#This Row],[Tenure Years]]&lt;1,"Less than 1 Year",IF(EmployeeData[[#This Row],[Tenure Years]]&lt;=3,"1-3 Years",IF(EmployeeData[[#This Row],[Tenure Years]]&lt;=5,"4-5 Years",IF(EmployeeData[[#This Row],[Tenure Years]]&lt;=10,"6-10 Years","More than 10 Years"))))</f>
        <v>More than 10 Years</v>
      </c>
      <c r="AD326">
        <f>ROUND(AVERAGE(EmployeeData[[#This Row],[JobSatisfaction]],EmployeeData[[#This Row],[EnvironmentSatisfaction]],EmployeeData[[#This Row],[WorkLifeBalance]]),2)</f>
        <v>2.67</v>
      </c>
      <c r="AE326" t="str">
        <f>IF(EmployeeData[[#This Row],[Satisfaction Score]]&lt;2,"Low",IF(EmployeeData[[#This Row],[Satisfaction Score]]&lt;3,"Medium","High"))</f>
        <v>Medium</v>
      </c>
    </row>
    <row r="327" spans="1:31" x14ac:dyDescent="0.25">
      <c r="A327" t="s">
        <v>1613</v>
      </c>
      <c r="B327" t="s">
        <v>1614</v>
      </c>
      <c r="C327" t="s">
        <v>58</v>
      </c>
      <c r="D327">
        <v>33</v>
      </c>
      <c r="E327" t="s">
        <v>412</v>
      </c>
      <c r="F327" t="s">
        <v>945</v>
      </c>
      <c r="G327" s="1">
        <v>46182</v>
      </c>
      <c r="H327">
        <v>49670</v>
      </c>
      <c r="I327" t="s">
        <v>30</v>
      </c>
      <c r="J327" t="s">
        <v>61</v>
      </c>
      <c r="K327" t="s">
        <v>131</v>
      </c>
      <c r="L327" t="s">
        <v>43</v>
      </c>
      <c r="M327">
        <v>11</v>
      </c>
      <c r="N327" t="s">
        <v>34</v>
      </c>
      <c r="O327">
        <v>1</v>
      </c>
      <c r="P327">
        <v>2</v>
      </c>
      <c r="Q327">
        <v>4</v>
      </c>
      <c r="R327">
        <v>4</v>
      </c>
      <c r="S327">
        <v>2</v>
      </c>
      <c r="T327">
        <v>0</v>
      </c>
      <c r="U327">
        <v>11</v>
      </c>
      <c r="V327" t="s">
        <v>1618</v>
      </c>
      <c r="W327" t="s">
        <v>45</v>
      </c>
      <c r="X327" s="1">
        <v>46249</v>
      </c>
      <c r="Y327" s="2" t="str">
        <f>IF(EmployeeData[[#This Row],[Age]]&lt;25,"Under 25",IF(EmployeeData[[#This Row],[Age]]&lt;=34,"25-34",IF(EmployeeData[[#This Row],[Age]]&lt;=44,"35-44",IF(EmployeeData[[#This Row],[Age]]&lt;=54,"45-54","55+"))))</f>
        <v>25-34</v>
      </c>
      <c r="Z327">
        <f ca="1">DATEDIF(EmployeeData[[#This Row],[DateOfJoining]],IF(AND(EmployeeData[[#This Row],[Attrition]]="Yes",EmployeeData[[#This Row],[LastWorkingDate]]&lt;&gt;""),EmployeeData[[#This Row],[LastWorkingDate]],TODAY()),"Y")</f>
        <v>0</v>
      </c>
      <c r="AA327" t="str">
        <f>IF(EmployeeData[[#This Row],[MonthlyIncome]]&lt;30000,"Low",IF(EmployeeData[[#This Row],[MonthlyIncome]]&lt;=60000,"Medium",IF(EmployeeData[[#This Row],[MonthlyIncome]]&lt;=100000,"High","Very High")))</f>
        <v>Medium</v>
      </c>
      <c r="AB327">
        <f>IF(EmployeeData[[#This Row],[Attrition]]="Yes",1,0)</f>
        <v>1</v>
      </c>
      <c r="AC327" t="str">
        <f ca="1">IF(EmployeeData[[#This Row],[Tenure Years]]&lt;1,"Less than 1 Year",IF(EmployeeData[[#This Row],[Tenure Years]]&lt;=3,"1-3 Years",IF(EmployeeData[[#This Row],[Tenure Years]]&lt;=5,"4-5 Years",IF(EmployeeData[[#This Row],[Tenure Years]]&lt;=10,"6-10 Years","More than 10 Years"))))</f>
        <v>Less than 1 Year</v>
      </c>
      <c r="AD327">
        <f>ROUND(AVERAGE(EmployeeData[[#This Row],[JobSatisfaction]],EmployeeData[[#This Row],[EnvironmentSatisfaction]],EmployeeData[[#This Row],[WorkLifeBalance]]),2)</f>
        <v>2.33</v>
      </c>
      <c r="AE327" t="str">
        <f>IF(EmployeeData[[#This Row],[Satisfaction Score]]&lt;2,"Low",IF(EmployeeData[[#This Row],[Satisfaction Score]]&lt;3,"Medium","High"))</f>
        <v>Medium</v>
      </c>
    </row>
    <row r="328" spans="1:31" x14ac:dyDescent="0.25">
      <c r="A328" t="s">
        <v>1620</v>
      </c>
      <c r="B328" t="s">
        <v>1621</v>
      </c>
      <c r="C328" t="s">
        <v>49</v>
      </c>
      <c r="D328">
        <v>20</v>
      </c>
      <c r="E328" t="s">
        <v>27</v>
      </c>
      <c r="F328" t="s">
        <v>75</v>
      </c>
      <c r="G328" s="1">
        <v>43594</v>
      </c>
      <c r="H328">
        <v>83084</v>
      </c>
      <c r="I328" t="s">
        <v>42</v>
      </c>
      <c r="J328" t="s">
        <v>53</v>
      </c>
      <c r="K328" t="s">
        <v>113</v>
      </c>
      <c r="L328" t="s">
        <v>62</v>
      </c>
      <c r="M328">
        <v>3</v>
      </c>
      <c r="N328" t="s">
        <v>45</v>
      </c>
      <c r="O328">
        <v>1</v>
      </c>
      <c r="P328">
        <v>4</v>
      </c>
      <c r="Q328">
        <v>3</v>
      </c>
      <c r="R328">
        <v>4</v>
      </c>
      <c r="S328">
        <v>4</v>
      </c>
      <c r="T328">
        <v>6</v>
      </c>
      <c r="U328">
        <v>12</v>
      </c>
      <c r="V328" t="s">
        <v>1623</v>
      </c>
      <c r="W328" t="s">
        <v>45</v>
      </c>
      <c r="X328" s="1">
        <v>44240</v>
      </c>
      <c r="Y328" s="2" t="str">
        <f>IF(EmployeeData[[#This Row],[Age]]&lt;25,"Under 25",IF(EmployeeData[[#This Row],[Age]]&lt;=34,"25-34",IF(EmployeeData[[#This Row],[Age]]&lt;=44,"35-44",IF(EmployeeData[[#This Row],[Age]]&lt;=54,"45-54","55+"))))</f>
        <v>Under 25</v>
      </c>
      <c r="Z328">
        <f ca="1">DATEDIF(EmployeeData[[#This Row],[DateOfJoining]],IF(AND(EmployeeData[[#This Row],[Attrition]]="Yes",EmployeeData[[#This Row],[LastWorkingDate]]&lt;&gt;""),EmployeeData[[#This Row],[LastWorkingDate]],TODAY()),"Y")</f>
        <v>1</v>
      </c>
      <c r="AA328" t="str">
        <f>IF(EmployeeData[[#This Row],[MonthlyIncome]]&lt;30000,"Low",IF(EmployeeData[[#This Row],[MonthlyIncome]]&lt;=60000,"Medium",IF(EmployeeData[[#This Row],[MonthlyIncome]]&lt;=100000,"High","Very High")))</f>
        <v>High</v>
      </c>
      <c r="AB328">
        <f>IF(EmployeeData[[#This Row],[Attrition]]="Yes",1,0)</f>
        <v>1</v>
      </c>
      <c r="AC328" t="str">
        <f ca="1">IF(EmployeeData[[#This Row],[Tenure Years]]&lt;1,"Less than 1 Year",IF(EmployeeData[[#This Row],[Tenure Years]]&lt;=3,"1-3 Years",IF(EmployeeData[[#This Row],[Tenure Years]]&lt;=5,"4-5 Years",IF(EmployeeData[[#This Row],[Tenure Years]]&lt;=10,"6-10 Years","More than 10 Years"))))</f>
        <v>1-3 Years</v>
      </c>
      <c r="AD328">
        <f>ROUND(AVERAGE(EmployeeData[[#This Row],[JobSatisfaction]],EmployeeData[[#This Row],[EnvironmentSatisfaction]],EmployeeData[[#This Row],[WorkLifeBalance]]),2)</f>
        <v>2.67</v>
      </c>
      <c r="AE328" t="str">
        <f>IF(EmployeeData[[#This Row],[Satisfaction Score]]&lt;2,"Low",IF(EmployeeData[[#This Row],[Satisfaction Score]]&lt;3,"Medium","High"))</f>
        <v>Medium</v>
      </c>
    </row>
    <row r="329" spans="1:31" x14ac:dyDescent="0.25">
      <c r="A329" t="s">
        <v>1625</v>
      </c>
      <c r="B329" t="s">
        <v>1626</v>
      </c>
      <c r="C329" t="s">
        <v>49</v>
      </c>
      <c r="D329">
        <v>43</v>
      </c>
      <c r="E329" t="s">
        <v>94</v>
      </c>
      <c r="F329" t="s">
        <v>356</v>
      </c>
      <c r="G329" s="1">
        <v>41925</v>
      </c>
      <c r="H329">
        <v>97849</v>
      </c>
      <c r="I329" t="s">
        <v>42</v>
      </c>
      <c r="J329" t="s">
        <v>97</v>
      </c>
      <c r="K329" t="s">
        <v>54</v>
      </c>
      <c r="L329" t="s">
        <v>62</v>
      </c>
      <c r="M329">
        <v>27</v>
      </c>
      <c r="N329" t="s">
        <v>34</v>
      </c>
      <c r="O329">
        <v>1</v>
      </c>
      <c r="P329">
        <v>4</v>
      </c>
      <c r="Q329">
        <v>3</v>
      </c>
      <c r="R329">
        <v>2</v>
      </c>
      <c r="S329">
        <v>2</v>
      </c>
      <c r="T329">
        <v>6</v>
      </c>
      <c r="U329">
        <v>18</v>
      </c>
      <c r="V329" t="s">
        <v>1628</v>
      </c>
      <c r="W329" t="s">
        <v>34</v>
      </c>
      <c r="Y329" s="2" t="str">
        <f>IF(EmployeeData[[#This Row],[Age]]&lt;25,"Under 25",IF(EmployeeData[[#This Row],[Age]]&lt;=34,"25-34",IF(EmployeeData[[#This Row],[Age]]&lt;=44,"35-44",IF(EmployeeData[[#This Row],[Age]]&lt;=54,"45-54","55+"))))</f>
        <v>35-44</v>
      </c>
      <c r="Z329">
        <f ca="1">DATEDIF(EmployeeData[[#This Row],[DateOfJoining]],IF(AND(EmployeeData[[#This Row],[Attrition]]="Yes",EmployeeData[[#This Row],[LastWorkingDate]]&lt;&gt;""),EmployeeData[[#This Row],[LastWorkingDate]],TODAY()),"Y")</f>
        <v>11</v>
      </c>
      <c r="AA329" t="str">
        <f>IF(EmployeeData[[#This Row],[MonthlyIncome]]&lt;30000,"Low",IF(EmployeeData[[#This Row],[MonthlyIncome]]&lt;=60000,"Medium",IF(EmployeeData[[#This Row],[MonthlyIncome]]&lt;=100000,"High","Very High")))</f>
        <v>High</v>
      </c>
      <c r="AB329">
        <f>IF(EmployeeData[[#This Row],[Attrition]]="Yes",1,0)</f>
        <v>0</v>
      </c>
      <c r="AC329" t="str">
        <f ca="1">IF(EmployeeData[[#This Row],[Tenure Years]]&lt;1,"Less than 1 Year",IF(EmployeeData[[#This Row],[Tenure Years]]&lt;=3,"1-3 Years",IF(EmployeeData[[#This Row],[Tenure Years]]&lt;=5,"4-5 Years",IF(EmployeeData[[#This Row],[Tenure Years]]&lt;=10,"6-10 Years","More than 10 Years"))))</f>
        <v>More than 10 Years</v>
      </c>
      <c r="AD329">
        <f>ROUND(AVERAGE(EmployeeData[[#This Row],[JobSatisfaction]],EmployeeData[[#This Row],[EnvironmentSatisfaction]],EmployeeData[[#This Row],[WorkLifeBalance]]),2)</f>
        <v>2.67</v>
      </c>
      <c r="AE329" t="str">
        <f>IF(EmployeeData[[#This Row],[Satisfaction Score]]&lt;2,"Low",IF(EmployeeData[[#This Row],[Satisfaction Score]]&lt;3,"Medium","High"))</f>
        <v>Medium</v>
      </c>
    </row>
    <row r="330" spans="1:31" x14ac:dyDescent="0.25">
      <c r="A330" t="s">
        <v>1629</v>
      </c>
      <c r="B330" t="s">
        <v>1630</v>
      </c>
      <c r="C330" t="s">
        <v>49</v>
      </c>
      <c r="D330">
        <v>39</v>
      </c>
      <c r="E330" t="s">
        <v>5461</v>
      </c>
      <c r="F330" t="s">
        <v>5464</v>
      </c>
      <c r="G330" s="1">
        <v>45336</v>
      </c>
      <c r="H330">
        <v>97985</v>
      </c>
      <c r="I330" t="s">
        <v>30</v>
      </c>
      <c r="J330" t="s">
        <v>31</v>
      </c>
      <c r="K330" t="s">
        <v>131</v>
      </c>
      <c r="L330" t="s">
        <v>33</v>
      </c>
      <c r="M330">
        <v>21</v>
      </c>
      <c r="N330" t="s">
        <v>34</v>
      </c>
      <c r="O330">
        <v>4</v>
      </c>
      <c r="P330">
        <v>3</v>
      </c>
      <c r="Q330">
        <v>1</v>
      </c>
      <c r="R330">
        <v>3</v>
      </c>
      <c r="S330">
        <v>4</v>
      </c>
      <c r="T330">
        <v>6</v>
      </c>
      <c r="U330">
        <v>13</v>
      </c>
      <c r="V330" t="s">
        <v>1633</v>
      </c>
      <c r="W330" t="s">
        <v>34</v>
      </c>
      <c r="Y330" s="2" t="str">
        <f>IF(EmployeeData[[#This Row],[Age]]&lt;25,"Under 25",IF(EmployeeData[[#This Row],[Age]]&lt;=34,"25-34",IF(EmployeeData[[#This Row],[Age]]&lt;=44,"35-44",IF(EmployeeData[[#This Row],[Age]]&lt;=54,"45-54","55+"))))</f>
        <v>35-44</v>
      </c>
      <c r="Z330">
        <f ca="1">DATEDIF(EmployeeData[[#This Row],[DateOfJoining]],IF(AND(EmployeeData[[#This Row],[Attrition]]="Yes",EmployeeData[[#This Row],[LastWorkingDate]]&lt;&gt;""),EmployeeData[[#This Row],[LastWorkingDate]],TODAY()),"Y")</f>
        <v>2</v>
      </c>
      <c r="AA330" t="str">
        <f>IF(EmployeeData[[#This Row],[MonthlyIncome]]&lt;30000,"Low",IF(EmployeeData[[#This Row],[MonthlyIncome]]&lt;=60000,"Medium",IF(EmployeeData[[#This Row],[MonthlyIncome]]&lt;=100000,"High","Very High")))</f>
        <v>High</v>
      </c>
      <c r="AB330">
        <f>IF(EmployeeData[[#This Row],[Attrition]]="Yes",1,0)</f>
        <v>0</v>
      </c>
      <c r="AC330" t="str">
        <f ca="1">IF(EmployeeData[[#This Row],[Tenure Years]]&lt;1,"Less than 1 Year",IF(EmployeeData[[#This Row],[Tenure Years]]&lt;=3,"1-3 Years",IF(EmployeeData[[#This Row],[Tenure Years]]&lt;=5,"4-5 Years",IF(EmployeeData[[#This Row],[Tenure Years]]&lt;=10,"6-10 Years","More than 10 Years"))))</f>
        <v>1-3 Years</v>
      </c>
      <c r="AD330">
        <f>ROUND(AVERAGE(EmployeeData[[#This Row],[JobSatisfaction]],EmployeeData[[#This Row],[EnvironmentSatisfaction]],EmployeeData[[#This Row],[WorkLifeBalance]]),2)</f>
        <v>2.67</v>
      </c>
      <c r="AE330" t="str">
        <f>IF(EmployeeData[[#This Row],[Satisfaction Score]]&lt;2,"Low",IF(EmployeeData[[#This Row],[Satisfaction Score]]&lt;3,"Medium","High"))</f>
        <v>Medium</v>
      </c>
    </row>
    <row r="331" spans="1:31" x14ac:dyDescent="0.25">
      <c r="A331" t="s">
        <v>1634</v>
      </c>
      <c r="B331" t="s">
        <v>1635</v>
      </c>
      <c r="C331" t="s">
        <v>5459</v>
      </c>
      <c r="D331">
        <v>31</v>
      </c>
      <c r="E331" t="s">
        <v>128</v>
      </c>
      <c r="F331" t="s">
        <v>226</v>
      </c>
      <c r="G331" s="1">
        <v>40886</v>
      </c>
      <c r="H331">
        <v>87446</v>
      </c>
      <c r="I331" t="s">
        <v>42</v>
      </c>
      <c r="J331" t="s">
        <v>143</v>
      </c>
      <c r="K331" t="s">
        <v>113</v>
      </c>
      <c r="L331" t="s">
        <v>33</v>
      </c>
      <c r="M331">
        <v>36</v>
      </c>
      <c r="N331" t="s">
        <v>34</v>
      </c>
      <c r="O331">
        <v>1</v>
      </c>
      <c r="P331">
        <v>4</v>
      </c>
      <c r="Q331">
        <v>3</v>
      </c>
      <c r="R331">
        <v>3</v>
      </c>
      <c r="S331">
        <v>6</v>
      </c>
      <c r="T331">
        <v>4</v>
      </c>
      <c r="U331">
        <v>25</v>
      </c>
      <c r="V331" t="s">
        <v>1637</v>
      </c>
      <c r="W331" t="s">
        <v>34</v>
      </c>
      <c r="Y331" s="2" t="str">
        <f>IF(EmployeeData[[#This Row],[Age]]&lt;25,"Under 25",IF(EmployeeData[[#This Row],[Age]]&lt;=34,"25-34",IF(EmployeeData[[#This Row],[Age]]&lt;=44,"35-44",IF(EmployeeData[[#This Row],[Age]]&lt;=54,"45-54","55+"))))</f>
        <v>25-34</v>
      </c>
      <c r="Z331">
        <f ca="1">DATEDIF(EmployeeData[[#This Row],[DateOfJoining]],IF(AND(EmployeeData[[#This Row],[Attrition]]="Yes",EmployeeData[[#This Row],[LastWorkingDate]]&lt;&gt;""),EmployeeData[[#This Row],[LastWorkingDate]],TODAY()),"Y")</f>
        <v>14</v>
      </c>
      <c r="AA331" t="str">
        <f>IF(EmployeeData[[#This Row],[MonthlyIncome]]&lt;30000,"Low",IF(EmployeeData[[#This Row],[MonthlyIncome]]&lt;=60000,"Medium",IF(EmployeeData[[#This Row],[MonthlyIncome]]&lt;=100000,"High","Very High")))</f>
        <v>High</v>
      </c>
      <c r="AB331">
        <f>IF(EmployeeData[[#This Row],[Attrition]]="Yes",1,0)</f>
        <v>0</v>
      </c>
      <c r="AC331" t="str">
        <f ca="1">IF(EmployeeData[[#This Row],[Tenure Years]]&lt;1,"Less than 1 Year",IF(EmployeeData[[#This Row],[Tenure Years]]&lt;=3,"1-3 Years",IF(EmployeeData[[#This Row],[Tenure Years]]&lt;=5,"4-5 Years",IF(EmployeeData[[#This Row],[Tenure Years]]&lt;=10,"6-10 Years","More than 10 Years"))))</f>
        <v>More than 10 Years</v>
      </c>
      <c r="AD331">
        <f>ROUND(AVERAGE(EmployeeData[[#This Row],[JobSatisfaction]],EmployeeData[[#This Row],[EnvironmentSatisfaction]],EmployeeData[[#This Row],[WorkLifeBalance]]),2)</f>
        <v>2.67</v>
      </c>
      <c r="AE331" t="str">
        <f>IF(EmployeeData[[#This Row],[Satisfaction Score]]&lt;2,"Low",IF(EmployeeData[[#This Row],[Satisfaction Score]]&lt;3,"Medium","High"))</f>
        <v>Medium</v>
      </c>
    </row>
    <row r="332" spans="1:31" x14ac:dyDescent="0.25">
      <c r="A332" t="s">
        <v>1638</v>
      </c>
      <c r="B332" t="s">
        <v>1639</v>
      </c>
      <c r="C332" t="s">
        <v>49</v>
      </c>
      <c r="D332">
        <v>36</v>
      </c>
      <c r="E332" t="s">
        <v>27</v>
      </c>
      <c r="F332" t="s">
        <v>75</v>
      </c>
      <c r="G332" s="1">
        <v>44795</v>
      </c>
      <c r="H332">
        <v>107267</v>
      </c>
      <c r="I332" t="s">
        <v>42</v>
      </c>
      <c r="J332" t="s">
        <v>97</v>
      </c>
      <c r="K332" t="s">
        <v>131</v>
      </c>
      <c r="L332" t="s">
        <v>33</v>
      </c>
      <c r="M332">
        <v>4</v>
      </c>
      <c r="N332" t="s">
        <v>34</v>
      </c>
      <c r="O332">
        <v>3</v>
      </c>
      <c r="P332">
        <v>1</v>
      </c>
      <c r="Q332">
        <v>2</v>
      </c>
      <c r="R332">
        <v>3</v>
      </c>
      <c r="S332">
        <v>4</v>
      </c>
      <c r="T332">
        <v>0</v>
      </c>
      <c r="U332">
        <v>22</v>
      </c>
      <c r="V332" t="s">
        <v>1641</v>
      </c>
      <c r="W332" t="s">
        <v>34</v>
      </c>
      <c r="Y332" s="2" t="str">
        <f>IF(EmployeeData[[#This Row],[Age]]&lt;25,"Under 25",IF(EmployeeData[[#This Row],[Age]]&lt;=34,"25-34",IF(EmployeeData[[#This Row],[Age]]&lt;=44,"35-44",IF(EmployeeData[[#This Row],[Age]]&lt;=54,"45-54","55+"))))</f>
        <v>35-44</v>
      </c>
      <c r="Z332">
        <f ca="1">DATEDIF(EmployeeData[[#This Row],[DateOfJoining]],IF(AND(EmployeeData[[#This Row],[Attrition]]="Yes",EmployeeData[[#This Row],[LastWorkingDate]]&lt;&gt;""),EmployeeData[[#This Row],[LastWorkingDate]],TODAY()),"Y")</f>
        <v>4</v>
      </c>
      <c r="AA332" t="str">
        <f>IF(EmployeeData[[#This Row],[MonthlyIncome]]&lt;30000,"Low",IF(EmployeeData[[#This Row],[MonthlyIncome]]&lt;=60000,"Medium",IF(EmployeeData[[#This Row],[MonthlyIncome]]&lt;=100000,"High","Very High")))</f>
        <v>Very High</v>
      </c>
      <c r="AB332">
        <f>IF(EmployeeData[[#This Row],[Attrition]]="Yes",1,0)</f>
        <v>0</v>
      </c>
      <c r="AC332" t="str">
        <f ca="1">IF(EmployeeData[[#This Row],[Tenure Years]]&lt;1,"Less than 1 Year",IF(EmployeeData[[#This Row],[Tenure Years]]&lt;=3,"1-3 Years",IF(EmployeeData[[#This Row],[Tenure Years]]&lt;=5,"4-5 Years",IF(EmployeeData[[#This Row],[Tenure Years]]&lt;=10,"6-10 Years","More than 10 Years"))))</f>
        <v>4-5 Years</v>
      </c>
      <c r="AD332">
        <f>ROUND(AVERAGE(EmployeeData[[#This Row],[JobSatisfaction]],EmployeeData[[#This Row],[EnvironmentSatisfaction]],EmployeeData[[#This Row],[WorkLifeBalance]]),2)</f>
        <v>2</v>
      </c>
      <c r="AE332" t="str">
        <f>IF(EmployeeData[[#This Row],[Satisfaction Score]]&lt;2,"Low",IF(EmployeeData[[#This Row],[Satisfaction Score]]&lt;3,"Medium","High"))</f>
        <v>Medium</v>
      </c>
    </row>
    <row r="333" spans="1:31" x14ac:dyDescent="0.25">
      <c r="A333" t="s">
        <v>1642</v>
      </c>
      <c r="B333" t="s">
        <v>1643</v>
      </c>
      <c r="C333" t="s">
        <v>49</v>
      </c>
      <c r="D333">
        <v>19</v>
      </c>
      <c r="E333" t="s">
        <v>5461</v>
      </c>
      <c r="F333" t="s">
        <v>261</v>
      </c>
      <c r="G333" s="1">
        <v>44987</v>
      </c>
      <c r="H333">
        <v>73580</v>
      </c>
      <c r="I333" t="s">
        <v>42</v>
      </c>
      <c r="J333" t="s">
        <v>31</v>
      </c>
      <c r="K333" t="s">
        <v>83</v>
      </c>
      <c r="L333" t="s">
        <v>33</v>
      </c>
      <c r="M333">
        <v>32</v>
      </c>
      <c r="N333" t="s">
        <v>34</v>
      </c>
      <c r="O333">
        <v>2</v>
      </c>
      <c r="P333">
        <v>4</v>
      </c>
      <c r="Q333">
        <v>1</v>
      </c>
      <c r="R333">
        <v>3</v>
      </c>
      <c r="S333">
        <v>1</v>
      </c>
      <c r="T333">
        <v>1</v>
      </c>
      <c r="U333">
        <v>16</v>
      </c>
      <c r="V333" t="s">
        <v>1646</v>
      </c>
      <c r="W333" t="s">
        <v>45</v>
      </c>
      <c r="X333" s="1">
        <v>45653</v>
      </c>
      <c r="Y333" s="2" t="str">
        <f>IF(EmployeeData[[#This Row],[Age]]&lt;25,"Under 25",IF(EmployeeData[[#This Row],[Age]]&lt;=34,"25-34",IF(EmployeeData[[#This Row],[Age]]&lt;=44,"35-44",IF(EmployeeData[[#This Row],[Age]]&lt;=54,"45-54","55+"))))</f>
        <v>Under 25</v>
      </c>
      <c r="Z333">
        <f ca="1">DATEDIF(EmployeeData[[#This Row],[DateOfJoining]],IF(AND(EmployeeData[[#This Row],[Attrition]]="Yes",EmployeeData[[#This Row],[LastWorkingDate]]&lt;&gt;""),EmployeeData[[#This Row],[LastWorkingDate]],TODAY()),"Y")</f>
        <v>1</v>
      </c>
      <c r="AA333" t="str">
        <f>IF(EmployeeData[[#This Row],[MonthlyIncome]]&lt;30000,"Low",IF(EmployeeData[[#This Row],[MonthlyIncome]]&lt;=60000,"Medium",IF(EmployeeData[[#This Row],[MonthlyIncome]]&lt;=100000,"High","Very High")))</f>
        <v>High</v>
      </c>
      <c r="AB333">
        <f>IF(EmployeeData[[#This Row],[Attrition]]="Yes",1,0)</f>
        <v>1</v>
      </c>
      <c r="AC333" t="str">
        <f ca="1">IF(EmployeeData[[#This Row],[Tenure Years]]&lt;1,"Less than 1 Year",IF(EmployeeData[[#This Row],[Tenure Years]]&lt;=3,"1-3 Years",IF(EmployeeData[[#This Row],[Tenure Years]]&lt;=5,"4-5 Years",IF(EmployeeData[[#This Row],[Tenure Years]]&lt;=10,"6-10 Years","More than 10 Years"))))</f>
        <v>1-3 Years</v>
      </c>
      <c r="AD333">
        <f>ROUND(AVERAGE(EmployeeData[[#This Row],[JobSatisfaction]],EmployeeData[[#This Row],[EnvironmentSatisfaction]],EmployeeData[[#This Row],[WorkLifeBalance]]),2)</f>
        <v>2.33</v>
      </c>
      <c r="AE333" t="str">
        <f>IF(EmployeeData[[#This Row],[Satisfaction Score]]&lt;2,"Low",IF(EmployeeData[[#This Row],[Satisfaction Score]]&lt;3,"Medium","High"))</f>
        <v>Medium</v>
      </c>
    </row>
    <row r="334" spans="1:31" x14ac:dyDescent="0.25">
      <c r="A334" t="s">
        <v>1648</v>
      </c>
      <c r="B334" t="s">
        <v>1649</v>
      </c>
      <c r="C334" t="s">
        <v>49</v>
      </c>
      <c r="D334">
        <v>39</v>
      </c>
      <c r="E334" t="s">
        <v>5459</v>
      </c>
      <c r="F334" t="s">
        <v>50</v>
      </c>
      <c r="G334" s="1">
        <v>43237</v>
      </c>
      <c r="H334">
        <v>90855</v>
      </c>
      <c r="I334" t="s">
        <v>5459</v>
      </c>
      <c r="J334" t="s">
        <v>31</v>
      </c>
      <c r="K334" t="s">
        <v>167</v>
      </c>
      <c r="L334" t="s">
        <v>33</v>
      </c>
      <c r="M334">
        <v>18</v>
      </c>
      <c r="N334" t="s">
        <v>34</v>
      </c>
      <c r="O334">
        <v>1</v>
      </c>
      <c r="P334">
        <v>4</v>
      </c>
      <c r="Q334">
        <v>3</v>
      </c>
      <c r="R334">
        <v>3</v>
      </c>
      <c r="S334">
        <v>2</v>
      </c>
      <c r="T334">
        <v>3</v>
      </c>
      <c r="U334">
        <v>18</v>
      </c>
      <c r="V334" t="s">
        <v>1652</v>
      </c>
      <c r="W334" t="s">
        <v>34</v>
      </c>
      <c r="Y334" s="2" t="str">
        <f>IF(EmployeeData[[#This Row],[Age]]&lt;25,"Under 25",IF(EmployeeData[[#This Row],[Age]]&lt;=34,"25-34",IF(EmployeeData[[#This Row],[Age]]&lt;=44,"35-44",IF(EmployeeData[[#This Row],[Age]]&lt;=54,"45-54","55+"))))</f>
        <v>35-44</v>
      </c>
      <c r="Z334">
        <f ca="1">DATEDIF(EmployeeData[[#This Row],[DateOfJoining]],IF(AND(EmployeeData[[#This Row],[Attrition]]="Yes",EmployeeData[[#This Row],[LastWorkingDate]]&lt;&gt;""),EmployeeData[[#This Row],[LastWorkingDate]],TODAY()),"Y")</f>
        <v>8</v>
      </c>
      <c r="AA334" t="str">
        <f>IF(EmployeeData[[#This Row],[MonthlyIncome]]&lt;30000,"Low",IF(EmployeeData[[#This Row],[MonthlyIncome]]&lt;=60000,"Medium",IF(EmployeeData[[#This Row],[MonthlyIncome]]&lt;=100000,"High","Very High")))</f>
        <v>High</v>
      </c>
      <c r="AB334">
        <f>IF(EmployeeData[[#This Row],[Attrition]]="Yes",1,0)</f>
        <v>0</v>
      </c>
      <c r="AC334" t="str">
        <f ca="1">IF(EmployeeData[[#This Row],[Tenure Years]]&lt;1,"Less than 1 Year",IF(EmployeeData[[#This Row],[Tenure Years]]&lt;=3,"1-3 Years",IF(EmployeeData[[#This Row],[Tenure Years]]&lt;=5,"4-5 Years",IF(EmployeeData[[#This Row],[Tenure Years]]&lt;=10,"6-10 Years","More than 10 Years"))))</f>
        <v>6-10 Years</v>
      </c>
      <c r="AD334">
        <f>ROUND(AVERAGE(EmployeeData[[#This Row],[JobSatisfaction]],EmployeeData[[#This Row],[EnvironmentSatisfaction]],EmployeeData[[#This Row],[WorkLifeBalance]]),2)</f>
        <v>2.67</v>
      </c>
      <c r="AE334" t="str">
        <f>IF(EmployeeData[[#This Row],[Satisfaction Score]]&lt;2,"Low",IF(EmployeeData[[#This Row],[Satisfaction Score]]&lt;3,"Medium","High"))</f>
        <v>Medium</v>
      </c>
    </row>
    <row r="335" spans="1:31" x14ac:dyDescent="0.25">
      <c r="A335" t="s">
        <v>1653</v>
      </c>
      <c r="B335" t="s">
        <v>1654</v>
      </c>
      <c r="C335" t="s">
        <v>58</v>
      </c>
      <c r="D335">
        <v>56</v>
      </c>
      <c r="E335" t="s">
        <v>5461</v>
      </c>
      <c r="F335" t="s">
        <v>5464</v>
      </c>
      <c r="G335" s="1">
        <v>41365</v>
      </c>
      <c r="H335">
        <v>135498</v>
      </c>
      <c r="I335" t="s">
        <v>52</v>
      </c>
      <c r="J335" t="s">
        <v>61</v>
      </c>
      <c r="K335" t="s">
        <v>98</v>
      </c>
      <c r="L335" t="s">
        <v>33</v>
      </c>
      <c r="M335">
        <v>37</v>
      </c>
      <c r="N335" t="s">
        <v>34</v>
      </c>
      <c r="O335">
        <v>3</v>
      </c>
      <c r="P335">
        <v>2</v>
      </c>
      <c r="Q335">
        <v>2</v>
      </c>
      <c r="R335">
        <v>3</v>
      </c>
      <c r="S335">
        <v>4</v>
      </c>
      <c r="T335">
        <v>3</v>
      </c>
      <c r="U335">
        <v>24</v>
      </c>
      <c r="V335" t="s">
        <v>1657</v>
      </c>
      <c r="W335" t="s">
        <v>34</v>
      </c>
      <c r="Y335" s="2" t="str">
        <f>IF(EmployeeData[[#This Row],[Age]]&lt;25,"Under 25",IF(EmployeeData[[#This Row],[Age]]&lt;=34,"25-34",IF(EmployeeData[[#This Row],[Age]]&lt;=44,"35-44",IF(EmployeeData[[#This Row],[Age]]&lt;=54,"45-54","55+"))))</f>
        <v>55+</v>
      </c>
      <c r="Z335">
        <f ca="1">DATEDIF(EmployeeData[[#This Row],[DateOfJoining]],IF(AND(EmployeeData[[#This Row],[Attrition]]="Yes",EmployeeData[[#This Row],[LastWorkingDate]]&lt;&gt;""),EmployeeData[[#This Row],[LastWorkingDate]],TODAY()),"Y")</f>
        <v>13</v>
      </c>
      <c r="AA335" t="str">
        <f>IF(EmployeeData[[#This Row],[MonthlyIncome]]&lt;30000,"Low",IF(EmployeeData[[#This Row],[MonthlyIncome]]&lt;=60000,"Medium",IF(EmployeeData[[#This Row],[MonthlyIncome]]&lt;=100000,"High","Very High")))</f>
        <v>Very High</v>
      </c>
      <c r="AB335">
        <f>IF(EmployeeData[[#This Row],[Attrition]]="Yes",1,0)</f>
        <v>0</v>
      </c>
      <c r="AC335" t="str">
        <f ca="1">IF(EmployeeData[[#This Row],[Tenure Years]]&lt;1,"Less than 1 Year",IF(EmployeeData[[#This Row],[Tenure Years]]&lt;=3,"1-3 Years",IF(EmployeeData[[#This Row],[Tenure Years]]&lt;=5,"4-5 Years",IF(EmployeeData[[#This Row],[Tenure Years]]&lt;=10,"6-10 Years","More than 10 Years"))))</f>
        <v>More than 10 Years</v>
      </c>
      <c r="AD335">
        <f>ROUND(AVERAGE(EmployeeData[[#This Row],[JobSatisfaction]],EmployeeData[[#This Row],[EnvironmentSatisfaction]],EmployeeData[[#This Row],[WorkLifeBalance]]),2)</f>
        <v>2.33</v>
      </c>
      <c r="AE335" t="str">
        <f>IF(EmployeeData[[#This Row],[Satisfaction Score]]&lt;2,"Low",IF(EmployeeData[[#This Row],[Satisfaction Score]]&lt;3,"Medium","High"))</f>
        <v>Medium</v>
      </c>
    </row>
    <row r="336" spans="1:31" x14ac:dyDescent="0.25">
      <c r="A336" t="s">
        <v>1658</v>
      </c>
      <c r="B336" t="s">
        <v>1659</v>
      </c>
      <c r="C336" t="s">
        <v>49</v>
      </c>
      <c r="D336">
        <v>26</v>
      </c>
      <c r="E336" t="s">
        <v>27</v>
      </c>
      <c r="F336" t="s">
        <v>188</v>
      </c>
      <c r="G336" s="1">
        <v>42440</v>
      </c>
      <c r="H336">
        <v>52446</v>
      </c>
      <c r="I336" t="s">
        <v>52</v>
      </c>
      <c r="J336" t="s">
        <v>61</v>
      </c>
      <c r="K336" t="s">
        <v>54</v>
      </c>
      <c r="L336" t="s">
        <v>43</v>
      </c>
      <c r="M336">
        <v>25</v>
      </c>
      <c r="N336" t="s">
        <v>34</v>
      </c>
      <c r="O336">
        <v>2</v>
      </c>
      <c r="P336">
        <v>3</v>
      </c>
      <c r="Q336">
        <v>1</v>
      </c>
      <c r="R336">
        <v>4</v>
      </c>
      <c r="S336">
        <v>3</v>
      </c>
      <c r="T336">
        <v>3</v>
      </c>
      <c r="U336">
        <v>14</v>
      </c>
      <c r="V336" t="s">
        <v>1661</v>
      </c>
      <c r="W336" t="s">
        <v>34</v>
      </c>
      <c r="Y336" s="2" t="str">
        <f>IF(EmployeeData[[#This Row],[Age]]&lt;25,"Under 25",IF(EmployeeData[[#This Row],[Age]]&lt;=34,"25-34",IF(EmployeeData[[#This Row],[Age]]&lt;=44,"35-44",IF(EmployeeData[[#This Row],[Age]]&lt;=54,"45-54","55+"))))</f>
        <v>25-34</v>
      </c>
      <c r="Z336">
        <f ca="1">DATEDIF(EmployeeData[[#This Row],[DateOfJoining]],IF(AND(EmployeeData[[#This Row],[Attrition]]="Yes",EmployeeData[[#This Row],[LastWorkingDate]]&lt;&gt;""),EmployeeData[[#This Row],[LastWorkingDate]],TODAY()),"Y")</f>
        <v>10</v>
      </c>
      <c r="AA336" t="str">
        <f>IF(EmployeeData[[#This Row],[MonthlyIncome]]&lt;30000,"Low",IF(EmployeeData[[#This Row],[MonthlyIncome]]&lt;=60000,"Medium",IF(EmployeeData[[#This Row],[MonthlyIncome]]&lt;=100000,"High","Very High")))</f>
        <v>Medium</v>
      </c>
      <c r="AB336">
        <f>IF(EmployeeData[[#This Row],[Attrition]]="Yes",1,0)</f>
        <v>0</v>
      </c>
      <c r="AC336" t="str">
        <f ca="1">IF(EmployeeData[[#This Row],[Tenure Years]]&lt;1,"Less than 1 Year",IF(EmployeeData[[#This Row],[Tenure Years]]&lt;=3,"1-3 Years",IF(EmployeeData[[#This Row],[Tenure Years]]&lt;=5,"4-5 Years",IF(EmployeeData[[#This Row],[Tenure Years]]&lt;=10,"6-10 Years","More than 10 Years"))))</f>
        <v>6-10 Years</v>
      </c>
      <c r="AD336">
        <f>ROUND(AVERAGE(EmployeeData[[#This Row],[JobSatisfaction]],EmployeeData[[#This Row],[EnvironmentSatisfaction]],EmployeeData[[#This Row],[WorkLifeBalance]]),2)</f>
        <v>2</v>
      </c>
      <c r="AE336" t="str">
        <f>IF(EmployeeData[[#This Row],[Satisfaction Score]]&lt;2,"Low",IF(EmployeeData[[#This Row],[Satisfaction Score]]&lt;3,"Medium","High"))</f>
        <v>Medium</v>
      </c>
    </row>
    <row r="337" spans="1:31" x14ac:dyDescent="0.25">
      <c r="A337" t="s">
        <v>1662</v>
      </c>
      <c r="B337" t="s">
        <v>1663</v>
      </c>
      <c r="C337" t="s">
        <v>49</v>
      </c>
      <c r="D337">
        <v>35</v>
      </c>
      <c r="E337" t="s">
        <v>5461</v>
      </c>
      <c r="F337" t="s">
        <v>89</v>
      </c>
      <c r="G337" s="1">
        <v>42065</v>
      </c>
      <c r="H337">
        <v>84358</v>
      </c>
      <c r="I337" t="s">
        <v>52</v>
      </c>
      <c r="J337" t="s">
        <v>61</v>
      </c>
      <c r="K337" t="s">
        <v>32</v>
      </c>
      <c r="L337" t="s">
        <v>43</v>
      </c>
      <c r="M337">
        <v>17</v>
      </c>
      <c r="N337" t="s">
        <v>34</v>
      </c>
      <c r="O337">
        <v>4</v>
      </c>
      <c r="P337">
        <v>3</v>
      </c>
      <c r="Q337">
        <v>4</v>
      </c>
      <c r="R337">
        <v>3</v>
      </c>
      <c r="S337">
        <v>2</v>
      </c>
      <c r="T337">
        <v>0</v>
      </c>
      <c r="U337">
        <v>11</v>
      </c>
      <c r="V337" t="s">
        <v>1666</v>
      </c>
      <c r="W337" t="s">
        <v>34</v>
      </c>
      <c r="Y337" s="2" t="str">
        <f>IF(EmployeeData[[#This Row],[Age]]&lt;25,"Under 25",IF(EmployeeData[[#This Row],[Age]]&lt;=34,"25-34",IF(EmployeeData[[#This Row],[Age]]&lt;=44,"35-44",IF(EmployeeData[[#This Row],[Age]]&lt;=54,"45-54","55+"))))</f>
        <v>35-44</v>
      </c>
      <c r="Z337">
        <f ca="1">DATEDIF(EmployeeData[[#This Row],[DateOfJoining]],IF(AND(EmployeeData[[#This Row],[Attrition]]="Yes",EmployeeData[[#This Row],[LastWorkingDate]]&lt;&gt;""),EmployeeData[[#This Row],[LastWorkingDate]],TODAY()),"Y")</f>
        <v>11</v>
      </c>
      <c r="AA337" t="str">
        <f>IF(EmployeeData[[#This Row],[MonthlyIncome]]&lt;30000,"Low",IF(EmployeeData[[#This Row],[MonthlyIncome]]&lt;=60000,"Medium",IF(EmployeeData[[#This Row],[MonthlyIncome]]&lt;=100000,"High","Very High")))</f>
        <v>High</v>
      </c>
      <c r="AB337">
        <f>IF(EmployeeData[[#This Row],[Attrition]]="Yes",1,0)</f>
        <v>0</v>
      </c>
      <c r="AC337" t="str">
        <f ca="1">IF(EmployeeData[[#This Row],[Tenure Years]]&lt;1,"Less than 1 Year",IF(EmployeeData[[#This Row],[Tenure Years]]&lt;=3,"1-3 Years",IF(EmployeeData[[#This Row],[Tenure Years]]&lt;=5,"4-5 Years",IF(EmployeeData[[#This Row],[Tenure Years]]&lt;=10,"6-10 Years","More than 10 Years"))))</f>
        <v>More than 10 Years</v>
      </c>
      <c r="AD337">
        <f>ROUND(AVERAGE(EmployeeData[[#This Row],[JobSatisfaction]],EmployeeData[[#This Row],[EnvironmentSatisfaction]],EmployeeData[[#This Row],[WorkLifeBalance]]),2)</f>
        <v>3.67</v>
      </c>
      <c r="AE337" t="str">
        <f>IF(EmployeeData[[#This Row],[Satisfaction Score]]&lt;2,"Low",IF(EmployeeData[[#This Row],[Satisfaction Score]]&lt;3,"Medium","High"))</f>
        <v>High</v>
      </c>
    </row>
    <row r="338" spans="1:31" x14ac:dyDescent="0.25">
      <c r="A338" t="s">
        <v>1667</v>
      </c>
      <c r="B338" t="s">
        <v>1668</v>
      </c>
      <c r="C338" t="s">
        <v>49</v>
      </c>
      <c r="D338">
        <v>35</v>
      </c>
      <c r="E338" t="s">
        <v>94</v>
      </c>
      <c r="F338" t="s">
        <v>306</v>
      </c>
      <c r="G338" s="1">
        <v>45378</v>
      </c>
      <c r="H338">
        <v>97260</v>
      </c>
      <c r="I338" t="s">
        <v>42</v>
      </c>
      <c r="J338" t="s">
        <v>53</v>
      </c>
      <c r="K338" t="s">
        <v>83</v>
      </c>
      <c r="L338" t="s">
        <v>33</v>
      </c>
      <c r="M338">
        <v>8</v>
      </c>
      <c r="N338" t="s">
        <v>45</v>
      </c>
      <c r="O338">
        <v>4</v>
      </c>
      <c r="P338">
        <v>4</v>
      </c>
      <c r="Q338">
        <v>1</v>
      </c>
      <c r="R338">
        <v>3</v>
      </c>
      <c r="S338">
        <v>0</v>
      </c>
      <c r="T338">
        <v>5</v>
      </c>
      <c r="U338">
        <v>20</v>
      </c>
      <c r="V338" t="s">
        <v>1672</v>
      </c>
      <c r="W338" t="s">
        <v>34</v>
      </c>
      <c r="Y338" s="2" t="str">
        <f>IF(EmployeeData[[#This Row],[Age]]&lt;25,"Under 25",IF(EmployeeData[[#This Row],[Age]]&lt;=34,"25-34",IF(EmployeeData[[#This Row],[Age]]&lt;=44,"35-44",IF(EmployeeData[[#This Row],[Age]]&lt;=54,"45-54","55+"))))</f>
        <v>35-44</v>
      </c>
      <c r="Z338">
        <f ca="1">DATEDIF(EmployeeData[[#This Row],[DateOfJoining]],IF(AND(EmployeeData[[#This Row],[Attrition]]="Yes",EmployeeData[[#This Row],[LastWorkingDate]]&lt;&gt;""),EmployeeData[[#This Row],[LastWorkingDate]],TODAY()),"Y")</f>
        <v>2</v>
      </c>
      <c r="AA338" t="str">
        <f>IF(EmployeeData[[#This Row],[MonthlyIncome]]&lt;30000,"Low",IF(EmployeeData[[#This Row],[MonthlyIncome]]&lt;=60000,"Medium",IF(EmployeeData[[#This Row],[MonthlyIncome]]&lt;=100000,"High","Very High")))</f>
        <v>High</v>
      </c>
      <c r="AB338">
        <f>IF(EmployeeData[[#This Row],[Attrition]]="Yes",1,0)</f>
        <v>0</v>
      </c>
      <c r="AC338" t="str">
        <f ca="1">IF(EmployeeData[[#This Row],[Tenure Years]]&lt;1,"Less than 1 Year",IF(EmployeeData[[#This Row],[Tenure Years]]&lt;=3,"1-3 Years",IF(EmployeeData[[#This Row],[Tenure Years]]&lt;=5,"4-5 Years",IF(EmployeeData[[#This Row],[Tenure Years]]&lt;=10,"6-10 Years","More than 10 Years"))))</f>
        <v>1-3 Years</v>
      </c>
      <c r="AD338">
        <f>ROUND(AVERAGE(EmployeeData[[#This Row],[JobSatisfaction]],EmployeeData[[#This Row],[EnvironmentSatisfaction]],EmployeeData[[#This Row],[WorkLifeBalance]]),2)</f>
        <v>3</v>
      </c>
      <c r="AE338" t="str">
        <f>IF(EmployeeData[[#This Row],[Satisfaction Score]]&lt;2,"Low",IF(EmployeeData[[#This Row],[Satisfaction Score]]&lt;3,"Medium","High"))</f>
        <v>High</v>
      </c>
    </row>
    <row r="339" spans="1:31" x14ac:dyDescent="0.25">
      <c r="A339" t="s">
        <v>1673</v>
      </c>
      <c r="B339" t="s">
        <v>1674</v>
      </c>
      <c r="C339" t="s">
        <v>58</v>
      </c>
      <c r="D339">
        <v>60</v>
      </c>
      <c r="E339" t="s">
        <v>27</v>
      </c>
      <c r="F339" t="s">
        <v>5459</v>
      </c>
      <c r="G339" s="1">
        <v>45664</v>
      </c>
      <c r="H339">
        <v>95663</v>
      </c>
      <c r="I339" t="s">
        <v>52</v>
      </c>
      <c r="J339" t="s">
        <v>31</v>
      </c>
      <c r="K339" t="s">
        <v>106</v>
      </c>
      <c r="L339" t="s">
        <v>62</v>
      </c>
      <c r="M339">
        <v>17</v>
      </c>
      <c r="N339" t="s">
        <v>45</v>
      </c>
      <c r="O339">
        <v>2</v>
      </c>
      <c r="P339">
        <v>1</v>
      </c>
      <c r="Q339">
        <v>2</v>
      </c>
      <c r="R339">
        <v>3</v>
      </c>
      <c r="S339">
        <v>0</v>
      </c>
      <c r="T339">
        <v>2</v>
      </c>
      <c r="U339">
        <v>13</v>
      </c>
      <c r="V339" t="s">
        <v>1676</v>
      </c>
      <c r="W339" t="s">
        <v>45</v>
      </c>
      <c r="X339" s="1">
        <v>46086</v>
      </c>
      <c r="Y339" s="2" t="str">
        <f>IF(EmployeeData[[#This Row],[Age]]&lt;25,"Under 25",IF(EmployeeData[[#This Row],[Age]]&lt;=34,"25-34",IF(EmployeeData[[#This Row],[Age]]&lt;=44,"35-44",IF(EmployeeData[[#This Row],[Age]]&lt;=54,"45-54","55+"))))</f>
        <v>55+</v>
      </c>
      <c r="Z339">
        <f ca="1">DATEDIF(EmployeeData[[#This Row],[DateOfJoining]],IF(AND(EmployeeData[[#This Row],[Attrition]]="Yes",EmployeeData[[#This Row],[LastWorkingDate]]&lt;&gt;""),EmployeeData[[#This Row],[LastWorkingDate]],TODAY()),"Y")</f>
        <v>1</v>
      </c>
      <c r="AA339" t="str">
        <f>IF(EmployeeData[[#This Row],[MonthlyIncome]]&lt;30000,"Low",IF(EmployeeData[[#This Row],[MonthlyIncome]]&lt;=60000,"Medium",IF(EmployeeData[[#This Row],[MonthlyIncome]]&lt;=100000,"High","Very High")))</f>
        <v>High</v>
      </c>
      <c r="AB339">
        <f>IF(EmployeeData[[#This Row],[Attrition]]="Yes",1,0)</f>
        <v>1</v>
      </c>
      <c r="AC339" t="str">
        <f ca="1">IF(EmployeeData[[#This Row],[Tenure Years]]&lt;1,"Less than 1 Year",IF(EmployeeData[[#This Row],[Tenure Years]]&lt;=3,"1-3 Years",IF(EmployeeData[[#This Row],[Tenure Years]]&lt;=5,"4-5 Years",IF(EmployeeData[[#This Row],[Tenure Years]]&lt;=10,"6-10 Years","More than 10 Years"))))</f>
        <v>1-3 Years</v>
      </c>
      <c r="AD339">
        <f>ROUND(AVERAGE(EmployeeData[[#This Row],[JobSatisfaction]],EmployeeData[[#This Row],[EnvironmentSatisfaction]],EmployeeData[[#This Row],[WorkLifeBalance]]),2)</f>
        <v>1.67</v>
      </c>
      <c r="AE339" t="str">
        <f>IF(EmployeeData[[#This Row],[Satisfaction Score]]&lt;2,"Low",IF(EmployeeData[[#This Row],[Satisfaction Score]]&lt;3,"Medium","High"))</f>
        <v>Low</v>
      </c>
    </row>
    <row r="340" spans="1:31" x14ac:dyDescent="0.25">
      <c r="A340" t="s">
        <v>1678</v>
      </c>
      <c r="B340" t="s">
        <v>1679</v>
      </c>
      <c r="C340" t="s">
        <v>49</v>
      </c>
      <c r="D340">
        <v>30</v>
      </c>
      <c r="E340" t="s">
        <v>94</v>
      </c>
      <c r="F340" t="s">
        <v>356</v>
      </c>
      <c r="G340" s="1">
        <v>44178</v>
      </c>
      <c r="H340">
        <v>113162</v>
      </c>
      <c r="I340" t="s">
        <v>52</v>
      </c>
      <c r="J340" t="s">
        <v>61</v>
      </c>
      <c r="K340" t="s">
        <v>167</v>
      </c>
      <c r="L340" t="s">
        <v>62</v>
      </c>
      <c r="M340">
        <v>34</v>
      </c>
      <c r="N340" t="s">
        <v>45</v>
      </c>
      <c r="O340">
        <v>2</v>
      </c>
      <c r="P340">
        <v>3</v>
      </c>
      <c r="Q340">
        <v>3</v>
      </c>
      <c r="R340">
        <v>3</v>
      </c>
      <c r="S340">
        <v>5</v>
      </c>
      <c r="T340">
        <v>8</v>
      </c>
      <c r="U340">
        <v>23</v>
      </c>
      <c r="V340" t="s">
        <v>1682</v>
      </c>
      <c r="W340" t="s">
        <v>45</v>
      </c>
      <c r="X340" s="1">
        <v>44706</v>
      </c>
      <c r="Y340" s="2" t="str">
        <f>IF(EmployeeData[[#This Row],[Age]]&lt;25,"Under 25",IF(EmployeeData[[#This Row],[Age]]&lt;=34,"25-34",IF(EmployeeData[[#This Row],[Age]]&lt;=44,"35-44",IF(EmployeeData[[#This Row],[Age]]&lt;=54,"45-54","55+"))))</f>
        <v>25-34</v>
      </c>
      <c r="Z340">
        <f ca="1">DATEDIF(EmployeeData[[#This Row],[DateOfJoining]],IF(AND(EmployeeData[[#This Row],[Attrition]]="Yes",EmployeeData[[#This Row],[LastWorkingDate]]&lt;&gt;""),EmployeeData[[#This Row],[LastWorkingDate]],TODAY()),"Y")</f>
        <v>1</v>
      </c>
      <c r="AA340" t="str">
        <f>IF(EmployeeData[[#This Row],[MonthlyIncome]]&lt;30000,"Low",IF(EmployeeData[[#This Row],[MonthlyIncome]]&lt;=60000,"Medium",IF(EmployeeData[[#This Row],[MonthlyIncome]]&lt;=100000,"High","Very High")))</f>
        <v>Very High</v>
      </c>
      <c r="AB340">
        <f>IF(EmployeeData[[#This Row],[Attrition]]="Yes",1,0)</f>
        <v>1</v>
      </c>
      <c r="AC340" t="str">
        <f ca="1">IF(EmployeeData[[#This Row],[Tenure Years]]&lt;1,"Less than 1 Year",IF(EmployeeData[[#This Row],[Tenure Years]]&lt;=3,"1-3 Years",IF(EmployeeData[[#This Row],[Tenure Years]]&lt;=5,"4-5 Years",IF(EmployeeData[[#This Row],[Tenure Years]]&lt;=10,"6-10 Years","More than 10 Years"))))</f>
        <v>1-3 Years</v>
      </c>
      <c r="AD340">
        <f>ROUND(AVERAGE(EmployeeData[[#This Row],[JobSatisfaction]],EmployeeData[[#This Row],[EnvironmentSatisfaction]],EmployeeData[[#This Row],[WorkLifeBalance]]),2)</f>
        <v>2.67</v>
      </c>
      <c r="AE340" t="str">
        <f>IF(EmployeeData[[#This Row],[Satisfaction Score]]&lt;2,"Low",IF(EmployeeData[[#This Row],[Satisfaction Score]]&lt;3,"Medium","High"))</f>
        <v>Medium</v>
      </c>
    </row>
    <row r="341" spans="1:31" x14ac:dyDescent="0.25">
      <c r="A341" t="s">
        <v>1684</v>
      </c>
      <c r="B341" t="s">
        <v>1685</v>
      </c>
      <c r="C341" t="s">
        <v>49</v>
      </c>
      <c r="D341">
        <v>25</v>
      </c>
      <c r="E341" t="s">
        <v>5461</v>
      </c>
      <c r="F341" t="s">
        <v>89</v>
      </c>
      <c r="G341" s="1">
        <v>43243</v>
      </c>
      <c r="H341">
        <v>54305</v>
      </c>
      <c r="I341" t="s">
        <v>52</v>
      </c>
      <c r="J341" t="s">
        <v>143</v>
      </c>
      <c r="K341" t="s">
        <v>106</v>
      </c>
      <c r="L341" t="s">
        <v>33</v>
      </c>
      <c r="M341">
        <v>13</v>
      </c>
      <c r="N341" t="s">
        <v>34</v>
      </c>
      <c r="O341">
        <v>3</v>
      </c>
      <c r="P341">
        <v>1</v>
      </c>
      <c r="Q341">
        <v>1</v>
      </c>
      <c r="R341">
        <v>3</v>
      </c>
      <c r="S341">
        <v>2</v>
      </c>
      <c r="T341">
        <v>1</v>
      </c>
      <c r="U341">
        <v>12</v>
      </c>
      <c r="V341" t="s">
        <v>1688</v>
      </c>
      <c r="W341" t="s">
        <v>34</v>
      </c>
      <c r="Y341" s="2" t="str">
        <f>IF(EmployeeData[[#This Row],[Age]]&lt;25,"Under 25",IF(EmployeeData[[#This Row],[Age]]&lt;=34,"25-34",IF(EmployeeData[[#This Row],[Age]]&lt;=44,"35-44",IF(EmployeeData[[#This Row],[Age]]&lt;=54,"45-54","55+"))))</f>
        <v>25-34</v>
      </c>
      <c r="Z341">
        <f ca="1">DATEDIF(EmployeeData[[#This Row],[DateOfJoining]],IF(AND(EmployeeData[[#This Row],[Attrition]]="Yes",EmployeeData[[#This Row],[LastWorkingDate]]&lt;&gt;""),EmployeeData[[#This Row],[LastWorkingDate]],TODAY()),"Y")</f>
        <v>8</v>
      </c>
      <c r="AA341" t="str">
        <f>IF(EmployeeData[[#This Row],[MonthlyIncome]]&lt;30000,"Low",IF(EmployeeData[[#This Row],[MonthlyIncome]]&lt;=60000,"Medium",IF(EmployeeData[[#This Row],[MonthlyIncome]]&lt;=100000,"High","Very High")))</f>
        <v>Medium</v>
      </c>
      <c r="AB341">
        <f>IF(EmployeeData[[#This Row],[Attrition]]="Yes",1,0)</f>
        <v>0</v>
      </c>
      <c r="AC341" t="str">
        <f ca="1">IF(EmployeeData[[#This Row],[Tenure Years]]&lt;1,"Less than 1 Year",IF(EmployeeData[[#This Row],[Tenure Years]]&lt;=3,"1-3 Years",IF(EmployeeData[[#This Row],[Tenure Years]]&lt;=5,"4-5 Years",IF(EmployeeData[[#This Row],[Tenure Years]]&lt;=10,"6-10 Years","More than 10 Years"))))</f>
        <v>6-10 Years</v>
      </c>
      <c r="AD341">
        <f>ROUND(AVERAGE(EmployeeData[[#This Row],[JobSatisfaction]],EmployeeData[[#This Row],[EnvironmentSatisfaction]],EmployeeData[[#This Row],[WorkLifeBalance]]),2)</f>
        <v>1.67</v>
      </c>
      <c r="AE341" t="str">
        <f>IF(EmployeeData[[#This Row],[Satisfaction Score]]&lt;2,"Low",IF(EmployeeData[[#This Row],[Satisfaction Score]]&lt;3,"Medium","High"))</f>
        <v>Low</v>
      </c>
    </row>
    <row r="342" spans="1:31" x14ac:dyDescent="0.25">
      <c r="A342" t="s">
        <v>1689</v>
      </c>
      <c r="B342" t="s">
        <v>1690</v>
      </c>
      <c r="C342" t="s">
        <v>49</v>
      </c>
      <c r="D342">
        <v>19</v>
      </c>
      <c r="E342" t="s">
        <v>128</v>
      </c>
      <c r="F342" t="s">
        <v>123</v>
      </c>
      <c r="G342" s="1">
        <v>45954</v>
      </c>
      <c r="H342">
        <v>65540</v>
      </c>
      <c r="I342" t="s">
        <v>5459</v>
      </c>
      <c r="J342" t="s">
        <v>31</v>
      </c>
      <c r="K342" t="s">
        <v>200</v>
      </c>
      <c r="L342" t="s">
        <v>5459</v>
      </c>
      <c r="M342">
        <v>32</v>
      </c>
      <c r="N342" t="s">
        <v>34</v>
      </c>
      <c r="O342">
        <v>1</v>
      </c>
      <c r="P342">
        <v>4</v>
      </c>
      <c r="Q342">
        <v>1</v>
      </c>
      <c r="R342">
        <v>2</v>
      </c>
      <c r="S342">
        <v>5</v>
      </c>
      <c r="T342">
        <v>5</v>
      </c>
      <c r="U342">
        <v>13</v>
      </c>
      <c r="V342" t="s">
        <v>1692</v>
      </c>
      <c r="W342" t="s">
        <v>45</v>
      </c>
      <c r="X342" s="1">
        <v>45990</v>
      </c>
      <c r="Y342" s="2" t="str">
        <f>IF(EmployeeData[[#This Row],[Age]]&lt;25,"Under 25",IF(EmployeeData[[#This Row],[Age]]&lt;=34,"25-34",IF(EmployeeData[[#This Row],[Age]]&lt;=44,"35-44",IF(EmployeeData[[#This Row],[Age]]&lt;=54,"45-54","55+"))))</f>
        <v>Under 25</v>
      </c>
      <c r="Z342">
        <f ca="1">DATEDIF(EmployeeData[[#This Row],[DateOfJoining]],IF(AND(EmployeeData[[#This Row],[Attrition]]="Yes",EmployeeData[[#This Row],[LastWorkingDate]]&lt;&gt;""),EmployeeData[[#This Row],[LastWorkingDate]],TODAY()),"Y")</f>
        <v>0</v>
      </c>
      <c r="AA342" t="str">
        <f>IF(EmployeeData[[#This Row],[MonthlyIncome]]&lt;30000,"Low",IF(EmployeeData[[#This Row],[MonthlyIncome]]&lt;=60000,"Medium",IF(EmployeeData[[#This Row],[MonthlyIncome]]&lt;=100000,"High","Very High")))</f>
        <v>High</v>
      </c>
      <c r="AB342">
        <f>IF(EmployeeData[[#This Row],[Attrition]]="Yes",1,0)</f>
        <v>1</v>
      </c>
      <c r="AC342" t="str">
        <f ca="1">IF(EmployeeData[[#This Row],[Tenure Years]]&lt;1,"Less than 1 Year",IF(EmployeeData[[#This Row],[Tenure Years]]&lt;=3,"1-3 Years",IF(EmployeeData[[#This Row],[Tenure Years]]&lt;=5,"4-5 Years",IF(EmployeeData[[#This Row],[Tenure Years]]&lt;=10,"6-10 Years","More than 10 Years"))))</f>
        <v>Less than 1 Year</v>
      </c>
      <c r="AD342">
        <f>ROUND(AVERAGE(EmployeeData[[#This Row],[JobSatisfaction]],EmployeeData[[#This Row],[EnvironmentSatisfaction]],EmployeeData[[#This Row],[WorkLifeBalance]]),2)</f>
        <v>2</v>
      </c>
      <c r="AE342" t="str">
        <f>IF(EmployeeData[[#This Row],[Satisfaction Score]]&lt;2,"Low",IF(EmployeeData[[#This Row],[Satisfaction Score]]&lt;3,"Medium","High"))</f>
        <v>Medium</v>
      </c>
    </row>
    <row r="343" spans="1:31" x14ac:dyDescent="0.25">
      <c r="A343" t="s">
        <v>1694</v>
      </c>
      <c r="B343" t="s">
        <v>1695</v>
      </c>
      <c r="C343" t="s">
        <v>58</v>
      </c>
      <c r="D343">
        <v>36</v>
      </c>
      <c r="E343" t="s">
        <v>27</v>
      </c>
      <c r="F343" t="s">
        <v>50</v>
      </c>
      <c r="G343" s="1">
        <v>41017</v>
      </c>
      <c r="H343">
        <v>68736</v>
      </c>
      <c r="I343" t="s">
        <v>42</v>
      </c>
      <c r="J343" t="s">
        <v>31</v>
      </c>
      <c r="K343" t="s">
        <v>113</v>
      </c>
      <c r="L343" t="s">
        <v>62</v>
      </c>
      <c r="M343">
        <v>31</v>
      </c>
      <c r="N343" t="s">
        <v>34</v>
      </c>
      <c r="O343">
        <v>4</v>
      </c>
      <c r="P343">
        <v>4</v>
      </c>
      <c r="Q343">
        <v>4</v>
      </c>
      <c r="R343">
        <v>3</v>
      </c>
      <c r="S343">
        <v>4</v>
      </c>
      <c r="T343">
        <v>4</v>
      </c>
      <c r="U343">
        <v>21</v>
      </c>
      <c r="V343" t="s">
        <v>1697</v>
      </c>
      <c r="W343" t="s">
        <v>34</v>
      </c>
      <c r="Y343" s="2" t="str">
        <f>IF(EmployeeData[[#This Row],[Age]]&lt;25,"Under 25",IF(EmployeeData[[#This Row],[Age]]&lt;=34,"25-34",IF(EmployeeData[[#This Row],[Age]]&lt;=44,"35-44",IF(EmployeeData[[#This Row],[Age]]&lt;=54,"45-54","55+"))))</f>
        <v>35-44</v>
      </c>
      <c r="Z343">
        <f ca="1">DATEDIF(EmployeeData[[#This Row],[DateOfJoining]],IF(AND(EmployeeData[[#This Row],[Attrition]]="Yes",EmployeeData[[#This Row],[LastWorkingDate]]&lt;&gt;""),EmployeeData[[#This Row],[LastWorkingDate]],TODAY()),"Y")</f>
        <v>14</v>
      </c>
      <c r="AA343" t="str">
        <f>IF(EmployeeData[[#This Row],[MonthlyIncome]]&lt;30000,"Low",IF(EmployeeData[[#This Row],[MonthlyIncome]]&lt;=60000,"Medium",IF(EmployeeData[[#This Row],[MonthlyIncome]]&lt;=100000,"High","Very High")))</f>
        <v>High</v>
      </c>
      <c r="AB343">
        <f>IF(EmployeeData[[#This Row],[Attrition]]="Yes",1,0)</f>
        <v>0</v>
      </c>
      <c r="AC343" t="str">
        <f ca="1">IF(EmployeeData[[#This Row],[Tenure Years]]&lt;1,"Less than 1 Year",IF(EmployeeData[[#This Row],[Tenure Years]]&lt;=3,"1-3 Years",IF(EmployeeData[[#This Row],[Tenure Years]]&lt;=5,"4-5 Years",IF(EmployeeData[[#This Row],[Tenure Years]]&lt;=10,"6-10 Years","More than 10 Years"))))</f>
        <v>More than 10 Years</v>
      </c>
      <c r="AD343">
        <f>ROUND(AVERAGE(EmployeeData[[#This Row],[JobSatisfaction]],EmployeeData[[#This Row],[EnvironmentSatisfaction]],EmployeeData[[#This Row],[WorkLifeBalance]]),2)</f>
        <v>4</v>
      </c>
      <c r="AE343" t="str">
        <f>IF(EmployeeData[[#This Row],[Satisfaction Score]]&lt;2,"Low",IF(EmployeeData[[#This Row],[Satisfaction Score]]&lt;3,"Medium","High"))</f>
        <v>High</v>
      </c>
    </row>
    <row r="344" spans="1:31" x14ac:dyDescent="0.25">
      <c r="A344" t="s">
        <v>1698</v>
      </c>
      <c r="B344" t="s">
        <v>1699</v>
      </c>
      <c r="C344" t="s">
        <v>49</v>
      </c>
      <c r="D344">
        <v>26</v>
      </c>
      <c r="E344" t="s">
        <v>5461</v>
      </c>
      <c r="F344" t="s">
        <v>5463</v>
      </c>
      <c r="G344" s="1">
        <v>42020</v>
      </c>
      <c r="H344">
        <v>106564</v>
      </c>
      <c r="I344" t="s">
        <v>52</v>
      </c>
      <c r="J344" t="s">
        <v>5459</v>
      </c>
      <c r="K344" t="s">
        <v>106</v>
      </c>
      <c r="L344" t="s">
        <v>33</v>
      </c>
      <c r="M344">
        <v>13</v>
      </c>
      <c r="N344" t="s">
        <v>34</v>
      </c>
      <c r="O344">
        <v>4</v>
      </c>
      <c r="P344">
        <v>3</v>
      </c>
      <c r="Q344">
        <v>2</v>
      </c>
      <c r="R344">
        <v>3</v>
      </c>
      <c r="S344">
        <v>1</v>
      </c>
      <c r="T344">
        <v>5</v>
      </c>
      <c r="U344">
        <v>15</v>
      </c>
      <c r="V344" t="s">
        <v>1701</v>
      </c>
      <c r="W344" t="s">
        <v>34</v>
      </c>
      <c r="Y344" s="2" t="str">
        <f>IF(EmployeeData[[#This Row],[Age]]&lt;25,"Under 25",IF(EmployeeData[[#This Row],[Age]]&lt;=34,"25-34",IF(EmployeeData[[#This Row],[Age]]&lt;=44,"35-44",IF(EmployeeData[[#This Row],[Age]]&lt;=54,"45-54","55+"))))</f>
        <v>25-34</v>
      </c>
      <c r="Z344">
        <f ca="1">DATEDIF(EmployeeData[[#This Row],[DateOfJoining]],IF(AND(EmployeeData[[#This Row],[Attrition]]="Yes",EmployeeData[[#This Row],[LastWorkingDate]]&lt;&gt;""),EmployeeData[[#This Row],[LastWorkingDate]],TODAY()),"Y")</f>
        <v>11</v>
      </c>
      <c r="AA344" t="str">
        <f>IF(EmployeeData[[#This Row],[MonthlyIncome]]&lt;30000,"Low",IF(EmployeeData[[#This Row],[MonthlyIncome]]&lt;=60000,"Medium",IF(EmployeeData[[#This Row],[MonthlyIncome]]&lt;=100000,"High","Very High")))</f>
        <v>Very High</v>
      </c>
      <c r="AB344">
        <f>IF(EmployeeData[[#This Row],[Attrition]]="Yes",1,0)</f>
        <v>0</v>
      </c>
      <c r="AC344" t="str">
        <f ca="1">IF(EmployeeData[[#This Row],[Tenure Years]]&lt;1,"Less than 1 Year",IF(EmployeeData[[#This Row],[Tenure Years]]&lt;=3,"1-3 Years",IF(EmployeeData[[#This Row],[Tenure Years]]&lt;=5,"4-5 Years",IF(EmployeeData[[#This Row],[Tenure Years]]&lt;=10,"6-10 Years","More than 10 Years"))))</f>
        <v>More than 10 Years</v>
      </c>
      <c r="AD344">
        <f>ROUND(AVERAGE(EmployeeData[[#This Row],[JobSatisfaction]],EmployeeData[[#This Row],[EnvironmentSatisfaction]],EmployeeData[[#This Row],[WorkLifeBalance]]),2)</f>
        <v>3</v>
      </c>
      <c r="AE344" t="str">
        <f>IF(EmployeeData[[#This Row],[Satisfaction Score]]&lt;2,"Low",IF(EmployeeData[[#This Row],[Satisfaction Score]]&lt;3,"Medium","High"))</f>
        <v>High</v>
      </c>
    </row>
    <row r="345" spans="1:31" x14ac:dyDescent="0.25">
      <c r="A345" t="s">
        <v>1702</v>
      </c>
      <c r="B345" t="s">
        <v>1703</v>
      </c>
      <c r="C345" t="s">
        <v>49</v>
      </c>
      <c r="D345">
        <v>29</v>
      </c>
      <c r="E345" t="s">
        <v>27</v>
      </c>
      <c r="F345" t="s">
        <v>59</v>
      </c>
      <c r="G345" s="1">
        <v>42831</v>
      </c>
      <c r="H345">
        <v>86220</v>
      </c>
      <c r="I345" t="s">
        <v>42</v>
      </c>
      <c r="J345" t="s">
        <v>61</v>
      </c>
      <c r="K345" t="s">
        <v>113</v>
      </c>
      <c r="L345" t="s">
        <v>5459</v>
      </c>
      <c r="M345">
        <v>23</v>
      </c>
      <c r="N345" t="s">
        <v>45</v>
      </c>
      <c r="O345">
        <v>2</v>
      </c>
      <c r="P345">
        <v>4</v>
      </c>
      <c r="Q345">
        <v>2</v>
      </c>
      <c r="R345">
        <v>3</v>
      </c>
      <c r="S345">
        <v>6</v>
      </c>
      <c r="T345">
        <v>6</v>
      </c>
      <c r="U345">
        <v>24</v>
      </c>
      <c r="V345" t="s">
        <v>1705</v>
      </c>
      <c r="W345" t="s">
        <v>45</v>
      </c>
      <c r="X345" s="1">
        <v>45206</v>
      </c>
      <c r="Y345" s="2" t="str">
        <f>IF(EmployeeData[[#This Row],[Age]]&lt;25,"Under 25",IF(EmployeeData[[#This Row],[Age]]&lt;=34,"25-34",IF(EmployeeData[[#This Row],[Age]]&lt;=44,"35-44",IF(EmployeeData[[#This Row],[Age]]&lt;=54,"45-54","55+"))))</f>
        <v>25-34</v>
      </c>
      <c r="Z345">
        <f ca="1">DATEDIF(EmployeeData[[#This Row],[DateOfJoining]],IF(AND(EmployeeData[[#This Row],[Attrition]]="Yes",EmployeeData[[#This Row],[LastWorkingDate]]&lt;&gt;""),EmployeeData[[#This Row],[LastWorkingDate]],TODAY()),"Y")</f>
        <v>6</v>
      </c>
      <c r="AA345" t="str">
        <f>IF(EmployeeData[[#This Row],[MonthlyIncome]]&lt;30000,"Low",IF(EmployeeData[[#This Row],[MonthlyIncome]]&lt;=60000,"Medium",IF(EmployeeData[[#This Row],[MonthlyIncome]]&lt;=100000,"High","Very High")))</f>
        <v>High</v>
      </c>
      <c r="AB345">
        <f>IF(EmployeeData[[#This Row],[Attrition]]="Yes",1,0)</f>
        <v>1</v>
      </c>
      <c r="AC345" t="str">
        <f ca="1">IF(EmployeeData[[#This Row],[Tenure Years]]&lt;1,"Less than 1 Year",IF(EmployeeData[[#This Row],[Tenure Years]]&lt;=3,"1-3 Years",IF(EmployeeData[[#This Row],[Tenure Years]]&lt;=5,"4-5 Years",IF(EmployeeData[[#This Row],[Tenure Years]]&lt;=10,"6-10 Years","More than 10 Years"))))</f>
        <v>6-10 Years</v>
      </c>
      <c r="AD345">
        <f>ROUND(AVERAGE(EmployeeData[[#This Row],[JobSatisfaction]],EmployeeData[[#This Row],[EnvironmentSatisfaction]],EmployeeData[[#This Row],[WorkLifeBalance]]),2)</f>
        <v>2.67</v>
      </c>
      <c r="AE345" t="str">
        <f>IF(EmployeeData[[#This Row],[Satisfaction Score]]&lt;2,"Low",IF(EmployeeData[[#This Row],[Satisfaction Score]]&lt;3,"Medium","High"))</f>
        <v>Medium</v>
      </c>
    </row>
    <row r="346" spans="1:31" x14ac:dyDescent="0.25">
      <c r="A346" t="s">
        <v>1707</v>
      </c>
      <c r="B346" t="s">
        <v>1708</v>
      </c>
      <c r="C346" t="s">
        <v>58</v>
      </c>
      <c r="D346">
        <v>30</v>
      </c>
      <c r="E346" t="s">
        <v>5461</v>
      </c>
      <c r="F346" t="s">
        <v>5463</v>
      </c>
      <c r="G346" s="1">
        <v>44549</v>
      </c>
      <c r="H346">
        <v>65784</v>
      </c>
      <c r="I346" t="s">
        <v>30</v>
      </c>
      <c r="J346" t="s">
        <v>5459</v>
      </c>
      <c r="K346" t="s">
        <v>131</v>
      </c>
      <c r="L346" t="s">
        <v>43</v>
      </c>
      <c r="M346">
        <v>37</v>
      </c>
      <c r="N346" t="s">
        <v>34</v>
      </c>
      <c r="O346">
        <v>4</v>
      </c>
      <c r="P346">
        <v>2</v>
      </c>
      <c r="Q346">
        <v>3</v>
      </c>
      <c r="R346">
        <v>1</v>
      </c>
      <c r="S346">
        <v>2</v>
      </c>
      <c r="T346">
        <v>7</v>
      </c>
      <c r="U346">
        <v>23</v>
      </c>
      <c r="V346" t="s">
        <v>1710</v>
      </c>
      <c r="W346" t="s">
        <v>34</v>
      </c>
      <c r="Y346" s="2" t="str">
        <f>IF(EmployeeData[[#This Row],[Age]]&lt;25,"Under 25",IF(EmployeeData[[#This Row],[Age]]&lt;=34,"25-34",IF(EmployeeData[[#This Row],[Age]]&lt;=44,"35-44",IF(EmployeeData[[#This Row],[Age]]&lt;=54,"45-54","55+"))))</f>
        <v>25-34</v>
      </c>
      <c r="Z346">
        <f ca="1">DATEDIF(EmployeeData[[#This Row],[DateOfJoining]],IF(AND(EmployeeData[[#This Row],[Attrition]]="Yes",EmployeeData[[#This Row],[LastWorkingDate]]&lt;&gt;""),EmployeeData[[#This Row],[LastWorkingDate]],TODAY()),"Y")</f>
        <v>4</v>
      </c>
      <c r="AA346" t="str">
        <f>IF(EmployeeData[[#This Row],[MonthlyIncome]]&lt;30000,"Low",IF(EmployeeData[[#This Row],[MonthlyIncome]]&lt;=60000,"Medium",IF(EmployeeData[[#This Row],[MonthlyIncome]]&lt;=100000,"High","Very High")))</f>
        <v>High</v>
      </c>
      <c r="AB346">
        <f>IF(EmployeeData[[#This Row],[Attrition]]="Yes",1,0)</f>
        <v>0</v>
      </c>
      <c r="AC346" t="str">
        <f ca="1">IF(EmployeeData[[#This Row],[Tenure Years]]&lt;1,"Less than 1 Year",IF(EmployeeData[[#This Row],[Tenure Years]]&lt;=3,"1-3 Years",IF(EmployeeData[[#This Row],[Tenure Years]]&lt;=5,"4-5 Years",IF(EmployeeData[[#This Row],[Tenure Years]]&lt;=10,"6-10 Years","More than 10 Years"))))</f>
        <v>4-5 Years</v>
      </c>
      <c r="AD346">
        <f>ROUND(AVERAGE(EmployeeData[[#This Row],[JobSatisfaction]],EmployeeData[[#This Row],[EnvironmentSatisfaction]],EmployeeData[[#This Row],[WorkLifeBalance]]),2)</f>
        <v>3</v>
      </c>
      <c r="AE346" t="str">
        <f>IF(EmployeeData[[#This Row],[Satisfaction Score]]&lt;2,"Low",IF(EmployeeData[[#This Row],[Satisfaction Score]]&lt;3,"Medium","High"))</f>
        <v>High</v>
      </c>
    </row>
    <row r="347" spans="1:31" x14ac:dyDescent="0.25">
      <c r="A347" t="s">
        <v>1711</v>
      </c>
      <c r="B347" t="s">
        <v>1712</v>
      </c>
      <c r="C347" t="s">
        <v>58</v>
      </c>
      <c r="D347">
        <v>45</v>
      </c>
      <c r="E347" t="s">
        <v>94</v>
      </c>
      <c r="F347" t="s">
        <v>306</v>
      </c>
      <c r="G347" s="1">
        <v>44400</v>
      </c>
      <c r="H347">
        <v>134705</v>
      </c>
      <c r="I347" t="s">
        <v>42</v>
      </c>
      <c r="J347" t="s">
        <v>61</v>
      </c>
      <c r="K347" t="s">
        <v>131</v>
      </c>
      <c r="L347" t="s">
        <v>43</v>
      </c>
      <c r="M347">
        <v>42</v>
      </c>
      <c r="N347" t="s">
        <v>34</v>
      </c>
      <c r="O347">
        <v>1</v>
      </c>
      <c r="P347">
        <v>3</v>
      </c>
      <c r="Q347">
        <v>2</v>
      </c>
      <c r="R347">
        <v>2</v>
      </c>
      <c r="S347">
        <v>6</v>
      </c>
      <c r="T347">
        <v>0</v>
      </c>
      <c r="U347">
        <v>12</v>
      </c>
      <c r="V347" t="s">
        <v>1715</v>
      </c>
      <c r="W347" t="s">
        <v>45</v>
      </c>
      <c r="X347" s="1">
        <v>45544</v>
      </c>
      <c r="Y347" s="2" t="str">
        <f>IF(EmployeeData[[#This Row],[Age]]&lt;25,"Under 25",IF(EmployeeData[[#This Row],[Age]]&lt;=34,"25-34",IF(EmployeeData[[#This Row],[Age]]&lt;=44,"35-44",IF(EmployeeData[[#This Row],[Age]]&lt;=54,"45-54","55+"))))</f>
        <v>45-54</v>
      </c>
      <c r="Z347">
        <f ca="1">DATEDIF(EmployeeData[[#This Row],[DateOfJoining]],IF(AND(EmployeeData[[#This Row],[Attrition]]="Yes",EmployeeData[[#This Row],[LastWorkingDate]]&lt;&gt;""),EmployeeData[[#This Row],[LastWorkingDate]],TODAY()),"Y")</f>
        <v>3</v>
      </c>
      <c r="AA347" t="str">
        <f>IF(EmployeeData[[#This Row],[MonthlyIncome]]&lt;30000,"Low",IF(EmployeeData[[#This Row],[MonthlyIncome]]&lt;=60000,"Medium",IF(EmployeeData[[#This Row],[MonthlyIncome]]&lt;=100000,"High","Very High")))</f>
        <v>Very High</v>
      </c>
      <c r="AB347">
        <f>IF(EmployeeData[[#This Row],[Attrition]]="Yes",1,0)</f>
        <v>1</v>
      </c>
      <c r="AC347" t="str">
        <f ca="1">IF(EmployeeData[[#This Row],[Tenure Years]]&lt;1,"Less than 1 Year",IF(EmployeeData[[#This Row],[Tenure Years]]&lt;=3,"1-3 Years",IF(EmployeeData[[#This Row],[Tenure Years]]&lt;=5,"4-5 Years",IF(EmployeeData[[#This Row],[Tenure Years]]&lt;=10,"6-10 Years","More than 10 Years"))))</f>
        <v>1-3 Years</v>
      </c>
      <c r="AD347">
        <f>ROUND(AVERAGE(EmployeeData[[#This Row],[JobSatisfaction]],EmployeeData[[#This Row],[EnvironmentSatisfaction]],EmployeeData[[#This Row],[WorkLifeBalance]]),2)</f>
        <v>2</v>
      </c>
      <c r="AE347" t="str">
        <f>IF(EmployeeData[[#This Row],[Satisfaction Score]]&lt;2,"Low",IF(EmployeeData[[#This Row],[Satisfaction Score]]&lt;3,"Medium","High"))</f>
        <v>Medium</v>
      </c>
    </row>
    <row r="348" spans="1:31" x14ac:dyDescent="0.25">
      <c r="A348" t="s">
        <v>1717</v>
      </c>
      <c r="B348" t="s">
        <v>1718</v>
      </c>
      <c r="C348" t="s">
        <v>58</v>
      </c>
      <c r="D348">
        <v>37</v>
      </c>
      <c r="E348" t="s">
        <v>38</v>
      </c>
      <c r="F348" t="s">
        <v>5460</v>
      </c>
      <c r="G348" s="1">
        <v>43321</v>
      </c>
      <c r="H348">
        <v>88941</v>
      </c>
      <c r="I348" t="s">
        <v>42</v>
      </c>
      <c r="J348" t="s">
        <v>143</v>
      </c>
      <c r="K348" t="s">
        <v>167</v>
      </c>
      <c r="L348" t="s">
        <v>43</v>
      </c>
      <c r="M348">
        <v>38</v>
      </c>
      <c r="N348" t="s">
        <v>34</v>
      </c>
      <c r="O348">
        <v>2</v>
      </c>
      <c r="P348">
        <v>1</v>
      </c>
      <c r="Q348">
        <v>3</v>
      </c>
      <c r="R348">
        <v>3</v>
      </c>
      <c r="S348">
        <v>0</v>
      </c>
      <c r="T348">
        <v>8</v>
      </c>
      <c r="U348">
        <v>17</v>
      </c>
      <c r="V348" t="s">
        <v>1720</v>
      </c>
      <c r="W348" t="s">
        <v>34</v>
      </c>
      <c r="Y348" s="2" t="str">
        <f>IF(EmployeeData[[#This Row],[Age]]&lt;25,"Under 25",IF(EmployeeData[[#This Row],[Age]]&lt;=34,"25-34",IF(EmployeeData[[#This Row],[Age]]&lt;=44,"35-44",IF(EmployeeData[[#This Row],[Age]]&lt;=54,"45-54","55+"))))</f>
        <v>35-44</v>
      </c>
      <c r="Z348">
        <f ca="1">DATEDIF(EmployeeData[[#This Row],[DateOfJoining]],IF(AND(EmployeeData[[#This Row],[Attrition]]="Yes",EmployeeData[[#This Row],[LastWorkingDate]]&lt;&gt;""),EmployeeData[[#This Row],[LastWorkingDate]],TODAY()),"Y")</f>
        <v>8</v>
      </c>
      <c r="AA348" t="str">
        <f>IF(EmployeeData[[#This Row],[MonthlyIncome]]&lt;30000,"Low",IF(EmployeeData[[#This Row],[MonthlyIncome]]&lt;=60000,"Medium",IF(EmployeeData[[#This Row],[MonthlyIncome]]&lt;=100000,"High","Very High")))</f>
        <v>High</v>
      </c>
      <c r="AB348">
        <f>IF(EmployeeData[[#This Row],[Attrition]]="Yes",1,0)</f>
        <v>0</v>
      </c>
      <c r="AC348" t="str">
        <f ca="1">IF(EmployeeData[[#This Row],[Tenure Years]]&lt;1,"Less than 1 Year",IF(EmployeeData[[#This Row],[Tenure Years]]&lt;=3,"1-3 Years",IF(EmployeeData[[#This Row],[Tenure Years]]&lt;=5,"4-5 Years",IF(EmployeeData[[#This Row],[Tenure Years]]&lt;=10,"6-10 Years","More than 10 Years"))))</f>
        <v>6-10 Years</v>
      </c>
      <c r="AD348">
        <f>ROUND(AVERAGE(EmployeeData[[#This Row],[JobSatisfaction]],EmployeeData[[#This Row],[EnvironmentSatisfaction]],EmployeeData[[#This Row],[WorkLifeBalance]]),2)</f>
        <v>2</v>
      </c>
      <c r="AE348" t="str">
        <f>IF(EmployeeData[[#This Row],[Satisfaction Score]]&lt;2,"Low",IF(EmployeeData[[#This Row],[Satisfaction Score]]&lt;3,"Medium","High"))</f>
        <v>Medium</v>
      </c>
    </row>
    <row r="349" spans="1:31" x14ac:dyDescent="0.25">
      <c r="A349" t="s">
        <v>1721</v>
      </c>
      <c r="B349" t="s">
        <v>1722</v>
      </c>
      <c r="C349" t="s">
        <v>49</v>
      </c>
      <c r="D349">
        <v>42</v>
      </c>
      <c r="E349" t="s">
        <v>5461</v>
      </c>
      <c r="F349" t="s">
        <v>5463</v>
      </c>
      <c r="G349" s="1">
        <v>41845</v>
      </c>
      <c r="H349">
        <v>125961</v>
      </c>
      <c r="I349" t="s">
        <v>42</v>
      </c>
      <c r="J349" t="s">
        <v>5459</v>
      </c>
      <c r="K349" t="s">
        <v>167</v>
      </c>
      <c r="L349" t="s">
        <v>5459</v>
      </c>
      <c r="M349">
        <v>5</v>
      </c>
      <c r="N349" t="s">
        <v>45</v>
      </c>
      <c r="O349">
        <v>4</v>
      </c>
      <c r="P349">
        <v>3</v>
      </c>
      <c r="Q349">
        <v>1</v>
      </c>
      <c r="R349">
        <v>2</v>
      </c>
      <c r="S349">
        <v>6</v>
      </c>
      <c r="T349">
        <v>3</v>
      </c>
      <c r="U349">
        <v>12</v>
      </c>
      <c r="V349" t="s">
        <v>1725</v>
      </c>
      <c r="W349" t="s">
        <v>45</v>
      </c>
      <c r="X349" s="1">
        <v>44922</v>
      </c>
      <c r="Y349" s="2" t="str">
        <f>IF(EmployeeData[[#This Row],[Age]]&lt;25,"Under 25",IF(EmployeeData[[#This Row],[Age]]&lt;=34,"25-34",IF(EmployeeData[[#This Row],[Age]]&lt;=44,"35-44",IF(EmployeeData[[#This Row],[Age]]&lt;=54,"45-54","55+"))))</f>
        <v>35-44</v>
      </c>
      <c r="Z349">
        <f ca="1">DATEDIF(EmployeeData[[#This Row],[DateOfJoining]],IF(AND(EmployeeData[[#This Row],[Attrition]]="Yes",EmployeeData[[#This Row],[LastWorkingDate]]&lt;&gt;""),EmployeeData[[#This Row],[LastWorkingDate]],TODAY()),"Y")</f>
        <v>8</v>
      </c>
      <c r="AA349" t="str">
        <f>IF(EmployeeData[[#This Row],[MonthlyIncome]]&lt;30000,"Low",IF(EmployeeData[[#This Row],[MonthlyIncome]]&lt;=60000,"Medium",IF(EmployeeData[[#This Row],[MonthlyIncome]]&lt;=100000,"High","Very High")))</f>
        <v>Very High</v>
      </c>
      <c r="AB349">
        <f>IF(EmployeeData[[#This Row],[Attrition]]="Yes",1,0)</f>
        <v>1</v>
      </c>
      <c r="AC349" t="str">
        <f ca="1">IF(EmployeeData[[#This Row],[Tenure Years]]&lt;1,"Less than 1 Year",IF(EmployeeData[[#This Row],[Tenure Years]]&lt;=3,"1-3 Years",IF(EmployeeData[[#This Row],[Tenure Years]]&lt;=5,"4-5 Years",IF(EmployeeData[[#This Row],[Tenure Years]]&lt;=10,"6-10 Years","More than 10 Years"))))</f>
        <v>6-10 Years</v>
      </c>
      <c r="AD349">
        <f>ROUND(AVERAGE(EmployeeData[[#This Row],[JobSatisfaction]],EmployeeData[[#This Row],[EnvironmentSatisfaction]],EmployeeData[[#This Row],[WorkLifeBalance]]),2)</f>
        <v>2.67</v>
      </c>
      <c r="AE349" t="str">
        <f>IF(EmployeeData[[#This Row],[Satisfaction Score]]&lt;2,"Low",IF(EmployeeData[[#This Row],[Satisfaction Score]]&lt;3,"Medium","High"))</f>
        <v>Medium</v>
      </c>
    </row>
    <row r="350" spans="1:31" x14ac:dyDescent="0.25">
      <c r="A350" t="s">
        <v>1727</v>
      </c>
      <c r="B350" t="s">
        <v>1728</v>
      </c>
      <c r="C350" t="s">
        <v>49</v>
      </c>
      <c r="D350">
        <v>39</v>
      </c>
      <c r="E350" t="s">
        <v>27</v>
      </c>
      <c r="F350" t="s">
        <v>50</v>
      </c>
      <c r="G350" s="1">
        <v>44589</v>
      </c>
      <c r="H350">
        <v>83084</v>
      </c>
      <c r="I350" t="s">
        <v>52</v>
      </c>
      <c r="J350" t="s">
        <v>97</v>
      </c>
      <c r="K350" t="s">
        <v>200</v>
      </c>
      <c r="L350" t="s">
        <v>33</v>
      </c>
      <c r="M350">
        <v>6</v>
      </c>
      <c r="N350" t="s">
        <v>34</v>
      </c>
      <c r="O350">
        <v>3</v>
      </c>
      <c r="P350">
        <v>4</v>
      </c>
      <c r="Q350">
        <v>3</v>
      </c>
      <c r="R350">
        <v>3</v>
      </c>
      <c r="S350">
        <v>3</v>
      </c>
      <c r="T350">
        <v>6</v>
      </c>
      <c r="U350">
        <v>20</v>
      </c>
      <c r="V350" t="s">
        <v>1730</v>
      </c>
      <c r="W350" t="s">
        <v>34</v>
      </c>
      <c r="Y350" s="2" t="str">
        <f>IF(EmployeeData[[#This Row],[Age]]&lt;25,"Under 25",IF(EmployeeData[[#This Row],[Age]]&lt;=34,"25-34",IF(EmployeeData[[#This Row],[Age]]&lt;=44,"35-44",IF(EmployeeData[[#This Row],[Age]]&lt;=54,"45-54","55+"))))</f>
        <v>35-44</v>
      </c>
      <c r="Z350">
        <f ca="1">DATEDIF(EmployeeData[[#This Row],[DateOfJoining]],IF(AND(EmployeeData[[#This Row],[Attrition]]="Yes",EmployeeData[[#This Row],[LastWorkingDate]]&lt;&gt;""),EmployeeData[[#This Row],[LastWorkingDate]],TODAY()),"Y")</f>
        <v>4</v>
      </c>
      <c r="AA350" t="str">
        <f>IF(EmployeeData[[#This Row],[MonthlyIncome]]&lt;30000,"Low",IF(EmployeeData[[#This Row],[MonthlyIncome]]&lt;=60000,"Medium",IF(EmployeeData[[#This Row],[MonthlyIncome]]&lt;=100000,"High","Very High")))</f>
        <v>High</v>
      </c>
      <c r="AB350">
        <f>IF(EmployeeData[[#This Row],[Attrition]]="Yes",1,0)</f>
        <v>0</v>
      </c>
      <c r="AC350" t="str">
        <f ca="1">IF(EmployeeData[[#This Row],[Tenure Years]]&lt;1,"Less than 1 Year",IF(EmployeeData[[#This Row],[Tenure Years]]&lt;=3,"1-3 Years",IF(EmployeeData[[#This Row],[Tenure Years]]&lt;=5,"4-5 Years",IF(EmployeeData[[#This Row],[Tenure Years]]&lt;=10,"6-10 Years","More than 10 Years"))))</f>
        <v>4-5 Years</v>
      </c>
      <c r="AD350">
        <f>ROUND(AVERAGE(EmployeeData[[#This Row],[JobSatisfaction]],EmployeeData[[#This Row],[EnvironmentSatisfaction]],EmployeeData[[#This Row],[WorkLifeBalance]]),2)</f>
        <v>3.33</v>
      </c>
      <c r="AE350" t="str">
        <f>IF(EmployeeData[[#This Row],[Satisfaction Score]]&lt;2,"Low",IF(EmployeeData[[#This Row],[Satisfaction Score]]&lt;3,"Medium","High"))</f>
        <v>High</v>
      </c>
    </row>
    <row r="351" spans="1:31" x14ac:dyDescent="0.25">
      <c r="A351" t="s">
        <v>1731</v>
      </c>
      <c r="B351" t="s">
        <v>1732</v>
      </c>
      <c r="C351" t="s">
        <v>58</v>
      </c>
      <c r="D351">
        <v>43</v>
      </c>
      <c r="E351" t="s">
        <v>197</v>
      </c>
      <c r="F351" t="s">
        <v>573</v>
      </c>
      <c r="G351" s="1">
        <v>44717</v>
      </c>
      <c r="H351">
        <v>53690</v>
      </c>
      <c r="I351" t="s">
        <v>52</v>
      </c>
      <c r="J351" t="s">
        <v>97</v>
      </c>
      <c r="K351" t="s">
        <v>167</v>
      </c>
      <c r="L351" t="s">
        <v>43</v>
      </c>
      <c r="M351">
        <v>17</v>
      </c>
      <c r="N351" t="s">
        <v>34</v>
      </c>
      <c r="O351">
        <v>2</v>
      </c>
      <c r="P351">
        <v>4</v>
      </c>
      <c r="Q351">
        <v>4</v>
      </c>
      <c r="R351">
        <v>4</v>
      </c>
      <c r="S351">
        <v>1</v>
      </c>
      <c r="T351">
        <v>5</v>
      </c>
      <c r="U351">
        <v>18</v>
      </c>
      <c r="V351" t="s">
        <v>1735</v>
      </c>
      <c r="W351" t="s">
        <v>34</v>
      </c>
      <c r="Y351" s="2" t="str">
        <f>IF(EmployeeData[[#This Row],[Age]]&lt;25,"Under 25",IF(EmployeeData[[#This Row],[Age]]&lt;=34,"25-34",IF(EmployeeData[[#This Row],[Age]]&lt;=44,"35-44",IF(EmployeeData[[#This Row],[Age]]&lt;=54,"45-54","55+"))))</f>
        <v>35-44</v>
      </c>
      <c r="Z351">
        <f ca="1">DATEDIF(EmployeeData[[#This Row],[DateOfJoining]],IF(AND(EmployeeData[[#This Row],[Attrition]]="Yes",EmployeeData[[#This Row],[LastWorkingDate]]&lt;&gt;""),EmployeeData[[#This Row],[LastWorkingDate]],TODAY()),"Y")</f>
        <v>4</v>
      </c>
      <c r="AA351" t="str">
        <f>IF(EmployeeData[[#This Row],[MonthlyIncome]]&lt;30000,"Low",IF(EmployeeData[[#This Row],[MonthlyIncome]]&lt;=60000,"Medium",IF(EmployeeData[[#This Row],[MonthlyIncome]]&lt;=100000,"High","Very High")))</f>
        <v>Medium</v>
      </c>
      <c r="AB351">
        <f>IF(EmployeeData[[#This Row],[Attrition]]="Yes",1,0)</f>
        <v>0</v>
      </c>
      <c r="AC351" t="str">
        <f ca="1">IF(EmployeeData[[#This Row],[Tenure Years]]&lt;1,"Less than 1 Year",IF(EmployeeData[[#This Row],[Tenure Years]]&lt;=3,"1-3 Years",IF(EmployeeData[[#This Row],[Tenure Years]]&lt;=5,"4-5 Years",IF(EmployeeData[[#This Row],[Tenure Years]]&lt;=10,"6-10 Years","More than 10 Years"))))</f>
        <v>4-5 Years</v>
      </c>
      <c r="AD351">
        <f>ROUND(AVERAGE(EmployeeData[[#This Row],[JobSatisfaction]],EmployeeData[[#This Row],[EnvironmentSatisfaction]],EmployeeData[[#This Row],[WorkLifeBalance]]),2)</f>
        <v>3.33</v>
      </c>
      <c r="AE351" t="str">
        <f>IF(EmployeeData[[#This Row],[Satisfaction Score]]&lt;2,"Low",IF(EmployeeData[[#This Row],[Satisfaction Score]]&lt;3,"Medium","High"))</f>
        <v>High</v>
      </c>
    </row>
    <row r="352" spans="1:31" x14ac:dyDescent="0.25">
      <c r="A352" t="s">
        <v>1736</v>
      </c>
      <c r="B352" t="s">
        <v>1737</v>
      </c>
      <c r="C352" t="s">
        <v>58</v>
      </c>
      <c r="D352">
        <v>34</v>
      </c>
      <c r="E352" t="s">
        <v>5461</v>
      </c>
      <c r="F352" t="s">
        <v>261</v>
      </c>
      <c r="G352" s="1">
        <v>44489</v>
      </c>
      <c r="H352">
        <v>59783</v>
      </c>
      <c r="I352" t="s">
        <v>30</v>
      </c>
      <c r="J352" t="s">
        <v>31</v>
      </c>
      <c r="K352" t="s">
        <v>167</v>
      </c>
      <c r="L352" t="s">
        <v>33</v>
      </c>
      <c r="M352">
        <v>7</v>
      </c>
      <c r="N352" t="s">
        <v>34</v>
      </c>
      <c r="O352">
        <v>3</v>
      </c>
      <c r="P352">
        <v>2</v>
      </c>
      <c r="Q352">
        <v>3</v>
      </c>
      <c r="R352">
        <v>1</v>
      </c>
      <c r="S352">
        <v>1</v>
      </c>
      <c r="T352">
        <v>7</v>
      </c>
      <c r="U352">
        <v>21</v>
      </c>
      <c r="V352" t="s">
        <v>1739</v>
      </c>
      <c r="W352" t="s">
        <v>34</v>
      </c>
      <c r="Y352" s="2" t="str">
        <f>IF(EmployeeData[[#This Row],[Age]]&lt;25,"Under 25",IF(EmployeeData[[#This Row],[Age]]&lt;=34,"25-34",IF(EmployeeData[[#This Row],[Age]]&lt;=44,"35-44",IF(EmployeeData[[#This Row],[Age]]&lt;=54,"45-54","55+"))))</f>
        <v>25-34</v>
      </c>
      <c r="Z352">
        <f ca="1">DATEDIF(EmployeeData[[#This Row],[DateOfJoining]],IF(AND(EmployeeData[[#This Row],[Attrition]]="Yes",EmployeeData[[#This Row],[LastWorkingDate]]&lt;&gt;""),EmployeeData[[#This Row],[LastWorkingDate]],TODAY()),"Y")</f>
        <v>4</v>
      </c>
      <c r="AA352" t="str">
        <f>IF(EmployeeData[[#This Row],[MonthlyIncome]]&lt;30000,"Low",IF(EmployeeData[[#This Row],[MonthlyIncome]]&lt;=60000,"Medium",IF(EmployeeData[[#This Row],[MonthlyIncome]]&lt;=100000,"High","Very High")))</f>
        <v>Medium</v>
      </c>
      <c r="AB352">
        <f>IF(EmployeeData[[#This Row],[Attrition]]="Yes",1,0)</f>
        <v>0</v>
      </c>
      <c r="AC352" t="str">
        <f ca="1">IF(EmployeeData[[#This Row],[Tenure Years]]&lt;1,"Less than 1 Year",IF(EmployeeData[[#This Row],[Tenure Years]]&lt;=3,"1-3 Years",IF(EmployeeData[[#This Row],[Tenure Years]]&lt;=5,"4-5 Years",IF(EmployeeData[[#This Row],[Tenure Years]]&lt;=10,"6-10 Years","More than 10 Years"))))</f>
        <v>4-5 Years</v>
      </c>
      <c r="AD352">
        <f>ROUND(AVERAGE(EmployeeData[[#This Row],[JobSatisfaction]],EmployeeData[[#This Row],[EnvironmentSatisfaction]],EmployeeData[[#This Row],[WorkLifeBalance]]),2)</f>
        <v>2.67</v>
      </c>
      <c r="AE352" t="str">
        <f>IF(EmployeeData[[#This Row],[Satisfaction Score]]&lt;2,"Low",IF(EmployeeData[[#This Row],[Satisfaction Score]]&lt;3,"Medium","High"))</f>
        <v>Medium</v>
      </c>
    </row>
    <row r="353" spans="1:31" x14ac:dyDescent="0.25">
      <c r="A353" t="s">
        <v>1740</v>
      </c>
      <c r="B353" t="s">
        <v>1741</v>
      </c>
      <c r="C353" t="s">
        <v>58</v>
      </c>
      <c r="D353">
        <v>35</v>
      </c>
      <c r="E353" t="s">
        <v>38</v>
      </c>
      <c r="F353" t="s">
        <v>5465</v>
      </c>
      <c r="G353" s="1">
        <v>41560</v>
      </c>
      <c r="H353">
        <v>94267</v>
      </c>
      <c r="I353" t="s">
        <v>42</v>
      </c>
      <c r="J353" t="s">
        <v>31</v>
      </c>
      <c r="K353" t="s">
        <v>98</v>
      </c>
      <c r="L353" t="s">
        <v>33</v>
      </c>
      <c r="M353">
        <v>27</v>
      </c>
      <c r="N353" t="s">
        <v>45</v>
      </c>
      <c r="O353">
        <v>2</v>
      </c>
      <c r="P353">
        <v>1</v>
      </c>
      <c r="Q353">
        <v>2</v>
      </c>
      <c r="R353">
        <v>1</v>
      </c>
      <c r="S353">
        <v>1</v>
      </c>
      <c r="T353">
        <v>7</v>
      </c>
      <c r="U353">
        <v>22</v>
      </c>
      <c r="V353" t="s">
        <v>1743</v>
      </c>
      <c r="W353" t="s">
        <v>45</v>
      </c>
      <c r="X353" s="1">
        <v>44334</v>
      </c>
      <c r="Y353" s="2" t="str">
        <f>IF(EmployeeData[[#This Row],[Age]]&lt;25,"Under 25",IF(EmployeeData[[#This Row],[Age]]&lt;=34,"25-34",IF(EmployeeData[[#This Row],[Age]]&lt;=44,"35-44",IF(EmployeeData[[#This Row],[Age]]&lt;=54,"45-54","55+"))))</f>
        <v>35-44</v>
      </c>
      <c r="Z353">
        <f ca="1">DATEDIF(EmployeeData[[#This Row],[DateOfJoining]],IF(AND(EmployeeData[[#This Row],[Attrition]]="Yes",EmployeeData[[#This Row],[LastWorkingDate]]&lt;&gt;""),EmployeeData[[#This Row],[LastWorkingDate]],TODAY()),"Y")</f>
        <v>7</v>
      </c>
      <c r="AA353" t="str">
        <f>IF(EmployeeData[[#This Row],[MonthlyIncome]]&lt;30000,"Low",IF(EmployeeData[[#This Row],[MonthlyIncome]]&lt;=60000,"Medium",IF(EmployeeData[[#This Row],[MonthlyIncome]]&lt;=100000,"High","Very High")))</f>
        <v>High</v>
      </c>
      <c r="AB353">
        <f>IF(EmployeeData[[#This Row],[Attrition]]="Yes",1,0)</f>
        <v>1</v>
      </c>
      <c r="AC353" t="str">
        <f ca="1">IF(EmployeeData[[#This Row],[Tenure Years]]&lt;1,"Less than 1 Year",IF(EmployeeData[[#This Row],[Tenure Years]]&lt;=3,"1-3 Years",IF(EmployeeData[[#This Row],[Tenure Years]]&lt;=5,"4-5 Years",IF(EmployeeData[[#This Row],[Tenure Years]]&lt;=10,"6-10 Years","More than 10 Years"))))</f>
        <v>6-10 Years</v>
      </c>
      <c r="AD353">
        <f>ROUND(AVERAGE(EmployeeData[[#This Row],[JobSatisfaction]],EmployeeData[[#This Row],[EnvironmentSatisfaction]],EmployeeData[[#This Row],[WorkLifeBalance]]),2)</f>
        <v>1.67</v>
      </c>
      <c r="AE353" t="str">
        <f>IF(EmployeeData[[#This Row],[Satisfaction Score]]&lt;2,"Low",IF(EmployeeData[[#This Row],[Satisfaction Score]]&lt;3,"Medium","High"))</f>
        <v>Low</v>
      </c>
    </row>
    <row r="354" spans="1:31" x14ac:dyDescent="0.25">
      <c r="A354" t="s">
        <v>1745</v>
      </c>
      <c r="B354" t="s">
        <v>1746</v>
      </c>
      <c r="C354" t="s">
        <v>49</v>
      </c>
      <c r="D354">
        <v>29</v>
      </c>
      <c r="E354" t="s">
        <v>94</v>
      </c>
      <c r="F354" t="s">
        <v>356</v>
      </c>
      <c r="G354" s="1">
        <v>44965</v>
      </c>
      <c r="H354">
        <v>50832</v>
      </c>
      <c r="I354" t="s">
        <v>52</v>
      </c>
      <c r="J354" t="s">
        <v>61</v>
      </c>
      <c r="K354" t="s">
        <v>113</v>
      </c>
      <c r="L354" t="s">
        <v>33</v>
      </c>
      <c r="M354">
        <v>31</v>
      </c>
      <c r="N354" t="s">
        <v>45</v>
      </c>
      <c r="O354">
        <v>1</v>
      </c>
      <c r="P354">
        <v>3</v>
      </c>
      <c r="Q354">
        <v>4</v>
      </c>
      <c r="R354">
        <v>3</v>
      </c>
      <c r="S354">
        <v>2</v>
      </c>
      <c r="T354">
        <v>5</v>
      </c>
      <c r="U354">
        <v>24</v>
      </c>
      <c r="V354" t="s">
        <v>1748</v>
      </c>
      <c r="W354" t="s">
        <v>45</v>
      </c>
      <c r="X354" s="1">
        <v>45506</v>
      </c>
      <c r="Y354" s="2" t="str">
        <f>IF(EmployeeData[[#This Row],[Age]]&lt;25,"Under 25",IF(EmployeeData[[#This Row],[Age]]&lt;=34,"25-34",IF(EmployeeData[[#This Row],[Age]]&lt;=44,"35-44",IF(EmployeeData[[#This Row],[Age]]&lt;=54,"45-54","55+"))))</f>
        <v>25-34</v>
      </c>
      <c r="Z354">
        <f ca="1">DATEDIF(EmployeeData[[#This Row],[DateOfJoining]],IF(AND(EmployeeData[[#This Row],[Attrition]]="Yes",EmployeeData[[#This Row],[LastWorkingDate]]&lt;&gt;""),EmployeeData[[#This Row],[LastWorkingDate]],TODAY()),"Y")</f>
        <v>1</v>
      </c>
      <c r="AA354" t="str">
        <f>IF(EmployeeData[[#This Row],[MonthlyIncome]]&lt;30000,"Low",IF(EmployeeData[[#This Row],[MonthlyIncome]]&lt;=60000,"Medium",IF(EmployeeData[[#This Row],[MonthlyIncome]]&lt;=100000,"High","Very High")))</f>
        <v>Medium</v>
      </c>
      <c r="AB354">
        <f>IF(EmployeeData[[#This Row],[Attrition]]="Yes",1,0)</f>
        <v>1</v>
      </c>
      <c r="AC354" t="str">
        <f ca="1">IF(EmployeeData[[#This Row],[Tenure Years]]&lt;1,"Less than 1 Year",IF(EmployeeData[[#This Row],[Tenure Years]]&lt;=3,"1-3 Years",IF(EmployeeData[[#This Row],[Tenure Years]]&lt;=5,"4-5 Years",IF(EmployeeData[[#This Row],[Tenure Years]]&lt;=10,"6-10 Years","More than 10 Years"))))</f>
        <v>1-3 Years</v>
      </c>
      <c r="AD354">
        <f>ROUND(AVERAGE(EmployeeData[[#This Row],[JobSatisfaction]],EmployeeData[[#This Row],[EnvironmentSatisfaction]],EmployeeData[[#This Row],[WorkLifeBalance]]),2)</f>
        <v>2.67</v>
      </c>
      <c r="AE354" t="str">
        <f>IF(EmployeeData[[#This Row],[Satisfaction Score]]&lt;2,"Low",IF(EmployeeData[[#This Row],[Satisfaction Score]]&lt;3,"Medium","High"))</f>
        <v>Medium</v>
      </c>
    </row>
    <row r="355" spans="1:31" x14ac:dyDescent="0.25">
      <c r="A355" t="s">
        <v>1750</v>
      </c>
      <c r="B355" t="s">
        <v>1751</v>
      </c>
      <c r="C355" t="s">
        <v>58</v>
      </c>
      <c r="D355">
        <v>43</v>
      </c>
      <c r="E355" t="s">
        <v>128</v>
      </c>
      <c r="F355" t="s">
        <v>255</v>
      </c>
      <c r="G355" s="1">
        <v>41626</v>
      </c>
      <c r="H355">
        <v>90528</v>
      </c>
      <c r="I355" t="s">
        <v>52</v>
      </c>
      <c r="J355" t="s">
        <v>31</v>
      </c>
      <c r="K355" t="s">
        <v>83</v>
      </c>
      <c r="L355" t="s">
        <v>62</v>
      </c>
      <c r="M355">
        <v>9</v>
      </c>
      <c r="N355" t="s">
        <v>45</v>
      </c>
      <c r="O355">
        <v>4</v>
      </c>
      <c r="P355">
        <v>3</v>
      </c>
      <c r="Q355">
        <v>1</v>
      </c>
      <c r="R355">
        <v>4</v>
      </c>
      <c r="S355">
        <v>5</v>
      </c>
      <c r="T355">
        <v>0</v>
      </c>
      <c r="U355">
        <v>18</v>
      </c>
      <c r="V355" t="s">
        <v>1754</v>
      </c>
      <c r="W355" t="s">
        <v>34</v>
      </c>
      <c r="Y355" s="2" t="str">
        <f>IF(EmployeeData[[#This Row],[Age]]&lt;25,"Under 25",IF(EmployeeData[[#This Row],[Age]]&lt;=34,"25-34",IF(EmployeeData[[#This Row],[Age]]&lt;=44,"35-44",IF(EmployeeData[[#This Row],[Age]]&lt;=54,"45-54","55+"))))</f>
        <v>35-44</v>
      </c>
      <c r="Z355">
        <f ca="1">DATEDIF(EmployeeData[[#This Row],[DateOfJoining]],IF(AND(EmployeeData[[#This Row],[Attrition]]="Yes",EmployeeData[[#This Row],[LastWorkingDate]]&lt;&gt;""),EmployeeData[[#This Row],[LastWorkingDate]],TODAY()),"Y")</f>
        <v>12</v>
      </c>
      <c r="AA355" t="str">
        <f>IF(EmployeeData[[#This Row],[MonthlyIncome]]&lt;30000,"Low",IF(EmployeeData[[#This Row],[MonthlyIncome]]&lt;=60000,"Medium",IF(EmployeeData[[#This Row],[MonthlyIncome]]&lt;=100000,"High","Very High")))</f>
        <v>High</v>
      </c>
      <c r="AB355">
        <f>IF(EmployeeData[[#This Row],[Attrition]]="Yes",1,0)</f>
        <v>0</v>
      </c>
      <c r="AC355" t="str">
        <f ca="1">IF(EmployeeData[[#This Row],[Tenure Years]]&lt;1,"Less than 1 Year",IF(EmployeeData[[#This Row],[Tenure Years]]&lt;=3,"1-3 Years",IF(EmployeeData[[#This Row],[Tenure Years]]&lt;=5,"4-5 Years",IF(EmployeeData[[#This Row],[Tenure Years]]&lt;=10,"6-10 Years","More than 10 Years"))))</f>
        <v>More than 10 Years</v>
      </c>
      <c r="AD355">
        <f>ROUND(AVERAGE(EmployeeData[[#This Row],[JobSatisfaction]],EmployeeData[[#This Row],[EnvironmentSatisfaction]],EmployeeData[[#This Row],[WorkLifeBalance]]),2)</f>
        <v>2.67</v>
      </c>
      <c r="AE355" t="str">
        <f>IF(EmployeeData[[#This Row],[Satisfaction Score]]&lt;2,"Low",IF(EmployeeData[[#This Row],[Satisfaction Score]]&lt;3,"Medium","High"))</f>
        <v>Medium</v>
      </c>
    </row>
    <row r="356" spans="1:31" x14ac:dyDescent="0.25">
      <c r="A356" t="s">
        <v>1755</v>
      </c>
      <c r="B356" t="s">
        <v>1756</v>
      </c>
      <c r="C356" t="s">
        <v>49</v>
      </c>
      <c r="D356">
        <v>39</v>
      </c>
      <c r="E356" t="s">
        <v>197</v>
      </c>
      <c r="F356" t="s">
        <v>235</v>
      </c>
      <c r="G356" s="1">
        <v>43824</v>
      </c>
      <c r="H356">
        <v>93231</v>
      </c>
      <c r="I356" t="s">
        <v>42</v>
      </c>
      <c r="J356" t="s">
        <v>61</v>
      </c>
      <c r="K356" t="s">
        <v>54</v>
      </c>
      <c r="L356" t="s">
        <v>43</v>
      </c>
      <c r="M356">
        <v>41</v>
      </c>
      <c r="N356" t="s">
        <v>34</v>
      </c>
      <c r="O356">
        <v>2</v>
      </c>
      <c r="P356">
        <v>4</v>
      </c>
      <c r="Q356">
        <v>4</v>
      </c>
      <c r="R356">
        <v>4</v>
      </c>
      <c r="S356">
        <v>3</v>
      </c>
      <c r="T356">
        <v>8</v>
      </c>
      <c r="U356">
        <v>12</v>
      </c>
      <c r="V356" t="s">
        <v>1758</v>
      </c>
      <c r="W356" t="s">
        <v>34</v>
      </c>
      <c r="Y356" s="2" t="str">
        <f>IF(EmployeeData[[#This Row],[Age]]&lt;25,"Under 25",IF(EmployeeData[[#This Row],[Age]]&lt;=34,"25-34",IF(EmployeeData[[#This Row],[Age]]&lt;=44,"35-44",IF(EmployeeData[[#This Row],[Age]]&lt;=54,"45-54","55+"))))</f>
        <v>35-44</v>
      </c>
      <c r="Z356">
        <f ca="1">DATEDIF(EmployeeData[[#This Row],[DateOfJoining]],IF(AND(EmployeeData[[#This Row],[Attrition]]="Yes",EmployeeData[[#This Row],[LastWorkingDate]]&lt;&gt;""),EmployeeData[[#This Row],[LastWorkingDate]],TODAY()),"Y")</f>
        <v>6</v>
      </c>
      <c r="AA356" t="str">
        <f>IF(EmployeeData[[#This Row],[MonthlyIncome]]&lt;30000,"Low",IF(EmployeeData[[#This Row],[MonthlyIncome]]&lt;=60000,"Medium",IF(EmployeeData[[#This Row],[MonthlyIncome]]&lt;=100000,"High","Very High")))</f>
        <v>High</v>
      </c>
      <c r="AB356">
        <f>IF(EmployeeData[[#This Row],[Attrition]]="Yes",1,0)</f>
        <v>0</v>
      </c>
      <c r="AC356" t="str">
        <f ca="1">IF(EmployeeData[[#This Row],[Tenure Years]]&lt;1,"Less than 1 Year",IF(EmployeeData[[#This Row],[Tenure Years]]&lt;=3,"1-3 Years",IF(EmployeeData[[#This Row],[Tenure Years]]&lt;=5,"4-5 Years",IF(EmployeeData[[#This Row],[Tenure Years]]&lt;=10,"6-10 Years","More than 10 Years"))))</f>
        <v>6-10 Years</v>
      </c>
      <c r="AD356">
        <f>ROUND(AVERAGE(EmployeeData[[#This Row],[JobSatisfaction]],EmployeeData[[#This Row],[EnvironmentSatisfaction]],EmployeeData[[#This Row],[WorkLifeBalance]]),2)</f>
        <v>3.33</v>
      </c>
      <c r="AE356" t="str">
        <f>IF(EmployeeData[[#This Row],[Satisfaction Score]]&lt;2,"Low",IF(EmployeeData[[#This Row],[Satisfaction Score]]&lt;3,"Medium","High"))</f>
        <v>High</v>
      </c>
    </row>
    <row r="357" spans="1:31" x14ac:dyDescent="0.25">
      <c r="A357" t="s">
        <v>1759</v>
      </c>
      <c r="B357" t="s">
        <v>1760</v>
      </c>
      <c r="C357" t="s">
        <v>58</v>
      </c>
      <c r="D357">
        <v>34</v>
      </c>
      <c r="E357" t="s">
        <v>94</v>
      </c>
      <c r="F357" t="s">
        <v>306</v>
      </c>
      <c r="G357" s="1">
        <v>44352</v>
      </c>
      <c r="H357">
        <v>89442</v>
      </c>
      <c r="I357" t="s">
        <v>52</v>
      </c>
      <c r="J357" t="s">
        <v>97</v>
      </c>
      <c r="K357" t="s">
        <v>83</v>
      </c>
      <c r="L357" t="s">
        <v>62</v>
      </c>
      <c r="M357">
        <v>13</v>
      </c>
      <c r="N357" t="s">
        <v>34</v>
      </c>
      <c r="O357">
        <v>1</v>
      </c>
      <c r="P357">
        <v>1</v>
      </c>
      <c r="Q357">
        <v>3</v>
      </c>
      <c r="R357">
        <v>3</v>
      </c>
      <c r="S357">
        <v>5</v>
      </c>
      <c r="T357">
        <v>1</v>
      </c>
      <c r="U357">
        <v>11</v>
      </c>
      <c r="V357" t="s">
        <v>1762</v>
      </c>
      <c r="W357" t="s">
        <v>34</v>
      </c>
      <c r="Y357" s="2" t="str">
        <f>IF(EmployeeData[[#This Row],[Age]]&lt;25,"Under 25",IF(EmployeeData[[#This Row],[Age]]&lt;=34,"25-34",IF(EmployeeData[[#This Row],[Age]]&lt;=44,"35-44",IF(EmployeeData[[#This Row],[Age]]&lt;=54,"45-54","55+"))))</f>
        <v>25-34</v>
      </c>
      <c r="Z357">
        <f ca="1">DATEDIF(EmployeeData[[#This Row],[DateOfJoining]],IF(AND(EmployeeData[[#This Row],[Attrition]]="Yes",EmployeeData[[#This Row],[LastWorkingDate]]&lt;&gt;""),EmployeeData[[#This Row],[LastWorkingDate]],TODAY()),"Y")</f>
        <v>5</v>
      </c>
      <c r="AA357" t="str">
        <f>IF(EmployeeData[[#This Row],[MonthlyIncome]]&lt;30000,"Low",IF(EmployeeData[[#This Row],[MonthlyIncome]]&lt;=60000,"Medium",IF(EmployeeData[[#This Row],[MonthlyIncome]]&lt;=100000,"High","Very High")))</f>
        <v>High</v>
      </c>
      <c r="AB357">
        <f>IF(EmployeeData[[#This Row],[Attrition]]="Yes",1,0)</f>
        <v>0</v>
      </c>
      <c r="AC357" t="str">
        <f ca="1">IF(EmployeeData[[#This Row],[Tenure Years]]&lt;1,"Less than 1 Year",IF(EmployeeData[[#This Row],[Tenure Years]]&lt;=3,"1-3 Years",IF(EmployeeData[[#This Row],[Tenure Years]]&lt;=5,"4-5 Years",IF(EmployeeData[[#This Row],[Tenure Years]]&lt;=10,"6-10 Years","More than 10 Years"))))</f>
        <v>4-5 Years</v>
      </c>
      <c r="AD357">
        <f>ROUND(AVERAGE(EmployeeData[[#This Row],[JobSatisfaction]],EmployeeData[[#This Row],[EnvironmentSatisfaction]],EmployeeData[[#This Row],[WorkLifeBalance]]),2)</f>
        <v>1.67</v>
      </c>
      <c r="AE357" t="str">
        <f>IF(EmployeeData[[#This Row],[Satisfaction Score]]&lt;2,"Low",IF(EmployeeData[[#This Row],[Satisfaction Score]]&lt;3,"Medium","High"))</f>
        <v>Low</v>
      </c>
    </row>
    <row r="358" spans="1:31" x14ac:dyDescent="0.25">
      <c r="A358" t="s">
        <v>1763</v>
      </c>
      <c r="B358" t="s">
        <v>1764</v>
      </c>
      <c r="C358" t="s">
        <v>49</v>
      </c>
      <c r="D358">
        <v>37</v>
      </c>
      <c r="E358" t="s">
        <v>128</v>
      </c>
      <c r="F358" t="s">
        <v>226</v>
      </c>
      <c r="G358" s="1">
        <v>43165</v>
      </c>
      <c r="H358">
        <v>99205</v>
      </c>
      <c r="I358" t="s">
        <v>42</v>
      </c>
      <c r="J358" t="s">
        <v>31</v>
      </c>
      <c r="K358" t="s">
        <v>131</v>
      </c>
      <c r="L358" t="s">
        <v>43</v>
      </c>
      <c r="M358">
        <v>6</v>
      </c>
      <c r="N358" t="s">
        <v>34</v>
      </c>
      <c r="O358">
        <v>4</v>
      </c>
      <c r="P358">
        <v>2</v>
      </c>
      <c r="Q358">
        <v>3</v>
      </c>
      <c r="R358">
        <v>3</v>
      </c>
      <c r="S358">
        <v>5</v>
      </c>
      <c r="T358">
        <v>0</v>
      </c>
      <c r="U358">
        <v>11</v>
      </c>
      <c r="V358" t="s">
        <v>1766</v>
      </c>
      <c r="W358" t="s">
        <v>34</v>
      </c>
      <c r="Y358" s="2" t="str">
        <f>IF(EmployeeData[[#This Row],[Age]]&lt;25,"Under 25",IF(EmployeeData[[#This Row],[Age]]&lt;=34,"25-34",IF(EmployeeData[[#This Row],[Age]]&lt;=44,"35-44",IF(EmployeeData[[#This Row],[Age]]&lt;=54,"45-54","55+"))))</f>
        <v>35-44</v>
      </c>
      <c r="Z358">
        <f ca="1">DATEDIF(EmployeeData[[#This Row],[DateOfJoining]],IF(AND(EmployeeData[[#This Row],[Attrition]]="Yes",EmployeeData[[#This Row],[LastWorkingDate]]&lt;&gt;""),EmployeeData[[#This Row],[LastWorkingDate]],TODAY()),"Y")</f>
        <v>8</v>
      </c>
      <c r="AA358" t="str">
        <f>IF(EmployeeData[[#This Row],[MonthlyIncome]]&lt;30000,"Low",IF(EmployeeData[[#This Row],[MonthlyIncome]]&lt;=60000,"Medium",IF(EmployeeData[[#This Row],[MonthlyIncome]]&lt;=100000,"High","Very High")))</f>
        <v>High</v>
      </c>
      <c r="AB358">
        <f>IF(EmployeeData[[#This Row],[Attrition]]="Yes",1,0)</f>
        <v>0</v>
      </c>
      <c r="AC358" t="str">
        <f ca="1">IF(EmployeeData[[#This Row],[Tenure Years]]&lt;1,"Less than 1 Year",IF(EmployeeData[[#This Row],[Tenure Years]]&lt;=3,"1-3 Years",IF(EmployeeData[[#This Row],[Tenure Years]]&lt;=5,"4-5 Years",IF(EmployeeData[[#This Row],[Tenure Years]]&lt;=10,"6-10 Years","More than 10 Years"))))</f>
        <v>6-10 Years</v>
      </c>
      <c r="AD358">
        <f>ROUND(AVERAGE(EmployeeData[[#This Row],[JobSatisfaction]],EmployeeData[[#This Row],[EnvironmentSatisfaction]],EmployeeData[[#This Row],[WorkLifeBalance]]),2)</f>
        <v>3</v>
      </c>
      <c r="AE358" t="str">
        <f>IF(EmployeeData[[#This Row],[Satisfaction Score]]&lt;2,"Low",IF(EmployeeData[[#This Row],[Satisfaction Score]]&lt;3,"Medium","High"))</f>
        <v>High</v>
      </c>
    </row>
    <row r="359" spans="1:31" x14ac:dyDescent="0.25">
      <c r="A359" t="s">
        <v>1767</v>
      </c>
      <c r="B359" t="s">
        <v>1768</v>
      </c>
      <c r="C359" t="s">
        <v>49</v>
      </c>
      <c r="D359">
        <v>44</v>
      </c>
      <c r="E359" t="s">
        <v>38</v>
      </c>
      <c r="F359" t="s">
        <v>5465</v>
      </c>
      <c r="G359" s="1">
        <v>43256</v>
      </c>
      <c r="H359">
        <v>49870</v>
      </c>
      <c r="I359" t="s">
        <v>30</v>
      </c>
      <c r="J359" t="s">
        <v>5459</v>
      </c>
      <c r="K359" t="s">
        <v>54</v>
      </c>
      <c r="L359" t="s">
        <v>62</v>
      </c>
      <c r="M359">
        <v>5</v>
      </c>
      <c r="N359" t="s">
        <v>45</v>
      </c>
      <c r="O359">
        <v>4</v>
      </c>
      <c r="P359">
        <v>4</v>
      </c>
      <c r="Q359">
        <v>3</v>
      </c>
      <c r="R359">
        <v>1</v>
      </c>
      <c r="S359">
        <v>4</v>
      </c>
      <c r="T359">
        <v>5</v>
      </c>
      <c r="U359">
        <v>22</v>
      </c>
      <c r="V359" t="s">
        <v>1771</v>
      </c>
      <c r="W359" t="s">
        <v>34</v>
      </c>
      <c r="Y359" s="2" t="str">
        <f>IF(EmployeeData[[#This Row],[Age]]&lt;25,"Under 25",IF(EmployeeData[[#This Row],[Age]]&lt;=34,"25-34",IF(EmployeeData[[#This Row],[Age]]&lt;=44,"35-44",IF(EmployeeData[[#This Row],[Age]]&lt;=54,"45-54","55+"))))</f>
        <v>35-44</v>
      </c>
      <c r="Z359">
        <f ca="1">DATEDIF(EmployeeData[[#This Row],[DateOfJoining]],IF(AND(EmployeeData[[#This Row],[Attrition]]="Yes",EmployeeData[[#This Row],[LastWorkingDate]]&lt;&gt;""),EmployeeData[[#This Row],[LastWorkingDate]],TODAY()),"Y")</f>
        <v>8</v>
      </c>
      <c r="AA359" t="str">
        <f>IF(EmployeeData[[#This Row],[MonthlyIncome]]&lt;30000,"Low",IF(EmployeeData[[#This Row],[MonthlyIncome]]&lt;=60000,"Medium",IF(EmployeeData[[#This Row],[MonthlyIncome]]&lt;=100000,"High","Very High")))</f>
        <v>Medium</v>
      </c>
      <c r="AB359">
        <f>IF(EmployeeData[[#This Row],[Attrition]]="Yes",1,0)</f>
        <v>0</v>
      </c>
      <c r="AC359" t="str">
        <f ca="1">IF(EmployeeData[[#This Row],[Tenure Years]]&lt;1,"Less than 1 Year",IF(EmployeeData[[#This Row],[Tenure Years]]&lt;=3,"1-3 Years",IF(EmployeeData[[#This Row],[Tenure Years]]&lt;=5,"4-5 Years",IF(EmployeeData[[#This Row],[Tenure Years]]&lt;=10,"6-10 Years","More than 10 Years"))))</f>
        <v>6-10 Years</v>
      </c>
      <c r="AD359">
        <f>ROUND(AVERAGE(EmployeeData[[#This Row],[JobSatisfaction]],EmployeeData[[#This Row],[EnvironmentSatisfaction]],EmployeeData[[#This Row],[WorkLifeBalance]]),2)</f>
        <v>3.67</v>
      </c>
      <c r="AE359" t="str">
        <f>IF(EmployeeData[[#This Row],[Satisfaction Score]]&lt;2,"Low",IF(EmployeeData[[#This Row],[Satisfaction Score]]&lt;3,"Medium","High"))</f>
        <v>High</v>
      </c>
    </row>
    <row r="360" spans="1:31" x14ac:dyDescent="0.25">
      <c r="A360" t="s">
        <v>1772</v>
      </c>
      <c r="B360" t="s">
        <v>1235</v>
      </c>
      <c r="C360" t="s">
        <v>58</v>
      </c>
      <c r="D360">
        <v>38</v>
      </c>
      <c r="E360" t="s">
        <v>94</v>
      </c>
      <c r="F360" t="s">
        <v>356</v>
      </c>
      <c r="G360" s="1">
        <v>42310</v>
      </c>
      <c r="H360">
        <v>113765</v>
      </c>
      <c r="I360" t="s">
        <v>30</v>
      </c>
      <c r="J360" t="s">
        <v>61</v>
      </c>
      <c r="K360" t="s">
        <v>113</v>
      </c>
      <c r="L360" t="s">
        <v>62</v>
      </c>
      <c r="M360">
        <v>20</v>
      </c>
      <c r="N360" t="s">
        <v>34</v>
      </c>
      <c r="O360">
        <v>3</v>
      </c>
      <c r="P360">
        <v>4</v>
      </c>
      <c r="Q360">
        <v>3</v>
      </c>
      <c r="R360">
        <v>3</v>
      </c>
      <c r="S360">
        <v>1</v>
      </c>
      <c r="T360">
        <v>0</v>
      </c>
      <c r="U360">
        <v>11</v>
      </c>
      <c r="V360" t="s">
        <v>1775</v>
      </c>
      <c r="W360" t="s">
        <v>34</v>
      </c>
      <c r="Y360" s="2" t="str">
        <f>IF(EmployeeData[[#This Row],[Age]]&lt;25,"Under 25",IF(EmployeeData[[#This Row],[Age]]&lt;=34,"25-34",IF(EmployeeData[[#This Row],[Age]]&lt;=44,"35-44",IF(EmployeeData[[#This Row],[Age]]&lt;=54,"45-54","55+"))))</f>
        <v>35-44</v>
      </c>
      <c r="Z360">
        <f ca="1">DATEDIF(EmployeeData[[#This Row],[DateOfJoining]],IF(AND(EmployeeData[[#This Row],[Attrition]]="Yes",EmployeeData[[#This Row],[LastWorkingDate]]&lt;&gt;""),EmployeeData[[#This Row],[LastWorkingDate]],TODAY()),"Y")</f>
        <v>10</v>
      </c>
      <c r="AA360" t="str">
        <f>IF(EmployeeData[[#This Row],[MonthlyIncome]]&lt;30000,"Low",IF(EmployeeData[[#This Row],[MonthlyIncome]]&lt;=60000,"Medium",IF(EmployeeData[[#This Row],[MonthlyIncome]]&lt;=100000,"High","Very High")))</f>
        <v>Very High</v>
      </c>
      <c r="AB360">
        <f>IF(EmployeeData[[#This Row],[Attrition]]="Yes",1,0)</f>
        <v>0</v>
      </c>
      <c r="AC360" t="str">
        <f ca="1">IF(EmployeeData[[#This Row],[Tenure Years]]&lt;1,"Less than 1 Year",IF(EmployeeData[[#This Row],[Tenure Years]]&lt;=3,"1-3 Years",IF(EmployeeData[[#This Row],[Tenure Years]]&lt;=5,"4-5 Years",IF(EmployeeData[[#This Row],[Tenure Years]]&lt;=10,"6-10 Years","More than 10 Years"))))</f>
        <v>6-10 Years</v>
      </c>
      <c r="AD360">
        <f>ROUND(AVERAGE(EmployeeData[[#This Row],[JobSatisfaction]],EmployeeData[[#This Row],[EnvironmentSatisfaction]],EmployeeData[[#This Row],[WorkLifeBalance]]),2)</f>
        <v>3.33</v>
      </c>
      <c r="AE360" t="str">
        <f>IF(EmployeeData[[#This Row],[Satisfaction Score]]&lt;2,"Low",IF(EmployeeData[[#This Row],[Satisfaction Score]]&lt;3,"Medium","High"))</f>
        <v>High</v>
      </c>
    </row>
    <row r="361" spans="1:31" x14ac:dyDescent="0.25">
      <c r="A361" t="s">
        <v>1776</v>
      </c>
      <c r="B361" t="s">
        <v>1777</v>
      </c>
      <c r="C361" t="s">
        <v>58</v>
      </c>
      <c r="D361">
        <v>40</v>
      </c>
      <c r="E361" t="s">
        <v>197</v>
      </c>
      <c r="F361" t="s">
        <v>235</v>
      </c>
      <c r="G361" s="1">
        <v>44482</v>
      </c>
      <c r="H361">
        <v>105476</v>
      </c>
      <c r="I361" t="s">
        <v>42</v>
      </c>
      <c r="J361" t="s">
        <v>61</v>
      </c>
      <c r="K361" t="s">
        <v>5459</v>
      </c>
      <c r="L361" t="s">
        <v>33</v>
      </c>
      <c r="M361">
        <v>8</v>
      </c>
      <c r="N361" t="s">
        <v>34</v>
      </c>
      <c r="O361">
        <v>1</v>
      </c>
      <c r="P361">
        <v>2</v>
      </c>
      <c r="Q361">
        <v>2</v>
      </c>
      <c r="R361">
        <v>4</v>
      </c>
      <c r="S361">
        <v>6</v>
      </c>
      <c r="T361">
        <v>6</v>
      </c>
      <c r="U361">
        <v>11</v>
      </c>
      <c r="V361" t="s">
        <v>1779</v>
      </c>
      <c r="W361" t="s">
        <v>34</v>
      </c>
      <c r="Y361" s="2" t="str">
        <f>IF(EmployeeData[[#This Row],[Age]]&lt;25,"Under 25",IF(EmployeeData[[#This Row],[Age]]&lt;=34,"25-34",IF(EmployeeData[[#This Row],[Age]]&lt;=44,"35-44",IF(EmployeeData[[#This Row],[Age]]&lt;=54,"45-54","55+"))))</f>
        <v>35-44</v>
      </c>
      <c r="Z361">
        <f ca="1">DATEDIF(EmployeeData[[#This Row],[DateOfJoining]],IF(AND(EmployeeData[[#This Row],[Attrition]]="Yes",EmployeeData[[#This Row],[LastWorkingDate]]&lt;&gt;""),EmployeeData[[#This Row],[LastWorkingDate]],TODAY()),"Y")</f>
        <v>4</v>
      </c>
      <c r="AA361" t="str">
        <f>IF(EmployeeData[[#This Row],[MonthlyIncome]]&lt;30000,"Low",IF(EmployeeData[[#This Row],[MonthlyIncome]]&lt;=60000,"Medium",IF(EmployeeData[[#This Row],[MonthlyIncome]]&lt;=100000,"High","Very High")))</f>
        <v>Very High</v>
      </c>
      <c r="AB361">
        <f>IF(EmployeeData[[#This Row],[Attrition]]="Yes",1,0)</f>
        <v>0</v>
      </c>
      <c r="AC361" t="str">
        <f ca="1">IF(EmployeeData[[#This Row],[Tenure Years]]&lt;1,"Less than 1 Year",IF(EmployeeData[[#This Row],[Tenure Years]]&lt;=3,"1-3 Years",IF(EmployeeData[[#This Row],[Tenure Years]]&lt;=5,"4-5 Years",IF(EmployeeData[[#This Row],[Tenure Years]]&lt;=10,"6-10 Years","More than 10 Years"))))</f>
        <v>4-5 Years</v>
      </c>
      <c r="AD361">
        <f>ROUND(AVERAGE(EmployeeData[[#This Row],[JobSatisfaction]],EmployeeData[[#This Row],[EnvironmentSatisfaction]],EmployeeData[[#This Row],[WorkLifeBalance]]),2)</f>
        <v>1.67</v>
      </c>
      <c r="AE361" t="str">
        <f>IF(EmployeeData[[#This Row],[Satisfaction Score]]&lt;2,"Low",IF(EmployeeData[[#This Row],[Satisfaction Score]]&lt;3,"Medium","High"))</f>
        <v>Low</v>
      </c>
    </row>
    <row r="362" spans="1:31" x14ac:dyDescent="0.25">
      <c r="A362" t="s">
        <v>1780</v>
      </c>
      <c r="B362" t="s">
        <v>1781</v>
      </c>
      <c r="C362" t="s">
        <v>49</v>
      </c>
      <c r="D362">
        <v>21</v>
      </c>
      <c r="E362" t="s">
        <v>5461</v>
      </c>
      <c r="F362" t="s">
        <v>89</v>
      </c>
      <c r="G362" s="1">
        <v>45749</v>
      </c>
      <c r="H362">
        <v>144022</v>
      </c>
      <c r="I362" t="s">
        <v>42</v>
      </c>
      <c r="J362" t="s">
        <v>61</v>
      </c>
      <c r="K362" t="s">
        <v>113</v>
      </c>
      <c r="L362" t="s">
        <v>62</v>
      </c>
      <c r="M362">
        <v>31</v>
      </c>
      <c r="N362" t="s">
        <v>34</v>
      </c>
      <c r="O362">
        <v>3</v>
      </c>
      <c r="P362">
        <v>4</v>
      </c>
      <c r="Q362">
        <v>3</v>
      </c>
      <c r="R362">
        <v>2</v>
      </c>
      <c r="S362">
        <v>6</v>
      </c>
      <c r="T362">
        <v>6</v>
      </c>
      <c r="U362">
        <v>16</v>
      </c>
      <c r="V362" t="s">
        <v>1783</v>
      </c>
      <c r="W362" t="s">
        <v>34</v>
      </c>
      <c r="Y362" s="2" t="str">
        <f>IF(EmployeeData[[#This Row],[Age]]&lt;25,"Under 25",IF(EmployeeData[[#This Row],[Age]]&lt;=34,"25-34",IF(EmployeeData[[#This Row],[Age]]&lt;=44,"35-44",IF(EmployeeData[[#This Row],[Age]]&lt;=54,"45-54","55+"))))</f>
        <v>Under 25</v>
      </c>
      <c r="Z362">
        <f ca="1">DATEDIF(EmployeeData[[#This Row],[DateOfJoining]],IF(AND(EmployeeData[[#This Row],[Attrition]]="Yes",EmployeeData[[#This Row],[LastWorkingDate]]&lt;&gt;""),EmployeeData[[#This Row],[LastWorkingDate]],TODAY()),"Y")</f>
        <v>1</v>
      </c>
      <c r="AA362" t="str">
        <f>IF(EmployeeData[[#This Row],[MonthlyIncome]]&lt;30000,"Low",IF(EmployeeData[[#This Row],[MonthlyIncome]]&lt;=60000,"Medium",IF(EmployeeData[[#This Row],[MonthlyIncome]]&lt;=100000,"High","Very High")))</f>
        <v>Very High</v>
      </c>
      <c r="AB362">
        <f>IF(EmployeeData[[#This Row],[Attrition]]="Yes",1,0)</f>
        <v>0</v>
      </c>
      <c r="AC362" t="str">
        <f ca="1">IF(EmployeeData[[#This Row],[Tenure Years]]&lt;1,"Less than 1 Year",IF(EmployeeData[[#This Row],[Tenure Years]]&lt;=3,"1-3 Years",IF(EmployeeData[[#This Row],[Tenure Years]]&lt;=5,"4-5 Years",IF(EmployeeData[[#This Row],[Tenure Years]]&lt;=10,"6-10 Years","More than 10 Years"))))</f>
        <v>1-3 Years</v>
      </c>
      <c r="AD362">
        <f>ROUND(AVERAGE(EmployeeData[[#This Row],[JobSatisfaction]],EmployeeData[[#This Row],[EnvironmentSatisfaction]],EmployeeData[[#This Row],[WorkLifeBalance]]),2)</f>
        <v>3.33</v>
      </c>
      <c r="AE362" t="str">
        <f>IF(EmployeeData[[#This Row],[Satisfaction Score]]&lt;2,"Low",IF(EmployeeData[[#This Row],[Satisfaction Score]]&lt;3,"Medium","High"))</f>
        <v>High</v>
      </c>
    </row>
    <row r="363" spans="1:31" x14ac:dyDescent="0.25">
      <c r="A363" t="s">
        <v>1784</v>
      </c>
      <c r="B363" t="s">
        <v>1785</v>
      </c>
      <c r="C363" t="s">
        <v>49</v>
      </c>
      <c r="D363">
        <v>20</v>
      </c>
      <c r="E363" t="s">
        <v>94</v>
      </c>
      <c r="F363" t="s">
        <v>639</v>
      </c>
      <c r="G363" s="1">
        <v>45059</v>
      </c>
      <c r="H363">
        <v>118782</v>
      </c>
      <c r="I363" t="s">
        <v>42</v>
      </c>
      <c r="J363" t="s">
        <v>61</v>
      </c>
      <c r="K363" t="s">
        <v>200</v>
      </c>
      <c r="L363" t="s">
        <v>33</v>
      </c>
      <c r="M363">
        <v>36</v>
      </c>
      <c r="N363" t="s">
        <v>34</v>
      </c>
      <c r="O363">
        <v>2</v>
      </c>
      <c r="P363">
        <v>4</v>
      </c>
      <c r="Q363">
        <v>3</v>
      </c>
      <c r="R363">
        <v>4</v>
      </c>
      <c r="S363">
        <v>1</v>
      </c>
      <c r="T363">
        <v>5</v>
      </c>
      <c r="U363">
        <v>13</v>
      </c>
      <c r="V363" t="s">
        <v>1787</v>
      </c>
      <c r="W363" t="s">
        <v>34</v>
      </c>
      <c r="Y363" s="2" t="str">
        <f>IF(EmployeeData[[#This Row],[Age]]&lt;25,"Under 25",IF(EmployeeData[[#This Row],[Age]]&lt;=34,"25-34",IF(EmployeeData[[#This Row],[Age]]&lt;=44,"35-44",IF(EmployeeData[[#This Row],[Age]]&lt;=54,"45-54","55+"))))</f>
        <v>Under 25</v>
      </c>
      <c r="Z363">
        <f ca="1">DATEDIF(EmployeeData[[#This Row],[DateOfJoining]],IF(AND(EmployeeData[[#This Row],[Attrition]]="Yes",EmployeeData[[#This Row],[LastWorkingDate]]&lt;&gt;""),EmployeeData[[#This Row],[LastWorkingDate]],TODAY()),"Y")</f>
        <v>3</v>
      </c>
      <c r="AA363" t="str">
        <f>IF(EmployeeData[[#This Row],[MonthlyIncome]]&lt;30000,"Low",IF(EmployeeData[[#This Row],[MonthlyIncome]]&lt;=60000,"Medium",IF(EmployeeData[[#This Row],[MonthlyIncome]]&lt;=100000,"High","Very High")))</f>
        <v>Very High</v>
      </c>
      <c r="AB363">
        <f>IF(EmployeeData[[#This Row],[Attrition]]="Yes",1,0)</f>
        <v>0</v>
      </c>
      <c r="AC363" t="str">
        <f ca="1">IF(EmployeeData[[#This Row],[Tenure Years]]&lt;1,"Less than 1 Year",IF(EmployeeData[[#This Row],[Tenure Years]]&lt;=3,"1-3 Years",IF(EmployeeData[[#This Row],[Tenure Years]]&lt;=5,"4-5 Years",IF(EmployeeData[[#This Row],[Tenure Years]]&lt;=10,"6-10 Years","More than 10 Years"))))</f>
        <v>1-3 Years</v>
      </c>
      <c r="AD363">
        <f>ROUND(AVERAGE(EmployeeData[[#This Row],[JobSatisfaction]],EmployeeData[[#This Row],[EnvironmentSatisfaction]],EmployeeData[[#This Row],[WorkLifeBalance]]),2)</f>
        <v>3</v>
      </c>
      <c r="AE363" t="str">
        <f>IF(EmployeeData[[#This Row],[Satisfaction Score]]&lt;2,"Low",IF(EmployeeData[[#This Row],[Satisfaction Score]]&lt;3,"Medium","High"))</f>
        <v>High</v>
      </c>
    </row>
    <row r="364" spans="1:31" x14ac:dyDescent="0.25">
      <c r="A364" t="s">
        <v>1788</v>
      </c>
      <c r="B364" t="s">
        <v>1789</v>
      </c>
      <c r="C364" t="s">
        <v>49</v>
      </c>
      <c r="D364">
        <v>35</v>
      </c>
      <c r="E364" t="s">
        <v>128</v>
      </c>
      <c r="F364" t="s">
        <v>5459</v>
      </c>
      <c r="G364" s="1">
        <v>45211</v>
      </c>
      <c r="H364">
        <v>48716</v>
      </c>
      <c r="I364" t="s">
        <v>52</v>
      </c>
      <c r="J364" t="s">
        <v>61</v>
      </c>
      <c r="K364" t="s">
        <v>200</v>
      </c>
      <c r="L364" t="s">
        <v>33</v>
      </c>
      <c r="M364">
        <v>12</v>
      </c>
      <c r="N364" t="s">
        <v>34</v>
      </c>
      <c r="O364">
        <v>2</v>
      </c>
      <c r="P364">
        <v>2</v>
      </c>
      <c r="Q364">
        <v>3</v>
      </c>
      <c r="R364">
        <v>3</v>
      </c>
      <c r="S364">
        <v>1</v>
      </c>
      <c r="T364">
        <v>2</v>
      </c>
      <c r="U364">
        <v>25</v>
      </c>
      <c r="V364" t="s">
        <v>1791</v>
      </c>
      <c r="W364" t="s">
        <v>34</v>
      </c>
      <c r="Y364" s="2" t="str">
        <f>IF(EmployeeData[[#This Row],[Age]]&lt;25,"Under 25",IF(EmployeeData[[#This Row],[Age]]&lt;=34,"25-34",IF(EmployeeData[[#This Row],[Age]]&lt;=44,"35-44",IF(EmployeeData[[#This Row],[Age]]&lt;=54,"45-54","55+"))))</f>
        <v>35-44</v>
      </c>
      <c r="Z364">
        <f ca="1">DATEDIF(EmployeeData[[#This Row],[DateOfJoining]],IF(AND(EmployeeData[[#This Row],[Attrition]]="Yes",EmployeeData[[#This Row],[LastWorkingDate]]&lt;&gt;""),EmployeeData[[#This Row],[LastWorkingDate]],TODAY()),"Y")</f>
        <v>2</v>
      </c>
      <c r="AA364" t="str">
        <f>IF(EmployeeData[[#This Row],[MonthlyIncome]]&lt;30000,"Low",IF(EmployeeData[[#This Row],[MonthlyIncome]]&lt;=60000,"Medium",IF(EmployeeData[[#This Row],[MonthlyIncome]]&lt;=100000,"High","Very High")))</f>
        <v>Medium</v>
      </c>
      <c r="AB364">
        <f>IF(EmployeeData[[#This Row],[Attrition]]="Yes",1,0)</f>
        <v>0</v>
      </c>
      <c r="AC364" t="str">
        <f ca="1">IF(EmployeeData[[#This Row],[Tenure Years]]&lt;1,"Less than 1 Year",IF(EmployeeData[[#This Row],[Tenure Years]]&lt;=3,"1-3 Years",IF(EmployeeData[[#This Row],[Tenure Years]]&lt;=5,"4-5 Years",IF(EmployeeData[[#This Row],[Tenure Years]]&lt;=10,"6-10 Years","More than 10 Years"))))</f>
        <v>1-3 Years</v>
      </c>
      <c r="AD364">
        <f>ROUND(AVERAGE(EmployeeData[[#This Row],[JobSatisfaction]],EmployeeData[[#This Row],[EnvironmentSatisfaction]],EmployeeData[[#This Row],[WorkLifeBalance]]),2)</f>
        <v>2.33</v>
      </c>
      <c r="AE364" t="str">
        <f>IF(EmployeeData[[#This Row],[Satisfaction Score]]&lt;2,"Low",IF(EmployeeData[[#This Row],[Satisfaction Score]]&lt;3,"Medium","High"))</f>
        <v>Medium</v>
      </c>
    </row>
    <row r="365" spans="1:31" x14ac:dyDescent="0.25">
      <c r="A365" t="s">
        <v>1792</v>
      </c>
      <c r="B365" t="s">
        <v>1793</v>
      </c>
      <c r="C365" t="s">
        <v>58</v>
      </c>
      <c r="D365">
        <v>42</v>
      </c>
      <c r="E365" t="s">
        <v>412</v>
      </c>
      <c r="F365" t="s">
        <v>1093</v>
      </c>
      <c r="G365" s="1">
        <v>43233</v>
      </c>
      <c r="H365">
        <v>59421</v>
      </c>
      <c r="I365" t="s">
        <v>52</v>
      </c>
      <c r="J365" t="s">
        <v>53</v>
      </c>
      <c r="K365" t="s">
        <v>200</v>
      </c>
      <c r="L365" t="s">
        <v>62</v>
      </c>
      <c r="M365">
        <v>32</v>
      </c>
      <c r="N365" t="s">
        <v>45</v>
      </c>
      <c r="O365">
        <v>4</v>
      </c>
      <c r="P365">
        <v>1</v>
      </c>
      <c r="Q365">
        <v>2</v>
      </c>
      <c r="R365">
        <v>3</v>
      </c>
      <c r="S365">
        <v>5</v>
      </c>
      <c r="T365">
        <v>4</v>
      </c>
      <c r="U365">
        <v>22</v>
      </c>
      <c r="V365" t="s">
        <v>1796</v>
      </c>
      <c r="W365" t="s">
        <v>45</v>
      </c>
      <c r="X365" s="1">
        <v>45859</v>
      </c>
      <c r="Y365" s="2" t="str">
        <f>IF(EmployeeData[[#This Row],[Age]]&lt;25,"Under 25",IF(EmployeeData[[#This Row],[Age]]&lt;=34,"25-34",IF(EmployeeData[[#This Row],[Age]]&lt;=44,"35-44",IF(EmployeeData[[#This Row],[Age]]&lt;=54,"45-54","55+"))))</f>
        <v>35-44</v>
      </c>
      <c r="Z365">
        <f ca="1">DATEDIF(EmployeeData[[#This Row],[DateOfJoining]],IF(AND(EmployeeData[[#This Row],[Attrition]]="Yes",EmployeeData[[#This Row],[LastWorkingDate]]&lt;&gt;""),EmployeeData[[#This Row],[LastWorkingDate]],TODAY()),"Y")</f>
        <v>7</v>
      </c>
      <c r="AA365" t="str">
        <f>IF(EmployeeData[[#This Row],[MonthlyIncome]]&lt;30000,"Low",IF(EmployeeData[[#This Row],[MonthlyIncome]]&lt;=60000,"Medium",IF(EmployeeData[[#This Row],[MonthlyIncome]]&lt;=100000,"High","Very High")))</f>
        <v>Medium</v>
      </c>
      <c r="AB365">
        <f>IF(EmployeeData[[#This Row],[Attrition]]="Yes",1,0)</f>
        <v>1</v>
      </c>
      <c r="AC365" t="str">
        <f ca="1">IF(EmployeeData[[#This Row],[Tenure Years]]&lt;1,"Less than 1 Year",IF(EmployeeData[[#This Row],[Tenure Years]]&lt;=3,"1-3 Years",IF(EmployeeData[[#This Row],[Tenure Years]]&lt;=5,"4-5 Years",IF(EmployeeData[[#This Row],[Tenure Years]]&lt;=10,"6-10 Years","More than 10 Years"))))</f>
        <v>6-10 Years</v>
      </c>
      <c r="AD365">
        <f>ROUND(AVERAGE(EmployeeData[[#This Row],[JobSatisfaction]],EmployeeData[[#This Row],[EnvironmentSatisfaction]],EmployeeData[[#This Row],[WorkLifeBalance]]),2)</f>
        <v>2.33</v>
      </c>
      <c r="AE365" t="str">
        <f>IF(EmployeeData[[#This Row],[Satisfaction Score]]&lt;2,"Low",IF(EmployeeData[[#This Row],[Satisfaction Score]]&lt;3,"Medium","High"))</f>
        <v>Medium</v>
      </c>
    </row>
    <row r="366" spans="1:31" x14ac:dyDescent="0.25">
      <c r="A366" t="s">
        <v>1798</v>
      </c>
      <c r="B366" t="s">
        <v>1799</v>
      </c>
      <c r="C366" t="s">
        <v>58</v>
      </c>
      <c r="D366">
        <v>30</v>
      </c>
      <c r="E366" t="s">
        <v>27</v>
      </c>
      <c r="F366" t="s">
        <v>188</v>
      </c>
      <c r="G366" s="1">
        <v>44960</v>
      </c>
      <c r="H366">
        <v>95209</v>
      </c>
      <c r="I366" t="s">
        <v>30</v>
      </c>
      <c r="J366" t="s">
        <v>61</v>
      </c>
      <c r="K366" t="s">
        <v>54</v>
      </c>
      <c r="L366" t="s">
        <v>43</v>
      </c>
      <c r="M366">
        <v>43</v>
      </c>
      <c r="N366" t="s">
        <v>34</v>
      </c>
      <c r="O366">
        <v>1</v>
      </c>
      <c r="P366">
        <v>4</v>
      </c>
      <c r="Q366">
        <v>3</v>
      </c>
      <c r="R366">
        <v>5</v>
      </c>
      <c r="S366">
        <v>3</v>
      </c>
      <c r="T366">
        <v>6</v>
      </c>
      <c r="U366">
        <v>13</v>
      </c>
      <c r="V366" t="s">
        <v>1801</v>
      </c>
      <c r="W366" t="s">
        <v>45</v>
      </c>
      <c r="X366" s="1">
        <v>46113</v>
      </c>
      <c r="Y366" s="2" t="str">
        <f>IF(EmployeeData[[#This Row],[Age]]&lt;25,"Under 25",IF(EmployeeData[[#This Row],[Age]]&lt;=34,"25-34",IF(EmployeeData[[#This Row],[Age]]&lt;=44,"35-44",IF(EmployeeData[[#This Row],[Age]]&lt;=54,"45-54","55+"))))</f>
        <v>25-34</v>
      </c>
      <c r="Z366">
        <f ca="1">DATEDIF(EmployeeData[[#This Row],[DateOfJoining]],IF(AND(EmployeeData[[#This Row],[Attrition]]="Yes",EmployeeData[[#This Row],[LastWorkingDate]]&lt;&gt;""),EmployeeData[[#This Row],[LastWorkingDate]],TODAY()),"Y")</f>
        <v>3</v>
      </c>
      <c r="AA366" t="str">
        <f>IF(EmployeeData[[#This Row],[MonthlyIncome]]&lt;30000,"Low",IF(EmployeeData[[#This Row],[MonthlyIncome]]&lt;=60000,"Medium",IF(EmployeeData[[#This Row],[MonthlyIncome]]&lt;=100000,"High","Very High")))</f>
        <v>High</v>
      </c>
      <c r="AB366">
        <f>IF(EmployeeData[[#This Row],[Attrition]]="Yes",1,0)</f>
        <v>1</v>
      </c>
      <c r="AC366" t="str">
        <f ca="1">IF(EmployeeData[[#This Row],[Tenure Years]]&lt;1,"Less than 1 Year",IF(EmployeeData[[#This Row],[Tenure Years]]&lt;=3,"1-3 Years",IF(EmployeeData[[#This Row],[Tenure Years]]&lt;=5,"4-5 Years",IF(EmployeeData[[#This Row],[Tenure Years]]&lt;=10,"6-10 Years","More than 10 Years"))))</f>
        <v>1-3 Years</v>
      </c>
      <c r="AD366">
        <f>ROUND(AVERAGE(EmployeeData[[#This Row],[JobSatisfaction]],EmployeeData[[#This Row],[EnvironmentSatisfaction]],EmployeeData[[#This Row],[WorkLifeBalance]]),2)</f>
        <v>2.67</v>
      </c>
      <c r="AE366" t="str">
        <f>IF(EmployeeData[[#This Row],[Satisfaction Score]]&lt;2,"Low",IF(EmployeeData[[#This Row],[Satisfaction Score]]&lt;3,"Medium","High"))</f>
        <v>Medium</v>
      </c>
    </row>
    <row r="367" spans="1:31" x14ac:dyDescent="0.25">
      <c r="A367" t="s">
        <v>1803</v>
      </c>
      <c r="B367" t="s">
        <v>1804</v>
      </c>
      <c r="C367" t="s">
        <v>58</v>
      </c>
      <c r="D367">
        <v>25</v>
      </c>
      <c r="E367" t="s">
        <v>128</v>
      </c>
      <c r="F367" t="s">
        <v>271</v>
      </c>
      <c r="G367" s="1">
        <v>44249</v>
      </c>
      <c r="H367">
        <v>55635</v>
      </c>
      <c r="I367" t="s">
        <v>52</v>
      </c>
      <c r="J367" t="s">
        <v>61</v>
      </c>
      <c r="K367" t="s">
        <v>77</v>
      </c>
      <c r="L367" t="s">
        <v>62</v>
      </c>
      <c r="M367">
        <v>4</v>
      </c>
      <c r="N367" t="s">
        <v>45</v>
      </c>
      <c r="O367">
        <v>1</v>
      </c>
      <c r="P367">
        <v>1</v>
      </c>
      <c r="Q367">
        <v>3</v>
      </c>
      <c r="R367">
        <v>3</v>
      </c>
      <c r="S367">
        <v>0</v>
      </c>
      <c r="T367">
        <v>8</v>
      </c>
      <c r="U367">
        <v>12</v>
      </c>
      <c r="V367" t="s">
        <v>1807</v>
      </c>
      <c r="W367" t="s">
        <v>45</v>
      </c>
      <c r="X367" s="1">
        <v>44984</v>
      </c>
      <c r="Y367" s="2" t="str">
        <f>IF(EmployeeData[[#This Row],[Age]]&lt;25,"Under 25",IF(EmployeeData[[#This Row],[Age]]&lt;=34,"25-34",IF(EmployeeData[[#This Row],[Age]]&lt;=44,"35-44",IF(EmployeeData[[#This Row],[Age]]&lt;=54,"45-54","55+"))))</f>
        <v>25-34</v>
      </c>
      <c r="Z367">
        <f ca="1">DATEDIF(EmployeeData[[#This Row],[DateOfJoining]],IF(AND(EmployeeData[[#This Row],[Attrition]]="Yes",EmployeeData[[#This Row],[LastWorkingDate]]&lt;&gt;""),EmployeeData[[#This Row],[LastWorkingDate]],TODAY()),"Y")</f>
        <v>2</v>
      </c>
      <c r="AA367" t="str">
        <f>IF(EmployeeData[[#This Row],[MonthlyIncome]]&lt;30000,"Low",IF(EmployeeData[[#This Row],[MonthlyIncome]]&lt;=60000,"Medium",IF(EmployeeData[[#This Row],[MonthlyIncome]]&lt;=100000,"High","Very High")))</f>
        <v>Medium</v>
      </c>
      <c r="AB367">
        <f>IF(EmployeeData[[#This Row],[Attrition]]="Yes",1,0)</f>
        <v>1</v>
      </c>
      <c r="AC367" t="str">
        <f ca="1">IF(EmployeeData[[#This Row],[Tenure Years]]&lt;1,"Less than 1 Year",IF(EmployeeData[[#This Row],[Tenure Years]]&lt;=3,"1-3 Years",IF(EmployeeData[[#This Row],[Tenure Years]]&lt;=5,"4-5 Years",IF(EmployeeData[[#This Row],[Tenure Years]]&lt;=10,"6-10 Years","More than 10 Years"))))</f>
        <v>1-3 Years</v>
      </c>
      <c r="AD367">
        <f>ROUND(AVERAGE(EmployeeData[[#This Row],[JobSatisfaction]],EmployeeData[[#This Row],[EnvironmentSatisfaction]],EmployeeData[[#This Row],[WorkLifeBalance]]),2)</f>
        <v>1.67</v>
      </c>
      <c r="AE367" t="str">
        <f>IF(EmployeeData[[#This Row],[Satisfaction Score]]&lt;2,"Low",IF(EmployeeData[[#This Row],[Satisfaction Score]]&lt;3,"Medium","High"))</f>
        <v>Low</v>
      </c>
    </row>
    <row r="368" spans="1:31" x14ac:dyDescent="0.25">
      <c r="A368" t="s">
        <v>1809</v>
      </c>
      <c r="B368" t="s">
        <v>1810</v>
      </c>
      <c r="C368" t="s">
        <v>49</v>
      </c>
      <c r="D368">
        <v>37</v>
      </c>
      <c r="E368" t="s">
        <v>5461</v>
      </c>
      <c r="F368" t="s">
        <v>483</v>
      </c>
      <c r="G368" s="1">
        <v>41053</v>
      </c>
      <c r="H368">
        <v>149599</v>
      </c>
      <c r="I368" t="s">
        <v>52</v>
      </c>
      <c r="J368" t="s">
        <v>53</v>
      </c>
      <c r="K368" t="s">
        <v>167</v>
      </c>
      <c r="L368" t="s">
        <v>62</v>
      </c>
      <c r="M368">
        <v>5</v>
      </c>
      <c r="N368" t="s">
        <v>34</v>
      </c>
      <c r="O368">
        <v>3</v>
      </c>
      <c r="P368">
        <v>2</v>
      </c>
      <c r="Q368">
        <v>3</v>
      </c>
      <c r="R368">
        <v>4</v>
      </c>
      <c r="S368">
        <v>4</v>
      </c>
      <c r="T368">
        <v>7</v>
      </c>
      <c r="U368">
        <v>23</v>
      </c>
      <c r="V368" t="s">
        <v>1812</v>
      </c>
      <c r="W368" t="s">
        <v>34</v>
      </c>
      <c r="Y368" s="2" t="str">
        <f>IF(EmployeeData[[#This Row],[Age]]&lt;25,"Under 25",IF(EmployeeData[[#This Row],[Age]]&lt;=34,"25-34",IF(EmployeeData[[#This Row],[Age]]&lt;=44,"35-44",IF(EmployeeData[[#This Row],[Age]]&lt;=54,"45-54","55+"))))</f>
        <v>35-44</v>
      </c>
      <c r="Z368">
        <f ca="1">DATEDIF(EmployeeData[[#This Row],[DateOfJoining]],IF(AND(EmployeeData[[#This Row],[Attrition]]="Yes",EmployeeData[[#This Row],[LastWorkingDate]]&lt;&gt;""),EmployeeData[[#This Row],[LastWorkingDate]],TODAY()),"Y")</f>
        <v>14</v>
      </c>
      <c r="AA368" t="str">
        <f>IF(EmployeeData[[#This Row],[MonthlyIncome]]&lt;30000,"Low",IF(EmployeeData[[#This Row],[MonthlyIncome]]&lt;=60000,"Medium",IF(EmployeeData[[#This Row],[MonthlyIncome]]&lt;=100000,"High","Very High")))</f>
        <v>Very High</v>
      </c>
      <c r="AB368">
        <f>IF(EmployeeData[[#This Row],[Attrition]]="Yes",1,0)</f>
        <v>0</v>
      </c>
      <c r="AC368" t="str">
        <f ca="1">IF(EmployeeData[[#This Row],[Tenure Years]]&lt;1,"Less than 1 Year",IF(EmployeeData[[#This Row],[Tenure Years]]&lt;=3,"1-3 Years",IF(EmployeeData[[#This Row],[Tenure Years]]&lt;=5,"4-5 Years",IF(EmployeeData[[#This Row],[Tenure Years]]&lt;=10,"6-10 Years","More than 10 Years"))))</f>
        <v>More than 10 Years</v>
      </c>
      <c r="AD368">
        <f>ROUND(AVERAGE(EmployeeData[[#This Row],[JobSatisfaction]],EmployeeData[[#This Row],[EnvironmentSatisfaction]],EmployeeData[[#This Row],[WorkLifeBalance]]),2)</f>
        <v>2.67</v>
      </c>
      <c r="AE368" t="str">
        <f>IF(EmployeeData[[#This Row],[Satisfaction Score]]&lt;2,"Low",IF(EmployeeData[[#This Row],[Satisfaction Score]]&lt;3,"Medium","High"))</f>
        <v>Medium</v>
      </c>
    </row>
    <row r="369" spans="1:31" x14ac:dyDescent="0.25">
      <c r="A369" t="s">
        <v>1813</v>
      </c>
      <c r="B369" t="s">
        <v>1814</v>
      </c>
      <c r="C369" t="s">
        <v>49</v>
      </c>
      <c r="D369">
        <v>36</v>
      </c>
      <c r="E369" t="s">
        <v>27</v>
      </c>
      <c r="F369" t="s">
        <v>188</v>
      </c>
      <c r="G369" s="1">
        <v>45673</v>
      </c>
      <c r="H369">
        <v>102226</v>
      </c>
      <c r="I369" t="s">
        <v>30</v>
      </c>
      <c r="J369" t="s">
        <v>31</v>
      </c>
      <c r="K369" t="s">
        <v>200</v>
      </c>
      <c r="L369" t="s">
        <v>62</v>
      </c>
      <c r="M369">
        <v>42</v>
      </c>
      <c r="N369" t="s">
        <v>34</v>
      </c>
      <c r="O369">
        <v>4</v>
      </c>
      <c r="P369">
        <v>3</v>
      </c>
      <c r="Q369">
        <v>2</v>
      </c>
      <c r="R369">
        <v>2</v>
      </c>
      <c r="S369">
        <v>3</v>
      </c>
      <c r="T369">
        <v>6</v>
      </c>
      <c r="U369">
        <v>23</v>
      </c>
      <c r="V369" t="s">
        <v>239</v>
      </c>
      <c r="W369" t="s">
        <v>34</v>
      </c>
      <c r="Y369" s="2" t="str">
        <f>IF(EmployeeData[[#This Row],[Age]]&lt;25,"Under 25",IF(EmployeeData[[#This Row],[Age]]&lt;=34,"25-34",IF(EmployeeData[[#This Row],[Age]]&lt;=44,"35-44",IF(EmployeeData[[#This Row],[Age]]&lt;=54,"45-54","55+"))))</f>
        <v>35-44</v>
      </c>
      <c r="Z369">
        <f ca="1">DATEDIF(EmployeeData[[#This Row],[DateOfJoining]],IF(AND(EmployeeData[[#This Row],[Attrition]]="Yes",EmployeeData[[#This Row],[LastWorkingDate]]&lt;&gt;""),EmployeeData[[#This Row],[LastWorkingDate]],TODAY()),"Y")</f>
        <v>1</v>
      </c>
      <c r="AA369" t="str">
        <f>IF(EmployeeData[[#This Row],[MonthlyIncome]]&lt;30000,"Low",IF(EmployeeData[[#This Row],[MonthlyIncome]]&lt;=60000,"Medium",IF(EmployeeData[[#This Row],[MonthlyIncome]]&lt;=100000,"High","Very High")))</f>
        <v>Very High</v>
      </c>
      <c r="AB369">
        <f>IF(EmployeeData[[#This Row],[Attrition]]="Yes",1,0)</f>
        <v>0</v>
      </c>
      <c r="AC369" t="str">
        <f ca="1">IF(EmployeeData[[#This Row],[Tenure Years]]&lt;1,"Less than 1 Year",IF(EmployeeData[[#This Row],[Tenure Years]]&lt;=3,"1-3 Years",IF(EmployeeData[[#This Row],[Tenure Years]]&lt;=5,"4-5 Years",IF(EmployeeData[[#This Row],[Tenure Years]]&lt;=10,"6-10 Years","More than 10 Years"))))</f>
        <v>1-3 Years</v>
      </c>
      <c r="AD369">
        <f>ROUND(AVERAGE(EmployeeData[[#This Row],[JobSatisfaction]],EmployeeData[[#This Row],[EnvironmentSatisfaction]],EmployeeData[[#This Row],[WorkLifeBalance]]),2)</f>
        <v>3</v>
      </c>
      <c r="AE369" t="str">
        <f>IF(EmployeeData[[#This Row],[Satisfaction Score]]&lt;2,"Low",IF(EmployeeData[[#This Row],[Satisfaction Score]]&lt;3,"Medium","High"))</f>
        <v>High</v>
      </c>
    </row>
    <row r="370" spans="1:31" x14ac:dyDescent="0.25">
      <c r="A370" t="s">
        <v>1816</v>
      </c>
      <c r="B370" t="s">
        <v>1699</v>
      </c>
      <c r="C370" t="s">
        <v>58</v>
      </c>
      <c r="D370">
        <v>37</v>
      </c>
      <c r="E370" t="s">
        <v>5461</v>
      </c>
      <c r="F370" t="s">
        <v>5464</v>
      </c>
      <c r="G370" s="1">
        <v>41494</v>
      </c>
      <c r="H370">
        <v>128689</v>
      </c>
      <c r="I370" t="s">
        <v>52</v>
      </c>
      <c r="J370" t="s">
        <v>97</v>
      </c>
      <c r="K370" t="s">
        <v>54</v>
      </c>
      <c r="L370" t="s">
        <v>62</v>
      </c>
      <c r="M370">
        <v>25</v>
      </c>
      <c r="N370" t="s">
        <v>34</v>
      </c>
      <c r="O370">
        <v>2</v>
      </c>
      <c r="P370">
        <v>1</v>
      </c>
      <c r="Q370">
        <v>4</v>
      </c>
      <c r="R370">
        <v>3</v>
      </c>
      <c r="S370">
        <v>2</v>
      </c>
      <c r="T370">
        <v>0</v>
      </c>
      <c r="U370">
        <v>21</v>
      </c>
      <c r="V370" t="s">
        <v>1818</v>
      </c>
      <c r="W370" t="s">
        <v>34</v>
      </c>
      <c r="Y370" s="2" t="str">
        <f>IF(EmployeeData[[#This Row],[Age]]&lt;25,"Under 25",IF(EmployeeData[[#This Row],[Age]]&lt;=34,"25-34",IF(EmployeeData[[#This Row],[Age]]&lt;=44,"35-44",IF(EmployeeData[[#This Row],[Age]]&lt;=54,"45-54","55+"))))</f>
        <v>35-44</v>
      </c>
      <c r="Z370">
        <f ca="1">DATEDIF(EmployeeData[[#This Row],[DateOfJoining]],IF(AND(EmployeeData[[#This Row],[Attrition]]="Yes",EmployeeData[[#This Row],[LastWorkingDate]]&lt;&gt;""),EmployeeData[[#This Row],[LastWorkingDate]],TODAY()),"Y")</f>
        <v>13</v>
      </c>
      <c r="AA370" t="str">
        <f>IF(EmployeeData[[#This Row],[MonthlyIncome]]&lt;30000,"Low",IF(EmployeeData[[#This Row],[MonthlyIncome]]&lt;=60000,"Medium",IF(EmployeeData[[#This Row],[MonthlyIncome]]&lt;=100000,"High","Very High")))</f>
        <v>Very High</v>
      </c>
      <c r="AB370">
        <f>IF(EmployeeData[[#This Row],[Attrition]]="Yes",1,0)</f>
        <v>0</v>
      </c>
      <c r="AC370" t="str">
        <f ca="1">IF(EmployeeData[[#This Row],[Tenure Years]]&lt;1,"Less than 1 Year",IF(EmployeeData[[#This Row],[Tenure Years]]&lt;=3,"1-3 Years",IF(EmployeeData[[#This Row],[Tenure Years]]&lt;=5,"4-5 Years",IF(EmployeeData[[#This Row],[Tenure Years]]&lt;=10,"6-10 Years","More than 10 Years"))))</f>
        <v>More than 10 Years</v>
      </c>
      <c r="AD370">
        <f>ROUND(AVERAGE(EmployeeData[[#This Row],[JobSatisfaction]],EmployeeData[[#This Row],[EnvironmentSatisfaction]],EmployeeData[[#This Row],[WorkLifeBalance]]),2)</f>
        <v>2.33</v>
      </c>
      <c r="AE370" t="str">
        <f>IF(EmployeeData[[#This Row],[Satisfaction Score]]&lt;2,"Low",IF(EmployeeData[[#This Row],[Satisfaction Score]]&lt;3,"Medium","High"))</f>
        <v>Medium</v>
      </c>
    </row>
    <row r="371" spans="1:31" x14ac:dyDescent="0.25">
      <c r="A371" t="s">
        <v>1819</v>
      </c>
      <c r="B371" t="s">
        <v>1820</v>
      </c>
      <c r="C371" t="s">
        <v>58</v>
      </c>
      <c r="D371">
        <v>46</v>
      </c>
      <c r="E371" t="s">
        <v>128</v>
      </c>
      <c r="F371" t="s">
        <v>271</v>
      </c>
      <c r="G371" s="1">
        <v>42689</v>
      </c>
      <c r="H371">
        <v>74453</v>
      </c>
      <c r="I371" t="s">
        <v>30</v>
      </c>
      <c r="J371" t="s">
        <v>61</v>
      </c>
      <c r="K371" t="s">
        <v>83</v>
      </c>
      <c r="L371" t="s">
        <v>62</v>
      </c>
      <c r="M371">
        <v>32</v>
      </c>
      <c r="N371" t="s">
        <v>34</v>
      </c>
      <c r="O371">
        <v>1</v>
      </c>
      <c r="P371">
        <v>3</v>
      </c>
      <c r="Q371">
        <v>3</v>
      </c>
      <c r="R371">
        <v>2</v>
      </c>
      <c r="S371">
        <v>1</v>
      </c>
      <c r="T371">
        <v>2</v>
      </c>
      <c r="U371">
        <v>19</v>
      </c>
      <c r="V371" t="s">
        <v>1822</v>
      </c>
      <c r="W371" t="s">
        <v>34</v>
      </c>
      <c r="Y371" s="2" t="str">
        <f>IF(EmployeeData[[#This Row],[Age]]&lt;25,"Under 25",IF(EmployeeData[[#This Row],[Age]]&lt;=34,"25-34",IF(EmployeeData[[#This Row],[Age]]&lt;=44,"35-44",IF(EmployeeData[[#This Row],[Age]]&lt;=54,"45-54","55+"))))</f>
        <v>45-54</v>
      </c>
      <c r="Z371">
        <f ca="1">DATEDIF(EmployeeData[[#This Row],[DateOfJoining]],IF(AND(EmployeeData[[#This Row],[Attrition]]="Yes",EmployeeData[[#This Row],[LastWorkingDate]]&lt;&gt;""),EmployeeData[[#This Row],[LastWorkingDate]],TODAY()),"Y")</f>
        <v>9</v>
      </c>
      <c r="AA371" t="str">
        <f>IF(EmployeeData[[#This Row],[MonthlyIncome]]&lt;30000,"Low",IF(EmployeeData[[#This Row],[MonthlyIncome]]&lt;=60000,"Medium",IF(EmployeeData[[#This Row],[MonthlyIncome]]&lt;=100000,"High","Very High")))</f>
        <v>High</v>
      </c>
      <c r="AB371">
        <f>IF(EmployeeData[[#This Row],[Attrition]]="Yes",1,0)</f>
        <v>0</v>
      </c>
      <c r="AC371" t="str">
        <f ca="1">IF(EmployeeData[[#This Row],[Tenure Years]]&lt;1,"Less than 1 Year",IF(EmployeeData[[#This Row],[Tenure Years]]&lt;=3,"1-3 Years",IF(EmployeeData[[#This Row],[Tenure Years]]&lt;=5,"4-5 Years",IF(EmployeeData[[#This Row],[Tenure Years]]&lt;=10,"6-10 Years","More than 10 Years"))))</f>
        <v>6-10 Years</v>
      </c>
      <c r="AD371">
        <f>ROUND(AVERAGE(EmployeeData[[#This Row],[JobSatisfaction]],EmployeeData[[#This Row],[EnvironmentSatisfaction]],EmployeeData[[#This Row],[WorkLifeBalance]]),2)</f>
        <v>2.33</v>
      </c>
      <c r="AE371" t="str">
        <f>IF(EmployeeData[[#This Row],[Satisfaction Score]]&lt;2,"Low",IF(EmployeeData[[#This Row],[Satisfaction Score]]&lt;3,"Medium","High"))</f>
        <v>Medium</v>
      </c>
    </row>
    <row r="372" spans="1:31" x14ac:dyDescent="0.25">
      <c r="A372" t="s">
        <v>1823</v>
      </c>
      <c r="B372" t="s">
        <v>1824</v>
      </c>
      <c r="C372" t="s">
        <v>58</v>
      </c>
      <c r="D372">
        <v>34</v>
      </c>
      <c r="E372" t="s">
        <v>5461</v>
      </c>
      <c r="F372" t="s">
        <v>261</v>
      </c>
      <c r="G372" s="1">
        <v>41318</v>
      </c>
      <c r="H372">
        <v>93795</v>
      </c>
      <c r="I372" t="s">
        <v>5459</v>
      </c>
      <c r="J372" t="s">
        <v>31</v>
      </c>
      <c r="K372" t="s">
        <v>98</v>
      </c>
      <c r="L372" t="s">
        <v>33</v>
      </c>
      <c r="M372">
        <v>32</v>
      </c>
      <c r="N372" t="s">
        <v>34</v>
      </c>
      <c r="O372">
        <v>4</v>
      </c>
      <c r="P372">
        <v>3</v>
      </c>
      <c r="Q372">
        <v>3</v>
      </c>
      <c r="R372">
        <v>3</v>
      </c>
      <c r="S372">
        <v>3</v>
      </c>
      <c r="T372">
        <v>3</v>
      </c>
      <c r="U372">
        <v>17</v>
      </c>
      <c r="V372" t="s">
        <v>1826</v>
      </c>
      <c r="W372" t="s">
        <v>34</v>
      </c>
      <c r="Y372" s="2" t="str">
        <f>IF(EmployeeData[[#This Row],[Age]]&lt;25,"Under 25",IF(EmployeeData[[#This Row],[Age]]&lt;=34,"25-34",IF(EmployeeData[[#This Row],[Age]]&lt;=44,"35-44",IF(EmployeeData[[#This Row],[Age]]&lt;=54,"45-54","55+"))))</f>
        <v>25-34</v>
      </c>
      <c r="Z372">
        <f ca="1">DATEDIF(EmployeeData[[#This Row],[DateOfJoining]],IF(AND(EmployeeData[[#This Row],[Attrition]]="Yes",EmployeeData[[#This Row],[LastWorkingDate]]&lt;&gt;""),EmployeeData[[#This Row],[LastWorkingDate]],TODAY()),"Y")</f>
        <v>13</v>
      </c>
      <c r="AA372" t="str">
        <f>IF(EmployeeData[[#This Row],[MonthlyIncome]]&lt;30000,"Low",IF(EmployeeData[[#This Row],[MonthlyIncome]]&lt;=60000,"Medium",IF(EmployeeData[[#This Row],[MonthlyIncome]]&lt;=100000,"High","Very High")))</f>
        <v>High</v>
      </c>
      <c r="AB372">
        <f>IF(EmployeeData[[#This Row],[Attrition]]="Yes",1,0)</f>
        <v>0</v>
      </c>
      <c r="AC372" t="str">
        <f ca="1">IF(EmployeeData[[#This Row],[Tenure Years]]&lt;1,"Less than 1 Year",IF(EmployeeData[[#This Row],[Tenure Years]]&lt;=3,"1-3 Years",IF(EmployeeData[[#This Row],[Tenure Years]]&lt;=5,"4-5 Years",IF(EmployeeData[[#This Row],[Tenure Years]]&lt;=10,"6-10 Years","More than 10 Years"))))</f>
        <v>More than 10 Years</v>
      </c>
      <c r="AD372">
        <f>ROUND(AVERAGE(EmployeeData[[#This Row],[JobSatisfaction]],EmployeeData[[#This Row],[EnvironmentSatisfaction]],EmployeeData[[#This Row],[WorkLifeBalance]]),2)</f>
        <v>3.33</v>
      </c>
      <c r="AE372" t="str">
        <f>IF(EmployeeData[[#This Row],[Satisfaction Score]]&lt;2,"Low",IF(EmployeeData[[#This Row],[Satisfaction Score]]&lt;3,"Medium","High"))</f>
        <v>High</v>
      </c>
    </row>
    <row r="373" spans="1:31" x14ac:dyDescent="0.25">
      <c r="A373" t="s">
        <v>1827</v>
      </c>
      <c r="B373" t="s">
        <v>1828</v>
      </c>
      <c r="C373" t="s">
        <v>49</v>
      </c>
      <c r="D373">
        <v>43</v>
      </c>
      <c r="E373" t="s">
        <v>94</v>
      </c>
      <c r="F373" t="s">
        <v>266</v>
      </c>
      <c r="G373" s="1">
        <v>42968</v>
      </c>
      <c r="H373">
        <v>105441</v>
      </c>
      <c r="I373" t="s">
        <v>30</v>
      </c>
      <c r="J373" t="s">
        <v>97</v>
      </c>
      <c r="K373" t="s">
        <v>98</v>
      </c>
      <c r="L373" t="s">
        <v>43</v>
      </c>
      <c r="M373">
        <v>16</v>
      </c>
      <c r="N373" t="s">
        <v>34</v>
      </c>
      <c r="O373">
        <v>2</v>
      </c>
      <c r="P373">
        <v>2</v>
      </c>
      <c r="Q373">
        <v>3</v>
      </c>
      <c r="R373">
        <v>2</v>
      </c>
      <c r="S373">
        <v>1</v>
      </c>
      <c r="T373">
        <v>0</v>
      </c>
      <c r="U373">
        <v>23</v>
      </c>
      <c r="V373" t="s">
        <v>1830</v>
      </c>
      <c r="W373" t="s">
        <v>34</v>
      </c>
      <c r="Y373" s="2" t="str">
        <f>IF(EmployeeData[[#This Row],[Age]]&lt;25,"Under 25",IF(EmployeeData[[#This Row],[Age]]&lt;=34,"25-34",IF(EmployeeData[[#This Row],[Age]]&lt;=44,"35-44",IF(EmployeeData[[#This Row],[Age]]&lt;=54,"45-54","55+"))))</f>
        <v>35-44</v>
      </c>
      <c r="Z373">
        <f ca="1">DATEDIF(EmployeeData[[#This Row],[DateOfJoining]],IF(AND(EmployeeData[[#This Row],[Attrition]]="Yes",EmployeeData[[#This Row],[LastWorkingDate]]&lt;&gt;""),EmployeeData[[#This Row],[LastWorkingDate]],TODAY()),"Y")</f>
        <v>9</v>
      </c>
      <c r="AA373" t="str">
        <f>IF(EmployeeData[[#This Row],[MonthlyIncome]]&lt;30000,"Low",IF(EmployeeData[[#This Row],[MonthlyIncome]]&lt;=60000,"Medium",IF(EmployeeData[[#This Row],[MonthlyIncome]]&lt;=100000,"High","Very High")))</f>
        <v>Very High</v>
      </c>
      <c r="AB373">
        <f>IF(EmployeeData[[#This Row],[Attrition]]="Yes",1,0)</f>
        <v>0</v>
      </c>
      <c r="AC373" t="str">
        <f ca="1">IF(EmployeeData[[#This Row],[Tenure Years]]&lt;1,"Less than 1 Year",IF(EmployeeData[[#This Row],[Tenure Years]]&lt;=3,"1-3 Years",IF(EmployeeData[[#This Row],[Tenure Years]]&lt;=5,"4-5 Years",IF(EmployeeData[[#This Row],[Tenure Years]]&lt;=10,"6-10 Years","More than 10 Years"))))</f>
        <v>6-10 Years</v>
      </c>
      <c r="AD373">
        <f>ROUND(AVERAGE(EmployeeData[[#This Row],[JobSatisfaction]],EmployeeData[[#This Row],[EnvironmentSatisfaction]],EmployeeData[[#This Row],[WorkLifeBalance]]),2)</f>
        <v>2.33</v>
      </c>
      <c r="AE373" t="str">
        <f>IF(EmployeeData[[#This Row],[Satisfaction Score]]&lt;2,"Low",IF(EmployeeData[[#This Row],[Satisfaction Score]]&lt;3,"Medium","High"))</f>
        <v>Medium</v>
      </c>
    </row>
    <row r="374" spans="1:31" x14ac:dyDescent="0.25">
      <c r="A374" t="s">
        <v>1831</v>
      </c>
      <c r="B374" t="s">
        <v>1832</v>
      </c>
      <c r="C374" t="s">
        <v>49</v>
      </c>
      <c r="D374">
        <v>42</v>
      </c>
      <c r="E374" t="s">
        <v>38</v>
      </c>
      <c r="F374" t="s">
        <v>792</v>
      </c>
      <c r="G374" s="1">
        <v>44738</v>
      </c>
      <c r="H374">
        <v>82187</v>
      </c>
      <c r="I374" t="s">
        <v>52</v>
      </c>
      <c r="J374" t="s">
        <v>53</v>
      </c>
      <c r="K374" t="s">
        <v>77</v>
      </c>
      <c r="L374" t="s">
        <v>33</v>
      </c>
      <c r="M374">
        <v>17</v>
      </c>
      <c r="N374" t="s">
        <v>34</v>
      </c>
      <c r="O374">
        <v>1</v>
      </c>
      <c r="P374">
        <v>3</v>
      </c>
      <c r="Q374">
        <v>3</v>
      </c>
      <c r="R374">
        <v>3</v>
      </c>
      <c r="S374">
        <v>0</v>
      </c>
      <c r="T374">
        <v>4</v>
      </c>
      <c r="U374">
        <v>25</v>
      </c>
      <c r="V374" t="s">
        <v>1834</v>
      </c>
      <c r="W374" t="s">
        <v>34</v>
      </c>
      <c r="Y374" s="2" t="str">
        <f>IF(EmployeeData[[#This Row],[Age]]&lt;25,"Under 25",IF(EmployeeData[[#This Row],[Age]]&lt;=34,"25-34",IF(EmployeeData[[#This Row],[Age]]&lt;=44,"35-44",IF(EmployeeData[[#This Row],[Age]]&lt;=54,"45-54","55+"))))</f>
        <v>35-44</v>
      </c>
      <c r="Z374">
        <f ca="1">DATEDIF(EmployeeData[[#This Row],[DateOfJoining]],IF(AND(EmployeeData[[#This Row],[Attrition]]="Yes",EmployeeData[[#This Row],[LastWorkingDate]]&lt;&gt;""),EmployeeData[[#This Row],[LastWorkingDate]],TODAY()),"Y")</f>
        <v>4</v>
      </c>
      <c r="AA374" t="str">
        <f>IF(EmployeeData[[#This Row],[MonthlyIncome]]&lt;30000,"Low",IF(EmployeeData[[#This Row],[MonthlyIncome]]&lt;=60000,"Medium",IF(EmployeeData[[#This Row],[MonthlyIncome]]&lt;=100000,"High","Very High")))</f>
        <v>High</v>
      </c>
      <c r="AB374">
        <f>IF(EmployeeData[[#This Row],[Attrition]]="Yes",1,0)</f>
        <v>0</v>
      </c>
      <c r="AC374" t="str">
        <f ca="1">IF(EmployeeData[[#This Row],[Tenure Years]]&lt;1,"Less than 1 Year",IF(EmployeeData[[#This Row],[Tenure Years]]&lt;=3,"1-3 Years",IF(EmployeeData[[#This Row],[Tenure Years]]&lt;=5,"4-5 Years",IF(EmployeeData[[#This Row],[Tenure Years]]&lt;=10,"6-10 Years","More than 10 Years"))))</f>
        <v>4-5 Years</v>
      </c>
      <c r="AD374">
        <f>ROUND(AVERAGE(EmployeeData[[#This Row],[JobSatisfaction]],EmployeeData[[#This Row],[EnvironmentSatisfaction]],EmployeeData[[#This Row],[WorkLifeBalance]]),2)</f>
        <v>2.33</v>
      </c>
      <c r="AE374" t="str">
        <f>IF(EmployeeData[[#This Row],[Satisfaction Score]]&lt;2,"Low",IF(EmployeeData[[#This Row],[Satisfaction Score]]&lt;3,"Medium","High"))</f>
        <v>Medium</v>
      </c>
    </row>
    <row r="375" spans="1:31" x14ac:dyDescent="0.25">
      <c r="A375" t="s">
        <v>1835</v>
      </c>
      <c r="B375" t="s">
        <v>1836</v>
      </c>
      <c r="C375" t="s">
        <v>58</v>
      </c>
      <c r="D375">
        <v>37</v>
      </c>
      <c r="E375" t="s">
        <v>38</v>
      </c>
      <c r="F375" t="s">
        <v>792</v>
      </c>
      <c r="G375" s="1">
        <v>45852</v>
      </c>
      <c r="H375">
        <v>88043</v>
      </c>
      <c r="I375" t="s">
        <v>42</v>
      </c>
      <c r="J375" t="s">
        <v>61</v>
      </c>
      <c r="K375" t="s">
        <v>77</v>
      </c>
      <c r="L375" t="s">
        <v>43</v>
      </c>
      <c r="M375">
        <v>34</v>
      </c>
      <c r="N375" t="s">
        <v>45</v>
      </c>
      <c r="O375">
        <v>3</v>
      </c>
      <c r="P375">
        <v>2</v>
      </c>
      <c r="Q375">
        <v>3</v>
      </c>
      <c r="R375">
        <v>5</v>
      </c>
      <c r="S375">
        <v>1</v>
      </c>
      <c r="T375">
        <v>4</v>
      </c>
      <c r="U375">
        <v>20</v>
      </c>
      <c r="V375" t="s">
        <v>1838</v>
      </c>
      <c r="W375" t="s">
        <v>45</v>
      </c>
      <c r="X375" s="1">
        <v>46209</v>
      </c>
      <c r="Y375" s="2" t="str">
        <f>IF(EmployeeData[[#This Row],[Age]]&lt;25,"Under 25",IF(EmployeeData[[#This Row],[Age]]&lt;=34,"25-34",IF(EmployeeData[[#This Row],[Age]]&lt;=44,"35-44",IF(EmployeeData[[#This Row],[Age]]&lt;=54,"45-54","55+"))))</f>
        <v>35-44</v>
      </c>
      <c r="Z375">
        <f ca="1">DATEDIF(EmployeeData[[#This Row],[DateOfJoining]],IF(AND(EmployeeData[[#This Row],[Attrition]]="Yes",EmployeeData[[#This Row],[LastWorkingDate]]&lt;&gt;""),EmployeeData[[#This Row],[LastWorkingDate]],TODAY()),"Y")</f>
        <v>0</v>
      </c>
      <c r="AA375" t="str">
        <f>IF(EmployeeData[[#This Row],[MonthlyIncome]]&lt;30000,"Low",IF(EmployeeData[[#This Row],[MonthlyIncome]]&lt;=60000,"Medium",IF(EmployeeData[[#This Row],[MonthlyIncome]]&lt;=100000,"High","Very High")))</f>
        <v>High</v>
      </c>
      <c r="AB375">
        <f>IF(EmployeeData[[#This Row],[Attrition]]="Yes",1,0)</f>
        <v>1</v>
      </c>
      <c r="AC375" t="str">
        <f ca="1">IF(EmployeeData[[#This Row],[Tenure Years]]&lt;1,"Less than 1 Year",IF(EmployeeData[[#This Row],[Tenure Years]]&lt;=3,"1-3 Years",IF(EmployeeData[[#This Row],[Tenure Years]]&lt;=5,"4-5 Years",IF(EmployeeData[[#This Row],[Tenure Years]]&lt;=10,"6-10 Years","More than 10 Years"))))</f>
        <v>Less than 1 Year</v>
      </c>
      <c r="AD375">
        <f>ROUND(AVERAGE(EmployeeData[[#This Row],[JobSatisfaction]],EmployeeData[[#This Row],[EnvironmentSatisfaction]],EmployeeData[[#This Row],[WorkLifeBalance]]),2)</f>
        <v>2.67</v>
      </c>
      <c r="AE375" t="str">
        <f>IF(EmployeeData[[#This Row],[Satisfaction Score]]&lt;2,"Low",IF(EmployeeData[[#This Row],[Satisfaction Score]]&lt;3,"Medium","High"))</f>
        <v>Medium</v>
      </c>
    </row>
    <row r="376" spans="1:31" x14ac:dyDescent="0.25">
      <c r="A376" t="s">
        <v>1840</v>
      </c>
      <c r="B376" t="s">
        <v>1841</v>
      </c>
      <c r="C376" t="s">
        <v>49</v>
      </c>
      <c r="D376">
        <v>19</v>
      </c>
      <c r="E376" t="s">
        <v>94</v>
      </c>
      <c r="F376" t="s">
        <v>306</v>
      </c>
      <c r="G376" s="1">
        <v>42256</v>
      </c>
      <c r="H376">
        <v>57698</v>
      </c>
      <c r="I376" t="s">
        <v>52</v>
      </c>
      <c r="J376" t="s">
        <v>143</v>
      </c>
      <c r="K376" t="s">
        <v>32</v>
      </c>
      <c r="L376" t="s">
        <v>33</v>
      </c>
      <c r="M376">
        <v>23</v>
      </c>
      <c r="N376" t="s">
        <v>34</v>
      </c>
      <c r="O376">
        <v>4</v>
      </c>
      <c r="P376">
        <v>4</v>
      </c>
      <c r="Q376">
        <v>3</v>
      </c>
      <c r="R376">
        <v>3</v>
      </c>
      <c r="S376">
        <v>5</v>
      </c>
      <c r="T376">
        <v>4</v>
      </c>
      <c r="U376">
        <v>22</v>
      </c>
      <c r="V376" t="s">
        <v>1843</v>
      </c>
      <c r="W376" t="s">
        <v>34</v>
      </c>
      <c r="Y376" s="2" t="str">
        <f>IF(EmployeeData[[#This Row],[Age]]&lt;25,"Under 25",IF(EmployeeData[[#This Row],[Age]]&lt;=34,"25-34",IF(EmployeeData[[#This Row],[Age]]&lt;=44,"35-44",IF(EmployeeData[[#This Row],[Age]]&lt;=54,"45-54","55+"))))</f>
        <v>Under 25</v>
      </c>
      <c r="Z376">
        <f ca="1">DATEDIF(EmployeeData[[#This Row],[DateOfJoining]],IF(AND(EmployeeData[[#This Row],[Attrition]]="Yes",EmployeeData[[#This Row],[LastWorkingDate]]&lt;&gt;""),EmployeeData[[#This Row],[LastWorkingDate]],TODAY()),"Y")</f>
        <v>10</v>
      </c>
      <c r="AA376" t="str">
        <f>IF(EmployeeData[[#This Row],[MonthlyIncome]]&lt;30000,"Low",IF(EmployeeData[[#This Row],[MonthlyIncome]]&lt;=60000,"Medium",IF(EmployeeData[[#This Row],[MonthlyIncome]]&lt;=100000,"High","Very High")))</f>
        <v>Medium</v>
      </c>
      <c r="AB376">
        <f>IF(EmployeeData[[#This Row],[Attrition]]="Yes",1,0)</f>
        <v>0</v>
      </c>
      <c r="AC376" t="str">
        <f ca="1">IF(EmployeeData[[#This Row],[Tenure Years]]&lt;1,"Less than 1 Year",IF(EmployeeData[[#This Row],[Tenure Years]]&lt;=3,"1-3 Years",IF(EmployeeData[[#This Row],[Tenure Years]]&lt;=5,"4-5 Years",IF(EmployeeData[[#This Row],[Tenure Years]]&lt;=10,"6-10 Years","More than 10 Years"))))</f>
        <v>6-10 Years</v>
      </c>
      <c r="AD376">
        <f>ROUND(AVERAGE(EmployeeData[[#This Row],[JobSatisfaction]],EmployeeData[[#This Row],[EnvironmentSatisfaction]],EmployeeData[[#This Row],[WorkLifeBalance]]),2)</f>
        <v>3.67</v>
      </c>
      <c r="AE376" t="str">
        <f>IF(EmployeeData[[#This Row],[Satisfaction Score]]&lt;2,"Low",IF(EmployeeData[[#This Row],[Satisfaction Score]]&lt;3,"Medium","High"))</f>
        <v>High</v>
      </c>
    </row>
    <row r="377" spans="1:31" x14ac:dyDescent="0.25">
      <c r="A377" t="s">
        <v>1844</v>
      </c>
      <c r="B377" t="s">
        <v>1845</v>
      </c>
      <c r="C377" t="s">
        <v>58</v>
      </c>
      <c r="D377">
        <v>48</v>
      </c>
      <c r="E377" t="s">
        <v>27</v>
      </c>
      <c r="F377" t="s">
        <v>59</v>
      </c>
      <c r="G377" s="1">
        <v>45420</v>
      </c>
      <c r="H377">
        <v>81630</v>
      </c>
      <c r="I377" t="s">
        <v>42</v>
      </c>
      <c r="J377" t="s">
        <v>31</v>
      </c>
      <c r="K377" t="s">
        <v>32</v>
      </c>
      <c r="L377" t="s">
        <v>33</v>
      </c>
      <c r="M377">
        <v>1</v>
      </c>
      <c r="N377" t="s">
        <v>34</v>
      </c>
      <c r="O377">
        <v>4</v>
      </c>
      <c r="P377">
        <v>1</v>
      </c>
      <c r="Q377">
        <v>1</v>
      </c>
      <c r="R377">
        <v>4</v>
      </c>
      <c r="S377">
        <v>1</v>
      </c>
      <c r="T377">
        <v>6</v>
      </c>
      <c r="U377">
        <v>13</v>
      </c>
      <c r="V377" t="s">
        <v>1847</v>
      </c>
      <c r="W377" t="s">
        <v>34</v>
      </c>
      <c r="Y377" s="2" t="str">
        <f>IF(EmployeeData[[#This Row],[Age]]&lt;25,"Under 25",IF(EmployeeData[[#This Row],[Age]]&lt;=34,"25-34",IF(EmployeeData[[#This Row],[Age]]&lt;=44,"35-44",IF(EmployeeData[[#This Row],[Age]]&lt;=54,"45-54","55+"))))</f>
        <v>45-54</v>
      </c>
      <c r="Z377">
        <f ca="1">DATEDIF(EmployeeData[[#This Row],[DateOfJoining]],IF(AND(EmployeeData[[#This Row],[Attrition]]="Yes",EmployeeData[[#This Row],[LastWorkingDate]]&lt;&gt;""),EmployeeData[[#This Row],[LastWorkingDate]],TODAY()),"Y")</f>
        <v>2</v>
      </c>
      <c r="AA377" t="str">
        <f>IF(EmployeeData[[#This Row],[MonthlyIncome]]&lt;30000,"Low",IF(EmployeeData[[#This Row],[MonthlyIncome]]&lt;=60000,"Medium",IF(EmployeeData[[#This Row],[MonthlyIncome]]&lt;=100000,"High","Very High")))</f>
        <v>High</v>
      </c>
      <c r="AB377">
        <f>IF(EmployeeData[[#This Row],[Attrition]]="Yes",1,0)</f>
        <v>0</v>
      </c>
      <c r="AC377" t="str">
        <f ca="1">IF(EmployeeData[[#This Row],[Tenure Years]]&lt;1,"Less than 1 Year",IF(EmployeeData[[#This Row],[Tenure Years]]&lt;=3,"1-3 Years",IF(EmployeeData[[#This Row],[Tenure Years]]&lt;=5,"4-5 Years",IF(EmployeeData[[#This Row],[Tenure Years]]&lt;=10,"6-10 Years","More than 10 Years"))))</f>
        <v>1-3 Years</v>
      </c>
      <c r="AD377">
        <f>ROUND(AVERAGE(EmployeeData[[#This Row],[JobSatisfaction]],EmployeeData[[#This Row],[EnvironmentSatisfaction]],EmployeeData[[#This Row],[WorkLifeBalance]]),2)</f>
        <v>2</v>
      </c>
      <c r="AE377" t="str">
        <f>IF(EmployeeData[[#This Row],[Satisfaction Score]]&lt;2,"Low",IF(EmployeeData[[#This Row],[Satisfaction Score]]&lt;3,"Medium","High"))</f>
        <v>Medium</v>
      </c>
    </row>
    <row r="378" spans="1:31" x14ac:dyDescent="0.25">
      <c r="A378" t="s">
        <v>1848</v>
      </c>
      <c r="B378" t="s">
        <v>1849</v>
      </c>
      <c r="C378" t="s">
        <v>49</v>
      </c>
      <c r="D378">
        <v>44</v>
      </c>
      <c r="E378" t="s">
        <v>128</v>
      </c>
      <c r="F378" t="s">
        <v>271</v>
      </c>
      <c r="G378" s="1">
        <v>43836</v>
      </c>
      <c r="H378">
        <v>104180</v>
      </c>
      <c r="I378" t="s">
        <v>30</v>
      </c>
      <c r="J378" t="s">
        <v>97</v>
      </c>
      <c r="K378" t="s">
        <v>77</v>
      </c>
      <c r="L378" t="s">
        <v>43</v>
      </c>
      <c r="M378">
        <v>31</v>
      </c>
      <c r="N378" t="s">
        <v>34</v>
      </c>
      <c r="O378">
        <v>1</v>
      </c>
      <c r="P378">
        <v>1</v>
      </c>
      <c r="Q378">
        <v>1</v>
      </c>
      <c r="R378">
        <v>3</v>
      </c>
      <c r="S378">
        <v>1</v>
      </c>
      <c r="T378">
        <v>0</v>
      </c>
      <c r="U378">
        <v>15</v>
      </c>
      <c r="V378" t="s">
        <v>1851</v>
      </c>
      <c r="W378" t="s">
        <v>45</v>
      </c>
      <c r="X378" s="1">
        <v>46164</v>
      </c>
      <c r="Y378" s="2" t="str">
        <f>IF(EmployeeData[[#This Row],[Age]]&lt;25,"Under 25",IF(EmployeeData[[#This Row],[Age]]&lt;=34,"25-34",IF(EmployeeData[[#This Row],[Age]]&lt;=44,"35-44",IF(EmployeeData[[#This Row],[Age]]&lt;=54,"45-54","55+"))))</f>
        <v>35-44</v>
      </c>
      <c r="Z378">
        <f ca="1">DATEDIF(EmployeeData[[#This Row],[DateOfJoining]],IF(AND(EmployeeData[[#This Row],[Attrition]]="Yes",EmployeeData[[#This Row],[LastWorkingDate]]&lt;&gt;""),EmployeeData[[#This Row],[LastWorkingDate]],TODAY()),"Y")</f>
        <v>6</v>
      </c>
      <c r="AA378" t="str">
        <f>IF(EmployeeData[[#This Row],[MonthlyIncome]]&lt;30000,"Low",IF(EmployeeData[[#This Row],[MonthlyIncome]]&lt;=60000,"Medium",IF(EmployeeData[[#This Row],[MonthlyIncome]]&lt;=100000,"High","Very High")))</f>
        <v>Very High</v>
      </c>
      <c r="AB378">
        <f>IF(EmployeeData[[#This Row],[Attrition]]="Yes",1,0)</f>
        <v>1</v>
      </c>
      <c r="AC378" t="str">
        <f ca="1">IF(EmployeeData[[#This Row],[Tenure Years]]&lt;1,"Less than 1 Year",IF(EmployeeData[[#This Row],[Tenure Years]]&lt;=3,"1-3 Years",IF(EmployeeData[[#This Row],[Tenure Years]]&lt;=5,"4-5 Years",IF(EmployeeData[[#This Row],[Tenure Years]]&lt;=10,"6-10 Years","More than 10 Years"))))</f>
        <v>6-10 Years</v>
      </c>
      <c r="AD378">
        <f>ROUND(AVERAGE(EmployeeData[[#This Row],[JobSatisfaction]],EmployeeData[[#This Row],[EnvironmentSatisfaction]],EmployeeData[[#This Row],[WorkLifeBalance]]),2)</f>
        <v>1</v>
      </c>
      <c r="AE378" t="str">
        <f>IF(EmployeeData[[#This Row],[Satisfaction Score]]&lt;2,"Low",IF(EmployeeData[[#This Row],[Satisfaction Score]]&lt;3,"Medium","High"))</f>
        <v>Low</v>
      </c>
    </row>
    <row r="379" spans="1:31" x14ac:dyDescent="0.25">
      <c r="A379" t="s">
        <v>1853</v>
      </c>
      <c r="B379" t="s">
        <v>1854</v>
      </c>
      <c r="C379" t="s">
        <v>49</v>
      </c>
      <c r="D379">
        <v>37</v>
      </c>
      <c r="E379" t="s">
        <v>128</v>
      </c>
      <c r="F379" t="s">
        <v>5459</v>
      </c>
      <c r="G379" s="1">
        <v>44083</v>
      </c>
      <c r="H379">
        <v>69611</v>
      </c>
      <c r="I379" t="s">
        <v>42</v>
      </c>
      <c r="J379" t="s">
        <v>61</v>
      </c>
      <c r="K379" t="s">
        <v>83</v>
      </c>
      <c r="L379" t="s">
        <v>62</v>
      </c>
      <c r="M379">
        <v>9</v>
      </c>
      <c r="N379" t="s">
        <v>34</v>
      </c>
      <c r="O379">
        <v>2</v>
      </c>
      <c r="P379">
        <v>2</v>
      </c>
      <c r="Q379">
        <v>4</v>
      </c>
      <c r="R379">
        <v>4</v>
      </c>
      <c r="S379">
        <v>2</v>
      </c>
      <c r="T379">
        <v>3</v>
      </c>
      <c r="U379">
        <v>12</v>
      </c>
      <c r="V379" t="s">
        <v>1856</v>
      </c>
      <c r="W379" t="s">
        <v>34</v>
      </c>
      <c r="Y379" s="2" t="str">
        <f>IF(EmployeeData[[#This Row],[Age]]&lt;25,"Under 25",IF(EmployeeData[[#This Row],[Age]]&lt;=34,"25-34",IF(EmployeeData[[#This Row],[Age]]&lt;=44,"35-44",IF(EmployeeData[[#This Row],[Age]]&lt;=54,"45-54","55+"))))</f>
        <v>35-44</v>
      </c>
      <c r="Z379">
        <f ca="1">DATEDIF(EmployeeData[[#This Row],[DateOfJoining]],IF(AND(EmployeeData[[#This Row],[Attrition]]="Yes",EmployeeData[[#This Row],[LastWorkingDate]]&lt;&gt;""),EmployeeData[[#This Row],[LastWorkingDate]],TODAY()),"Y")</f>
        <v>5</v>
      </c>
      <c r="AA379" t="str">
        <f>IF(EmployeeData[[#This Row],[MonthlyIncome]]&lt;30000,"Low",IF(EmployeeData[[#This Row],[MonthlyIncome]]&lt;=60000,"Medium",IF(EmployeeData[[#This Row],[MonthlyIncome]]&lt;=100000,"High","Very High")))</f>
        <v>High</v>
      </c>
      <c r="AB379">
        <f>IF(EmployeeData[[#This Row],[Attrition]]="Yes",1,0)</f>
        <v>0</v>
      </c>
      <c r="AC379" t="str">
        <f ca="1">IF(EmployeeData[[#This Row],[Tenure Years]]&lt;1,"Less than 1 Year",IF(EmployeeData[[#This Row],[Tenure Years]]&lt;=3,"1-3 Years",IF(EmployeeData[[#This Row],[Tenure Years]]&lt;=5,"4-5 Years",IF(EmployeeData[[#This Row],[Tenure Years]]&lt;=10,"6-10 Years","More than 10 Years"))))</f>
        <v>4-5 Years</v>
      </c>
      <c r="AD379">
        <f>ROUND(AVERAGE(EmployeeData[[#This Row],[JobSatisfaction]],EmployeeData[[#This Row],[EnvironmentSatisfaction]],EmployeeData[[#This Row],[WorkLifeBalance]]),2)</f>
        <v>2.67</v>
      </c>
      <c r="AE379" t="str">
        <f>IF(EmployeeData[[#This Row],[Satisfaction Score]]&lt;2,"Low",IF(EmployeeData[[#This Row],[Satisfaction Score]]&lt;3,"Medium","High"))</f>
        <v>Medium</v>
      </c>
    </row>
    <row r="380" spans="1:31" x14ac:dyDescent="0.25">
      <c r="A380" t="s">
        <v>1857</v>
      </c>
      <c r="B380" t="s">
        <v>1858</v>
      </c>
      <c r="C380" t="s">
        <v>49</v>
      </c>
      <c r="D380">
        <v>36</v>
      </c>
      <c r="E380" t="s">
        <v>128</v>
      </c>
      <c r="F380" t="s">
        <v>255</v>
      </c>
      <c r="G380" s="1">
        <v>44810</v>
      </c>
      <c r="H380">
        <v>51347</v>
      </c>
      <c r="I380" t="s">
        <v>30</v>
      </c>
      <c r="J380" t="s">
        <v>53</v>
      </c>
      <c r="K380" t="s">
        <v>32</v>
      </c>
      <c r="L380" t="s">
        <v>43</v>
      </c>
      <c r="M380">
        <v>5</v>
      </c>
      <c r="N380" t="s">
        <v>34</v>
      </c>
      <c r="O380">
        <v>1</v>
      </c>
      <c r="P380">
        <v>4</v>
      </c>
      <c r="Q380">
        <v>1</v>
      </c>
      <c r="R380">
        <v>2</v>
      </c>
      <c r="S380">
        <v>3</v>
      </c>
      <c r="T380">
        <v>1</v>
      </c>
      <c r="U380">
        <v>12</v>
      </c>
      <c r="V380" t="s">
        <v>1861</v>
      </c>
      <c r="W380" t="s">
        <v>34</v>
      </c>
      <c r="Y380" s="2" t="str">
        <f>IF(EmployeeData[[#This Row],[Age]]&lt;25,"Under 25",IF(EmployeeData[[#This Row],[Age]]&lt;=34,"25-34",IF(EmployeeData[[#This Row],[Age]]&lt;=44,"35-44",IF(EmployeeData[[#This Row],[Age]]&lt;=54,"45-54","55+"))))</f>
        <v>35-44</v>
      </c>
      <c r="Z380">
        <f ca="1">DATEDIF(EmployeeData[[#This Row],[DateOfJoining]],IF(AND(EmployeeData[[#This Row],[Attrition]]="Yes",EmployeeData[[#This Row],[LastWorkingDate]]&lt;&gt;""),EmployeeData[[#This Row],[LastWorkingDate]],TODAY()),"Y")</f>
        <v>3</v>
      </c>
      <c r="AA380" t="str">
        <f>IF(EmployeeData[[#This Row],[MonthlyIncome]]&lt;30000,"Low",IF(EmployeeData[[#This Row],[MonthlyIncome]]&lt;=60000,"Medium",IF(EmployeeData[[#This Row],[MonthlyIncome]]&lt;=100000,"High","Very High")))</f>
        <v>Medium</v>
      </c>
      <c r="AB380">
        <f>IF(EmployeeData[[#This Row],[Attrition]]="Yes",1,0)</f>
        <v>0</v>
      </c>
      <c r="AC380" t="str">
        <f ca="1">IF(EmployeeData[[#This Row],[Tenure Years]]&lt;1,"Less than 1 Year",IF(EmployeeData[[#This Row],[Tenure Years]]&lt;=3,"1-3 Years",IF(EmployeeData[[#This Row],[Tenure Years]]&lt;=5,"4-5 Years",IF(EmployeeData[[#This Row],[Tenure Years]]&lt;=10,"6-10 Years","More than 10 Years"))))</f>
        <v>1-3 Years</v>
      </c>
      <c r="AD380">
        <f>ROUND(AVERAGE(EmployeeData[[#This Row],[JobSatisfaction]],EmployeeData[[#This Row],[EnvironmentSatisfaction]],EmployeeData[[#This Row],[WorkLifeBalance]]),2)</f>
        <v>2</v>
      </c>
      <c r="AE380" t="str">
        <f>IF(EmployeeData[[#This Row],[Satisfaction Score]]&lt;2,"Low",IF(EmployeeData[[#This Row],[Satisfaction Score]]&lt;3,"Medium","High"))</f>
        <v>Medium</v>
      </c>
    </row>
    <row r="381" spans="1:31" x14ac:dyDescent="0.25">
      <c r="A381" t="s">
        <v>1862</v>
      </c>
      <c r="B381" t="s">
        <v>1863</v>
      </c>
      <c r="C381" t="s">
        <v>49</v>
      </c>
      <c r="D381">
        <v>27</v>
      </c>
      <c r="E381" t="s">
        <v>5459</v>
      </c>
      <c r="F381" t="s">
        <v>573</v>
      </c>
      <c r="G381" s="1">
        <v>45624</v>
      </c>
      <c r="H381">
        <v>52107</v>
      </c>
      <c r="I381" t="s">
        <v>52</v>
      </c>
      <c r="J381" t="s">
        <v>31</v>
      </c>
      <c r="K381" t="s">
        <v>131</v>
      </c>
      <c r="L381" t="s">
        <v>43</v>
      </c>
      <c r="M381">
        <v>18</v>
      </c>
      <c r="N381" t="s">
        <v>45</v>
      </c>
      <c r="O381">
        <v>1</v>
      </c>
      <c r="P381">
        <v>1</v>
      </c>
      <c r="Q381">
        <v>3</v>
      </c>
      <c r="R381">
        <v>3</v>
      </c>
      <c r="S381">
        <v>2</v>
      </c>
      <c r="T381">
        <v>6</v>
      </c>
      <c r="U381">
        <v>24</v>
      </c>
      <c r="V381" t="s">
        <v>1864</v>
      </c>
      <c r="W381" t="s">
        <v>45</v>
      </c>
      <c r="X381" s="1">
        <v>46262</v>
      </c>
      <c r="Y381" s="2" t="str">
        <f>IF(EmployeeData[[#This Row],[Age]]&lt;25,"Under 25",IF(EmployeeData[[#This Row],[Age]]&lt;=34,"25-34",IF(EmployeeData[[#This Row],[Age]]&lt;=44,"35-44",IF(EmployeeData[[#This Row],[Age]]&lt;=54,"45-54","55+"))))</f>
        <v>25-34</v>
      </c>
      <c r="Z381">
        <f ca="1">DATEDIF(EmployeeData[[#This Row],[DateOfJoining]],IF(AND(EmployeeData[[#This Row],[Attrition]]="Yes",EmployeeData[[#This Row],[LastWorkingDate]]&lt;&gt;""),EmployeeData[[#This Row],[LastWorkingDate]],TODAY()),"Y")</f>
        <v>1</v>
      </c>
      <c r="AA381" t="str">
        <f>IF(EmployeeData[[#This Row],[MonthlyIncome]]&lt;30000,"Low",IF(EmployeeData[[#This Row],[MonthlyIncome]]&lt;=60000,"Medium",IF(EmployeeData[[#This Row],[MonthlyIncome]]&lt;=100000,"High","Very High")))</f>
        <v>Medium</v>
      </c>
      <c r="AB381">
        <f>IF(EmployeeData[[#This Row],[Attrition]]="Yes",1,0)</f>
        <v>1</v>
      </c>
      <c r="AC381" t="str">
        <f ca="1">IF(EmployeeData[[#This Row],[Tenure Years]]&lt;1,"Less than 1 Year",IF(EmployeeData[[#This Row],[Tenure Years]]&lt;=3,"1-3 Years",IF(EmployeeData[[#This Row],[Tenure Years]]&lt;=5,"4-5 Years",IF(EmployeeData[[#This Row],[Tenure Years]]&lt;=10,"6-10 Years","More than 10 Years"))))</f>
        <v>1-3 Years</v>
      </c>
      <c r="AD381">
        <f>ROUND(AVERAGE(EmployeeData[[#This Row],[JobSatisfaction]],EmployeeData[[#This Row],[EnvironmentSatisfaction]],EmployeeData[[#This Row],[WorkLifeBalance]]),2)</f>
        <v>1.67</v>
      </c>
      <c r="AE381" t="str">
        <f>IF(EmployeeData[[#This Row],[Satisfaction Score]]&lt;2,"Low",IF(EmployeeData[[#This Row],[Satisfaction Score]]&lt;3,"Medium","High"))</f>
        <v>Low</v>
      </c>
    </row>
    <row r="382" spans="1:31" x14ac:dyDescent="0.25">
      <c r="A382" t="s">
        <v>1866</v>
      </c>
      <c r="B382" t="s">
        <v>1867</v>
      </c>
      <c r="C382" t="s">
        <v>58</v>
      </c>
      <c r="D382">
        <v>27</v>
      </c>
      <c r="E382" t="s">
        <v>5461</v>
      </c>
      <c r="F382" t="s">
        <v>261</v>
      </c>
      <c r="G382" s="1">
        <v>42593</v>
      </c>
      <c r="H382">
        <v>56583</v>
      </c>
      <c r="I382" t="s">
        <v>52</v>
      </c>
      <c r="J382" t="s">
        <v>61</v>
      </c>
      <c r="K382" t="s">
        <v>131</v>
      </c>
      <c r="L382" t="s">
        <v>62</v>
      </c>
      <c r="M382">
        <v>9</v>
      </c>
      <c r="N382" t="s">
        <v>34</v>
      </c>
      <c r="O382">
        <v>4</v>
      </c>
      <c r="P382">
        <v>2</v>
      </c>
      <c r="Q382">
        <v>3</v>
      </c>
      <c r="R382">
        <v>4</v>
      </c>
      <c r="S382">
        <v>2</v>
      </c>
      <c r="T382">
        <v>3</v>
      </c>
      <c r="U382">
        <v>13</v>
      </c>
      <c r="V382" t="s">
        <v>1869</v>
      </c>
      <c r="W382" t="s">
        <v>34</v>
      </c>
      <c r="Y382" s="2" t="str">
        <f>IF(EmployeeData[[#This Row],[Age]]&lt;25,"Under 25",IF(EmployeeData[[#This Row],[Age]]&lt;=34,"25-34",IF(EmployeeData[[#This Row],[Age]]&lt;=44,"35-44",IF(EmployeeData[[#This Row],[Age]]&lt;=54,"45-54","55+"))))</f>
        <v>25-34</v>
      </c>
      <c r="Z382">
        <f ca="1">DATEDIF(EmployeeData[[#This Row],[DateOfJoining]],IF(AND(EmployeeData[[#This Row],[Attrition]]="Yes",EmployeeData[[#This Row],[LastWorkingDate]]&lt;&gt;""),EmployeeData[[#This Row],[LastWorkingDate]],TODAY()),"Y")</f>
        <v>10</v>
      </c>
      <c r="AA382" t="str">
        <f>IF(EmployeeData[[#This Row],[MonthlyIncome]]&lt;30000,"Low",IF(EmployeeData[[#This Row],[MonthlyIncome]]&lt;=60000,"Medium",IF(EmployeeData[[#This Row],[MonthlyIncome]]&lt;=100000,"High","Very High")))</f>
        <v>Medium</v>
      </c>
      <c r="AB382">
        <f>IF(EmployeeData[[#This Row],[Attrition]]="Yes",1,0)</f>
        <v>0</v>
      </c>
      <c r="AC382" t="str">
        <f ca="1">IF(EmployeeData[[#This Row],[Tenure Years]]&lt;1,"Less than 1 Year",IF(EmployeeData[[#This Row],[Tenure Years]]&lt;=3,"1-3 Years",IF(EmployeeData[[#This Row],[Tenure Years]]&lt;=5,"4-5 Years",IF(EmployeeData[[#This Row],[Tenure Years]]&lt;=10,"6-10 Years","More than 10 Years"))))</f>
        <v>6-10 Years</v>
      </c>
      <c r="AD382">
        <f>ROUND(AVERAGE(EmployeeData[[#This Row],[JobSatisfaction]],EmployeeData[[#This Row],[EnvironmentSatisfaction]],EmployeeData[[#This Row],[WorkLifeBalance]]),2)</f>
        <v>3</v>
      </c>
      <c r="AE382" t="str">
        <f>IF(EmployeeData[[#This Row],[Satisfaction Score]]&lt;2,"Low",IF(EmployeeData[[#This Row],[Satisfaction Score]]&lt;3,"Medium","High"))</f>
        <v>High</v>
      </c>
    </row>
    <row r="383" spans="1:31" x14ac:dyDescent="0.25">
      <c r="A383" t="s">
        <v>1870</v>
      </c>
      <c r="B383" t="s">
        <v>1871</v>
      </c>
      <c r="C383" t="s">
        <v>49</v>
      </c>
      <c r="D383">
        <v>30</v>
      </c>
      <c r="E383" t="s">
        <v>128</v>
      </c>
      <c r="F383" t="s">
        <v>255</v>
      </c>
      <c r="G383" s="1">
        <v>40831</v>
      </c>
      <c r="H383">
        <v>96633</v>
      </c>
      <c r="I383" t="s">
        <v>52</v>
      </c>
      <c r="J383" t="s">
        <v>53</v>
      </c>
      <c r="K383" t="s">
        <v>32</v>
      </c>
      <c r="L383" t="s">
        <v>43</v>
      </c>
      <c r="M383">
        <v>13</v>
      </c>
      <c r="N383" t="s">
        <v>45</v>
      </c>
      <c r="O383">
        <v>4</v>
      </c>
      <c r="P383">
        <v>2</v>
      </c>
      <c r="Q383">
        <v>2</v>
      </c>
      <c r="R383">
        <v>3</v>
      </c>
      <c r="S383">
        <v>2</v>
      </c>
      <c r="T383">
        <v>2</v>
      </c>
      <c r="U383">
        <v>24</v>
      </c>
      <c r="V383" t="s">
        <v>1873</v>
      </c>
      <c r="W383" t="s">
        <v>34</v>
      </c>
      <c r="Y383" s="2" t="str">
        <f>IF(EmployeeData[[#This Row],[Age]]&lt;25,"Under 25",IF(EmployeeData[[#This Row],[Age]]&lt;=34,"25-34",IF(EmployeeData[[#This Row],[Age]]&lt;=44,"35-44",IF(EmployeeData[[#This Row],[Age]]&lt;=54,"45-54","55+"))))</f>
        <v>25-34</v>
      </c>
      <c r="Z383">
        <f ca="1">DATEDIF(EmployeeData[[#This Row],[DateOfJoining]],IF(AND(EmployeeData[[#This Row],[Attrition]]="Yes",EmployeeData[[#This Row],[LastWorkingDate]]&lt;&gt;""),EmployeeData[[#This Row],[LastWorkingDate]],TODAY()),"Y")</f>
        <v>14</v>
      </c>
      <c r="AA383" t="str">
        <f>IF(EmployeeData[[#This Row],[MonthlyIncome]]&lt;30000,"Low",IF(EmployeeData[[#This Row],[MonthlyIncome]]&lt;=60000,"Medium",IF(EmployeeData[[#This Row],[MonthlyIncome]]&lt;=100000,"High","Very High")))</f>
        <v>High</v>
      </c>
      <c r="AB383">
        <f>IF(EmployeeData[[#This Row],[Attrition]]="Yes",1,0)</f>
        <v>0</v>
      </c>
      <c r="AC383" t="str">
        <f ca="1">IF(EmployeeData[[#This Row],[Tenure Years]]&lt;1,"Less than 1 Year",IF(EmployeeData[[#This Row],[Tenure Years]]&lt;=3,"1-3 Years",IF(EmployeeData[[#This Row],[Tenure Years]]&lt;=5,"4-5 Years",IF(EmployeeData[[#This Row],[Tenure Years]]&lt;=10,"6-10 Years","More than 10 Years"))))</f>
        <v>More than 10 Years</v>
      </c>
      <c r="AD383">
        <f>ROUND(AVERAGE(EmployeeData[[#This Row],[JobSatisfaction]],EmployeeData[[#This Row],[EnvironmentSatisfaction]],EmployeeData[[#This Row],[WorkLifeBalance]]),2)</f>
        <v>2.67</v>
      </c>
      <c r="AE383" t="str">
        <f>IF(EmployeeData[[#This Row],[Satisfaction Score]]&lt;2,"Low",IF(EmployeeData[[#This Row],[Satisfaction Score]]&lt;3,"Medium","High"))</f>
        <v>Medium</v>
      </c>
    </row>
    <row r="384" spans="1:31" x14ac:dyDescent="0.25">
      <c r="A384" t="s">
        <v>1874</v>
      </c>
      <c r="B384" t="s">
        <v>1875</v>
      </c>
      <c r="C384" t="s">
        <v>49</v>
      </c>
      <c r="D384">
        <v>33</v>
      </c>
      <c r="E384" t="s">
        <v>5461</v>
      </c>
      <c r="F384" t="s">
        <v>483</v>
      </c>
      <c r="G384" s="1">
        <v>43296</v>
      </c>
      <c r="H384">
        <v>138478</v>
      </c>
      <c r="I384" t="s">
        <v>30</v>
      </c>
      <c r="J384" t="s">
        <v>31</v>
      </c>
      <c r="K384" t="s">
        <v>83</v>
      </c>
      <c r="L384" t="s">
        <v>33</v>
      </c>
      <c r="M384">
        <v>17</v>
      </c>
      <c r="N384" t="s">
        <v>34</v>
      </c>
      <c r="O384">
        <v>4</v>
      </c>
      <c r="P384">
        <v>3</v>
      </c>
      <c r="Q384">
        <v>4</v>
      </c>
      <c r="R384">
        <v>4</v>
      </c>
      <c r="S384">
        <v>3</v>
      </c>
      <c r="T384">
        <v>4</v>
      </c>
      <c r="U384">
        <v>17</v>
      </c>
      <c r="V384" t="s">
        <v>1878</v>
      </c>
      <c r="W384" t="s">
        <v>34</v>
      </c>
      <c r="Y384" s="2" t="str">
        <f>IF(EmployeeData[[#This Row],[Age]]&lt;25,"Under 25",IF(EmployeeData[[#This Row],[Age]]&lt;=34,"25-34",IF(EmployeeData[[#This Row],[Age]]&lt;=44,"35-44",IF(EmployeeData[[#This Row],[Age]]&lt;=54,"45-54","55+"))))</f>
        <v>25-34</v>
      </c>
      <c r="Z384">
        <f ca="1">DATEDIF(EmployeeData[[#This Row],[DateOfJoining]],IF(AND(EmployeeData[[#This Row],[Attrition]]="Yes",EmployeeData[[#This Row],[LastWorkingDate]]&lt;&gt;""),EmployeeData[[#This Row],[LastWorkingDate]],TODAY()),"Y")</f>
        <v>8</v>
      </c>
      <c r="AA384" t="str">
        <f>IF(EmployeeData[[#This Row],[MonthlyIncome]]&lt;30000,"Low",IF(EmployeeData[[#This Row],[MonthlyIncome]]&lt;=60000,"Medium",IF(EmployeeData[[#This Row],[MonthlyIncome]]&lt;=100000,"High","Very High")))</f>
        <v>Very High</v>
      </c>
      <c r="AB384">
        <f>IF(EmployeeData[[#This Row],[Attrition]]="Yes",1,0)</f>
        <v>0</v>
      </c>
      <c r="AC384" t="str">
        <f ca="1">IF(EmployeeData[[#This Row],[Tenure Years]]&lt;1,"Less than 1 Year",IF(EmployeeData[[#This Row],[Tenure Years]]&lt;=3,"1-3 Years",IF(EmployeeData[[#This Row],[Tenure Years]]&lt;=5,"4-5 Years",IF(EmployeeData[[#This Row],[Tenure Years]]&lt;=10,"6-10 Years","More than 10 Years"))))</f>
        <v>6-10 Years</v>
      </c>
      <c r="AD384">
        <f>ROUND(AVERAGE(EmployeeData[[#This Row],[JobSatisfaction]],EmployeeData[[#This Row],[EnvironmentSatisfaction]],EmployeeData[[#This Row],[WorkLifeBalance]]),2)</f>
        <v>3.67</v>
      </c>
      <c r="AE384" t="str">
        <f>IF(EmployeeData[[#This Row],[Satisfaction Score]]&lt;2,"Low",IF(EmployeeData[[#This Row],[Satisfaction Score]]&lt;3,"Medium","High"))</f>
        <v>High</v>
      </c>
    </row>
    <row r="385" spans="1:31" x14ac:dyDescent="0.25">
      <c r="A385" t="s">
        <v>1879</v>
      </c>
      <c r="B385" t="s">
        <v>1880</v>
      </c>
      <c r="C385" t="s">
        <v>58</v>
      </c>
      <c r="D385">
        <v>39</v>
      </c>
      <c r="E385" t="s">
        <v>27</v>
      </c>
      <c r="F385" t="s">
        <v>75</v>
      </c>
      <c r="G385" s="1">
        <v>42869</v>
      </c>
      <c r="H385">
        <v>95203</v>
      </c>
      <c r="I385" t="s">
        <v>52</v>
      </c>
      <c r="J385" t="s">
        <v>5459</v>
      </c>
      <c r="K385" t="s">
        <v>106</v>
      </c>
      <c r="L385" t="s">
        <v>33</v>
      </c>
      <c r="M385">
        <v>21</v>
      </c>
      <c r="N385" t="s">
        <v>45</v>
      </c>
      <c r="O385">
        <v>1</v>
      </c>
      <c r="P385">
        <v>1</v>
      </c>
      <c r="Q385">
        <v>1</v>
      </c>
      <c r="R385">
        <v>3</v>
      </c>
      <c r="S385">
        <v>0</v>
      </c>
      <c r="T385">
        <v>6</v>
      </c>
      <c r="U385">
        <v>13</v>
      </c>
      <c r="V385" t="s">
        <v>1883</v>
      </c>
      <c r="W385" t="s">
        <v>45</v>
      </c>
      <c r="X385" s="1">
        <v>43478</v>
      </c>
      <c r="Y385" s="2" t="str">
        <f>IF(EmployeeData[[#This Row],[Age]]&lt;25,"Under 25",IF(EmployeeData[[#This Row],[Age]]&lt;=34,"25-34",IF(EmployeeData[[#This Row],[Age]]&lt;=44,"35-44",IF(EmployeeData[[#This Row],[Age]]&lt;=54,"45-54","55+"))))</f>
        <v>35-44</v>
      </c>
      <c r="Z385">
        <f ca="1">DATEDIF(EmployeeData[[#This Row],[DateOfJoining]],IF(AND(EmployeeData[[#This Row],[Attrition]]="Yes",EmployeeData[[#This Row],[LastWorkingDate]]&lt;&gt;""),EmployeeData[[#This Row],[LastWorkingDate]],TODAY()),"Y")</f>
        <v>1</v>
      </c>
      <c r="AA385" t="str">
        <f>IF(EmployeeData[[#This Row],[MonthlyIncome]]&lt;30000,"Low",IF(EmployeeData[[#This Row],[MonthlyIncome]]&lt;=60000,"Medium",IF(EmployeeData[[#This Row],[MonthlyIncome]]&lt;=100000,"High","Very High")))</f>
        <v>High</v>
      </c>
      <c r="AB385">
        <f>IF(EmployeeData[[#This Row],[Attrition]]="Yes",1,0)</f>
        <v>1</v>
      </c>
      <c r="AC385" t="str">
        <f ca="1">IF(EmployeeData[[#This Row],[Tenure Years]]&lt;1,"Less than 1 Year",IF(EmployeeData[[#This Row],[Tenure Years]]&lt;=3,"1-3 Years",IF(EmployeeData[[#This Row],[Tenure Years]]&lt;=5,"4-5 Years",IF(EmployeeData[[#This Row],[Tenure Years]]&lt;=10,"6-10 Years","More than 10 Years"))))</f>
        <v>1-3 Years</v>
      </c>
      <c r="AD385">
        <f>ROUND(AVERAGE(EmployeeData[[#This Row],[JobSatisfaction]],EmployeeData[[#This Row],[EnvironmentSatisfaction]],EmployeeData[[#This Row],[WorkLifeBalance]]),2)</f>
        <v>1</v>
      </c>
      <c r="AE385" t="str">
        <f>IF(EmployeeData[[#This Row],[Satisfaction Score]]&lt;2,"Low",IF(EmployeeData[[#This Row],[Satisfaction Score]]&lt;3,"Medium","High"))</f>
        <v>Low</v>
      </c>
    </row>
    <row r="386" spans="1:31" x14ac:dyDescent="0.25">
      <c r="A386" t="s">
        <v>1885</v>
      </c>
      <c r="B386" t="s">
        <v>1886</v>
      </c>
      <c r="C386" t="s">
        <v>49</v>
      </c>
      <c r="D386">
        <v>28</v>
      </c>
      <c r="E386" t="s">
        <v>27</v>
      </c>
      <c r="F386" t="s">
        <v>59</v>
      </c>
      <c r="G386" s="1">
        <v>41623</v>
      </c>
      <c r="H386">
        <v>55343</v>
      </c>
      <c r="I386" t="s">
        <v>30</v>
      </c>
      <c r="J386" t="s">
        <v>61</v>
      </c>
      <c r="K386" t="s">
        <v>167</v>
      </c>
      <c r="L386" t="s">
        <v>43</v>
      </c>
      <c r="M386">
        <v>32</v>
      </c>
      <c r="N386" t="s">
        <v>34</v>
      </c>
      <c r="O386">
        <v>3</v>
      </c>
      <c r="P386">
        <v>1</v>
      </c>
      <c r="Q386">
        <v>3</v>
      </c>
      <c r="R386">
        <v>3</v>
      </c>
      <c r="S386">
        <v>4</v>
      </c>
      <c r="T386">
        <v>4</v>
      </c>
      <c r="U386">
        <v>21</v>
      </c>
      <c r="V386" t="s">
        <v>1888</v>
      </c>
      <c r="W386" t="s">
        <v>34</v>
      </c>
      <c r="Y386" s="2" t="str">
        <f>IF(EmployeeData[[#This Row],[Age]]&lt;25,"Under 25",IF(EmployeeData[[#This Row],[Age]]&lt;=34,"25-34",IF(EmployeeData[[#This Row],[Age]]&lt;=44,"35-44",IF(EmployeeData[[#This Row],[Age]]&lt;=54,"45-54","55+"))))</f>
        <v>25-34</v>
      </c>
      <c r="Z386">
        <f ca="1">DATEDIF(EmployeeData[[#This Row],[DateOfJoining]],IF(AND(EmployeeData[[#This Row],[Attrition]]="Yes",EmployeeData[[#This Row],[LastWorkingDate]]&lt;&gt;""),EmployeeData[[#This Row],[LastWorkingDate]],TODAY()),"Y")</f>
        <v>12</v>
      </c>
      <c r="AA386" t="str">
        <f>IF(EmployeeData[[#This Row],[MonthlyIncome]]&lt;30000,"Low",IF(EmployeeData[[#This Row],[MonthlyIncome]]&lt;=60000,"Medium",IF(EmployeeData[[#This Row],[MonthlyIncome]]&lt;=100000,"High","Very High")))</f>
        <v>Medium</v>
      </c>
      <c r="AB386">
        <f>IF(EmployeeData[[#This Row],[Attrition]]="Yes",1,0)</f>
        <v>0</v>
      </c>
      <c r="AC386" t="str">
        <f ca="1">IF(EmployeeData[[#This Row],[Tenure Years]]&lt;1,"Less than 1 Year",IF(EmployeeData[[#This Row],[Tenure Years]]&lt;=3,"1-3 Years",IF(EmployeeData[[#This Row],[Tenure Years]]&lt;=5,"4-5 Years",IF(EmployeeData[[#This Row],[Tenure Years]]&lt;=10,"6-10 Years","More than 10 Years"))))</f>
        <v>More than 10 Years</v>
      </c>
      <c r="AD386">
        <f>ROUND(AVERAGE(EmployeeData[[#This Row],[JobSatisfaction]],EmployeeData[[#This Row],[EnvironmentSatisfaction]],EmployeeData[[#This Row],[WorkLifeBalance]]),2)</f>
        <v>2.33</v>
      </c>
      <c r="AE386" t="str">
        <f>IF(EmployeeData[[#This Row],[Satisfaction Score]]&lt;2,"Low",IF(EmployeeData[[#This Row],[Satisfaction Score]]&lt;3,"Medium","High"))</f>
        <v>Medium</v>
      </c>
    </row>
    <row r="387" spans="1:31" x14ac:dyDescent="0.25">
      <c r="A387" t="s">
        <v>1889</v>
      </c>
      <c r="B387" t="s">
        <v>1890</v>
      </c>
      <c r="C387" t="s">
        <v>49</v>
      </c>
      <c r="D387">
        <v>31</v>
      </c>
      <c r="E387" t="s">
        <v>197</v>
      </c>
      <c r="F387" t="s">
        <v>235</v>
      </c>
      <c r="G387" s="1">
        <v>43091</v>
      </c>
      <c r="H387">
        <v>96153</v>
      </c>
      <c r="I387" t="s">
        <v>30</v>
      </c>
      <c r="J387" t="s">
        <v>31</v>
      </c>
      <c r="K387" t="s">
        <v>167</v>
      </c>
      <c r="L387" t="s">
        <v>43</v>
      </c>
      <c r="M387">
        <v>8</v>
      </c>
      <c r="N387" t="s">
        <v>45</v>
      </c>
      <c r="O387">
        <v>3</v>
      </c>
      <c r="P387">
        <v>3</v>
      </c>
      <c r="Q387">
        <v>4</v>
      </c>
      <c r="R387">
        <v>4</v>
      </c>
      <c r="S387">
        <v>4</v>
      </c>
      <c r="T387">
        <v>8</v>
      </c>
      <c r="U387">
        <v>18</v>
      </c>
      <c r="V387" t="s">
        <v>1893</v>
      </c>
      <c r="W387" t="s">
        <v>34</v>
      </c>
      <c r="Y387" s="2" t="str">
        <f>IF(EmployeeData[[#This Row],[Age]]&lt;25,"Under 25",IF(EmployeeData[[#This Row],[Age]]&lt;=34,"25-34",IF(EmployeeData[[#This Row],[Age]]&lt;=44,"35-44",IF(EmployeeData[[#This Row],[Age]]&lt;=54,"45-54","55+"))))</f>
        <v>25-34</v>
      </c>
      <c r="Z387">
        <f ca="1">DATEDIF(EmployeeData[[#This Row],[DateOfJoining]],IF(AND(EmployeeData[[#This Row],[Attrition]]="Yes",EmployeeData[[#This Row],[LastWorkingDate]]&lt;&gt;""),EmployeeData[[#This Row],[LastWorkingDate]],TODAY()),"Y")</f>
        <v>8</v>
      </c>
      <c r="AA387" t="str">
        <f>IF(EmployeeData[[#This Row],[MonthlyIncome]]&lt;30000,"Low",IF(EmployeeData[[#This Row],[MonthlyIncome]]&lt;=60000,"Medium",IF(EmployeeData[[#This Row],[MonthlyIncome]]&lt;=100000,"High","Very High")))</f>
        <v>High</v>
      </c>
      <c r="AB387">
        <f>IF(EmployeeData[[#This Row],[Attrition]]="Yes",1,0)</f>
        <v>0</v>
      </c>
      <c r="AC387" t="str">
        <f ca="1">IF(EmployeeData[[#This Row],[Tenure Years]]&lt;1,"Less than 1 Year",IF(EmployeeData[[#This Row],[Tenure Years]]&lt;=3,"1-3 Years",IF(EmployeeData[[#This Row],[Tenure Years]]&lt;=5,"4-5 Years",IF(EmployeeData[[#This Row],[Tenure Years]]&lt;=10,"6-10 Years","More than 10 Years"))))</f>
        <v>6-10 Years</v>
      </c>
      <c r="AD387">
        <f>ROUND(AVERAGE(EmployeeData[[#This Row],[JobSatisfaction]],EmployeeData[[#This Row],[EnvironmentSatisfaction]],EmployeeData[[#This Row],[WorkLifeBalance]]),2)</f>
        <v>3.33</v>
      </c>
      <c r="AE387" t="str">
        <f>IF(EmployeeData[[#This Row],[Satisfaction Score]]&lt;2,"Low",IF(EmployeeData[[#This Row],[Satisfaction Score]]&lt;3,"Medium","High"))</f>
        <v>High</v>
      </c>
    </row>
    <row r="388" spans="1:31" x14ac:dyDescent="0.25">
      <c r="A388" t="s">
        <v>1894</v>
      </c>
      <c r="B388" t="s">
        <v>1895</v>
      </c>
      <c r="C388" t="s">
        <v>58</v>
      </c>
      <c r="D388">
        <v>33</v>
      </c>
      <c r="E388" t="s">
        <v>38</v>
      </c>
      <c r="F388" t="s">
        <v>5462</v>
      </c>
      <c r="G388" s="1">
        <v>43119</v>
      </c>
      <c r="H388">
        <v>38380</v>
      </c>
      <c r="I388" t="s">
        <v>42</v>
      </c>
      <c r="J388" t="s">
        <v>61</v>
      </c>
      <c r="K388" t="s">
        <v>106</v>
      </c>
      <c r="L388" t="s">
        <v>43</v>
      </c>
      <c r="M388">
        <v>15</v>
      </c>
      <c r="N388" t="s">
        <v>34</v>
      </c>
      <c r="O388">
        <v>3</v>
      </c>
      <c r="P388">
        <v>3</v>
      </c>
      <c r="Q388">
        <v>2</v>
      </c>
      <c r="R388">
        <v>4</v>
      </c>
      <c r="S388">
        <v>0</v>
      </c>
      <c r="T388">
        <v>4</v>
      </c>
      <c r="U388">
        <v>12</v>
      </c>
      <c r="V388" t="s">
        <v>1897</v>
      </c>
      <c r="W388" t="s">
        <v>34</v>
      </c>
      <c r="Y388" s="2" t="str">
        <f>IF(EmployeeData[[#This Row],[Age]]&lt;25,"Under 25",IF(EmployeeData[[#This Row],[Age]]&lt;=34,"25-34",IF(EmployeeData[[#This Row],[Age]]&lt;=44,"35-44",IF(EmployeeData[[#This Row],[Age]]&lt;=54,"45-54","55+"))))</f>
        <v>25-34</v>
      </c>
      <c r="Z388">
        <f ca="1">DATEDIF(EmployeeData[[#This Row],[DateOfJoining]],IF(AND(EmployeeData[[#This Row],[Attrition]]="Yes",EmployeeData[[#This Row],[LastWorkingDate]]&lt;&gt;""),EmployeeData[[#This Row],[LastWorkingDate]],TODAY()),"Y")</f>
        <v>8</v>
      </c>
      <c r="AA388" t="str">
        <f>IF(EmployeeData[[#This Row],[MonthlyIncome]]&lt;30000,"Low",IF(EmployeeData[[#This Row],[MonthlyIncome]]&lt;=60000,"Medium",IF(EmployeeData[[#This Row],[MonthlyIncome]]&lt;=100000,"High","Very High")))</f>
        <v>Medium</v>
      </c>
      <c r="AB388">
        <f>IF(EmployeeData[[#This Row],[Attrition]]="Yes",1,0)</f>
        <v>0</v>
      </c>
      <c r="AC388" t="str">
        <f ca="1">IF(EmployeeData[[#This Row],[Tenure Years]]&lt;1,"Less than 1 Year",IF(EmployeeData[[#This Row],[Tenure Years]]&lt;=3,"1-3 Years",IF(EmployeeData[[#This Row],[Tenure Years]]&lt;=5,"4-5 Years",IF(EmployeeData[[#This Row],[Tenure Years]]&lt;=10,"6-10 Years","More than 10 Years"))))</f>
        <v>6-10 Years</v>
      </c>
      <c r="AD388">
        <f>ROUND(AVERAGE(EmployeeData[[#This Row],[JobSatisfaction]],EmployeeData[[#This Row],[EnvironmentSatisfaction]],EmployeeData[[#This Row],[WorkLifeBalance]]),2)</f>
        <v>2.67</v>
      </c>
      <c r="AE388" t="str">
        <f>IF(EmployeeData[[#This Row],[Satisfaction Score]]&lt;2,"Low",IF(EmployeeData[[#This Row],[Satisfaction Score]]&lt;3,"Medium","High"))</f>
        <v>Medium</v>
      </c>
    </row>
    <row r="389" spans="1:31" x14ac:dyDescent="0.25">
      <c r="A389" t="s">
        <v>1898</v>
      </c>
      <c r="B389" t="s">
        <v>1899</v>
      </c>
      <c r="C389" t="s">
        <v>49</v>
      </c>
      <c r="D389">
        <v>28</v>
      </c>
      <c r="E389" t="s">
        <v>38</v>
      </c>
      <c r="F389" t="s">
        <v>792</v>
      </c>
      <c r="G389" s="1">
        <v>43496</v>
      </c>
      <c r="H389">
        <v>83421</v>
      </c>
      <c r="I389" t="s">
        <v>30</v>
      </c>
      <c r="J389" t="s">
        <v>61</v>
      </c>
      <c r="K389" t="s">
        <v>106</v>
      </c>
      <c r="L389" t="s">
        <v>62</v>
      </c>
      <c r="M389">
        <v>37</v>
      </c>
      <c r="N389" t="s">
        <v>45</v>
      </c>
      <c r="O389">
        <v>4</v>
      </c>
      <c r="P389">
        <v>3</v>
      </c>
      <c r="Q389">
        <v>3</v>
      </c>
      <c r="R389">
        <v>3</v>
      </c>
      <c r="S389">
        <v>0</v>
      </c>
      <c r="T389">
        <v>3</v>
      </c>
      <c r="U389">
        <v>11</v>
      </c>
      <c r="V389" t="s">
        <v>1901</v>
      </c>
      <c r="W389" t="s">
        <v>34</v>
      </c>
      <c r="Y389" s="2" t="str">
        <f>IF(EmployeeData[[#This Row],[Age]]&lt;25,"Under 25",IF(EmployeeData[[#This Row],[Age]]&lt;=34,"25-34",IF(EmployeeData[[#This Row],[Age]]&lt;=44,"35-44",IF(EmployeeData[[#This Row],[Age]]&lt;=54,"45-54","55+"))))</f>
        <v>25-34</v>
      </c>
      <c r="Z389">
        <f ca="1">DATEDIF(EmployeeData[[#This Row],[DateOfJoining]],IF(AND(EmployeeData[[#This Row],[Attrition]]="Yes",EmployeeData[[#This Row],[LastWorkingDate]]&lt;&gt;""),EmployeeData[[#This Row],[LastWorkingDate]],TODAY()),"Y")</f>
        <v>7</v>
      </c>
      <c r="AA389" t="str">
        <f>IF(EmployeeData[[#This Row],[MonthlyIncome]]&lt;30000,"Low",IF(EmployeeData[[#This Row],[MonthlyIncome]]&lt;=60000,"Medium",IF(EmployeeData[[#This Row],[MonthlyIncome]]&lt;=100000,"High","Very High")))</f>
        <v>High</v>
      </c>
      <c r="AB389">
        <f>IF(EmployeeData[[#This Row],[Attrition]]="Yes",1,0)</f>
        <v>0</v>
      </c>
      <c r="AC389" t="str">
        <f ca="1">IF(EmployeeData[[#This Row],[Tenure Years]]&lt;1,"Less than 1 Year",IF(EmployeeData[[#This Row],[Tenure Years]]&lt;=3,"1-3 Years",IF(EmployeeData[[#This Row],[Tenure Years]]&lt;=5,"4-5 Years",IF(EmployeeData[[#This Row],[Tenure Years]]&lt;=10,"6-10 Years","More than 10 Years"))))</f>
        <v>6-10 Years</v>
      </c>
      <c r="AD389">
        <f>ROUND(AVERAGE(EmployeeData[[#This Row],[JobSatisfaction]],EmployeeData[[#This Row],[EnvironmentSatisfaction]],EmployeeData[[#This Row],[WorkLifeBalance]]),2)</f>
        <v>3.33</v>
      </c>
      <c r="AE389" t="str">
        <f>IF(EmployeeData[[#This Row],[Satisfaction Score]]&lt;2,"Low",IF(EmployeeData[[#This Row],[Satisfaction Score]]&lt;3,"Medium","High"))</f>
        <v>High</v>
      </c>
    </row>
    <row r="390" spans="1:31" x14ac:dyDescent="0.25">
      <c r="A390" t="s">
        <v>1902</v>
      </c>
      <c r="B390" t="s">
        <v>1903</v>
      </c>
      <c r="C390" t="s">
        <v>49</v>
      </c>
      <c r="D390">
        <v>42</v>
      </c>
      <c r="E390" t="s">
        <v>27</v>
      </c>
      <c r="F390" t="s">
        <v>188</v>
      </c>
      <c r="G390" s="1">
        <v>46160</v>
      </c>
      <c r="H390">
        <v>63252</v>
      </c>
      <c r="I390" t="s">
        <v>30</v>
      </c>
      <c r="J390" t="s">
        <v>61</v>
      </c>
      <c r="K390" t="s">
        <v>32</v>
      </c>
      <c r="L390" t="s">
        <v>5459</v>
      </c>
      <c r="M390">
        <v>44</v>
      </c>
      <c r="N390" t="s">
        <v>45</v>
      </c>
      <c r="O390">
        <v>3</v>
      </c>
      <c r="P390">
        <v>4</v>
      </c>
      <c r="Q390">
        <v>1</v>
      </c>
      <c r="R390">
        <v>2</v>
      </c>
      <c r="S390">
        <v>4</v>
      </c>
      <c r="T390">
        <v>2</v>
      </c>
      <c r="U390">
        <v>14</v>
      </c>
      <c r="V390" t="s">
        <v>1905</v>
      </c>
      <c r="W390" t="s">
        <v>45</v>
      </c>
      <c r="X390" s="1">
        <v>46190</v>
      </c>
      <c r="Y390" s="2" t="str">
        <f>IF(EmployeeData[[#This Row],[Age]]&lt;25,"Under 25",IF(EmployeeData[[#This Row],[Age]]&lt;=34,"25-34",IF(EmployeeData[[#This Row],[Age]]&lt;=44,"35-44",IF(EmployeeData[[#This Row],[Age]]&lt;=54,"45-54","55+"))))</f>
        <v>35-44</v>
      </c>
      <c r="Z390">
        <f ca="1">DATEDIF(EmployeeData[[#This Row],[DateOfJoining]],IF(AND(EmployeeData[[#This Row],[Attrition]]="Yes",EmployeeData[[#This Row],[LastWorkingDate]]&lt;&gt;""),EmployeeData[[#This Row],[LastWorkingDate]],TODAY()),"Y")</f>
        <v>0</v>
      </c>
      <c r="AA390" t="str">
        <f>IF(EmployeeData[[#This Row],[MonthlyIncome]]&lt;30000,"Low",IF(EmployeeData[[#This Row],[MonthlyIncome]]&lt;=60000,"Medium",IF(EmployeeData[[#This Row],[MonthlyIncome]]&lt;=100000,"High","Very High")))</f>
        <v>High</v>
      </c>
      <c r="AB390">
        <f>IF(EmployeeData[[#This Row],[Attrition]]="Yes",1,0)</f>
        <v>1</v>
      </c>
      <c r="AC390" t="str">
        <f ca="1">IF(EmployeeData[[#This Row],[Tenure Years]]&lt;1,"Less than 1 Year",IF(EmployeeData[[#This Row],[Tenure Years]]&lt;=3,"1-3 Years",IF(EmployeeData[[#This Row],[Tenure Years]]&lt;=5,"4-5 Years",IF(EmployeeData[[#This Row],[Tenure Years]]&lt;=10,"6-10 Years","More than 10 Years"))))</f>
        <v>Less than 1 Year</v>
      </c>
      <c r="AD390">
        <f>ROUND(AVERAGE(EmployeeData[[#This Row],[JobSatisfaction]],EmployeeData[[#This Row],[EnvironmentSatisfaction]],EmployeeData[[#This Row],[WorkLifeBalance]]),2)</f>
        <v>2.67</v>
      </c>
      <c r="AE390" t="str">
        <f>IF(EmployeeData[[#This Row],[Satisfaction Score]]&lt;2,"Low",IF(EmployeeData[[#This Row],[Satisfaction Score]]&lt;3,"Medium","High"))</f>
        <v>Medium</v>
      </c>
    </row>
    <row r="391" spans="1:31" x14ac:dyDescent="0.25">
      <c r="A391" t="s">
        <v>1907</v>
      </c>
      <c r="B391" t="s">
        <v>1908</v>
      </c>
      <c r="C391" t="s">
        <v>58</v>
      </c>
      <c r="D391">
        <v>35</v>
      </c>
      <c r="E391" t="s">
        <v>5461</v>
      </c>
      <c r="F391" t="s">
        <v>5463</v>
      </c>
      <c r="G391" s="1">
        <v>43299</v>
      </c>
      <c r="H391">
        <v>148796</v>
      </c>
      <c r="I391" t="s">
        <v>52</v>
      </c>
      <c r="J391" t="s">
        <v>53</v>
      </c>
      <c r="K391" t="s">
        <v>106</v>
      </c>
      <c r="L391" t="s">
        <v>33</v>
      </c>
      <c r="M391">
        <v>26</v>
      </c>
      <c r="N391" t="s">
        <v>34</v>
      </c>
      <c r="O391">
        <v>3</v>
      </c>
      <c r="P391">
        <v>3</v>
      </c>
      <c r="Q391">
        <v>3</v>
      </c>
      <c r="R391">
        <v>1</v>
      </c>
      <c r="S391">
        <v>5</v>
      </c>
      <c r="T391">
        <v>1</v>
      </c>
      <c r="U391">
        <v>15</v>
      </c>
      <c r="V391" t="s">
        <v>1910</v>
      </c>
      <c r="W391" t="s">
        <v>34</v>
      </c>
      <c r="Y391" s="2" t="str">
        <f>IF(EmployeeData[[#This Row],[Age]]&lt;25,"Under 25",IF(EmployeeData[[#This Row],[Age]]&lt;=34,"25-34",IF(EmployeeData[[#This Row],[Age]]&lt;=44,"35-44",IF(EmployeeData[[#This Row],[Age]]&lt;=54,"45-54","55+"))))</f>
        <v>35-44</v>
      </c>
      <c r="Z391">
        <f ca="1">DATEDIF(EmployeeData[[#This Row],[DateOfJoining]],IF(AND(EmployeeData[[#This Row],[Attrition]]="Yes",EmployeeData[[#This Row],[LastWorkingDate]]&lt;&gt;""),EmployeeData[[#This Row],[LastWorkingDate]],TODAY()),"Y")</f>
        <v>8</v>
      </c>
      <c r="AA391" t="str">
        <f>IF(EmployeeData[[#This Row],[MonthlyIncome]]&lt;30000,"Low",IF(EmployeeData[[#This Row],[MonthlyIncome]]&lt;=60000,"Medium",IF(EmployeeData[[#This Row],[MonthlyIncome]]&lt;=100000,"High","Very High")))</f>
        <v>Very High</v>
      </c>
      <c r="AB391">
        <f>IF(EmployeeData[[#This Row],[Attrition]]="Yes",1,0)</f>
        <v>0</v>
      </c>
      <c r="AC391" t="str">
        <f ca="1">IF(EmployeeData[[#This Row],[Tenure Years]]&lt;1,"Less than 1 Year",IF(EmployeeData[[#This Row],[Tenure Years]]&lt;=3,"1-3 Years",IF(EmployeeData[[#This Row],[Tenure Years]]&lt;=5,"4-5 Years",IF(EmployeeData[[#This Row],[Tenure Years]]&lt;=10,"6-10 Years","More than 10 Years"))))</f>
        <v>6-10 Years</v>
      </c>
      <c r="AD391">
        <f>ROUND(AVERAGE(EmployeeData[[#This Row],[JobSatisfaction]],EmployeeData[[#This Row],[EnvironmentSatisfaction]],EmployeeData[[#This Row],[WorkLifeBalance]]),2)</f>
        <v>3</v>
      </c>
      <c r="AE391" t="str">
        <f>IF(EmployeeData[[#This Row],[Satisfaction Score]]&lt;2,"Low",IF(EmployeeData[[#This Row],[Satisfaction Score]]&lt;3,"Medium","High"))</f>
        <v>High</v>
      </c>
    </row>
    <row r="392" spans="1:31" x14ac:dyDescent="0.25">
      <c r="A392" t="s">
        <v>1911</v>
      </c>
      <c r="B392" t="s">
        <v>1912</v>
      </c>
      <c r="C392" t="s">
        <v>58</v>
      </c>
      <c r="D392">
        <v>25</v>
      </c>
      <c r="E392" t="s">
        <v>27</v>
      </c>
      <c r="F392" t="s">
        <v>50</v>
      </c>
      <c r="G392" s="1">
        <v>41976</v>
      </c>
      <c r="H392">
        <v>125583</v>
      </c>
      <c r="I392" t="s">
        <v>42</v>
      </c>
      <c r="J392" t="s">
        <v>31</v>
      </c>
      <c r="K392" t="s">
        <v>77</v>
      </c>
      <c r="L392" t="s">
        <v>43</v>
      </c>
      <c r="M392">
        <v>2</v>
      </c>
      <c r="N392" t="s">
        <v>34</v>
      </c>
      <c r="O392">
        <v>3</v>
      </c>
      <c r="P392">
        <v>1</v>
      </c>
      <c r="Q392">
        <v>3</v>
      </c>
      <c r="R392">
        <v>3</v>
      </c>
      <c r="S392">
        <v>2</v>
      </c>
      <c r="T392">
        <v>6</v>
      </c>
      <c r="U392">
        <v>18</v>
      </c>
      <c r="V392" t="s">
        <v>1915</v>
      </c>
      <c r="W392" t="s">
        <v>34</v>
      </c>
      <c r="Y392" s="2" t="str">
        <f>IF(EmployeeData[[#This Row],[Age]]&lt;25,"Under 25",IF(EmployeeData[[#This Row],[Age]]&lt;=34,"25-34",IF(EmployeeData[[#This Row],[Age]]&lt;=44,"35-44",IF(EmployeeData[[#This Row],[Age]]&lt;=54,"45-54","55+"))))</f>
        <v>25-34</v>
      </c>
      <c r="Z392">
        <f ca="1">DATEDIF(EmployeeData[[#This Row],[DateOfJoining]],IF(AND(EmployeeData[[#This Row],[Attrition]]="Yes",EmployeeData[[#This Row],[LastWorkingDate]]&lt;&gt;""),EmployeeData[[#This Row],[LastWorkingDate]],TODAY()),"Y")</f>
        <v>11</v>
      </c>
      <c r="AA392" t="str">
        <f>IF(EmployeeData[[#This Row],[MonthlyIncome]]&lt;30000,"Low",IF(EmployeeData[[#This Row],[MonthlyIncome]]&lt;=60000,"Medium",IF(EmployeeData[[#This Row],[MonthlyIncome]]&lt;=100000,"High","Very High")))</f>
        <v>Very High</v>
      </c>
      <c r="AB392">
        <f>IF(EmployeeData[[#This Row],[Attrition]]="Yes",1,0)</f>
        <v>0</v>
      </c>
      <c r="AC392" t="str">
        <f ca="1">IF(EmployeeData[[#This Row],[Tenure Years]]&lt;1,"Less than 1 Year",IF(EmployeeData[[#This Row],[Tenure Years]]&lt;=3,"1-3 Years",IF(EmployeeData[[#This Row],[Tenure Years]]&lt;=5,"4-5 Years",IF(EmployeeData[[#This Row],[Tenure Years]]&lt;=10,"6-10 Years","More than 10 Years"))))</f>
        <v>More than 10 Years</v>
      </c>
      <c r="AD392">
        <f>ROUND(AVERAGE(EmployeeData[[#This Row],[JobSatisfaction]],EmployeeData[[#This Row],[EnvironmentSatisfaction]],EmployeeData[[#This Row],[WorkLifeBalance]]),2)</f>
        <v>2.33</v>
      </c>
      <c r="AE392" t="str">
        <f>IF(EmployeeData[[#This Row],[Satisfaction Score]]&lt;2,"Low",IF(EmployeeData[[#This Row],[Satisfaction Score]]&lt;3,"Medium","High"))</f>
        <v>Medium</v>
      </c>
    </row>
    <row r="393" spans="1:31" x14ac:dyDescent="0.25">
      <c r="A393" t="s">
        <v>1916</v>
      </c>
      <c r="B393" t="s">
        <v>1917</v>
      </c>
      <c r="C393" t="s">
        <v>49</v>
      </c>
      <c r="D393">
        <v>21</v>
      </c>
      <c r="E393" t="s">
        <v>5461</v>
      </c>
      <c r="F393" t="s">
        <v>5464</v>
      </c>
      <c r="G393" s="1">
        <v>43901</v>
      </c>
      <c r="H393">
        <v>135213</v>
      </c>
      <c r="I393" t="s">
        <v>42</v>
      </c>
      <c r="J393" t="s">
        <v>5459</v>
      </c>
      <c r="K393" t="s">
        <v>32</v>
      </c>
      <c r="L393" t="s">
        <v>62</v>
      </c>
      <c r="M393">
        <v>24</v>
      </c>
      <c r="N393" t="s">
        <v>45</v>
      </c>
      <c r="O393">
        <v>4</v>
      </c>
      <c r="P393">
        <v>2</v>
      </c>
      <c r="Q393">
        <v>3</v>
      </c>
      <c r="R393">
        <v>3</v>
      </c>
      <c r="S393">
        <v>3</v>
      </c>
      <c r="T393">
        <v>7</v>
      </c>
      <c r="U393">
        <v>18</v>
      </c>
      <c r="V393" t="s">
        <v>1920</v>
      </c>
      <c r="W393" t="s">
        <v>34</v>
      </c>
      <c r="Y393" s="2" t="str">
        <f>IF(EmployeeData[[#This Row],[Age]]&lt;25,"Under 25",IF(EmployeeData[[#This Row],[Age]]&lt;=34,"25-34",IF(EmployeeData[[#This Row],[Age]]&lt;=44,"35-44",IF(EmployeeData[[#This Row],[Age]]&lt;=54,"45-54","55+"))))</f>
        <v>Under 25</v>
      </c>
      <c r="Z393">
        <f ca="1">DATEDIF(EmployeeData[[#This Row],[DateOfJoining]],IF(AND(EmployeeData[[#This Row],[Attrition]]="Yes",EmployeeData[[#This Row],[LastWorkingDate]]&lt;&gt;""),EmployeeData[[#This Row],[LastWorkingDate]],TODAY()),"Y")</f>
        <v>6</v>
      </c>
      <c r="AA393" t="str">
        <f>IF(EmployeeData[[#This Row],[MonthlyIncome]]&lt;30000,"Low",IF(EmployeeData[[#This Row],[MonthlyIncome]]&lt;=60000,"Medium",IF(EmployeeData[[#This Row],[MonthlyIncome]]&lt;=100000,"High","Very High")))</f>
        <v>Very High</v>
      </c>
      <c r="AB393">
        <f>IF(EmployeeData[[#This Row],[Attrition]]="Yes",1,0)</f>
        <v>0</v>
      </c>
      <c r="AC393" t="str">
        <f ca="1">IF(EmployeeData[[#This Row],[Tenure Years]]&lt;1,"Less than 1 Year",IF(EmployeeData[[#This Row],[Tenure Years]]&lt;=3,"1-3 Years",IF(EmployeeData[[#This Row],[Tenure Years]]&lt;=5,"4-5 Years",IF(EmployeeData[[#This Row],[Tenure Years]]&lt;=10,"6-10 Years","More than 10 Years"))))</f>
        <v>6-10 Years</v>
      </c>
      <c r="AD393">
        <f>ROUND(AVERAGE(EmployeeData[[#This Row],[JobSatisfaction]],EmployeeData[[#This Row],[EnvironmentSatisfaction]],EmployeeData[[#This Row],[WorkLifeBalance]]),2)</f>
        <v>3</v>
      </c>
      <c r="AE393" t="str">
        <f>IF(EmployeeData[[#This Row],[Satisfaction Score]]&lt;2,"Low",IF(EmployeeData[[#This Row],[Satisfaction Score]]&lt;3,"Medium","High"))</f>
        <v>High</v>
      </c>
    </row>
    <row r="394" spans="1:31" x14ac:dyDescent="0.25">
      <c r="A394" t="s">
        <v>1921</v>
      </c>
      <c r="B394" t="s">
        <v>1922</v>
      </c>
      <c r="C394" t="s">
        <v>49</v>
      </c>
      <c r="D394">
        <v>54</v>
      </c>
      <c r="E394" t="s">
        <v>197</v>
      </c>
      <c r="F394" t="s">
        <v>323</v>
      </c>
      <c r="G394" s="1">
        <v>43847</v>
      </c>
      <c r="H394">
        <v>55443</v>
      </c>
      <c r="I394" t="s">
        <v>42</v>
      </c>
      <c r="J394" t="s">
        <v>53</v>
      </c>
      <c r="K394" t="s">
        <v>77</v>
      </c>
      <c r="L394" t="s">
        <v>62</v>
      </c>
      <c r="M394">
        <v>5</v>
      </c>
      <c r="N394" t="s">
        <v>34</v>
      </c>
      <c r="O394">
        <v>2</v>
      </c>
      <c r="P394">
        <v>3</v>
      </c>
      <c r="Q394">
        <v>3</v>
      </c>
      <c r="R394">
        <v>3</v>
      </c>
      <c r="S394">
        <v>4</v>
      </c>
      <c r="T394">
        <v>2</v>
      </c>
      <c r="U394">
        <v>20</v>
      </c>
      <c r="V394" t="s">
        <v>1926</v>
      </c>
      <c r="W394" t="s">
        <v>34</v>
      </c>
      <c r="Y394" s="2" t="str">
        <f>IF(EmployeeData[[#This Row],[Age]]&lt;25,"Under 25",IF(EmployeeData[[#This Row],[Age]]&lt;=34,"25-34",IF(EmployeeData[[#This Row],[Age]]&lt;=44,"35-44",IF(EmployeeData[[#This Row],[Age]]&lt;=54,"45-54","55+"))))</f>
        <v>45-54</v>
      </c>
      <c r="Z394">
        <f ca="1">DATEDIF(EmployeeData[[#This Row],[DateOfJoining]],IF(AND(EmployeeData[[#This Row],[Attrition]]="Yes",EmployeeData[[#This Row],[LastWorkingDate]]&lt;&gt;""),EmployeeData[[#This Row],[LastWorkingDate]],TODAY()),"Y")</f>
        <v>6</v>
      </c>
      <c r="AA394" t="str">
        <f>IF(EmployeeData[[#This Row],[MonthlyIncome]]&lt;30000,"Low",IF(EmployeeData[[#This Row],[MonthlyIncome]]&lt;=60000,"Medium",IF(EmployeeData[[#This Row],[MonthlyIncome]]&lt;=100000,"High","Very High")))</f>
        <v>Medium</v>
      </c>
      <c r="AB394">
        <f>IF(EmployeeData[[#This Row],[Attrition]]="Yes",1,0)</f>
        <v>0</v>
      </c>
      <c r="AC394" t="str">
        <f ca="1">IF(EmployeeData[[#This Row],[Tenure Years]]&lt;1,"Less than 1 Year",IF(EmployeeData[[#This Row],[Tenure Years]]&lt;=3,"1-3 Years",IF(EmployeeData[[#This Row],[Tenure Years]]&lt;=5,"4-5 Years",IF(EmployeeData[[#This Row],[Tenure Years]]&lt;=10,"6-10 Years","More than 10 Years"))))</f>
        <v>6-10 Years</v>
      </c>
      <c r="AD394">
        <f>ROUND(AVERAGE(EmployeeData[[#This Row],[JobSatisfaction]],EmployeeData[[#This Row],[EnvironmentSatisfaction]],EmployeeData[[#This Row],[WorkLifeBalance]]),2)</f>
        <v>2.67</v>
      </c>
      <c r="AE394" t="str">
        <f>IF(EmployeeData[[#This Row],[Satisfaction Score]]&lt;2,"Low",IF(EmployeeData[[#This Row],[Satisfaction Score]]&lt;3,"Medium","High"))</f>
        <v>Medium</v>
      </c>
    </row>
    <row r="395" spans="1:31" x14ac:dyDescent="0.25">
      <c r="A395" t="s">
        <v>1927</v>
      </c>
      <c r="B395" t="s">
        <v>1928</v>
      </c>
      <c r="C395" t="s">
        <v>58</v>
      </c>
      <c r="D395">
        <v>25</v>
      </c>
      <c r="E395" t="s">
        <v>128</v>
      </c>
      <c r="F395" t="s">
        <v>123</v>
      </c>
      <c r="G395" s="1">
        <v>41962</v>
      </c>
      <c r="H395">
        <v>44725</v>
      </c>
      <c r="I395" t="s">
        <v>30</v>
      </c>
      <c r="J395" t="s">
        <v>5459</v>
      </c>
      <c r="K395" t="s">
        <v>54</v>
      </c>
      <c r="L395" t="s">
        <v>43</v>
      </c>
      <c r="M395">
        <v>37</v>
      </c>
      <c r="N395" t="s">
        <v>45</v>
      </c>
      <c r="O395">
        <v>1</v>
      </c>
      <c r="P395">
        <v>4</v>
      </c>
      <c r="Q395">
        <v>2</v>
      </c>
      <c r="R395">
        <v>3</v>
      </c>
      <c r="S395">
        <v>5</v>
      </c>
      <c r="T395">
        <v>5</v>
      </c>
      <c r="U395">
        <v>22</v>
      </c>
      <c r="V395" t="s">
        <v>1931</v>
      </c>
      <c r="W395" t="s">
        <v>45</v>
      </c>
      <c r="X395" s="1">
        <v>45704</v>
      </c>
      <c r="Y395" s="2" t="str">
        <f>IF(EmployeeData[[#This Row],[Age]]&lt;25,"Under 25",IF(EmployeeData[[#This Row],[Age]]&lt;=34,"25-34",IF(EmployeeData[[#This Row],[Age]]&lt;=44,"35-44",IF(EmployeeData[[#This Row],[Age]]&lt;=54,"45-54","55+"))))</f>
        <v>25-34</v>
      </c>
      <c r="Z395">
        <f ca="1">DATEDIF(EmployeeData[[#This Row],[DateOfJoining]],IF(AND(EmployeeData[[#This Row],[Attrition]]="Yes",EmployeeData[[#This Row],[LastWorkingDate]]&lt;&gt;""),EmployeeData[[#This Row],[LastWorkingDate]],TODAY()),"Y")</f>
        <v>10</v>
      </c>
      <c r="AA395" t="str">
        <f>IF(EmployeeData[[#This Row],[MonthlyIncome]]&lt;30000,"Low",IF(EmployeeData[[#This Row],[MonthlyIncome]]&lt;=60000,"Medium",IF(EmployeeData[[#This Row],[MonthlyIncome]]&lt;=100000,"High","Very High")))</f>
        <v>Medium</v>
      </c>
      <c r="AB395">
        <f>IF(EmployeeData[[#This Row],[Attrition]]="Yes",1,0)</f>
        <v>1</v>
      </c>
      <c r="AC395" t="str">
        <f ca="1">IF(EmployeeData[[#This Row],[Tenure Years]]&lt;1,"Less than 1 Year",IF(EmployeeData[[#This Row],[Tenure Years]]&lt;=3,"1-3 Years",IF(EmployeeData[[#This Row],[Tenure Years]]&lt;=5,"4-5 Years",IF(EmployeeData[[#This Row],[Tenure Years]]&lt;=10,"6-10 Years","More than 10 Years"))))</f>
        <v>6-10 Years</v>
      </c>
      <c r="AD395">
        <f>ROUND(AVERAGE(EmployeeData[[#This Row],[JobSatisfaction]],EmployeeData[[#This Row],[EnvironmentSatisfaction]],EmployeeData[[#This Row],[WorkLifeBalance]]),2)</f>
        <v>2.33</v>
      </c>
      <c r="AE395" t="str">
        <f>IF(EmployeeData[[#This Row],[Satisfaction Score]]&lt;2,"Low",IF(EmployeeData[[#This Row],[Satisfaction Score]]&lt;3,"Medium","High"))</f>
        <v>Medium</v>
      </c>
    </row>
    <row r="396" spans="1:31" x14ac:dyDescent="0.25">
      <c r="A396" t="s">
        <v>1933</v>
      </c>
      <c r="B396" t="s">
        <v>1934</v>
      </c>
      <c r="C396" t="s">
        <v>49</v>
      </c>
      <c r="D396">
        <v>19</v>
      </c>
      <c r="E396" t="s">
        <v>27</v>
      </c>
      <c r="F396" t="s">
        <v>75</v>
      </c>
      <c r="G396" s="1">
        <v>43972</v>
      </c>
      <c r="H396">
        <v>85585</v>
      </c>
      <c r="I396" t="s">
        <v>52</v>
      </c>
      <c r="J396" t="s">
        <v>5459</v>
      </c>
      <c r="K396" t="s">
        <v>77</v>
      </c>
      <c r="L396" t="s">
        <v>43</v>
      </c>
      <c r="M396">
        <v>9</v>
      </c>
      <c r="N396" t="s">
        <v>45</v>
      </c>
      <c r="O396">
        <v>2</v>
      </c>
      <c r="P396">
        <v>2</v>
      </c>
      <c r="Q396">
        <v>4</v>
      </c>
      <c r="R396">
        <v>1</v>
      </c>
      <c r="S396">
        <v>3</v>
      </c>
      <c r="T396">
        <v>2</v>
      </c>
      <c r="U396">
        <v>14</v>
      </c>
      <c r="V396" t="s">
        <v>1936</v>
      </c>
      <c r="W396" t="s">
        <v>45</v>
      </c>
      <c r="X396" s="1">
        <v>45608</v>
      </c>
      <c r="Y396" s="2" t="str">
        <f>IF(EmployeeData[[#This Row],[Age]]&lt;25,"Under 25",IF(EmployeeData[[#This Row],[Age]]&lt;=34,"25-34",IF(EmployeeData[[#This Row],[Age]]&lt;=44,"35-44",IF(EmployeeData[[#This Row],[Age]]&lt;=54,"45-54","55+"))))</f>
        <v>Under 25</v>
      </c>
      <c r="Z396">
        <f ca="1">DATEDIF(EmployeeData[[#This Row],[DateOfJoining]],IF(AND(EmployeeData[[#This Row],[Attrition]]="Yes",EmployeeData[[#This Row],[LastWorkingDate]]&lt;&gt;""),EmployeeData[[#This Row],[LastWorkingDate]],TODAY()),"Y")</f>
        <v>4</v>
      </c>
      <c r="AA396" t="str">
        <f>IF(EmployeeData[[#This Row],[MonthlyIncome]]&lt;30000,"Low",IF(EmployeeData[[#This Row],[MonthlyIncome]]&lt;=60000,"Medium",IF(EmployeeData[[#This Row],[MonthlyIncome]]&lt;=100000,"High","Very High")))</f>
        <v>High</v>
      </c>
      <c r="AB396">
        <f>IF(EmployeeData[[#This Row],[Attrition]]="Yes",1,0)</f>
        <v>1</v>
      </c>
      <c r="AC396" t="str">
        <f ca="1">IF(EmployeeData[[#This Row],[Tenure Years]]&lt;1,"Less than 1 Year",IF(EmployeeData[[#This Row],[Tenure Years]]&lt;=3,"1-3 Years",IF(EmployeeData[[#This Row],[Tenure Years]]&lt;=5,"4-5 Years",IF(EmployeeData[[#This Row],[Tenure Years]]&lt;=10,"6-10 Years","More than 10 Years"))))</f>
        <v>4-5 Years</v>
      </c>
      <c r="AD396">
        <f>ROUND(AVERAGE(EmployeeData[[#This Row],[JobSatisfaction]],EmployeeData[[#This Row],[EnvironmentSatisfaction]],EmployeeData[[#This Row],[WorkLifeBalance]]),2)</f>
        <v>2.67</v>
      </c>
      <c r="AE396" t="str">
        <f>IF(EmployeeData[[#This Row],[Satisfaction Score]]&lt;2,"Low",IF(EmployeeData[[#This Row],[Satisfaction Score]]&lt;3,"Medium","High"))</f>
        <v>Medium</v>
      </c>
    </row>
    <row r="397" spans="1:31" x14ac:dyDescent="0.25">
      <c r="A397" t="s">
        <v>1938</v>
      </c>
      <c r="B397" t="s">
        <v>1939</v>
      </c>
      <c r="C397" t="s">
        <v>49</v>
      </c>
      <c r="D397">
        <v>29</v>
      </c>
      <c r="E397" t="s">
        <v>128</v>
      </c>
      <c r="F397" t="s">
        <v>255</v>
      </c>
      <c r="G397" s="1">
        <v>42741</v>
      </c>
      <c r="H397">
        <v>40514</v>
      </c>
      <c r="I397" t="s">
        <v>30</v>
      </c>
      <c r="J397" t="s">
        <v>61</v>
      </c>
      <c r="K397" t="s">
        <v>106</v>
      </c>
      <c r="L397" t="s">
        <v>33</v>
      </c>
      <c r="M397">
        <v>9</v>
      </c>
      <c r="N397" t="s">
        <v>45</v>
      </c>
      <c r="O397">
        <v>1</v>
      </c>
      <c r="P397">
        <v>2</v>
      </c>
      <c r="Q397">
        <v>2</v>
      </c>
      <c r="R397">
        <v>3</v>
      </c>
      <c r="S397">
        <v>6</v>
      </c>
      <c r="T397">
        <v>8</v>
      </c>
      <c r="U397">
        <v>23</v>
      </c>
      <c r="V397" t="s">
        <v>1941</v>
      </c>
      <c r="W397" t="s">
        <v>45</v>
      </c>
      <c r="X397" s="1">
        <v>43512</v>
      </c>
      <c r="Y397" s="2" t="str">
        <f>IF(EmployeeData[[#This Row],[Age]]&lt;25,"Under 25",IF(EmployeeData[[#This Row],[Age]]&lt;=34,"25-34",IF(EmployeeData[[#This Row],[Age]]&lt;=44,"35-44",IF(EmployeeData[[#This Row],[Age]]&lt;=54,"45-54","55+"))))</f>
        <v>25-34</v>
      </c>
      <c r="Z397">
        <f ca="1">DATEDIF(EmployeeData[[#This Row],[DateOfJoining]],IF(AND(EmployeeData[[#This Row],[Attrition]]="Yes",EmployeeData[[#This Row],[LastWorkingDate]]&lt;&gt;""),EmployeeData[[#This Row],[LastWorkingDate]],TODAY()),"Y")</f>
        <v>2</v>
      </c>
      <c r="AA397" t="str">
        <f>IF(EmployeeData[[#This Row],[MonthlyIncome]]&lt;30000,"Low",IF(EmployeeData[[#This Row],[MonthlyIncome]]&lt;=60000,"Medium",IF(EmployeeData[[#This Row],[MonthlyIncome]]&lt;=100000,"High","Very High")))</f>
        <v>Medium</v>
      </c>
      <c r="AB397">
        <f>IF(EmployeeData[[#This Row],[Attrition]]="Yes",1,0)</f>
        <v>1</v>
      </c>
      <c r="AC397" t="str">
        <f ca="1">IF(EmployeeData[[#This Row],[Tenure Years]]&lt;1,"Less than 1 Year",IF(EmployeeData[[#This Row],[Tenure Years]]&lt;=3,"1-3 Years",IF(EmployeeData[[#This Row],[Tenure Years]]&lt;=5,"4-5 Years",IF(EmployeeData[[#This Row],[Tenure Years]]&lt;=10,"6-10 Years","More than 10 Years"))))</f>
        <v>1-3 Years</v>
      </c>
      <c r="AD397">
        <f>ROUND(AVERAGE(EmployeeData[[#This Row],[JobSatisfaction]],EmployeeData[[#This Row],[EnvironmentSatisfaction]],EmployeeData[[#This Row],[WorkLifeBalance]]),2)</f>
        <v>1.67</v>
      </c>
      <c r="AE397" t="str">
        <f>IF(EmployeeData[[#This Row],[Satisfaction Score]]&lt;2,"Low",IF(EmployeeData[[#This Row],[Satisfaction Score]]&lt;3,"Medium","High"))</f>
        <v>Low</v>
      </c>
    </row>
    <row r="398" spans="1:31" x14ac:dyDescent="0.25">
      <c r="A398" t="s">
        <v>1943</v>
      </c>
      <c r="B398" t="s">
        <v>1944</v>
      </c>
      <c r="C398" t="s">
        <v>58</v>
      </c>
      <c r="D398">
        <v>41</v>
      </c>
      <c r="E398" t="s">
        <v>94</v>
      </c>
      <c r="F398" t="s">
        <v>266</v>
      </c>
      <c r="G398" s="1">
        <v>40931</v>
      </c>
      <c r="H398">
        <v>87025</v>
      </c>
      <c r="I398" t="s">
        <v>42</v>
      </c>
      <c r="J398" t="s">
        <v>61</v>
      </c>
      <c r="K398" t="s">
        <v>200</v>
      </c>
      <c r="L398" t="s">
        <v>62</v>
      </c>
      <c r="M398">
        <v>32</v>
      </c>
      <c r="N398" t="s">
        <v>45</v>
      </c>
      <c r="O398">
        <v>2</v>
      </c>
      <c r="P398">
        <v>1</v>
      </c>
      <c r="Q398">
        <v>4</v>
      </c>
      <c r="R398">
        <v>3</v>
      </c>
      <c r="S398">
        <v>2</v>
      </c>
      <c r="T398">
        <v>4</v>
      </c>
      <c r="U398">
        <v>16</v>
      </c>
      <c r="V398" t="s">
        <v>1946</v>
      </c>
      <c r="W398" t="s">
        <v>45</v>
      </c>
      <c r="X398" s="1">
        <v>41215</v>
      </c>
      <c r="Y398" s="2" t="str">
        <f>IF(EmployeeData[[#This Row],[Age]]&lt;25,"Under 25",IF(EmployeeData[[#This Row],[Age]]&lt;=34,"25-34",IF(EmployeeData[[#This Row],[Age]]&lt;=44,"35-44",IF(EmployeeData[[#This Row],[Age]]&lt;=54,"45-54","55+"))))</f>
        <v>35-44</v>
      </c>
      <c r="Z398">
        <f ca="1">DATEDIF(EmployeeData[[#This Row],[DateOfJoining]],IF(AND(EmployeeData[[#This Row],[Attrition]]="Yes",EmployeeData[[#This Row],[LastWorkingDate]]&lt;&gt;""),EmployeeData[[#This Row],[LastWorkingDate]],TODAY()),"Y")</f>
        <v>0</v>
      </c>
      <c r="AA398" t="str">
        <f>IF(EmployeeData[[#This Row],[MonthlyIncome]]&lt;30000,"Low",IF(EmployeeData[[#This Row],[MonthlyIncome]]&lt;=60000,"Medium",IF(EmployeeData[[#This Row],[MonthlyIncome]]&lt;=100000,"High","Very High")))</f>
        <v>High</v>
      </c>
      <c r="AB398">
        <f>IF(EmployeeData[[#This Row],[Attrition]]="Yes",1,0)</f>
        <v>1</v>
      </c>
      <c r="AC398" t="str">
        <f ca="1">IF(EmployeeData[[#This Row],[Tenure Years]]&lt;1,"Less than 1 Year",IF(EmployeeData[[#This Row],[Tenure Years]]&lt;=3,"1-3 Years",IF(EmployeeData[[#This Row],[Tenure Years]]&lt;=5,"4-5 Years",IF(EmployeeData[[#This Row],[Tenure Years]]&lt;=10,"6-10 Years","More than 10 Years"))))</f>
        <v>Less than 1 Year</v>
      </c>
      <c r="AD398">
        <f>ROUND(AVERAGE(EmployeeData[[#This Row],[JobSatisfaction]],EmployeeData[[#This Row],[EnvironmentSatisfaction]],EmployeeData[[#This Row],[WorkLifeBalance]]),2)</f>
        <v>2.33</v>
      </c>
      <c r="AE398" t="str">
        <f>IF(EmployeeData[[#This Row],[Satisfaction Score]]&lt;2,"Low",IF(EmployeeData[[#This Row],[Satisfaction Score]]&lt;3,"Medium","High"))</f>
        <v>Medium</v>
      </c>
    </row>
    <row r="399" spans="1:31" x14ac:dyDescent="0.25">
      <c r="A399" t="s">
        <v>1948</v>
      </c>
      <c r="B399" t="s">
        <v>1949</v>
      </c>
      <c r="C399" t="s">
        <v>49</v>
      </c>
      <c r="D399">
        <v>25</v>
      </c>
      <c r="E399" t="s">
        <v>128</v>
      </c>
      <c r="F399" t="s">
        <v>271</v>
      </c>
      <c r="G399" s="1">
        <v>42820</v>
      </c>
      <c r="H399">
        <v>73808</v>
      </c>
      <c r="I399" t="s">
        <v>30</v>
      </c>
      <c r="J399" t="s">
        <v>31</v>
      </c>
      <c r="K399" t="s">
        <v>131</v>
      </c>
      <c r="L399" t="s">
        <v>33</v>
      </c>
      <c r="M399">
        <v>22</v>
      </c>
      <c r="N399" t="s">
        <v>34</v>
      </c>
      <c r="O399">
        <v>4</v>
      </c>
      <c r="P399">
        <v>3</v>
      </c>
      <c r="Q399">
        <v>4</v>
      </c>
      <c r="R399">
        <v>3</v>
      </c>
      <c r="S399">
        <v>6</v>
      </c>
      <c r="T399">
        <v>7</v>
      </c>
      <c r="U399">
        <v>18</v>
      </c>
      <c r="V399" t="s">
        <v>1952</v>
      </c>
      <c r="W399" t="s">
        <v>34</v>
      </c>
      <c r="Y399" s="2" t="str">
        <f>IF(EmployeeData[[#This Row],[Age]]&lt;25,"Under 25",IF(EmployeeData[[#This Row],[Age]]&lt;=34,"25-34",IF(EmployeeData[[#This Row],[Age]]&lt;=44,"35-44",IF(EmployeeData[[#This Row],[Age]]&lt;=54,"45-54","55+"))))</f>
        <v>25-34</v>
      </c>
      <c r="Z399">
        <f ca="1">DATEDIF(EmployeeData[[#This Row],[DateOfJoining]],IF(AND(EmployeeData[[#This Row],[Attrition]]="Yes",EmployeeData[[#This Row],[LastWorkingDate]]&lt;&gt;""),EmployeeData[[#This Row],[LastWorkingDate]],TODAY()),"Y")</f>
        <v>9</v>
      </c>
      <c r="AA399" t="str">
        <f>IF(EmployeeData[[#This Row],[MonthlyIncome]]&lt;30000,"Low",IF(EmployeeData[[#This Row],[MonthlyIncome]]&lt;=60000,"Medium",IF(EmployeeData[[#This Row],[MonthlyIncome]]&lt;=100000,"High","Very High")))</f>
        <v>High</v>
      </c>
      <c r="AB399">
        <f>IF(EmployeeData[[#This Row],[Attrition]]="Yes",1,0)</f>
        <v>0</v>
      </c>
      <c r="AC399" t="str">
        <f ca="1">IF(EmployeeData[[#This Row],[Tenure Years]]&lt;1,"Less than 1 Year",IF(EmployeeData[[#This Row],[Tenure Years]]&lt;=3,"1-3 Years",IF(EmployeeData[[#This Row],[Tenure Years]]&lt;=5,"4-5 Years",IF(EmployeeData[[#This Row],[Tenure Years]]&lt;=10,"6-10 Years","More than 10 Years"))))</f>
        <v>6-10 Years</v>
      </c>
      <c r="AD399">
        <f>ROUND(AVERAGE(EmployeeData[[#This Row],[JobSatisfaction]],EmployeeData[[#This Row],[EnvironmentSatisfaction]],EmployeeData[[#This Row],[WorkLifeBalance]]),2)</f>
        <v>3.67</v>
      </c>
      <c r="AE399" t="str">
        <f>IF(EmployeeData[[#This Row],[Satisfaction Score]]&lt;2,"Low",IF(EmployeeData[[#This Row],[Satisfaction Score]]&lt;3,"Medium","High"))</f>
        <v>High</v>
      </c>
    </row>
    <row r="400" spans="1:31" x14ac:dyDescent="0.25">
      <c r="A400" t="s">
        <v>1953</v>
      </c>
      <c r="B400" t="s">
        <v>1954</v>
      </c>
      <c r="C400" t="s">
        <v>5459</v>
      </c>
      <c r="D400">
        <v>31</v>
      </c>
      <c r="E400" t="s">
        <v>94</v>
      </c>
      <c r="F400" t="s">
        <v>306</v>
      </c>
      <c r="G400" s="1">
        <v>43116</v>
      </c>
      <c r="H400">
        <v>133090</v>
      </c>
      <c r="I400" t="s">
        <v>42</v>
      </c>
      <c r="J400" t="s">
        <v>31</v>
      </c>
      <c r="K400" t="s">
        <v>77</v>
      </c>
      <c r="L400" t="s">
        <v>5459</v>
      </c>
      <c r="M400">
        <v>44</v>
      </c>
      <c r="N400" t="s">
        <v>34</v>
      </c>
      <c r="O400">
        <v>2</v>
      </c>
      <c r="P400">
        <v>2</v>
      </c>
      <c r="Q400">
        <v>1</v>
      </c>
      <c r="R400">
        <v>3</v>
      </c>
      <c r="S400">
        <v>6</v>
      </c>
      <c r="T400">
        <v>5</v>
      </c>
      <c r="U400">
        <v>21</v>
      </c>
      <c r="V400" t="s">
        <v>1956</v>
      </c>
      <c r="W400" t="s">
        <v>34</v>
      </c>
      <c r="Y400" s="2" t="str">
        <f>IF(EmployeeData[[#This Row],[Age]]&lt;25,"Under 25",IF(EmployeeData[[#This Row],[Age]]&lt;=34,"25-34",IF(EmployeeData[[#This Row],[Age]]&lt;=44,"35-44",IF(EmployeeData[[#This Row],[Age]]&lt;=54,"45-54","55+"))))</f>
        <v>25-34</v>
      </c>
      <c r="Z400">
        <f ca="1">DATEDIF(EmployeeData[[#This Row],[DateOfJoining]],IF(AND(EmployeeData[[#This Row],[Attrition]]="Yes",EmployeeData[[#This Row],[LastWorkingDate]]&lt;&gt;""),EmployeeData[[#This Row],[LastWorkingDate]],TODAY()),"Y")</f>
        <v>8</v>
      </c>
      <c r="AA400" t="str">
        <f>IF(EmployeeData[[#This Row],[MonthlyIncome]]&lt;30000,"Low",IF(EmployeeData[[#This Row],[MonthlyIncome]]&lt;=60000,"Medium",IF(EmployeeData[[#This Row],[MonthlyIncome]]&lt;=100000,"High","Very High")))</f>
        <v>Very High</v>
      </c>
      <c r="AB400">
        <f>IF(EmployeeData[[#This Row],[Attrition]]="Yes",1,0)</f>
        <v>0</v>
      </c>
      <c r="AC400" t="str">
        <f ca="1">IF(EmployeeData[[#This Row],[Tenure Years]]&lt;1,"Less than 1 Year",IF(EmployeeData[[#This Row],[Tenure Years]]&lt;=3,"1-3 Years",IF(EmployeeData[[#This Row],[Tenure Years]]&lt;=5,"4-5 Years",IF(EmployeeData[[#This Row],[Tenure Years]]&lt;=10,"6-10 Years","More than 10 Years"))))</f>
        <v>6-10 Years</v>
      </c>
      <c r="AD400">
        <f>ROUND(AVERAGE(EmployeeData[[#This Row],[JobSatisfaction]],EmployeeData[[#This Row],[EnvironmentSatisfaction]],EmployeeData[[#This Row],[WorkLifeBalance]]),2)</f>
        <v>1.67</v>
      </c>
      <c r="AE400" t="str">
        <f>IF(EmployeeData[[#This Row],[Satisfaction Score]]&lt;2,"Low",IF(EmployeeData[[#This Row],[Satisfaction Score]]&lt;3,"Medium","High"))</f>
        <v>Low</v>
      </c>
    </row>
    <row r="401" spans="1:31" x14ac:dyDescent="0.25">
      <c r="A401" t="s">
        <v>1957</v>
      </c>
      <c r="B401" t="s">
        <v>1958</v>
      </c>
      <c r="C401" t="s">
        <v>58</v>
      </c>
      <c r="D401">
        <v>37</v>
      </c>
      <c r="E401" t="s">
        <v>94</v>
      </c>
      <c r="F401" t="s">
        <v>306</v>
      </c>
      <c r="G401" s="1">
        <v>42904</v>
      </c>
      <c r="H401">
        <v>108494</v>
      </c>
      <c r="I401" t="s">
        <v>42</v>
      </c>
      <c r="J401" t="s">
        <v>5459</v>
      </c>
      <c r="K401" t="s">
        <v>77</v>
      </c>
      <c r="L401" t="s">
        <v>33</v>
      </c>
      <c r="M401">
        <v>15</v>
      </c>
      <c r="N401" t="s">
        <v>34</v>
      </c>
      <c r="O401">
        <v>3</v>
      </c>
      <c r="P401">
        <v>1</v>
      </c>
      <c r="Q401">
        <v>2</v>
      </c>
      <c r="R401">
        <v>3</v>
      </c>
      <c r="S401">
        <v>2</v>
      </c>
      <c r="T401">
        <v>7</v>
      </c>
      <c r="U401">
        <v>24</v>
      </c>
      <c r="V401" t="s">
        <v>1960</v>
      </c>
      <c r="W401" t="s">
        <v>34</v>
      </c>
      <c r="Y401" s="2" t="str">
        <f>IF(EmployeeData[[#This Row],[Age]]&lt;25,"Under 25",IF(EmployeeData[[#This Row],[Age]]&lt;=34,"25-34",IF(EmployeeData[[#This Row],[Age]]&lt;=44,"35-44",IF(EmployeeData[[#This Row],[Age]]&lt;=54,"45-54","55+"))))</f>
        <v>35-44</v>
      </c>
      <c r="Z401">
        <f ca="1">DATEDIF(EmployeeData[[#This Row],[DateOfJoining]],IF(AND(EmployeeData[[#This Row],[Attrition]]="Yes",EmployeeData[[#This Row],[LastWorkingDate]]&lt;&gt;""),EmployeeData[[#This Row],[LastWorkingDate]],TODAY()),"Y")</f>
        <v>9</v>
      </c>
      <c r="AA401" t="str">
        <f>IF(EmployeeData[[#This Row],[MonthlyIncome]]&lt;30000,"Low",IF(EmployeeData[[#This Row],[MonthlyIncome]]&lt;=60000,"Medium",IF(EmployeeData[[#This Row],[MonthlyIncome]]&lt;=100000,"High","Very High")))</f>
        <v>Very High</v>
      </c>
      <c r="AB401">
        <f>IF(EmployeeData[[#This Row],[Attrition]]="Yes",1,0)</f>
        <v>0</v>
      </c>
      <c r="AC401" t="str">
        <f ca="1">IF(EmployeeData[[#This Row],[Tenure Years]]&lt;1,"Less than 1 Year",IF(EmployeeData[[#This Row],[Tenure Years]]&lt;=3,"1-3 Years",IF(EmployeeData[[#This Row],[Tenure Years]]&lt;=5,"4-5 Years",IF(EmployeeData[[#This Row],[Tenure Years]]&lt;=10,"6-10 Years","More than 10 Years"))))</f>
        <v>6-10 Years</v>
      </c>
      <c r="AD401">
        <f>ROUND(AVERAGE(EmployeeData[[#This Row],[JobSatisfaction]],EmployeeData[[#This Row],[EnvironmentSatisfaction]],EmployeeData[[#This Row],[WorkLifeBalance]]),2)</f>
        <v>2</v>
      </c>
      <c r="AE401" t="str">
        <f>IF(EmployeeData[[#This Row],[Satisfaction Score]]&lt;2,"Low",IF(EmployeeData[[#This Row],[Satisfaction Score]]&lt;3,"Medium","High"))</f>
        <v>Medium</v>
      </c>
    </row>
    <row r="402" spans="1:31" x14ac:dyDescent="0.25">
      <c r="A402" t="s">
        <v>1961</v>
      </c>
      <c r="B402" t="s">
        <v>1962</v>
      </c>
      <c r="C402" t="s">
        <v>49</v>
      </c>
      <c r="D402">
        <v>49</v>
      </c>
      <c r="E402" t="s">
        <v>38</v>
      </c>
      <c r="F402" t="s">
        <v>792</v>
      </c>
      <c r="G402" s="1">
        <v>45255</v>
      </c>
      <c r="H402">
        <v>47161</v>
      </c>
      <c r="I402" t="s">
        <v>5459</v>
      </c>
      <c r="J402" t="s">
        <v>31</v>
      </c>
      <c r="K402" t="s">
        <v>131</v>
      </c>
      <c r="L402" t="s">
        <v>33</v>
      </c>
      <c r="M402">
        <v>22</v>
      </c>
      <c r="N402" t="s">
        <v>45</v>
      </c>
      <c r="O402">
        <v>2</v>
      </c>
      <c r="P402">
        <v>3</v>
      </c>
      <c r="Q402">
        <v>3</v>
      </c>
      <c r="R402">
        <v>2</v>
      </c>
      <c r="S402">
        <v>3</v>
      </c>
      <c r="T402">
        <v>5</v>
      </c>
      <c r="U402">
        <v>20</v>
      </c>
      <c r="V402" t="s">
        <v>1966</v>
      </c>
      <c r="W402" t="s">
        <v>45</v>
      </c>
      <c r="X402" s="1">
        <v>46087</v>
      </c>
      <c r="Y402" s="2" t="str">
        <f>IF(EmployeeData[[#This Row],[Age]]&lt;25,"Under 25",IF(EmployeeData[[#This Row],[Age]]&lt;=34,"25-34",IF(EmployeeData[[#This Row],[Age]]&lt;=44,"35-44",IF(EmployeeData[[#This Row],[Age]]&lt;=54,"45-54","55+"))))</f>
        <v>45-54</v>
      </c>
      <c r="Z402">
        <f ca="1">DATEDIF(EmployeeData[[#This Row],[DateOfJoining]],IF(AND(EmployeeData[[#This Row],[Attrition]]="Yes",EmployeeData[[#This Row],[LastWorkingDate]]&lt;&gt;""),EmployeeData[[#This Row],[LastWorkingDate]],TODAY()),"Y")</f>
        <v>2</v>
      </c>
      <c r="AA402" t="str">
        <f>IF(EmployeeData[[#This Row],[MonthlyIncome]]&lt;30000,"Low",IF(EmployeeData[[#This Row],[MonthlyIncome]]&lt;=60000,"Medium",IF(EmployeeData[[#This Row],[MonthlyIncome]]&lt;=100000,"High","Very High")))</f>
        <v>Medium</v>
      </c>
      <c r="AB402">
        <f>IF(EmployeeData[[#This Row],[Attrition]]="Yes",1,0)</f>
        <v>1</v>
      </c>
      <c r="AC402" t="str">
        <f ca="1">IF(EmployeeData[[#This Row],[Tenure Years]]&lt;1,"Less than 1 Year",IF(EmployeeData[[#This Row],[Tenure Years]]&lt;=3,"1-3 Years",IF(EmployeeData[[#This Row],[Tenure Years]]&lt;=5,"4-5 Years",IF(EmployeeData[[#This Row],[Tenure Years]]&lt;=10,"6-10 Years","More than 10 Years"))))</f>
        <v>1-3 Years</v>
      </c>
      <c r="AD402">
        <f>ROUND(AVERAGE(EmployeeData[[#This Row],[JobSatisfaction]],EmployeeData[[#This Row],[EnvironmentSatisfaction]],EmployeeData[[#This Row],[WorkLifeBalance]]),2)</f>
        <v>2.67</v>
      </c>
      <c r="AE402" t="str">
        <f>IF(EmployeeData[[#This Row],[Satisfaction Score]]&lt;2,"Low",IF(EmployeeData[[#This Row],[Satisfaction Score]]&lt;3,"Medium","High"))</f>
        <v>Medium</v>
      </c>
    </row>
    <row r="403" spans="1:31" x14ac:dyDescent="0.25">
      <c r="A403" t="s">
        <v>1968</v>
      </c>
      <c r="B403" t="s">
        <v>1969</v>
      </c>
      <c r="C403" t="s">
        <v>58</v>
      </c>
      <c r="D403">
        <v>26</v>
      </c>
      <c r="E403" t="s">
        <v>5461</v>
      </c>
      <c r="F403" t="s">
        <v>5464</v>
      </c>
      <c r="G403" s="1">
        <v>43089</v>
      </c>
      <c r="H403">
        <v>91690</v>
      </c>
      <c r="I403" t="s">
        <v>30</v>
      </c>
      <c r="J403" t="s">
        <v>61</v>
      </c>
      <c r="K403" t="s">
        <v>113</v>
      </c>
      <c r="L403" t="s">
        <v>62</v>
      </c>
      <c r="M403">
        <v>28</v>
      </c>
      <c r="N403" t="s">
        <v>45</v>
      </c>
      <c r="O403">
        <v>1</v>
      </c>
      <c r="P403">
        <v>4</v>
      </c>
      <c r="Q403">
        <v>4</v>
      </c>
      <c r="R403">
        <v>5</v>
      </c>
      <c r="S403">
        <v>3</v>
      </c>
      <c r="T403">
        <v>7</v>
      </c>
      <c r="U403">
        <v>14</v>
      </c>
      <c r="V403" t="s">
        <v>1972</v>
      </c>
      <c r="W403" t="s">
        <v>45</v>
      </c>
      <c r="X403" s="1">
        <v>44293</v>
      </c>
      <c r="Y403" s="2" t="str">
        <f>IF(EmployeeData[[#This Row],[Age]]&lt;25,"Under 25",IF(EmployeeData[[#This Row],[Age]]&lt;=34,"25-34",IF(EmployeeData[[#This Row],[Age]]&lt;=44,"35-44",IF(EmployeeData[[#This Row],[Age]]&lt;=54,"45-54","55+"))))</f>
        <v>25-34</v>
      </c>
      <c r="Z403">
        <f ca="1">DATEDIF(EmployeeData[[#This Row],[DateOfJoining]],IF(AND(EmployeeData[[#This Row],[Attrition]]="Yes",EmployeeData[[#This Row],[LastWorkingDate]]&lt;&gt;""),EmployeeData[[#This Row],[LastWorkingDate]],TODAY()),"Y")</f>
        <v>3</v>
      </c>
      <c r="AA403" t="str">
        <f>IF(EmployeeData[[#This Row],[MonthlyIncome]]&lt;30000,"Low",IF(EmployeeData[[#This Row],[MonthlyIncome]]&lt;=60000,"Medium",IF(EmployeeData[[#This Row],[MonthlyIncome]]&lt;=100000,"High","Very High")))</f>
        <v>High</v>
      </c>
      <c r="AB403">
        <f>IF(EmployeeData[[#This Row],[Attrition]]="Yes",1,0)</f>
        <v>1</v>
      </c>
      <c r="AC403" t="str">
        <f ca="1">IF(EmployeeData[[#This Row],[Tenure Years]]&lt;1,"Less than 1 Year",IF(EmployeeData[[#This Row],[Tenure Years]]&lt;=3,"1-3 Years",IF(EmployeeData[[#This Row],[Tenure Years]]&lt;=5,"4-5 Years",IF(EmployeeData[[#This Row],[Tenure Years]]&lt;=10,"6-10 Years","More than 10 Years"))))</f>
        <v>1-3 Years</v>
      </c>
      <c r="AD403">
        <f>ROUND(AVERAGE(EmployeeData[[#This Row],[JobSatisfaction]],EmployeeData[[#This Row],[EnvironmentSatisfaction]],EmployeeData[[#This Row],[WorkLifeBalance]]),2)</f>
        <v>3</v>
      </c>
      <c r="AE403" t="str">
        <f>IF(EmployeeData[[#This Row],[Satisfaction Score]]&lt;2,"Low",IF(EmployeeData[[#This Row],[Satisfaction Score]]&lt;3,"Medium","High"))</f>
        <v>High</v>
      </c>
    </row>
    <row r="404" spans="1:31" x14ac:dyDescent="0.25">
      <c r="A404" t="s">
        <v>1974</v>
      </c>
      <c r="B404" t="s">
        <v>1975</v>
      </c>
      <c r="C404" t="s">
        <v>58</v>
      </c>
      <c r="D404">
        <v>43</v>
      </c>
      <c r="E404" t="s">
        <v>197</v>
      </c>
      <c r="F404" t="s">
        <v>323</v>
      </c>
      <c r="G404" s="1">
        <v>43918</v>
      </c>
      <c r="H404">
        <v>51234</v>
      </c>
      <c r="I404" t="s">
        <v>30</v>
      </c>
      <c r="J404" t="s">
        <v>31</v>
      </c>
      <c r="K404" t="s">
        <v>77</v>
      </c>
      <c r="L404" t="s">
        <v>33</v>
      </c>
      <c r="M404">
        <v>11</v>
      </c>
      <c r="N404" t="s">
        <v>45</v>
      </c>
      <c r="O404">
        <v>2</v>
      </c>
      <c r="P404">
        <v>4</v>
      </c>
      <c r="Q404">
        <v>4</v>
      </c>
      <c r="R404">
        <v>3</v>
      </c>
      <c r="S404">
        <v>1</v>
      </c>
      <c r="T404">
        <v>5</v>
      </c>
      <c r="U404">
        <v>19</v>
      </c>
      <c r="V404" t="s">
        <v>1977</v>
      </c>
      <c r="W404" t="s">
        <v>45</v>
      </c>
      <c r="X404" s="1">
        <v>44452</v>
      </c>
      <c r="Y404" s="2" t="str">
        <f>IF(EmployeeData[[#This Row],[Age]]&lt;25,"Under 25",IF(EmployeeData[[#This Row],[Age]]&lt;=34,"25-34",IF(EmployeeData[[#This Row],[Age]]&lt;=44,"35-44",IF(EmployeeData[[#This Row],[Age]]&lt;=54,"45-54","55+"))))</f>
        <v>35-44</v>
      </c>
      <c r="Z404">
        <f ca="1">DATEDIF(EmployeeData[[#This Row],[DateOfJoining]],IF(AND(EmployeeData[[#This Row],[Attrition]]="Yes",EmployeeData[[#This Row],[LastWorkingDate]]&lt;&gt;""),EmployeeData[[#This Row],[LastWorkingDate]],TODAY()),"Y")</f>
        <v>1</v>
      </c>
      <c r="AA404" t="str">
        <f>IF(EmployeeData[[#This Row],[MonthlyIncome]]&lt;30000,"Low",IF(EmployeeData[[#This Row],[MonthlyIncome]]&lt;=60000,"Medium",IF(EmployeeData[[#This Row],[MonthlyIncome]]&lt;=100000,"High","Very High")))</f>
        <v>Medium</v>
      </c>
      <c r="AB404">
        <f>IF(EmployeeData[[#This Row],[Attrition]]="Yes",1,0)</f>
        <v>1</v>
      </c>
      <c r="AC404" t="str">
        <f ca="1">IF(EmployeeData[[#This Row],[Tenure Years]]&lt;1,"Less than 1 Year",IF(EmployeeData[[#This Row],[Tenure Years]]&lt;=3,"1-3 Years",IF(EmployeeData[[#This Row],[Tenure Years]]&lt;=5,"4-5 Years",IF(EmployeeData[[#This Row],[Tenure Years]]&lt;=10,"6-10 Years","More than 10 Years"))))</f>
        <v>1-3 Years</v>
      </c>
      <c r="AD404">
        <f>ROUND(AVERAGE(EmployeeData[[#This Row],[JobSatisfaction]],EmployeeData[[#This Row],[EnvironmentSatisfaction]],EmployeeData[[#This Row],[WorkLifeBalance]]),2)</f>
        <v>3.33</v>
      </c>
      <c r="AE404" t="str">
        <f>IF(EmployeeData[[#This Row],[Satisfaction Score]]&lt;2,"Low",IF(EmployeeData[[#This Row],[Satisfaction Score]]&lt;3,"Medium","High"))</f>
        <v>High</v>
      </c>
    </row>
    <row r="405" spans="1:31" x14ac:dyDescent="0.25">
      <c r="A405" t="s">
        <v>1978</v>
      </c>
      <c r="B405" t="s">
        <v>1979</v>
      </c>
      <c r="C405" t="s">
        <v>58</v>
      </c>
      <c r="D405">
        <v>37</v>
      </c>
      <c r="E405" t="s">
        <v>128</v>
      </c>
      <c r="F405" t="s">
        <v>271</v>
      </c>
      <c r="G405" s="1">
        <v>41529</v>
      </c>
      <c r="H405">
        <v>56605</v>
      </c>
      <c r="I405" t="s">
        <v>52</v>
      </c>
      <c r="J405" t="s">
        <v>143</v>
      </c>
      <c r="K405" t="s">
        <v>54</v>
      </c>
      <c r="L405" t="s">
        <v>62</v>
      </c>
      <c r="M405">
        <v>40</v>
      </c>
      <c r="N405" t="s">
        <v>34</v>
      </c>
      <c r="O405">
        <v>3</v>
      </c>
      <c r="P405">
        <v>2</v>
      </c>
      <c r="Q405">
        <v>4</v>
      </c>
      <c r="R405">
        <v>4</v>
      </c>
      <c r="S405">
        <v>3</v>
      </c>
      <c r="T405">
        <v>6</v>
      </c>
      <c r="U405">
        <v>24</v>
      </c>
      <c r="V405" t="s">
        <v>1982</v>
      </c>
      <c r="W405" t="s">
        <v>34</v>
      </c>
      <c r="Y405" s="2" t="str">
        <f>IF(EmployeeData[[#This Row],[Age]]&lt;25,"Under 25",IF(EmployeeData[[#This Row],[Age]]&lt;=34,"25-34",IF(EmployeeData[[#This Row],[Age]]&lt;=44,"35-44",IF(EmployeeData[[#This Row],[Age]]&lt;=54,"45-54","55+"))))</f>
        <v>35-44</v>
      </c>
      <c r="Z405">
        <f ca="1">DATEDIF(EmployeeData[[#This Row],[DateOfJoining]],IF(AND(EmployeeData[[#This Row],[Attrition]]="Yes",EmployeeData[[#This Row],[LastWorkingDate]]&lt;&gt;""),EmployeeData[[#This Row],[LastWorkingDate]],TODAY()),"Y")</f>
        <v>12</v>
      </c>
      <c r="AA405" t="str">
        <f>IF(EmployeeData[[#This Row],[MonthlyIncome]]&lt;30000,"Low",IF(EmployeeData[[#This Row],[MonthlyIncome]]&lt;=60000,"Medium",IF(EmployeeData[[#This Row],[MonthlyIncome]]&lt;=100000,"High","Very High")))</f>
        <v>Medium</v>
      </c>
      <c r="AB405">
        <f>IF(EmployeeData[[#This Row],[Attrition]]="Yes",1,0)</f>
        <v>0</v>
      </c>
      <c r="AC405" t="str">
        <f ca="1">IF(EmployeeData[[#This Row],[Tenure Years]]&lt;1,"Less than 1 Year",IF(EmployeeData[[#This Row],[Tenure Years]]&lt;=3,"1-3 Years",IF(EmployeeData[[#This Row],[Tenure Years]]&lt;=5,"4-5 Years",IF(EmployeeData[[#This Row],[Tenure Years]]&lt;=10,"6-10 Years","More than 10 Years"))))</f>
        <v>More than 10 Years</v>
      </c>
      <c r="AD405">
        <f>ROUND(AVERAGE(EmployeeData[[#This Row],[JobSatisfaction]],EmployeeData[[#This Row],[EnvironmentSatisfaction]],EmployeeData[[#This Row],[WorkLifeBalance]]),2)</f>
        <v>3</v>
      </c>
      <c r="AE405" t="str">
        <f>IF(EmployeeData[[#This Row],[Satisfaction Score]]&lt;2,"Low",IF(EmployeeData[[#This Row],[Satisfaction Score]]&lt;3,"Medium","High"))</f>
        <v>High</v>
      </c>
    </row>
    <row r="406" spans="1:31" x14ac:dyDescent="0.25">
      <c r="A406" t="s">
        <v>1983</v>
      </c>
      <c r="B406" t="s">
        <v>1984</v>
      </c>
      <c r="C406" t="s">
        <v>58</v>
      </c>
      <c r="D406">
        <v>43</v>
      </c>
      <c r="E406" t="s">
        <v>5461</v>
      </c>
      <c r="F406" t="s">
        <v>5463</v>
      </c>
      <c r="G406" s="1">
        <v>43380</v>
      </c>
      <c r="H406">
        <v>136653</v>
      </c>
      <c r="I406" t="s">
        <v>30</v>
      </c>
      <c r="J406" t="s">
        <v>61</v>
      </c>
      <c r="K406" t="s">
        <v>77</v>
      </c>
      <c r="L406" t="s">
        <v>62</v>
      </c>
      <c r="M406">
        <v>33</v>
      </c>
      <c r="N406" t="s">
        <v>34</v>
      </c>
      <c r="O406">
        <v>3</v>
      </c>
      <c r="P406">
        <v>2</v>
      </c>
      <c r="Q406">
        <v>1</v>
      </c>
      <c r="R406">
        <v>3</v>
      </c>
      <c r="S406">
        <v>3</v>
      </c>
      <c r="T406">
        <v>0</v>
      </c>
      <c r="U406">
        <v>11</v>
      </c>
      <c r="V406" t="s">
        <v>1986</v>
      </c>
      <c r="W406" t="s">
        <v>34</v>
      </c>
      <c r="Y406" s="2" t="str">
        <f>IF(EmployeeData[[#This Row],[Age]]&lt;25,"Under 25",IF(EmployeeData[[#This Row],[Age]]&lt;=34,"25-34",IF(EmployeeData[[#This Row],[Age]]&lt;=44,"35-44",IF(EmployeeData[[#This Row],[Age]]&lt;=54,"45-54","55+"))))</f>
        <v>35-44</v>
      </c>
      <c r="Z406">
        <f ca="1">DATEDIF(EmployeeData[[#This Row],[DateOfJoining]],IF(AND(EmployeeData[[#This Row],[Attrition]]="Yes",EmployeeData[[#This Row],[LastWorkingDate]]&lt;&gt;""),EmployeeData[[#This Row],[LastWorkingDate]],TODAY()),"Y")</f>
        <v>7</v>
      </c>
      <c r="AA406" t="str">
        <f>IF(EmployeeData[[#This Row],[MonthlyIncome]]&lt;30000,"Low",IF(EmployeeData[[#This Row],[MonthlyIncome]]&lt;=60000,"Medium",IF(EmployeeData[[#This Row],[MonthlyIncome]]&lt;=100000,"High","Very High")))</f>
        <v>Very High</v>
      </c>
      <c r="AB406">
        <f>IF(EmployeeData[[#This Row],[Attrition]]="Yes",1,0)</f>
        <v>0</v>
      </c>
      <c r="AC406" t="str">
        <f ca="1">IF(EmployeeData[[#This Row],[Tenure Years]]&lt;1,"Less than 1 Year",IF(EmployeeData[[#This Row],[Tenure Years]]&lt;=3,"1-3 Years",IF(EmployeeData[[#This Row],[Tenure Years]]&lt;=5,"4-5 Years",IF(EmployeeData[[#This Row],[Tenure Years]]&lt;=10,"6-10 Years","More than 10 Years"))))</f>
        <v>6-10 Years</v>
      </c>
      <c r="AD406">
        <f>ROUND(AVERAGE(EmployeeData[[#This Row],[JobSatisfaction]],EmployeeData[[#This Row],[EnvironmentSatisfaction]],EmployeeData[[#This Row],[WorkLifeBalance]]),2)</f>
        <v>2</v>
      </c>
      <c r="AE406" t="str">
        <f>IF(EmployeeData[[#This Row],[Satisfaction Score]]&lt;2,"Low",IF(EmployeeData[[#This Row],[Satisfaction Score]]&lt;3,"Medium","High"))</f>
        <v>Medium</v>
      </c>
    </row>
    <row r="407" spans="1:31" x14ac:dyDescent="0.25">
      <c r="A407" t="s">
        <v>1987</v>
      </c>
      <c r="B407" t="s">
        <v>1988</v>
      </c>
      <c r="C407" t="s">
        <v>49</v>
      </c>
      <c r="D407">
        <v>32</v>
      </c>
      <c r="E407" t="s">
        <v>5461</v>
      </c>
      <c r="F407" t="s">
        <v>89</v>
      </c>
      <c r="G407" s="1">
        <v>44968</v>
      </c>
      <c r="H407">
        <v>104724</v>
      </c>
      <c r="I407" t="s">
        <v>42</v>
      </c>
      <c r="J407" t="s">
        <v>31</v>
      </c>
      <c r="K407" t="s">
        <v>113</v>
      </c>
      <c r="L407" t="s">
        <v>62</v>
      </c>
      <c r="M407">
        <v>14</v>
      </c>
      <c r="N407" t="s">
        <v>45</v>
      </c>
      <c r="O407">
        <v>2</v>
      </c>
      <c r="P407">
        <v>2</v>
      </c>
      <c r="Q407">
        <v>3</v>
      </c>
      <c r="R407">
        <v>1</v>
      </c>
      <c r="S407">
        <v>0</v>
      </c>
      <c r="T407">
        <v>4</v>
      </c>
      <c r="U407">
        <v>13</v>
      </c>
      <c r="V407" t="s">
        <v>1992</v>
      </c>
      <c r="W407" t="s">
        <v>34</v>
      </c>
      <c r="Y407" s="2" t="str">
        <f>IF(EmployeeData[[#This Row],[Age]]&lt;25,"Under 25",IF(EmployeeData[[#This Row],[Age]]&lt;=34,"25-34",IF(EmployeeData[[#This Row],[Age]]&lt;=44,"35-44",IF(EmployeeData[[#This Row],[Age]]&lt;=54,"45-54","55+"))))</f>
        <v>25-34</v>
      </c>
      <c r="Z407">
        <f ca="1">DATEDIF(EmployeeData[[#This Row],[DateOfJoining]],IF(AND(EmployeeData[[#This Row],[Attrition]]="Yes",EmployeeData[[#This Row],[LastWorkingDate]]&lt;&gt;""),EmployeeData[[#This Row],[LastWorkingDate]],TODAY()),"Y")</f>
        <v>3</v>
      </c>
      <c r="AA407" t="str">
        <f>IF(EmployeeData[[#This Row],[MonthlyIncome]]&lt;30000,"Low",IF(EmployeeData[[#This Row],[MonthlyIncome]]&lt;=60000,"Medium",IF(EmployeeData[[#This Row],[MonthlyIncome]]&lt;=100000,"High","Very High")))</f>
        <v>Very High</v>
      </c>
      <c r="AB407">
        <f>IF(EmployeeData[[#This Row],[Attrition]]="Yes",1,0)</f>
        <v>0</v>
      </c>
      <c r="AC407" t="str">
        <f ca="1">IF(EmployeeData[[#This Row],[Tenure Years]]&lt;1,"Less than 1 Year",IF(EmployeeData[[#This Row],[Tenure Years]]&lt;=3,"1-3 Years",IF(EmployeeData[[#This Row],[Tenure Years]]&lt;=5,"4-5 Years",IF(EmployeeData[[#This Row],[Tenure Years]]&lt;=10,"6-10 Years","More than 10 Years"))))</f>
        <v>1-3 Years</v>
      </c>
      <c r="AD407">
        <f>ROUND(AVERAGE(EmployeeData[[#This Row],[JobSatisfaction]],EmployeeData[[#This Row],[EnvironmentSatisfaction]],EmployeeData[[#This Row],[WorkLifeBalance]]),2)</f>
        <v>2.33</v>
      </c>
      <c r="AE407" t="str">
        <f>IF(EmployeeData[[#This Row],[Satisfaction Score]]&lt;2,"Low",IF(EmployeeData[[#This Row],[Satisfaction Score]]&lt;3,"Medium","High"))</f>
        <v>Medium</v>
      </c>
    </row>
    <row r="408" spans="1:31" x14ac:dyDescent="0.25">
      <c r="A408" t="s">
        <v>1993</v>
      </c>
      <c r="B408" t="s">
        <v>1994</v>
      </c>
      <c r="C408" t="s">
        <v>58</v>
      </c>
      <c r="D408">
        <v>35</v>
      </c>
      <c r="E408" t="s">
        <v>27</v>
      </c>
      <c r="F408" t="s">
        <v>75</v>
      </c>
      <c r="G408" s="1">
        <v>43557</v>
      </c>
      <c r="H408">
        <v>64780</v>
      </c>
      <c r="I408" t="s">
        <v>30</v>
      </c>
      <c r="J408" t="s">
        <v>61</v>
      </c>
      <c r="K408" t="s">
        <v>131</v>
      </c>
      <c r="L408" t="s">
        <v>62</v>
      </c>
      <c r="M408">
        <v>2</v>
      </c>
      <c r="N408" t="s">
        <v>34</v>
      </c>
      <c r="O408">
        <v>3</v>
      </c>
      <c r="P408">
        <v>1</v>
      </c>
      <c r="Q408">
        <v>4</v>
      </c>
      <c r="R408">
        <v>3</v>
      </c>
      <c r="S408">
        <v>3</v>
      </c>
      <c r="T408">
        <v>4</v>
      </c>
      <c r="U408">
        <v>13</v>
      </c>
      <c r="V408" t="s">
        <v>1997</v>
      </c>
      <c r="W408" t="s">
        <v>34</v>
      </c>
      <c r="Y408" s="2" t="str">
        <f>IF(EmployeeData[[#This Row],[Age]]&lt;25,"Under 25",IF(EmployeeData[[#This Row],[Age]]&lt;=34,"25-34",IF(EmployeeData[[#This Row],[Age]]&lt;=44,"35-44",IF(EmployeeData[[#This Row],[Age]]&lt;=54,"45-54","55+"))))</f>
        <v>35-44</v>
      </c>
      <c r="Z408">
        <f ca="1">DATEDIF(EmployeeData[[#This Row],[DateOfJoining]],IF(AND(EmployeeData[[#This Row],[Attrition]]="Yes",EmployeeData[[#This Row],[LastWorkingDate]]&lt;&gt;""),EmployeeData[[#This Row],[LastWorkingDate]],TODAY()),"Y")</f>
        <v>7</v>
      </c>
      <c r="AA408" t="str">
        <f>IF(EmployeeData[[#This Row],[MonthlyIncome]]&lt;30000,"Low",IF(EmployeeData[[#This Row],[MonthlyIncome]]&lt;=60000,"Medium",IF(EmployeeData[[#This Row],[MonthlyIncome]]&lt;=100000,"High","Very High")))</f>
        <v>High</v>
      </c>
      <c r="AB408">
        <f>IF(EmployeeData[[#This Row],[Attrition]]="Yes",1,0)</f>
        <v>0</v>
      </c>
      <c r="AC408" t="str">
        <f ca="1">IF(EmployeeData[[#This Row],[Tenure Years]]&lt;1,"Less than 1 Year",IF(EmployeeData[[#This Row],[Tenure Years]]&lt;=3,"1-3 Years",IF(EmployeeData[[#This Row],[Tenure Years]]&lt;=5,"4-5 Years",IF(EmployeeData[[#This Row],[Tenure Years]]&lt;=10,"6-10 Years","More than 10 Years"))))</f>
        <v>6-10 Years</v>
      </c>
      <c r="AD408">
        <f>ROUND(AVERAGE(EmployeeData[[#This Row],[JobSatisfaction]],EmployeeData[[#This Row],[EnvironmentSatisfaction]],EmployeeData[[#This Row],[WorkLifeBalance]]),2)</f>
        <v>2.67</v>
      </c>
      <c r="AE408" t="str">
        <f>IF(EmployeeData[[#This Row],[Satisfaction Score]]&lt;2,"Low",IF(EmployeeData[[#This Row],[Satisfaction Score]]&lt;3,"Medium","High"))</f>
        <v>Medium</v>
      </c>
    </row>
    <row r="409" spans="1:31" x14ac:dyDescent="0.25">
      <c r="A409" t="s">
        <v>1998</v>
      </c>
      <c r="B409" t="s">
        <v>1999</v>
      </c>
      <c r="C409" t="s">
        <v>58</v>
      </c>
      <c r="D409">
        <v>28</v>
      </c>
      <c r="E409" t="s">
        <v>128</v>
      </c>
      <c r="F409" t="s">
        <v>255</v>
      </c>
      <c r="G409" s="1">
        <v>45814</v>
      </c>
      <c r="H409">
        <v>88001</v>
      </c>
      <c r="I409" t="s">
        <v>30</v>
      </c>
      <c r="J409" t="s">
        <v>53</v>
      </c>
      <c r="K409" t="s">
        <v>113</v>
      </c>
      <c r="L409" t="s">
        <v>43</v>
      </c>
      <c r="M409">
        <v>5</v>
      </c>
      <c r="N409" t="s">
        <v>34</v>
      </c>
      <c r="O409">
        <v>2</v>
      </c>
      <c r="P409">
        <v>4</v>
      </c>
      <c r="Q409">
        <v>3</v>
      </c>
      <c r="R409">
        <v>4</v>
      </c>
      <c r="S409">
        <v>4</v>
      </c>
      <c r="T409">
        <v>0</v>
      </c>
      <c r="U409">
        <v>25</v>
      </c>
      <c r="V409" t="s">
        <v>2001</v>
      </c>
      <c r="W409" t="s">
        <v>45</v>
      </c>
      <c r="X409" s="1">
        <v>46151</v>
      </c>
      <c r="Y409" s="2" t="str">
        <f>IF(EmployeeData[[#This Row],[Age]]&lt;25,"Under 25",IF(EmployeeData[[#This Row],[Age]]&lt;=34,"25-34",IF(EmployeeData[[#This Row],[Age]]&lt;=44,"35-44",IF(EmployeeData[[#This Row],[Age]]&lt;=54,"45-54","55+"))))</f>
        <v>25-34</v>
      </c>
      <c r="Z409">
        <f ca="1">DATEDIF(EmployeeData[[#This Row],[DateOfJoining]],IF(AND(EmployeeData[[#This Row],[Attrition]]="Yes",EmployeeData[[#This Row],[LastWorkingDate]]&lt;&gt;""),EmployeeData[[#This Row],[LastWorkingDate]],TODAY()),"Y")</f>
        <v>0</v>
      </c>
      <c r="AA409" t="str">
        <f>IF(EmployeeData[[#This Row],[MonthlyIncome]]&lt;30000,"Low",IF(EmployeeData[[#This Row],[MonthlyIncome]]&lt;=60000,"Medium",IF(EmployeeData[[#This Row],[MonthlyIncome]]&lt;=100000,"High","Very High")))</f>
        <v>High</v>
      </c>
      <c r="AB409">
        <f>IF(EmployeeData[[#This Row],[Attrition]]="Yes",1,0)</f>
        <v>1</v>
      </c>
      <c r="AC409" t="str">
        <f ca="1">IF(EmployeeData[[#This Row],[Tenure Years]]&lt;1,"Less than 1 Year",IF(EmployeeData[[#This Row],[Tenure Years]]&lt;=3,"1-3 Years",IF(EmployeeData[[#This Row],[Tenure Years]]&lt;=5,"4-5 Years",IF(EmployeeData[[#This Row],[Tenure Years]]&lt;=10,"6-10 Years","More than 10 Years"))))</f>
        <v>Less than 1 Year</v>
      </c>
      <c r="AD409">
        <f>ROUND(AVERAGE(EmployeeData[[#This Row],[JobSatisfaction]],EmployeeData[[#This Row],[EnvironmentSatisfaction]],EmployeeData[[#This Row],[WorkLifeBalance]]),2)</f>
        <v>3</v>
      </c>
      <c r="AE409" t="str">
        <f>IF(EmployeeData[[#This Row],[Satisfaction Score]]&lt;2,"Low",IF(EmployeeData[[#This Row],[Satisfaction Score]]&lt;3,"Medium","High"))</f>
        <v>High</v>
      </c>
    </row>
    <row r="410" spans="1:31" x14ac:dyDescent="0.25">
      <c r="A410" t="s">
        <v>2003</v>
      </c>
      <c r="B410" t="s">
        <v>2004</v>
      </c>
      <c r="C410" t="s">
        <v>58</v>
      </c>
      <c r="D410">
        <v>29</v>
      </c>
      <c r="E410" t="s">
        <v>38</v>
      </c>
      <c r="F410" t="s">
        <v>5465</v>
      </c>
      <c r="G410" s="1">
        <v>44351</v>
      </c>
      <c r="H410">
        <v>73488</v>
      </c>
      <c r="I410" t="s">
        <v>30</v>
      </c>
      <c r="J410" t="s">
        <v>143</v>
      </c>
      <c r="K410" t="s">
        <v>131</v>
      </c>
      <c r="L410" t="s">
        <v>62</v>
      </c>
      <c r="M410">
        <v>20</v>
      </c>
      <c r="N410" t="s">
        <v>34</v>
      </c>
      <c r="O410">
        <v>4</v>
      </c>
      <c r="P410">
        <v>4</v>
      </c>
      <c r="Q410">
        <v>2</v>
      </c>
      <c r="R410">
        <v>3</v>
      </c>
      <c r="S410">
        <v>1</v>
      </c>
      <c r="T410">
        <v>4</v>
      </c>
      <c r="U410">
        <v>14</v>
      </c>
      <c r="V410" t="s">
        <v>2007</v>
      </c>
      <c r="W410" t="s">
        <v>34</v>
      </c>
      <c r="Y410" s="2" t="str">
        <f>IF(EmployeeData[[#This Row],[Age]]&lt;25,"Under 25",IF(EmployeeData[[#This Row],[Age]]&lt;=34,"25-34",IF(EmployeeData[[#This Row],[Age]]&lt;=44,"35-44",IF(EmployeeData[[#This Row],[Age]]&lt;=54,"45-54","55+"))))</f>
        <v>25-34</v>
      </c>
      <c r="Z410">
        <f ca="1">DATEDIF(EmployeeData[[#This Row],[DateOfJoining]],IF(AND(EmployeeData[[#This Row],[Attrition]]="Yes",EmployeeData[[#This Row],[LastWorkingDate]]&lt;&gt;""),EmployeeData[[#This Row],[LastWorkingDate]],TODAY()),"Y")</f>
        <v>5</v>
      </c>
      <c r="AA410" t="str">
        <f>IF(EmployeeData[[#This Row],[MonthlyIncome]]&lt;30000,"Low",IF(EmployeeData[[#This Row],[MonthlyIncome]]&lt;=60000,"Medium",IF(EmployeeData[[#This Row],[MonthlyIncome]]&lt;=100000,"High","Very High")))</f>
        <v>High</v>
      </c>
      <c r="AB410">
        <f>IF(EmployeeData[[#This Row],[Attrition]]="Yes",1,0)</f>
        <v>0</v>
      </c>
      <c r="AC410" t="str">
        <f ca="1">IF(EmployeeData[[#This Row],[Tenure Years]]&lt;1,"Less than 1 Year",IF(EmployeeData[[#This Row],[Tenure Years]]&lt;=3,"1-3 Years",IF(EmployeeData[[#This Row],[Tenure Years]]&lt;=5,"4-5 Years",IF(EmployeeData[[#This Row],[Tenure Years]]&lt;=10,"6-10 Years","More than 10 Years"))))</f>
        <v>4-5 Years</v>
      </c>
      <c r="AD410">
        <f>ROUND(AVERAGE(EmployeeData[[#This Row],[JobSatisfaction]],EmployeeData[[#This Row],[EnvironmentSatisfaction]],EmployeeData[[#This Row],[WorkLifeBalance]]),2)</f>
        <v>3.33</v>
      </c>
      <c r="AE410" t="str">
        <f>IF(EmployeeData[[#This Row],[Satisfaction Score]]&lt;2,"Low",IF(EmployeeData[[#This Row],[Satisfaction Score]]&lt;3,"Medium","High"))</f>
        <v>High</v>
      </c>
    </row>
    <row r="411" spans="1:31" x14ac:dyDescent="0.25">
      <c r="A411" t="s">
        <v>2008</v>
      </c>
      <c r="B411" t="s">
        <v>2009</v>
      </c>
      <c r="C411" t="s">
        <v>58</v>
      </c>
      <c r="D411">
        <v>36</v>
      </c>
      <c r="E411" t="s">
        <v>27</v>
      </c>
      <c r="F411" t="s">
        <v>50</v>
      </c>
      <c r="G411" s="1">
        <v>43719</v>
      </c>
      <c r="H411">
        <v>75205</v>
      </c>
      <c r="I411" t="s">
        <v>52</v>
      </c>
      <c r="J411" t="s">
        <v>61</v>
      </c>
      <c r="K411" t="s">
        <v>113</v>
      </c>
      <c r="L411" t="s">
        <v>62</v>
      </c>
      <c r="M411">
        <v>3</v>
      </c>
      <c r="N411" t="s">
        <v>34</v>
      </c>
      <c r="O411">
        <v>1</v>
      </c>
      <c r="P411">
        <v>4</v>
      </c>
      <c r="Q411">
        <v>3</v>
      </c>
      <c r="R411">
        <v>5</v>
      </c>
      <c r="S411">
        <v>3</v>
      </c>
      <c r="T411">
        <v>8</v>
      </c>
      <c r="U411">
        <v>16</v>
      </c>
      <c r="V411" t="s">
        <v>2011</v>
      </c>
      <c r="W411" t="s">
        <v>34</v>
      </c>
      <c r="Y411" s="2" t="str">
        <f>IF(EmployeeData[[#This Row],[Age]]&lt;25,"Under 25",IF(EmployeeData[[#This Row],[Age]]&lt;=34,"25-34",IF(EmployeeData[[#This Row],[Age]]&lt;=44,"35-44",IF(EmployeeData[[#This Row],[Age]]&lt;=54,"45-54","55+"))))</f>
        <v>35-44</v>
      </c>
      <c r="Z411">
        <f ca="1">DATEDIF(EmployeeData[[#This Row],[DateOfJoining]],IF(AND(EmployeeData[[#This Row],[Attrition]]="Yes",EmployeeData[[#This Row],[LastWorkingDate]]&lt;&gt;""),EmployeeData[[#This Row],[LastWorkingDate]],TODAY()),"Y")</f>
        <v>6</v>
      </c>
      <c r="AA411" t="str">
        <f>IF(EmployeeData[[#This Row],[MonthlyIncome]]&lt;30000,"Low",IF(EmployeeData[[#This Row],[MonthlyIncome]]&lt;=60000,"Medium",IF(EmployeeData[[#This Row],[MonthlyIncome]]&lt;=100000,"High","Very High")))</f>
        <v>High</v>
      </c>
      <c r="AB411">
        <f>IF(EmployeeData[[#This Row],[Attrition]]="Yes",1,0)</f>
        <v>0</v>
      </c>
      <c r="AC411" t="str">
        <f ca="1">IF(EmployeeData[[#This Row],[Tenure Years]]&lt;1,"Less than 1 Year",IF(EmployeeData[[#This Row],[Tenure Years]]&lt;=3,"1-3 Years",IF(EmployeeData[[#This Row],[Tenure Years]]&lt;=5,"4-5 Years",IF(EmployeeData[[#This Row],[Tenure Years]]&lt;=10,"6-10 Years","More than 10 Years"))))</f>
        <v>6-10 Years</v>
      </c>
      <c r="AD411">
        <f>ROUND(AVERAGE(EmployeeData[[#This Row],[JobSatisfaction]],EmployeeData[[#This Row],[EnvironmentSatisfaction]],EmployeeData[[#This Row],[WorkLifeBalance]]),2)</f>
        <v>2.67</v>
      </c>
      <c r="AE411" t="str">
        <f>IF(EmployeeData[[#This Row],[Satisfaction Score]]&lt;2,"Low",IF(EmployeeData[[#This Row],[Satisfaction Score]]&lt;3,"Medium","High"))</f>
        <v>Medium</v>
      </c>
    </row>
    <row r="412" spans="1:31" x14ac:dyDescent="0.25">
      <c r="A412" t="s">
        <v>2012</v>
      </c>
      <c r="B412" t="s">
        <v>2013</v>
      </c>
      <c r="C412" t="s">
        <v>49</v>
      </c>
      <c r="D412">
        <v>35</v>
      </c>
      <c r="E412" t="s">
        <v>38</v>
      </c>
      <c r="F412" t="s">
        <v>5465</v>
      </c>
      <c r="G412" s="1">
        <v>41193</v>
      </c>
      <c r="H412">
        <v>75767</v>
      </c>
      <c r="I412" t="s">
        <v>52</v>
      </c>
      <c r="J412" t="s">
        <v>61</v>
      </c>
      <c r="K412" t="s">
        <v>54</v>
      </c>
      <c r="L412" t="s">
        <v>33</v>
      </c>
      <c r="M412">
        <v>41</v>
      </c>
      <c r="N412" t="s">
        <v>34</v>
      </c>
      <c r="O412">
        <v>1</v>
      </c>
      <c r="P412">
        <v>4</v>
      </c>
      <c r="Q412">
        <v>2</v>
      </c>
      <c r="R412">
        <v>4</v>
      </c>
      <c r="S412">
        <v>4</v>
      </c>
      <c r="T412">
        <v>6</v>
      </c>
      <c r="U412">
        <v>15</v>
      </c>
      <c r="V412" t="s">
        <v>2015</v>
      </c>
      <c r="W412" t="s">
        <v>45</v>
      </c>
      <c r="X412" s="1">
        <v>43686</v>
      </c>
      <c r="Y412" s="2" t="str">
        <f>IF(EmployeeData[[#This Row],[Age]]&lt;25,"Under 25",IF(EmployeeData[[#This Row],[Age]]&lt;=34,"25-34",IF(EmployeeData[[#This Row],[Age]]&lt;=44,"35-44",IF(EmployeeData[[#This Row],[Age]]&lt;=54,"45-54","55+"))))</f>
        <v>35-44</v>
      </c>
      <c r="Z412">
        <f ca="1">DATEDIF(EmployeeData[[#This Row],[DateOfJoining]],IF(AND(EmployeeData[[#This Row],[Attrition]]="Yes",EmployeeData[[#This Row],[LastWorkingDate]]&lt;&gt;""),EmployeeData[[#This Row],[LastWorkingDate]],TODAY()),"Y")</f>
        <v>6</v>
      </c>
      <c r="AA412" t="str">
        <f>IF(EmployeeData[[#This Row],[MonthlyIncome]]&lt;30000,"Low",IF(EmployeeData[[#This Row],[MonthlyIncome]]&lt;=60000,"Medium",IF(EmployeeData[[#This Row],[MonthlyIncome]]&lt;=100000,"High","Very High")))</f>
        <v>High</v>
      </c>
      <c r="AB412">
        <f>IF(EmployeeData[[#This Row],[Attrition]]="Yes",1,0)</f>
        <v>1</v>
      </c>
      <c r="AC412" t="str">
        <f ca="1">IF(EmployeeData[[#This Row],[Tenure Years]]&lt;1,"Less than 1 Year",IF(EmployeeData[[#This Row],[Tenure Years]]&lt;=3,"1-3 Years",IF(EmployeeData[[#This Row],[Tenure Years]]&lt;=5,"4-5 Years",IF(EmployeeData[[#This Row],[Tenure Years]]&lt;=10,"6-10 Years","More than 10 Years"))))</f>
        <v>6-10 Years</v>
      </c>
      <c r="AD412">
        <f>ROUND(AVERAGE(EmployeeData[[#This Row],[JobSatisfaction]],EmployeeData[[#This Row],[EnvironmentSatisfaction]],EmployeeData[[#This Row],[WorkLifeBalance]]),2)</f>
        <v>2.33</v>
      </c>
      <c r="AE412" t="str">
        <f>IF(EmployeeData[[#This Row],[Satisfaction Score]]&lt;2,"Low",IF(EmployeeData[[#This Row],[Satisfaction Score]]&lt;3,"Medium","High"))</f>
        <v>Medium</v>
      </c>
    </row>
    <row r="413" spans="1:31" x14ac:dyDescent="0.25">
      <c r="A413" t="s">
        <v>2017</v>
      </c>
      <c r="B413" t="s">
        <v>2018</v>
      </c>
      <c r="C413" t="s">
        <v>49</v>
      </c>
      <c r="D413">
        <v>49</v>
      </c>
      <c r="E413" t="s">
        <v>27</v>
      </c>
      <c r="F413" t="s">
        <v>75</v>
      </c>
      <c r="G413" s="1">
        <v>46123</v>
      </c>
      <c r="H413">
        <v>45877</v>
      </c>
      <c r="I413" t="s">
        <v>30</v>
      </c>
      <c r="J413" t="s">
        <v>97</v>
      </c>
      <c r="K413" t="s">
        <v>167</v>
      </c>
      <c r="L413" t="s">
        <v>33</v>
      </c>
      <c r="M413">
        <v>13</v>
      </c>
      <c r="N413" t="s">
        <v>34</v>
      </c>
      <c r="O413">
        <v>3</v>
      </c>
      <c r="P413">
        <v>1</v>
      </c>
      <c r="Q413">
        <v>4</v>
      </c>
      <c r="R413">
        <v>4</v>
      </c>
      <c r="S413">
        <v>0</v>
      </c>
      <c r="T413">
        <v>4</v>
      </c>
      <c r="U413">
        <v>24</v>
      </c>
      <c r="V413" t="s">
        <v>2021</v>
      </c>
      <c r="W413" t="s">
        <v>34</v>
      </c>
      <c r="Y413" s="2" t="str">
        <f>IF(EmployeeData[[#This Row],[Age]]&lt;25,"Under 25",IF(EmployeeData[[#This Row],[Age]]&lt;=34,"25-34",IF(EmployeeData[[#This Row],[Age]]&lt;=44,"35-44",IF(EmployeeData[[#This Row],[Age]]&lt;=54,"45-54","55+"))))</f>
        <v>45-54</v>
      </c>
      <c r="Z413">
        <f ca="1">DATEDIF(EmployeeData[[#This Row],[DateOfJoining]],IF(AND(EmployeeData[[#This Row],[Attrition]]="Yes",EmployeeData[[#This Row],[LastWorkingDate]]&lt;&gt;""),EmployeeData[[#This Row],[LastWorkingDate]],TODAY()),"Y")</f>
        <v>0</v>
      </c>
      <c r="AA413" t="str">
        <f>IF(EmployeeData[[#This Row],[MonthlyIncome]]&lt;30000,"Low",IF(EmployeeData[[#This Row],[MonthlyIncome]]&lt;=60000,"Medium",IF(EmployeeData[[#This Row],[MonthlyIncome]]&lt;=100000,"High","Very High")))</f>
        <v>Medium</v>
      </c>
      <c r="AB413">
        <f>IF(EmployeeData[[#This Row],[Attrition]]="Yes",1,0)</f>
        <v>0</v>
      </c>
      <c r="AC413" t="str">
        <f ca="1">IF(EmployeeData[[#This Row],[Tenure Years]]&lt;1,"Less than 1 Year",IF(EmployeeData[[#This Row],[Tenure Years]]&lt;=3,"1-3 Years",IF(EmployeeData[[#This Row],[Tenure Years]]&lt;=5,"4-5 Years",IF(EmployeeData[[#This Row],[Tenure Years]]&lt;=10,"6-10 Years","More than 10 Years"))))</f>
        <v>Less than 1 Year</v>
      </c>
      <c r="AD413">
        <f>ROUND(AVERAGE(EmployeeData[[#This Row],[JobSatisfaction]],EmployeeData[[#This Row],[EnvironmentSatisfaction]],EmployeeData[[#This Row],[WorkLifeBalance]]),2)</f>
        <v>2.67</v>
      </c>
      <c r="AE413" t="str">
        <f>IF(EmployeeData[[#This Row],[Satisfaction Score]]&lt;2,"Low",IF(EmployeeData[[#This Row],[Satisfaction Score]]&lt;3,"Medium","High"))</f>
        <v>Medium</v>
      </c>
    </row>
    <row r="414" spans="1:31" x14ac:dyDescent="0.25">
      <c r="A414" t="s">
        <v>2022</v>
      </c>
      <c r="B414" t="s">
        <v>2023</v>
      </c>
      <c r="C414" t="s">
        <v>58</v>
      </c>
      <c r="D414">
        <v>37</v>
      </c>
      <c r="E414" t="s">
        <v>197</v>
      </c>
      <c r="F414" t="s">
        <v>323</v>
      </c>
      <c r="G414" s="1">
        <v>43280</v>
      </c>
      <c r="H414">
        <v>48988</v>
      </c>
      <c r="I414" t="s">
        <v>42</v>
      </c>
      <c r="J414" t="s">
        <v>31</v>
      </c>
      <c r="K414" t="s">
        <v>200</v>
      </c>
      <c r="L414" t="s">
        <v>62</v>
      </c>
      <c r="M414">
        <v>16</v>
      </c>
      <c r="N414" t="s">
        <v>45</v>
      </c>
      <c r="O414">
        <v>3</v>
      </c>
      <c r="P414">
        <v>1</v>
      </c>
      <c r="Q414">
        <v>1</v>
      </c>
      <c r="R414">
        <v>4</v>
      </c>
      <c r="S414">
        <v>3</v>
      </c>
      <c r="T414">
        <v>4</v>
      </c>
      <c r="U414">
        <v>20</v>
      </c>
      <c r="V414" t="s">
        <v>2025</v>
      </c>
      <c r="W414" t="s">
        <v>45</v>
      </c>
      <c r="X414" s="1">
        <v>43519</v>
      </c>
      <c r="Y414" s="2" t="str">
        <f>IF(EmployeeData[[#This Row],[Age]]&lt;25,"Under 25",IF(EmployeeData[[#This Row],[Age]]&lt;=34,"25-34",IF(EmployeeData[[#This Row],[Age]]&lt;=44,"35-44",IF(EmployeeData[[#This Row],[Age]]&lt;=54,"45-54","55+"))))</f>
        <v>35-44</v>
      </c>
      <c r="Z414">
        <f ca="1">DATEDIF(EmployeeData[[#This Row],[DateOfJoining]],IF(AND(EmployeeData[[#This Row],[Attrition]]="Yes",EmployeeData[[#This Row],[LastWorkingDate]]&lt;&gt;""),EmployeeData[[#This Row],[LastWorkingDate]],TODAY()),"Y")</f>
        <v>0</v>
      </c>
      <c r="AA414" t="str">
        <f>IF(EmployeeData[[#This Row],[MonthlyIncome]]&lt;30000,"Low",IF(EmployeeData[[#This Row],[MonthlyIncome]]&lt;=60000,"Medium",IF(EmployeeData[[#This Row],[MonthlyIncome]]&lt;=100000,"High","Very High")))</f>
        <v>Medium</v>
      </c>
      <c r="AB414">
        <f>IF(EmployeeData[[#This Row],[Attrition]]="Yes",1,0)</f>
        <v>1</v>
      </c>
      <c r="AC414" t="str">
        <f ca="1">IF(EmployeeData[[#This Row],[Tenure Years]]&lt;1,"Less than 1 Year",IF(EmployeeData[[#This Row],[Tenure Years]]&lt;=3,"1-3 Years",IF(EmployeeData[[#This Row],[Tenure Years]]&lt;=5,"4-5 Years",IF(EmployeeData[[#This Row],[Tenure Years]]&lt;=10,"6-10 Years","More than 10 Years"))))</f>
        <v>Less than 1 Year</v>
      </c>
      <c r="AD414">
        <f>ROUND(AVERAGE(EmployeeData[[#This Row],[JobSatisfaction]],EmployeeData[[#This Row],[EnvironmentSatisfaction]],EmployeeData[[#This Row],[WorkLifeBalance]]),2)</f>
        <v>1.67</v>
      </c>
      <c r="AE414" t="str">
        <f>IF(EmployeeData[[#This Row],[Satisfaction Score]]&lt;2,"Low",IF(EmployeeData[[#This Row],[Satisfaction Score]]&lt;3,"Medium","High"))</f>
        <v>Low</v>
      </c>
    </row>
    <row r="415" spans="1:31" x14ac:dyDescent="0.25">
      <c r="A415" t="s">
        <v>2027</v>
      </c>
      <c r="B415" t="s">
        <v>2028</v>
      </c>
      <c r="C415" t="s">
        <v>49</v>
      </c>
      <c r="D415">
        <v>28</v>
      </c>
      <c r="E415" t="s">
        <v>27</v>
      </c>
      <c r="F415" t="s">
        <v>188</v>
      </c>
      <c r="G415" s="1">
        <v>44874</v>
      </c>
      <c r="H415">
        <v>121934</v>
      </c>
      <c r="I415" t="s">
        <v>42</v>
      </c>
      <c r="J415" t="s">
        <v>61</v>
      </c>
      <c r="K415" t="s">
        <v>131</v>
      </c>
      <c r="L415" t="s">
        <v>33</v>
      </c>
      <c r="M415">
        <v>23</v>
      </c>
      <c r="N415" t="s">
        <v>34</v>
      </c>
      <c r="O415">
        <v>3</v>
      </c>
      <c r="P415">
        <v>3</v>
      </c>
      <c r="Q415">
        <v>3</v>
      </c>
      <c r="R415">
        <v>5</v>
      </c>
      <c r="S415">
        <v>3</v>
      </c>
      <c r="T415">
        <v>2</v>
      </c>
      <c r="U415">
        <v>21</v>
      </c>
      <c r="V415" t="s">
        <v>5459</v>
      </c>
      <c r="W415" t="s">
        <v>34</v>
      </c>
      <c r="Y415" s="2" t="str">
        <f>IF(EmployeeData[[#This Row],[Age]]&lt;25,"Under 25",IF(EmployeeData[[#This Row],[Age]]&lt;=34,"25-34",IF(EmployeeData[[#This Row],[Age]]&lt;=44,"35-44",IF(EmployeeData[[#This Row],[Age]]&lt;=54,"45-54","55+"))))</f>
        <v>25-34</v>
      </c>
      <c r="Z415">
        <f ca="1">DATEDIF(EmployeeData[[#This Row],[DateOfJoining]],IF(AND(EmployeeData[[#This Row],[Attrition]]="Yes",EmployeeData[[#This Row],[LastWorkingDate]]&lt;&gt;""),EmployeeData[[#This Row],[LastWorkingDate]],TODAY()),"Y")</f>
        <v>3</v>
      </c>
      <c r="AA415" t="str">
        <f>IF(EmployeeData[[#This Row],[MonthlyIncome]]&lt;30000,"Low",IF(EmployeeData[[#This Row],[MonthlyIncome]]&lt;=60000,"Medium",IF(EmployeeData[[#This Row],[MonthlyIncome]]&lt;=100000,"High","Very High")))</f>
        <v>Very High</v>
      </c>
      <c r="AB415">
        <f>IF(EmployeeData[[#This Row],[Attrition]]="Yes",1,0)</f>
        <v>0</v>
      </c>
      <c r="AC415" t="str">
        <f ca="1">IF(EmployeeData[[#This Row],[Tenure Years]]&lt;1,"Less than 1 Year",IF(EmployeeData[[#This Row],[Tenure Years]]&lt;=3,"1-3 Years",IF(EmployeeData[[#This Row],[Tenure Years]]&lt;=5,"4-5 Years",IF(EmployeeData[[#This Row],[Tenure Years]]&lt;=10,"6-10 Years","More than 10 Years"))))</f>
        <v>1-3 Years</v>
      </c>
      <c r="AD415">
        <f>ROUND(AVERAGE(EmployeeData[[#This Row],[JobSatisfaction]],EmployeeData[[#This Row],[EnvironmentSatisfaction]],EmployeeData[[#This Row],[WorkLifeBalance]]),2)</f>
        <v>3</v>
      </c>
      <c r="AE415" t="str">
        <f>IF(EmployeeData[[#This Row],[Satisfaction Score]]&lt;2,"Low",IF(EmployeeData[[#This Row],[Satisfaction Score]]&lt;3,"Medium","High"))</f>
        <v>High</v>
      </c>
    </row>
    <row r="416" spans="1:31" x14ac:dyDescent="0.25">
      <c r="A416" t="s">
        <v>2031</v>
      </c>
      <c r="B416" t="s">
        <v>2032</v>
      </c>
      <c r="C416" t="s">
        <v>49</v>
      </c>
      <c r="D416">
        <v>46</v>
      </c>
      <c r="E416" t="s">
        <v>5461</v>
      </c>
      <c r="F416" t="s">
        <v>5464</v>
      </c>
      <c r="G416" s="1">
        <v>45402</v>
      </c>
      <c r="H416">
        <v>144318</v>
      </c>
      <c r="I416" t="s">
        <v>30</v>
      </c>
      <c r="J416" t="s">
        <v>31</v>
      </c>
      <c r="K416" t="s">
        <v>200</v>
      </c>
      <c r="L416" t="s">
        <v>62</v>
      </c>
      <c r="M416">
        <v>37</v>
      </c>
      <c r="N416" t="s">
        <v>34</v>
      </c>
      <c r="O416">
        <v>1</v>
      </c>
      <c r="P416">
        <v>3</v>
      </c>
      <c r="Q416">
        <v>2</v>
      </c>
      <c r="R416">
        <v>3</v>
      </c>
      <c r="S416">
        <v>6</v>
      </c>
      <c r="T416">
        <v>1</v>
      </c>
      <c r="U416">
        <v>21</v>
      </c>
      <c r="V416" t="s">
        <v>2034</v>
      </c>
      <c r="W416" t="s">
        <v>45</v>
      </c>
      <c r="X416" s="1">
        <v>46099</v>
      </c>
      <c r="Y416" s="2" t="str">
        <f>IF(EmployeeData[[#This Row],[Age]]&lt;25,"Under 25",IF(EmployeeData[[#This Row],[Age]]&lt;=34,"25-34",IF(EmployeeData[[#This Row],[Age]]&lt;=44,"35-44",IF(EmployeeData[[#This Row],[Age]]&lt;=54,"45-54","55+"))))</f>
        <v>45-54</v>
      </c>
      <c r="Z416">
        <f ca="1">DATEDIF(EmployeeData[[#This Row],[DateOfJoining]],IF(AND(EmployeeData[[#This Row],[Attrition]]="Yes",EmployeeData[[#This Row],[LastWorkingDate]]&lt;&gt;""),EmployeeData[[#This Row],[LastWorkingDate]],TODAY()),"Y")</f>
        <v>1</v>
      </c>
      <c r="AA416" t="str">
        <f>IF(EmployeeData[[#This Row],[MonthlyIncome]]&lt;30000,"Low",IF(EmployeeData[[#This Row],[MonthlyIncome]]&lt;=60000,"Medium",IF(EmployeeData[[#This Row],[MonthlyIncome]]&lt;=100000,"High","Very High")))</f>
        <v>Very High</v>
      </c>
      <c r="AB416">
        <f>IF(EmployeeData[[#This Row],[Attrition]]="Yes",1,0)</f>
        <v>1</v>
      </c>
      <c r="AC416" t="str">
        <f ca="1">IF(EmployeeData[[#This Row],[Tenure Years]]&lt;1,"Less than 1 Year",IF(EmployeeData[[#This Row],[Tenure Years]]&lt;=3,"1-3 Years",IF(EmployeeData[[#This Row],[Tenure Years]]&lt;=5,"4-5 Years",IF(EmployeeData[[#This Row],[Tenure Years]]&lt;=10,"6-10 Years","More than 10 Years"))))</f>
        <v>1-3 Years</v>
      </c>
      <c r="AD416">
        <f>ROUND(AVERAGE(EmployeeData[[#This Row],[JobSatisfaction]],EmployeeData[[#This Row],[EnvironmentSatisfaction]],EmployeeData[[#This Row],[WorkLifeBalance]]),2)</f>
        <v>2</v>
      </c>
      <c r="AE416" t="str">
        <f>IF(EmployeeData[[#This Row],[Satisfaction Score]]&lt;2,"Low",IF(EmployeeData[[#This Row],[Satisfaction Score]]&lt;3,"Medium","High"))</f>
        <v>Medium</v>
      </c>
    </row>
    <row r="417" spans="1:31" x14ac:dyDescent="0.25">
      <c r="A417" t="s">
        <v>2036</v>
      </c>
      <c r="B417" t="s">
        <v>2037</v>
      </c>
      <c r="C417" t="s">
        <v>58</v>
      </c>
      <c r="D417">
        <v>37</v>
      </c>
      <c r="E417" t="s">
        <v>94</v>
      </c>
      <c r="F417" t="s">
        <v>639</v>
      </c>
      <c r="G417" s="1">
        <v>42182</v>
      </c>
      <c r="H417">
        <v>126193</v>
      </c>
      <c r="I417" t="s">
        <v>42</v>
      </c>
      <c r="J417" t="s">
        <v>31</v>
      </c>
      <c r="K417" t="s">
        <v>106</v>
      </c>
      <c r="L417" t="s">
        <v>33</v>
      </c>
      <c r="M417">
        <v>16</v>
      </c>
      <c r="N417" t="s">
        <v>45</v>
      </c>
      <c r="O417">
        <v>2</v>
      </c>
      <c r="P417">
        <v>2</v>
      </c>
      <c r="Q417">
        <v>2</v>
      </c>
      <c r="R417">
        <v>4</v>
      </c>
      <c r="S417">
        <v>4</v>
      </c>
      <c r="T417">
        <v>7</v>
      </c>
      <c r="U417">
        <v>12</v>
      </c>
      <c r="V417" t="s">
        <v>2039</v>
      </c>
      <c r="W417" t="s">
        <v>45</v>
      </c>
      <c r="X417" s="1">
        <v>43900</v>
      </c>
      <c r="Y417" s="2" t="str">
        <f>IF(EmployeeData[[#This Row],[Age]]&lt;25,"Under 25",IF(EmployeeData[[#This Row],[Age]]&lt;=34,"25-34",IF(EmployeeData[[#This Row],[Age]]&lt;=44,"35-44",IF(EmployeeData[[#This Row],[Age]]&lt;=54,"45-54","55+"))))</f>
        <v>35-44</v>
      </c>
      <c r="Z417">
        <f ca="1">DATEDIF(EmployeeData[[#This Row],[DateOfJoining]],IF(AND(EmployeeData[[#This Row],[Attrition]]="Yes",EmployeeData[[#This Row],[LastWorkingDate]]&lt;&gt;""),EmployeeData[[#This Row],[LastWorkingDate]],TODAY()),"Y")</f>
        <v>4</v>
      </c>
      <c r="AA417" t="str">
        <f>IF(EmployeeData[[#This Row],[MonthlyIncome]]&lt;30000,"Low",IF(EmployeeData[[#This Row],[MonthlyIncome]]&lt;=60000,"Medium",IF(EmployeeData[[#This Row],[MonthlyIncome]]&lt;=100000,"High","Very High")))</f>
        <v>Very High</v>
      </c>
      <c r="AB417">
        <f>IF(EmployeeData[[#This Row],[Attrition]]="Yes",1,0)</f>
        <v>1</v>
      </c>
      <c r="AC417" t="str">
        <f ca="1">IF(EmployeeData[[#This Row],[Tenure Years]]&lt;1,"Less than 1 Year",IF(EmployeeData[[#This Row],[Tenure Years]]&lt;=3,"1-3 Years",IF(EmployeeData[[#This Row],[Tenure Years]]&lt;=5,"4-5 Years",IF(EmployeeData[[#This Row],[Tenure Years]]&lt;=10,"6-10 Years","More than 10 Years"))))</f>
        <v>4-5 Years</v>
      </c>
      <c r="AD417">
        <f>ROUND(AVERAGE(EmployeeData[[#This Row],[JobSatisfaction]],EmployeeData[[#This Row],[EnvironmentSatisfaction]],EmployeeData[[#This Row],[WorkLifeBalance]]),2)</f>
        <v>2</v>
      </c>
      <c r="AE417" t="str">
        <f>IF(EmployeeData[[#This Row],[Satisfaction Score]]&lt;2,"Low",IF(EmployeeData[[#This Row],[Satisfaction Score]]&lt;3,"Medium","High"))</f>
        <v>Medium</v>
      </c>
    </row>
    <row r="418" spans="1:31" x14ac:dyDescent="0.25">
      <c r="A418" t="s">
        <v>2041</v>
      </c>
      <c r="B418" t="s">
        <v>2042</v>
      </c>
      <c r="C418" t="s">
        <v>49</v>
      </c>
      <c r="D418">
        <v>33</v>
      </c>
      <c r="E418" t="s">
        <v>197</v>
      </c>
      <c r="F418" t="s">
        <v>235</v>
      </c>
      <c r="G418" s="1">
        <v>46140</v>
      </c>
      <c r="H418">
        <v>39646</v>
      </c>
      <c r="I418" t="s">
        <v>52</v>
      </c>
      <c r="J418" t="s">
        <v>5459</v>
      </c>
      <c r="K418" t="s">
        <v>106</v>
      </c>
      <c r="L418" t="s">
        <v>43</v>
      </c>
      <c r="M418">
        <v>15</v>
      </c>
      <c r="N418" t="s">
        <v>45</v>
      </c>
      <c r="O418">
        <v>3</v>
      </c>
      <c r="P418">
        <v>4</v>
      </c>
      <c r="Q418">
        <v>1</v>
      </c>
      <c r="R418">
        <v>3</v>
      </c>
      <c r="S418">
        <v>0</v>
      </c>
      <c r="T418">
        <v>7</v>
      </c>
      <c r="U418">
        <v>22</v>
      </c>
      <c r="V418" t="s">
        <v>2044</v>
      </c>
      <c r="W418" t="s">
        <v>45</v>
      </c>
      <c r="X418" s="1">
        <v>46183</v>
      </c>
      <c r="Y418" s="2" t="str">
        <f>IF(EmployeeData[[#This Row],[Age]]&lt;25,"Under 25",IF(EmployeeData[[#This Row],[Age]]&lt;=34,"25-34",IF(EmployeeData[[#This Row],[Age]]&lt;=44,"35-44",IF(EmployeeData[[#This Row],[Age]]&lt;=54,"45-54","55+"))))</f>
        <v>25-34</v>
      </c>
      <c r="Z418">
        <f ca="1">DATEDIF(EmployeeData[[#This Row],[DateOfJoining]],IF(AND(EmployeeData[[#This Row],[Attrition]]="Yes",EmployeeData[[#This Row],[LastWorkingDate]]&lt;&gt;""),EmployeeData[[#This Row],[LastWorkingDate]],TODAY()),"Y")</f>
        <v>0</v>
      </c>
      <c r="AA418" t="str">
        <f>IF(EmployeeData[[#This Row],[MonthlyIncome]]&lt;30000,"Low",IF(EmployeeData[[#This Row],[MonthlyIncome]]&lt;=60000,"Medium",IF(EmployeeData[[#This Row],[MonthlyIncome]]&lt;=100000,"High","Very High")))</f>
        <v>Medium</v>
      </c>
      <c r="AB418">
        <f>IF(EmployeeData[[#This Row],[Attrition]]="Yes",1,0)</f>
        <v>1</v>
      </c>
      <c r="AC418" t="str">
        <f ca="1">IF(EmployeeData[[#This Row],[Tenure Years]]&lt;1,"Less than 1 Year",IF(EmployeeData[[#This Row],[Tenure Years]]&lt;=3,"1-3 Years",IF(EmployeeData[[#This Row],[Tenure Years]]&lt;=5,"4-5 Years",IF(EmployeeData[[#This Row],[Tenure Years]]&lt;=10,"6-10 Years","More than 10 Years"))))</f>
        <v>Less than 1 Year</v>
      </c>
      <c r="AD418">
        <f>ROUND(AVERAGE(EmployeeData[[#This Row],[JobSatisfaction]],EmployeeData[[#This Row],[EnvironmentSatisfaction]],EmployeeData[[#This Row],[WorkLifeBalance]]),2)</f>
        <v>2.67</v>
      </c>
      <c r="AE418" t="str">
        <f>IF(EmployeeData[[#This Row],[Satisfaction Score]]&lt;2,"Low",IF(EmployeeData[[#This Row],[Satisfaction Score]]&lt;3,"Medium","High"))</f>
        <v>Medium</v>
      </c>
    </row>
    <row r="419" spans="1:31" x14ac:dyDescent="0.25">
      <c r="A419" t="s">
        <v>2046</v>
      </c>
      <c r="B419" t="s">
        <v>2047</v>
      </c>
      <c r="C419" t="s">
        <v>58</v>
      </c>
      <c r="D419">
        <v>28</v>
      </c>
      <c r="E419" t="s">
        <v>128</v>
      </c>
      <c r="F419" t="s">
        <v>255</v>
      </c>
      <c r="G419" s="1">
        <v>42794</v>
      </c>
      <c r="H419">
        <v>66991</v>
      </c>
      <c r="I419" t="s">
        <v>42</v>
      </c>
      <c r="J419" t="s">
        <v>31</v>
      </c>
      <c r="K419" t="s">
        <v>167</v>
      </c>
      <c r="L419" t="s">
        <v>62</v>
      </c>
      <c r="M419">
        <v>43</v>
      </c>
      <c r="N419" t="s">
        <v>34</v>
      </c>
      <c r="O419">
        <v>4</v>
      </c>
      <c r="P419">
        <v>1</v>
      </c>
      <c r="Q419">
        <v>2</v>
      </c>
      <c r="R419">
        <v>3</v>
      </c>
      <c r="S419">
        <v>6</v>
      </c>
      <c r="T419">
        <v>4</v>
      </c>
      <c r="U419">
        <v>21</v>
      </c>
      <c r="V419" t="s">
        <v>2050</v>
      </c>
      <c r="W419" t="s">
        <v>34</v>
      </c>
      <c r="Y419" s="2" t="str">
        <f>IF(EmployeeData[[#This Row],[Age]]&lt;25,"Under 25",IF(EmployeeData[[#This Row],[Age]]&lt;=34,"25-34",IF(EmployeeData[[#This Row],[Age]]&lt;=44,"35-44",IF(EmployeeData[[#This Row],[Age]]&lt;=54,"45-54","55+"))))</f>
        <v>25-34</v>
      </c>
      <c r="Z419">
        <f ca="1">DATEDIF(EmployeeData[[#This Row],[DateOfJoining]],IF(AND(EmployeeData[[#This Row],[Attrition]]="Yes",EmployeeData[[#This Row],[LastWorkingDate]]&lt;&gt;""),EmployeeData[[#This Row],[LastWorkingDate]],TODAY()),"Y")</f>
        <v>9</v>
      </c>
      <c r="AA419" t="str">
        <f>IF(EmployeeData[[#This Row],[MonthlyIncome]]&lt;30000,"Low",IF(EmployeeData[[#This Row],[MonthlyIncome]]&lt;=60000,"Medium",IF(EmployeeData[[#This Row],[MonthlyIncome]]&lt;=100000,"High","Very High")))</f>
        <v>High</v>
      </c>
      <c r="AB419">
        <f>IF(EmployeeData[[#This Row],[Attrition]]="Yes",1,0)</f>
        <v>0</v>
      </c>
      <c r="AC419" t="str">
        <f ca="1">IF(EmployeeData[[#This Row],[Tenure Years]]&lt;1,"Less than 1 Year",IF(EmployeeData[[#This Row],[Tenure Years]]&lt;=3,"1-3 Years",IF(EmployeeData[[#This Row],[Tenure Years]]&lt;=5,"4-5 Years",IF(EmployeeData[[#This Row],[Tenure Years]]&lt;=10,"6-10 Years","More than 10 Years"))))</f>
        <v>6-10 Years</v>
      </c>
      <c r="AD419">
        <f>ROUND(AVERAGE(EmployeeData[[#This Row],[JobSatisfaction]],EmployeeData[[#This Row],[EnvironmentSatisfaction]],EmployeeData[[#This Row],[WorkLifeBalance]]),2)</f>
        <v>2.33</v>
      </c>
      <c r="AE419" t="str">
        <f>IF(EmployeeData[[#This Row],[Satisfaction Score]]&lt;2,"Low",IF(EmployeeData[[#This Row],[Satisfaction Score]]&lt;3,"Medium","High"))</f>
        <v>Medium</v>
      </c>
    </row>
    <row r="420" spans="1:31" x14ac:dyDescent="0.25">
      <c r="A420" t="s">
        <v>2051</v>
      </c>
      <c r="B420" t="s">
        <v>2052</v>
      </c>
      <c r="C420" t="s">
        <v>58</v>
      </c>
      <c r="D420">
        <v>35</v>
      </c>
      <c r="E420" t="s">
        <v>27</v>
      </c>
      <c r="F420" t="s">
        <v>75</v>
      </c>
      <c r="G420" s="1">
        <v>42328</v>
      </c>
      <c r="H420">
        <v>47177</v>
      </c>
      <c r="I420" t="s">
        <v>30</v>
      </c>
      <c r="J420" t="s">
        <v>61</v>
      </c>
      <c r="K420" t="s">
        <v>113</v>
      </c>
      <c r="L420" t="s">
        <v>62</v>
      </c>
      <c r="M420">
        <v>11</v>
      </c>
      <c r="N420" t="s">
        <v>45</v>
      </c>
      <c r="O420">
        <v>4</v>
      </c>
      <c r="P420">
        <v>4</v>
      </c>
      <c r="Q420">
        <v>1</v>
      </c>
      <c r="R420">
        <v>2</v>
      </c>
      <c r="S420">
        <v>5</v>
      </c>
      <c r="T420">
        <v>1</v>
      </c>
      <c r="U420">
        <v>14</v>
      </c>
      <c r="V420" t="s">
        <v>2054</v>
      </c>
      <c r="W420" t="s">
        <v>45</v>
      </c>
      <c r="X420" s="1">
        <v>45069</v>
      </c>
      <c r="Y420" s="2" t="str">
        <f>IF(EmployeeData[[#This Row],[Age]]&lt;25,"Under 25",IF(EmployeeData[[#This Row],[Age]]&lt;=34,"25-34",IF(EmployeeData[[#This Row],[Age]]&lt;=44,"35-44",IF(EmployeeData[[#This Row],[Age]]&lt;=54,"45-54","55+"))))</f>
        <v>35-44</v>
      </c>
      <c r="Z420">
        <f ca="1">DATEDIF(EmployeeData[[#This Row],[DateOfJoining]],IF(AND(EmployeeData[[#This Row],[Attrition]]="Yes",EmployeeData[[#This Row],[LastWorkingDate]]&lt;&gt;""),EmployeeData[[#This Row],[LastWorkingDate]],TODAY()),"Y")</f>
        <v>7</v>
      </c>
      <c r="AA420" t="str">
        <f>IF(EmployeeData[[#This Row],[MonthlyIncome]]&lt;30000,"Low",IF(EmployeeData[[#This Row],[MonthlyIncome]]&lt;=60000,"Medium",IF(EmployeeData[[#This Row],[MonthlyIncome]]&lt;=100000,"High","Very High")))</f>
        <v>Medium</v>
      </c>
      <c r="AB420">
        <f>IF(EmployeeData[[#This Row],[Attrition]]="Yes",1,0)</f>
        <v>1</v>
      </c>
      <c r="AC420" t="str">
        <f ca="1">IF(EmployeeData[[#This Row],[Tenure Years]]&lt;1,"Less than 1 Year",IF(EmployeeData[[#This Row],[Tenure Years]]&lt;=3,"1-3 Years",IF(EmployeeData[[#This Row],[Tenure Years]]&lt;=5,"4-5 Years",IF(EmployeeData[[#This Row],[Tenure Years]]&lt;=10,"6-10 Years","More than 10 Years"))))</f>
        <v>6-10 Years</v>
      </c>
      <c r="AD420">
        <f>ROUND(AVERAGE(EmployeeData[[#This Row],[JobSatisfaction]],EmployeeData[[#This Row],[EnvironmentSatisfaction]],EmployeeData[[#This Row],[WorkLifeBalance]]),2)</f>
        <v>3</v>
      </c>
      <c r="AE420" t="str">
        <f>IF(EmployeeData[[#This Row],[Satisfaction Score]]&lt;2,"Low",IF(EmployeeData[[#This Row],[Satisfaction Score]]&lt;3,"Medium","High"))</f>
        <v>High</v>
      </c>
    </row>
    <row r="421" spans="1:31" x14ac:dyDescent="0.25">
      <c r="A421" t="s">
        <v>2056</v>
      </c>
      <c r="B421" t="s">
        <v>2057</v>
      </c>
      <c r="C421" t="s">
        <v>58</v>
      </c>
      <c r="D421">
        <v>34</v>
      </c>
      <c r="E421" t="s">
        <v>5461</v>
      </c>
      <c r="F421" t="s">
        <v>261</v>
      </c>
      <c r="G421" s="1">
        <v>41603</v>
      </c>
      <c r="H421">
        <v>82389</v>
      </c>
      <c r="I421" t="s">
        <v>30</v>
      </c>
      <c r="J421" t="s">
        <v>31</v>
      </c>
      <c r="K421" t="s">
        <v>83</v>
      </c>
      <c r="L421" t="s">
        <v>62</v>
      </c>
      <c r="M421">
        <v>14</v>
      </c>
      <c r="N421" t="s">
        <v>34</v>
      </c>
      <c r="O421">
        <v>3</v>
      </c>
      <c r="P421">
        <v>3</v>
      </c>
      <c r="Q421">
        <v>3</v>
      </c>
      <c r="R421">
        <v>3</v>
      </c>
      <c r="S421">
        <v>5</v>
      </c>
      <c r="T421">
        <v>4</v>
      </c>
      <c r="U421">
        <v>21</v>
      </c>
      <c r="V421" t="s">
        <v>2059</v>
      </c>
      <c r="W421" t="s">
        <v>34</v>
      </c>
      <c r="Y421" s="2" t="str">
        <f>IF(EmployeeData[[#This Row],[Age]]&lt;25,"Under 25",IF(EmployeeData[[#This Row],[Age]]&lt;=34,"25-34",IF(EmployeeData[[#This Row],[Age]]&lt;=44,"35-44",IF(EmployeeData[[#This Row],[Age]]&lt;=54,"45-54","55+"))))</f>
        <v>25-34</v>
      </c>
      <c r="Z421">
        <f ca="1">DATEDIF(EmployeeData[[#This Row],[DateOfJoining]],IF(AND(EmployeeData[[#This Row],[Attrition]]="Yes",EmployeeData[[#This Row],[LastWorkingDate]]&lt;&gt;""),EmployeeData[[#This Row],[LastWorkingDate]],TODAY()),"Y")</f>
        <v>12</v>
      </c>
      <c r="AA421" t="str">
        <f>IF(EmployeeData[[#This Row],[MonthlyIncome]]&lt;30000,"Low",IF(EmployeeData[[#This Row],[MonthlyIncome]]&lt;=60000,"Medium",IF(EmployeeData[[#This Row],[MonthlyIncome]]&lt;=100000,"High","Very High")))</f>
        <v>High</v>
      </c>
      <c r="AB421">
        <f>IF(EmployeeData[[#This Row],[Attrition]]="Yes",1,0)</f>
        <v>0</v>
      </c>
      <c r="AC421" t="str">
        <f ca="1">IF(EmployeeData[[#This Row],[Tenure Years]]&lt;1,"Less than 1 Year",IF(EmployeeData[[#This Row],[Tenure Years]]&lt;=3,"1-3 Years",IF(EmployeeData[[#This Row],[Tenure Years]]&lt;=5,"4-5 Years",IF(EmployeeData[[#This Row],[Tenure Years]]&lt;=10,"6-10 Years","More than 10 Years"))))</f>
        <v>More than 10 Years</v>
      </c>
      <c r="AD421">
        <f>ROUND(AVERAGE(EmployeeData[[#This Row],[JobSatisfaction]],EmployeeData[[#This Row],[EnvironmentSatisfaction]],EmployeeData[[#This Row],[WorkLifeBalance]]),2)</f>
        <v>3</v>
      </c>
      <c r="AE421" t="str">
        <f>IF(EmployeeData[[#This Row],[Satisfaction Score]]&lt;2,"Low",IF(EmployeeData[[#This Row],[Satisfaction Score]]&lt;3,"Medium","High"))</f>
        <v>High</v>
      </c>
    </row>
    <row r="422" spans="1:31" x14ac:dyDescent="0.25">
      <c r="A422" t="s">
        <v>2060</v>
      </c>
      <c r="B422" t="s">
        <v>2061</v>
      </c>
      <c r="C422" t="s">
        <v>49</v>
      </c>
      <c r="D422">
        <v>41</v>
      </c>
      <c r="E422" t="s">
        <v>128</v>
      </c>
      <c r="F422" t="s">
        <v>123</v>
      </c>
      <c r="G422" s="1">
        <v>45519</v>
      </c>
      <c r="H422">
        <v>78541</v>
      </c>
      <c r="I422" t="s">
        <v>52</v>
      </c>
      <c r="J422" t="s">
        <v>61</v>
      </c>
      <c r="K422" t="s">
        <v>54</v>
      </c>
      <c r="L422" t="s">
        <v>33</v>
      </c>
      <c r="M422">
        <v>11</v>
      </c>
      <c r="N422" t="s">
        <v>34</v>
      </c>
      <c r="O422">
        <v>2</v>
      </c>
      <c r="P422">
        <v>2</v>
      </c>
      <c r="Q422">
        <v>2</v>
      </c>
      <c r="R422">
        <v>3</v>
      </c>
      <c r="S422">
        <v>5</v>
      </c>
      <c r="T422">
        <v>4</v>
      </c>
      <c r="U422">
        <v>20</v>
      </c>
      <c r="V422" t="s">
        <v>2063</v>
      </c>
      <c r="W422" t="s">
        <v>45</v>
      </c>
      <c r="X422" s="1">
        <v>46239</v>
      </c>
      <c r="Y422" s="2" t="str">
        <f>IF(EmployeeData[[#This Row],[Age]]&lt;25,"Under 25",IF(EmployeeData[[#This Row],[Age]]&lt;=34,"25-34",IF(EmployeeData[[#This Row],[Age]]&lt;=44,"35-44",IF(EmployeeData[[#This Row],[Age]]&lt;=54,"45-54","55+"))))</f>
        <v>35-44</v>
      </c>
      <c r="Z422">
        <f ca="1">DATEDIF(EmployeeData[[#This Row],[DateOfJoining]],IF(AND(EmployeeData[[#This Row],[Attrition]]="Yes",EmployeeData[[#This Row],[LastWorkingDate]]&lt;&gt;""),EmployeeData[[#This Row],[LastWorkingDate]],TODAY()),"Y")</f>
        <v>1</v>
      </c>
      <c r="AA422" t="str">
        <f>IF(EmployeeData[[#This Row],[MonthlyIncome]]&lt;30000,"Low",IF(EmployeeData[[#This Row],[MonthlyIncome]]&lt;=60000,"Medium",IF(EmployeeData[[#This Row],[MonthlyIncome]]&lt;=100000,"High","Very High")))</f>
        <v>High</v>
      </c>
      <c r="AB422">
        <f>IF(EmployeeData[[#This Row],[Attrition]]="Yes",1,0)</f>
        <v>1</v>
      </c>
      <c r="AC422" t="str">
        <f ca="1">IF(EmployeeData[[#This Row],[Tenure Years]]&lt;1,"Less than 1 Year",IF(EmployeeData[[#This Row],[Tenure Years]]&lt;=3,"1-3 Years",IF(EmployeeData[[#This Row],[Tenure Years]]&lt;=5,"4-5 Years",IF(EmployeeData[[#This Row],[Tenure Years]]&lt;=10,"6-10 Years","More than 10 Years"))))</f>
        <v>1-3 Years</v>
      </c>
      <c r="AD422">
        <f>ROUND(AVERAGE(EmployeeData[[#This Row],[JobSatisfaction]],EmployeeData[[#This Row],[EnvironmentSatisfaction]],EmployeeData[[#This Row],[WorkLifeBalance]]),2)</f>
        <v>2</v>
      </c>
      <c r="AE422" t="str">
        <f>IF(EmployeeData[[#This Row],[Satisfaction Score]]&lt;2,"Low",IF(EmployeeData[[#This Row],[Satisfaction Score]]&lt;3,"Medium","High"))</f>
        <v>Medium</v>
      </c>
    </row>
    <row r="423" spans="1:31" x14ac:dyDescent="0.25">
      <c r="A423" t="s">
        <v>2065</v>
      </c>
      <c r="B423" t="s">
        <v>2066</v>
      </c>
      <c r="C423" t="s">
        <v>49</v>
      </c>
      <c r="D423">
        <v>35</v>
      </c>
      <c r="E423" t="s">
        <v>27</v>
      </c>
      <c r="F423" t="s">
        <v>75</v>
      </c>
      <c r="G423" s="1">
        <v>43438</v>
      </c>
      <c r="H423">
        <v>83084</v>
      </c>
      <c r="I423" t="s">
        <v>52</v>
      </c>
      <c r="J423" t="s">
        <v>143</v>
      </c>
      <c r="K423" t="s">
        <v>32</v>
      </c>
      <c r="L423" t="s">
        <v>33</v>
      </c>
      <c r="M423">
        <v>25</v>
      </c>
      <c r="N423" t="s">
        <v>34</v>
      </c>
      <c r="O423">
        <v>3</v>
      </c>
      <c r="P423">
        <v>3</v>
      </c>
      <c r="Q423">
        <v>3</v>
      </c>
      <c r="R423">
        <v>3</v>
      </c>
      <c r="S423">
        <v>1</v>
      </c>
      <c r="T423">
        <v>2</v>
      </c>
      <c r="U423">
        <v>18</v>
      </c>
      <c r="V423" t="s">
        <v>2068</v>
      </c>
      <c r="W423" t="s">
        <v>34</v>
      </c>
      <c r="Y423" s="2" t="str">
        <f>IF(EmployeeData[[#This Row],[Age]]&lt;25,"Under 25",IF(EmployeeData[[#This Row],[Age]]&lt;=34,"25-34",IF(EmployeeData[[#This Row],[Age]]&lt;=44,"35-44",IF(EmployeeData[[#This Row],[Age]]&lt;=54,"45-54","55+"))))</f>
        <v>35-44</v>
      </c>
      <c r="Z423">
        <f ca="1">DATEDIF(EmployeeData[[#This Row],[DateOfJoining]],IF(AND(EmployeeData[[#This Row],[Attrition]]="Yes",EmployeeData[[#This Row],[LastWorkingDate]]&lt;&gt;""),EmployeeData[[#This Row],[LastWorkingDate]],TODAY()),"Y")</f>
        <v>7</v>
      </c>
      <c r="AA423" t="str">
        <f>IF(EmployeeData[[#This Row],[MonthlyIncome]]&lt;30000,"Low",IF(EmployeeData[[#This Row],[MonthlyIncome]]&lt;=60000,"Medium",IF(EmployeeData[[#This Row],[MonthlyIncome]]&lt;=100000,"High","Very High")))</f>
        <v>High</v>
      </c>
      <c r="AB423">
        <f>IF(EmployeeData[[#This Row],[Attrition]]="Yes",1,0)</f>
        <v>0</v>
      </c>
      <c r="AC423" t="str">
        <f ca="1">IF(EmployeeData[[#This Row],[Tenure Years]]&lt;1,"Less than 1 Year",IF(EmployeeData[[#This Row],[Tenure Years]]&lt;=3,"1-3 Years",IF(EmployeeData[[#This Row],[Tenure Years]]&lt;=5,"4-5 Years",IF(EmployeeData[[#This Row],[Tenure Years]]&lt;=10,"6-10 Years","More than 10 Years"))))</f>
        <v>6-10 Years</v>
      </c>
      <c r="AD423">
        <f>ROUND(AVERAGE(EmployeeData[[#This Row],[JobSatisfaction]],EmployeeData[[#This Row],[EnvironmentSatisfaction]],EmployeeData[[#This Row],[WorkLifeBalance]]),2)</f>
        <v>3</v>
      </c>
      <c r="AE423" t="str">
        <f>IF(EmployeeData[[#This Row],[Satisfaction Score]]&lt;2,"Low",IF(EmployeeData[[#This Row],[Satisfaction Score]]&lt;3,"Medium","High"))</f>
        <v>High</v>
      </c>
    </row>
    <row r="424" spans="1:31" x14ac:dyDescent="0.25">
      <c r="A424" t="s">
        <v>2069</v>
      </c>
      <c r="B424" t="s">
        <v>2070</v>
      </c>
      <c r="C424" t="s">
        <v>49</v>
      </c>
      <c r="D424">
        <v>34</v>
      </c>
      <c r="E424" t="s">
        <v>5461</v>
      </c>
      <c r="F424" t="s">
        <v>5464</v>
      </c>
      <c r="G424" s="1">
        <v>45007</v>
      </c>
      <c r="H424">
        <v>142196</v>
      </c>
      <c r="I424" t="s">
        <v>42</v>
      </c>
      <c r="J424" t="s">
        <v>31</v>
      </c>
      <c r="K424" t="s">
        <v>113</v>
      </c>
      <c r="L424" t="s">
        <v>62</v>
      </c>
      <c r="M424">
        <v>43</v>
      </c>
      <c r="N424" t="s">
        <v>45</v>
      </c>
      <c r="O424">
        <v>3</v>
      </c>
      <c r="P424">
        <v>4</v>
      </c>
      <c r="Q424">
        <v>3</v>
      </c>
      <c r="R424">
        <v>3</v>
      </c>
      <c r="S424">
        <v>0</v>
      </c>
      <c r="T424">
        <v>3</v>
      </c>
      <c r="U424">
        <v>22</v>
      </c>
      <c r="V424" t="s">
        <v>2072</v>
      </c>
      <c r="W424" t="s">
        <v>45</v>
      </c>
      <c r="X424" s="1">
        <v>45959</v>
      </c>
      <c r="Y424" s="2" t="str">
        <f>IF(EmployeeData[[#This Row],[Age]]&lt;25,"Under 25",IF(EmployeeData[[#This Row],[Age]]&lt;=34,"25-34",IF(EmployeeData[[#This Row],[Age]]&lt;=44,"35-44",IF(EmployeeData[[#This Row],[Age]]&lt;=54,"45-54","55+"))))</f>
        <v>25-34</v>
      </c>
      <c r="Z424">
        <f ca="1">DATEDIF(EmployeeData[[#This Row],[DateOfJoining]],IF(AND(EmployeeData[[#This Row],[Attrition]]="Yes",EmployeeData[[#This Row],[LastWorkingDate]]&lt;&gt;""),EmployeeData[[#This Row],[LastWorkingDate]],TODAY()),"Y")</f>
        <v>2</v>
      </c>
      <c r="AA424" t="str">
        <f>IF(EmployeeData[[#This Row],[MonthlyIncome]]&lt;30000,"Low",IF(EmployeeData[[#This Row],[MonthlyIncome]]&lt;=60000,"Medium",IF(EmployeeData[[#This Row],[MonthlyIncome]]&lt;=100000,"High","Very High")))</f>
        <v>Very High</v>
      </c>
      <c r="AB424">
        <f>IF(EmployeeData[[#This Row],[Attrition]]="Yes",1,0)</f>
        <v>1</v>
      </c>
      <c r="AC424" t="str">
        <f ca="1">IF(EmployeeData[[#This Row],[Tenure Years]]&lt;1,"Less than 1 Year",IF(EmployeeData[[#This Row],[Tenure Years]]&lt;=3,"1-3 Years",IF(EmployeeData[[#This Row],[Tenure Years]]&lt;=5,"4-5 Years",IF(EmployeeData[[#This Row],[Tenure Years]]&lt;=10,"6-10 Years","More than 10 Years"))))</f>
        <v>1-3 Years</v>
      </c>
      <c r="AD424">
        <f>ROUND(AVERAGE(EmployeeData[[#This Row],[JobSatisfaction]],EmployeeData[[#This Row],[EnvironmentSatisfaction]],EmployeeData[[#This Row],[WorkLifeBalance]]),2)</f>
        <v>3.33</v>
      </c>
      <c r="AE424" t="str">
        <f>IF(EmployeeData[[#This Row],[Satisfaction Score]]&lt;2,"Low",IF(EmployeeData[[#This Row],[Satisfaction Score]]&lt;3,"Medium","High"))</f>
        <v>High</v>
      </c>
    </row>
    <row r="425" spans="1:31" x14ac:dyDescent="0.25">
      <c r="A425" t="s">
        <v>2074</v>
      </c>
      <c r="B425" t="s">
        <v>2075</v>
      </c>
      <c r="C425" t="s">
        <v>49</v>
      </c>
      <c r="D425">
        <v>49</v>
      </c>
      <c r="E425" t="s">
        <v>5461</v>
      </c>
      <c r="F425" t="s">
        <v>5464</v>
      </c>
      <c r="G425" s="1">
        <v>41628</v>
      </c>
      <c r="H425">
        <v>142452</v>
      </c>
      <c r="I425" t="s">
        <v>30</v>
      </c>
      <c r="J425" t="s">
        <v>61</v>
      </c>
      <c r="K425" t="s">
        <v>167</v>
      </c>
      <c r="L425" t="s">
        <v>62</v>
      </c>
      <c r="M425">
        <v>19</v>
      </c>
      <c r="N425" t="s">
        <v>45</v>
      </c>
      <c r="O425">
        <v>3</v>
      </c>
      <c r="P425">
        <v>1</v>
      </c>
      <c r="Q425">
        <v>4</v>
      </c>
      <c r="R425">
        <v>2</v>
      </c>
      <c r="S425">
        <v>3</v>
      </c>
      <c r="T425">
        <v>4</v>
      </c>
      <c r="U425">
        <v>21</v>
      </c>
      <c r="V425" t="s">
        <v>2077</v>
      </c>
      <c r="W425" t="s">
        <v>34</v>
      </c>
      <c r="Y425" s="2" t="str">
        <f>IF(EmployeeData[[#This Row],[Age]]&lt;25,"Under 25",IF(EmployeeData[[#This Row],[Age]]&lt;=34,"25-34",IF(EmployeeData[[#This Row],[Age]]&lt;=44,"35-44",IF(EmployeeData[[#This Row],[Age]]&lt;=54,"45-54","55+"))))</f>
        <v>45-54</v>
      </c>
      <c r="Z425">
        <f ca="1">DATEDIF(EmployeeData[[#This Row],[DateOfJoining]],IF(AND(EmployeeData[[#This Row],[Attrition]]="Yes",EmployeeData[[#This Row],[LastWorkingDate]]&lt;&gt;""),EmployeeData[[#This Row],[LastWorkingDate]],TODAY()),"Y")</f>
        <v>12</v>
      </c>
      <c r="AA425" t="str">
        <f>IF(EmployeeData[[#This Row],[MonthlyIncome]]&lt;30000,"Low",IF(EmployeeData[[#This Row],[MonthlyIncome]]&lt;=60000,"Medium",IF(EmployeeData[[#This Row],[MonthlyIncome]]&lt;=100000,"High","Very High")))</f>
        <v>Very High</v>
      </c>
      <c r="AB425">
        <f>IF(EmployeeData[[#This Row],[Attrition]]="Yes",1,0)</f>
        <v>0</v>
      </c>
      <c r="AC425" t="str">
        <f ca="1">IF(EmployeeData[[#This Row],[Tenure Years]]&lt;1,"Less than 1 Year",IF(EmployeeData[[#This Row],[Tenure Years]]&lt;=3,"1-3 Years",IF(EmployeeData[[#This Row],[Tenure Years]]&lt;=5,"4-5 Years",IF(EmployeeData[[#This Row],[Tenure Years]]&lt;=10,"6-10 Years","More than 10 Years"))))</f>
        <v>More than 10 Years</v>
      </c>
      <c r="AD425">
        <f>ROUND(AVERAGE(EmployeeData[[#This Row],[JobSatisfaction]],EmployeeData[[#This Row],[EnvironmentSatisfaction]],EmployeeData[[#This Row],[WorkLifeBalance]]),2)</f>
        <v>2.67</v>
      </c>
      <c r="AE425" t="str">
        <f>IF(EmployeeData[[#This Row],[Satisfaction Score]]&lt;2,"Low",IF(EmployeeData[[#This Row],[Satisfaction Score]]&lt;3,"Medium","High"))</f>
        <v>Medium</v>
      </c>
    </row>
    <row r="426" spans="1:31" x14ac:dyDescent="0.25">
      <c r="A426" t="s">
        <v>2078</v>
      </c>
      <c r="B426" t="s">
        <v>2079</v>
      </c>
      <c r="C426" t="s">
        <v>58</v>
      </c>
      <c r="D426">
        <v>41</v>
      </c>
      <c r="E426" t="s">
        <v>128</v>
      </c>
      <c r="F426" t="s">
        <v>271</v>
      </c>
      <c r="G426" s="1">
        <v>44853</v>
      </c>
      <c r="H426">
        <v>80011</v>
      </c>
      <c r="I426" t="s">
        <v>30</v>
      </c>
      <c r="J426" t="s">
        <v>61</v>
      </c>
      <c r="K426" t="s">
        <v>167</v>
      </c>
      <c r="L426" t="s">
        <v>33</v>
      </c>
      <c r="M426">
        <v>32</v>
      </c>
      <c r="N426" t="s">
        <v>45</v>
      </c>
      <c r="O426">
        <v>4</v>
      </c>
      <c r="P426">
        <v>2</v>
      </c>
      <c r="Q426">
        <v>3</v>
      </c>
      <c r="R426">
        <v>5</v>
      </c>
      <c r="S426">
        <v>1</v>
      </c>
      <c r="T426">
        <v>0</v>
      </c>
      <c r="U426">
        <v>19</v>
      </c>
      <c r="V426" t="s">
        <v>2082</v>
      </c>
      <c r="W426" t="s">
        <v>34</v>
      </c>
      <c r="Y426" s="2" t="str">
        <f>IF(EmployeeData[[#This Row],[Age]]&lt;25,"Under 25",IF(EmployeeData[[#This Row],[Age]]&lt;=34,"25-34",IF(EmployeeData[[#This Row],[Age]]&lt;=44,"35-44",IF(EmployeeData[[#This Row],[Age]]&lt;=54,"45-54","55+"))))</f>
        <v>35-44</v>
      </c>
      <c r="Z426">
        <f ca="1">DATEDIF(EmployeeData[[#This Row],[DateOfJoining]],IF(AND(EmployeeData[[#This Row],[Attrition]]="Yes",EmployeeData[[#This Row],[LastWorkingDate]]&lt;&gt;""),EmployeeData[[#This Row],[LastWorkingDate]],TODAY()),"Y")</f>
        <v>3</v>
      </c>
      <c r="AA426" t="str">
        <f>IF(EmployeeData[[#This Row],[MonthlyIncome]]&lt;30000,"Low",IF(EmployeeData[[#This Row],[MonthlyIncome]]&lt;=60000,"Medium",IF(EmployeeData[[#This Row],[MonthlyIncome]]&lt;=100000,"High","Very High")))</f>
        <v>High</v>
      </c>
      <c r="AB426">
        <f>IF(EmployeeData[[#This Row],[Attrition]]="Yes",1,0)</f>
        <v>0</v>
      </c>
      <c r="AC426" t="str">
        <f ca="1">IF(EmployeeData[[#This Row],[Tenure Years]]&lt;1,"Less than 1 Year",IF(EmployeeData[[#This Row],[Tenure Years]]&lt;=3,"1-3 Years",IF(EmployeeData[[#This Row],[Tenure Years]]&lt;=5,"4-5 Years",IF(EmployeeData[[#This Row],[Tenure Years]]&lt;=10,"6-10 Years","More than 10 Years"))))</f>
        <v>1-3 Years</v>
      </c>
      <c r="AD426">
        <f>ROUND(AVERAGE(EmployeeData[[#This Row],[JobSatisfaction]],EmployeeData[[#This Row],[EnvironmentSatisfaction]],EmployeeData[[#This Row],[WorkLifeBalance]]),2)</f>
        <v>3</v>
      </c>
      <c r="AE426" t="str">
        <f>IF(EmployeeData[[#This Row],[Satisfaction Score]]&lt;2,"Low",IF(EmployeeData[[#This Row],[Satisfaction Score]]&lt;3,"Medium","High"))</f>
        <v>High</v>
      </c>
    </row>
    <row r="427" spans="1:31" x14ac:dyDescent="0.25">
      <c r="A427" t="s">
        <v>2083</v>
      </c>
      <c r="B427" t="s">
        <v>2084</v>
      </c>
      <c r="C427" t="s">
        <v>58</v>
      </c>
      <c r="D427">
        <v>38</v>
      </c>
      <c r="E427" t="s">
        <v>197</v>
      </c>
      <c r="F427" t="s">
        <v>323</v>
      </c>
      <c r="G427" s="1">
        <v>41500</v>
      </c>
      <c r="H427">
        <v>55561</v>
      </c>
      <c r="I427" t="s">
        <v>30</v>
      </c>
      <c r="J427" t="s">
        <v>61</v>
      </c>
      <c r="K427" t="s">
        <v>131</v>
      </c>
      <c r="L427" t="s">
        <v>33</v>
      </c>
      <c r="M427">
        <v>14</v>
      </c>
      <c r="N427" t="s">
        <v>34</v>
      </c>
      <c r="O427">
        <v>2</v>
      </c>
      <c r="P427">
        <v>3</v>
      </c>
      <c r="Q427">
        <v>1</v>
      </c>
      <c r="R427">
        <v>4</v>
      </c>
      <c r="S427">
        <v>6</v>
      </c>
      <c r="T427">
        <v>7</v>
      </c>
      <c r="U427">
        <v>18</v>
      </c>
      <c r="V427" t="s">
        <v>2086</v>
      </c>
      <c r="W427" t="s">
        <v>34</v>
      </c>
      <c r="Y427" s="2" t="str">
        <f>IF(EmployeeData[[#This Row],[Age]]&lt;25,"Under 25",IF(EmployeeData[[#This Row],[Age]]&lt;=34,"25-34",IF(EmployeeData[[#This Row],[Age]]&lt;=44,"35-44",IF(EmployeeData[[#This Row],[Age]]&lt;=54,"45-54","55+"))))</f>
        <v>35-44</v>
      </c>
      <c r="Z427">
        <f ca="1">DATEDIF(EmployeeData[[#This Row],[DateOfJoining]],IF(AND(EmployeeData[[#This Row],[Attrition]]="Yes",EmployeeData[[#This Row],[LastWorkingDate]]&lt;&gt;""),EmployeeData[[#This Row],[LastWorkingDate]],TODAY()),"Y")</f>
        <v>13</v>
      </c>
      <c r="AA427" t="str">
        <f>IF(EmployeeData[[#This Row],[MonthlyIncome]]&lt;30000,"Low",IF(EmployeeData[[#This Row],[MonthlyIncome]]&lt;=60000,"Medium",IF(EmployeeData[[#This Row],[MonthlyIncome]]&lt;=100000,"High","Very High")))</f>
        <v>Medium</v>
      </c>
      <c r="AB427">
        <f>IF(EmployeeData[[#This Row],[Attrition]]="Yes",1,0)</f>
        <v>0</v>
      </c>
      <c r="AC427" t="str">
        <f ca="1">IF(EmployeeData[[#This Row],[Tenure Years]]&lt;1,"Less than 1 Year",IF(EmployeeData[[#This Row],[Tenure Years]]&lt;=3,"1-3 Years",IF(EmployeeData[[#This Row],[Tenure Years]]&lt;=5,"4-5 Years",IF(EmployeeData[[#This Row],[Tenure Years]]&lt;=10,"6-10 Years","More than 10 Years"))))</f>
        <v>More than 10 Years</v>
      </c>
      <c r="AD427">
        <f>ROUND(AVERAGE(EmployeeData[[#This Row],[JobSatisfaction]],EmployeeData[[#This Row],[EnvironmentSatisfaction]],EmployeeData[[#This Row],[WorkLifeBalance]]),2)</f>
        <v>2</v>
      </c>
      <c r="AE427" t="str">
        <f>IF(EmployeeData[[#This Row],[Satisfaction Score]]&lt;2,"Low",IF(EmployeeData[[#This Row],[Satisfaction Score]]&lt;3,"Medium","High"))</f>
        <v>Medium</v>
      </c>
    </row>
    <row r="428" spans="1:31" x14ac:dyDescent="0.25">
      <c r="A428" t="s">
        <v>2087</v>
      </c>
      <c r="B428" t="s">
        <v>2088</v>
      </c>
      <c r="C428" t="s">
        <v>49</v>
      </c>
      <c r="D428">
        <v>39</v>
      </c>
      <c r="E428" t="s">
        <v>27</v>
      </c>
      <c r="F428" t="s">
        <v>188</v>
      </c>
      <c r="G428" s="1">
        <v>43933</v>
      </c>
      <c r="H428">
        <v>71829</v>
      </c>
      <c r="I428" t="s">
        <v>30</v>
      </c>
      <c r="J428" t="s">
        <v>5459</v>
      </c>
      <c r="K428" t="s">
        <v>131</v>
      </c>
      <c r="L428" t="s">
        <v>62</v>
      </c>
      <c r="M428">
        <v>4</v>
      </c>
      <c r="N428" t="s">
        <v>34</v>
      </c>
      <c r="O428">
        <v>2</v>
      </c>
      <c r="P428">
        <v>2</v>
      </c>
      <c r="Q428">
        <v>1</v>
      </c>
      <c r="R428">
        <v>3</v>
      </c>
      <c r="S428">
        <v>2</v>
      </c>
      <c r="T428">
        <v>6</v>
      </c>
      <c r="U428">
        <v>18</v>
      </c>
      <c r="V428" t="s">
        <v>5459</v>
      </c>
      <c r="W428" t="s">
        <v>45</v>
      </c>
      <c r="X428" s="1">
        <v>45615</v>
      </c>
      <c r="Y428" s="2" t="str">
        <f>IF(EmployeeData[[#This Row],[Age]]&lt;25,"Under 25",IF(EmployeeData[[#This Row],[Age]]&lt;=34,"25-34",IF(EmployeeData[[#This Row],[Age]]&lt;=44,"35-44",IF(EmployeeData[[#This Row],[Age]]&lt;=54,"45-54","55+"))))</f>
        <v>35-44</v>
      </c>
      <c r="Z428">
        <f ca="1">DATEDIF(EmployeeData[[#This Row],[DateOfJoining]],IF(AND(EmployeeData[[#This Row],[Attrition]]="Yes",EmployeeData[[#This Row],[LastWorkingDate]]&lt;&gt;""),EmployeeData[[#This Row],[LastWorkingDate]],TODAY()),"Y")</f>
        <v>4</v>
      </c>
      <c r="AA428" t="str">
        <f>IF(EmployeeData[[#This Row],[MonthlyIncome]]&lt;30000,"Low",IF(EmployeeData[[#This Row],[MonthlyIncome]]&lt;=60000,"Medium",IF(EmployeeData[[#This Row],[MonthlyIncome]]&lt;=100000,"High","Very High")))</f>
        <v>High</v>
      </c>
      <c r="AB428">
        <f>IF(EmployeeData[[#This Row],[Attrition]]="Yes",1,0)</f>
        <v>1</v>
      </c>
      <c r="AC428" t="str">
        <f ca="1">IF(EmployeeData[[#This Row],[Tenure Years]]&lt;1,"Less than 1 Year",IF(EmployeeData[[#This Row],[Tenure Years]]&lt;=3,"1-3 Years",IF(EmployeeData[[#This Row],[Tenure Years]]&lt;=5,"4-5 Years",IF(EmployeeData[[#This Row],[Tenure Years]]&lt;=10,"6-10 Years","More than 10 Years"))))</f>
        <v>4-5 Years</v>
      </c>
      <c r="AD428">
        <f>ROUND(AVERAGE(EmployeeData[[#This Row],[JobSatisfaction]],EmployeeData[[#This Row],[EnvironmentSatisfaction]],EmployeeData[[#This Row],[WorkLifeBalance]]),2)</f>
        <v>1.67</v>
      </c>
      <c r="AE428" t="str">
        <f>IF(EmployeeData[[#This Row],[Satisfaction Score]]&lt;2,"Low",IF(EmployeeData[[#This Row],[Satisfaction Score]]&lt;3,"Medium","High"))</f>
        <v>Low</v>
      </c>
    </row>
    <row r="429" spans="1:31" x14ac:dyDescent="0.25">
      <c r="A429" t="s">
        <v>2091</v>
      </c>
      <c r="B429" t="s">
        <v>2092</v>
      </c>
      <c r="C429" t="s">
        <v>58</v>
      </c>
      <c r="D429">
        <v>42</v>
      </c>
      <c r="E429" t="s">
        <v>27</v>
      </c>
      <c r="F429" t="s">
        <v>59</v>
      </c>
      <c r="G429" s="1">
        <v>43375</v>
      </c>
      <c r="H429">
        <v>87849</v>
      </c>
      <c r="I429" t="s">
        <v>42</v>
      </c>
      <c r="J429" t="s">
        <v>31</v>
      </c>
      <c r="K429" t="s">
        <v>98</v>
      </c>
      <c r="L429" t="s">
        <v>33</v>
      </c>
      <c r="M429">
        <v>21</v>
      </c>
      <c r="N429" t="s">
        <v>34</v>
      </c>
      <c r="O429">
        <v>3</v>
      </c>
      <c r="P429">
        <v>3</v>
      </c>
      <c r="Q429">
        <v>2</v>
      </c>
      <c r="R429">
        <v>5</v>
      </c>
      <c r="S429">
        <v>0</v>
      </c>
      <c r="T429">
        <v>4</v>
      </c>
      <c r="U429">
        <v>24</v>
      </c>
      <c r="V429" t="s">
        <v>2094</v>
      </c>
      <c r="W429" t="s">
        <v>34</v>
      </c>
      <c r="Y429" s="2" t="str">
        <f>IF(EmployeeData[[#This Row],[Age]]&lt;25,"Under 25",IF(EmployeeData[[#This Row],[Age]]&lt;=34,"25-34",IF(EmployeeData[[#This Row],[Age]]&lt;=44,"35-44",IF(EmployeeData[[#This Row],[Age]]&lt;=54,"45-54","55+"))))</f>
        <v>35-44</v>
      </c>
      <c r="Z429">
        <f ca="1">DATEDIF(EmployeeData[[#This Row],[DateOfJoining]],IF(AND(EmployeeData[[#This Row],[Attrition]]="Yes",EmployeeData[[#This Row],[LastWorkingDate]]&lt;&gt;""),EmployeeData[[#This Row],[LastWorkingDate]],TODAY()),"Y")</f>
        <v>7</v>
      </c>
      <c r="AA429" t="str">
        <f>IF(EmployeeData[[#This Row],[MonthlyIncome]]&lt;30000,"Low",IF(EmployeeData[[#This Row],[MonthlyIncome]]&lt;=60000,"Medium",IF(EmployeeData[[#This Row],[MonthlyIncome]]&lt;=100000,"High","Very High")))</f>
        <v>High</v>
      </c>
      <c r="AB429">
        <f>IF(EmployeeData[[#This Row],[Attrition]]="Yes",1,0)</f>
        <v>0</v>
      </c>
      <c r="AC429" t="str">
        <f ca="1">IF(EmployeeData[[#This Row],[Tenure Years]]&lt;1,"Less than 1 Year",IF(EmployeeData[[#This Row],[Tenure Years]]&lt;=3,"1-3 Years",IF(EmployeeData[[#This Row],[Tenure Years]]&lt;=5,"4-5 Years",IF(EmployeeData[[#This Row],[Tenure Years]]&lt;=10,"6-10 Years","More than 10 Years"))))</f>
        <v>6-10 Years</v>
      </c>
      <c r="AD429">
        <f>ROUND(AVERAGE(EmployeeData[[#This Row],[JobSatisfaction]],EmployeeData[[#This Row],[EnvironmentSatisfaction]],EmployeeData[[#This Row],[WorkLifeBalance]]),2)</f>
        <v>2.67</v>
      </c>
      <c r="AE429" t="str">
        <f>IF(EmployeeData[[#This Row],[Satisfaction Score]]&lt;2,"Low",IF(EmployeeData[[#This Row],[Satisfaction Score]]&lt;3,"Medium","High"))</f>
        <v>Medium</v>
      </c>
    </row>
    <row r="430" spans="1:31" x14ac:dyDescent="0.25">
      <c r="A430" t="s">
        <v>2095</v>
      </c>
      <c r="B430" t="s">
        <v>2096</v>
      </c>
      <c r="C430" t="s">
        <v>49</v>
      </c>
      <c r="D430">
        <v>30</v>
      </c>
      <c r="E430" t="s">
        <v>5461</v>
      </c>
      <c r="F430" t="s">
        <v>261</v>
      </c>
      <c r="G430" s="1">
        <v>43458</v>
      </c>
      <c r="H430">
        <v>90185</v>
      </c>
      <c r="I430" t="s">
        <v>5459</v>
      </c>
      <c r="J430" t="s">
        <v>31</v>
      </c>
      <c r="K430" t="s">
        <v>167</v>
      </c>
      <c r="L430" t="s">
        <v>62</v>
      </c>
      <c r="M430">
        <v>27</v>
      </c>
      <c r="N430" t="s">
        <v>34</v>
      </c>
      <c r="O430">
        <v>4</v>
      </c>
      <c r="P430">
        <v>4</v>
      </c>
      <c r="Q430">
        <v>2</v>
      </c>
      <c r="R430">
        <v>3</v>
      </c>
      <c r="S430">
        <v>6</v>
      </c>
      <c r="T430">
        <v>3</v>
      </c>
      <c r="U430">
        <v>14</v>
      </c>
      <c r="V430" t="s">
        <v>2099</v>
      </c>
      <c r="W430" t="s">
        <v>34</v>
      </c>
      <c r="Y430" s="2" t="str">
        <f>IF(EmployeeData[[#This Row],[Age]]&lt;25,"Under 25",IF(EmployeeData[[#This Row],[Age]]&lt;=34,"25-34",IF(EmployeeData[[#This Row],[Age]]&lt;=44,"35-44",IF(EmployeeData[[#This Row],[Age]]&lt;=54,"45-54","55+"))))</f>
        <v>25-34</v>
      </c>
      <c r="Z430">
        <f ca="1">DATEDIF(EmployeeData[[#This Row],[DateOfJoining]],IF(AND(EmployeeData[[#This Row],[Attrition]]="Yes",EmployeeData[[#This Row],[LastWorkingDate]]&lt;&gt;""),EmployeeData[[#This Row],[LastWorkingDate]],TODAY()),"Y")</f>
        <v>7</v>
      </c>
      <c r="AA430" t="str">
        <f>IF(EmployeeData[[#This Row],[MonthlyIncome]]&lt;30000,"Low",IF(EmployeeData[[#This Row],[MonthlyIncome]]&lt;=60000,"Medium",IF(EmployeeData[[#This Row],[MonthlyIncome]]&lt;=100000,"High","Very High")))</f>
        <v>High</v>
      </c>
      <c r="AB430">
        <f>IF(EmployeeData[[#This Row],[Attrition]]="Yes",1,0)</f>
        <v>0</v>
      </c>
      <c r="AC430" t="str">
        <f ca="1">IF(EmployeeData[[#This Row],[Tenure Years]]&lt;1,"Less than 1 Year",IF(EmployeeData[[#This Row],[Tenure Years]]&lt;=3,"1-3 Years",IF(EmployeeData[[#This Row],[Tenure Years]]&lt;=5,"4-5 Years",IF(EmployeeData[[#This Row],[Tenure Years]]&lt;=10,"6-10 Years","More than 10 Years"))))</f>
        <v>6-10 Years</v>
      </c>
      <c r="AD430">
        <f>ROUND(AVERAGE(EmployeeData[[#This Row],[JobSatisfaction]],EmployeeData[[#This Row],[EnvironmentSatisfaction]],EmployeeData[[#This Row],[WorkLifeBalance]]),2)</f>
        <v>3.33</v>
      </c>
      <c r="AE430" t="str">
        <f>IF(EmployeeData[[#This Row],[Satisfaction Score]]&lt;2,"Low",IF(EmployeeData[[#This Row],[Satisfaction Score]]&lt;3,"Medium","High"))</f>
        <v>High</v>
      </c>
    </row>
    <row r="431" spans="1:31" x14ac:dyDescent="0.25">
      <c r="A431" t="s">
        <v>2100</v>
      </c>
      <c r="B431" t="s">
        <v>2101</v>
      </c>
      <c r="C431" t="s">
        <v>49</v>
      </c>
      <c r="D431">
        <v>21</v>
      </c>
      <c r="E431" t="s">
        <v>412</v>
      </c>
      <c r="F431" t="s">
        <v>1093</v>
      </c>
      <c r="G431" s="1">
        <v>43586</v>
      </c>
      <c r="H431">
        <v>43873</v>
      </c>
      <c r="I431" t="s">
        <v>52</v>
      </c>
      <c r="J431" t="s">
        <v>143</v>
      </c>
      <c r="K431" t="s">
        <v>54</v>
      </c>
      <c r="L431" t="s">
        <v>62</v>
      </c>
      <c r="M431">
        <v>32</v>
      </c>
      <c r="N431" t="s">
        <v>34</v>
      </c>
      <c r="O431">
        <v>3</v>
      </c>
      <c r="P431">
        <v>4</v>
      </c>
      <c r="Q431">
        <v>3</v>
      </c>
      <c r="R431">
        <v>5</v>
      </c>
      <c r="S431">
        <v>4</v>
      </c>
      <c r="T431">
        <v>6</v>
      </c>
      <c r="U431">
        <v>11</v>
      </c>
      <c r="V431" t="s">
        <v>2103</v>
      </c>
      <c r="W431" t="s">
        <v>34</v>
      </c>
      <c r="Y431" s="2" t="str">
        <f>IF(EmployeeData[[#This Row],[Age]]&lt;25,"Under 25",IF(EmployeeData[[#This Row],[Age]]&lt;=34,"25-34",IF(EmployeeData[[#This Row],[Age]]&lt;=44,"35-44",IF(EmployeeData[[#This Row],[Age]]&lt;=54,"45-54","55+"))))</f>
        <v>Under 25</v>
      </c>
      <c r="Z431">
        <f ca="1">DATEDIF(EmployeeData[[#This Row],[DateOfJoining]],IF(AND(EmployeeData[[#This Row],[Attrition]]="Yes",EmployeeData[[#This Row],[LastWorkingDate]]&lt;&gt;""),EmployeeData[[#This Row],[LastWorkingDate]],TODAY()),"Y")</f>
        <v>7</v>
      </c>
      <c r="AA431" t="str">
        <f>IF(EmployeeData[[#This Row],[MonthlyIncome]]&lt;30000,"Low",IF(EmployeeData[[#This Row],[MonthlyIncome]]&lt;=60000,"Medium",IF(EmployeeData[[#This Row],[MonthlyIncome]]&lt;=100000,"High","Very High")))</f>
        <v>Medium</v>
      </c>
      <c r="AB431">
        <f>IF(EmployeeData[[#This Row],[Attrition]]="Yes",1,0)</f>
        <v>0</v>
      </c>
      <c r="AC431" t="str">
        <f ca="1">IF(EmployeeData[[#This Row],[Tenure Years]]&lt;1,"Less than 1 Year",IF(EmployeeData[[#This Row],[Tenure Years]]&lt;=3,"1-3 Years",IF(EmployeeData[[#This Row],[Tenure Years]]&lt;=5,"4-5 Years",IF(EmployeeData[[#This Row],[Tenure Years]]&lt;=10,"6-10 Years","More than 10 Years"))))</f>
        <v>6-10 Years</v>
      </c>
      <c r="AD431">
        <f>ROUND(AVERAGE(EmployeeData[[#This Row],[JobSatisfaction]],EmployeeData[[#This Row],[EnvironmentSatisfaction]],EmployeeData[[#This Row],[WorkLifeBalance]]),2)</f>
        <v>3.33</v>
      </c>
      <c r="AE431" t="str">
        <f>IF(EmployeeData[[#This Row],[Satisfaction Score]]&lt;2,"Low",IF(EmployeeData[[#This Row],[Satisfaction Score]]&lt;3,"Medium","High"))</f>
        <v>High</v>
      </c>
    </row>
    <row r="432" spans="1:31" x14ac:dyDescent="0.25">
      <c r="A432" t="s">
        <v>2104</v>
      </c>
      <c r="B432" t="s">
        <v>2105</v>
      </c>
      <c r="C432" t="s">
        <v>49</v>
      </c>
      <c r="D432">
        <v>48</v>
      </c>
      <c r="E432" t="s">
        <v>128</v>
      </c>
      <c r="F432" t="s">
        <v>123</v>
      </c>
      <c r="G432" s="1">
        <v>45744</v>
      </c>
      <c r="H432">
        <v>100029</v>
      </c>
      <c r="I432" t="s">
        <v>42</v>
      </c>
      <c r="J432" t="s">
        <v>61</v>
      </c>
      <c r="K432" t="s">
        <v>200</v>
      </c>
      <c r="L432" t="s">
        <v>33</v>
      </c>
      <c r="M432">
        <v>2</v>
      </c>
      <c r="N432" t="s">
        <v>34</v>
      </c>
      <c r="O432">
        <v>3</v>
      </c>
      <c r="P432">
        <v>1</v>
      </c>
      <c r="Q432">
        <v>4</v>
      </c>
      <c r="R432">
        <v>4</v>
      </c>
      <c r="S432">
        <v>2</v>
      </c>
      <c r="T432">
        <v>4</v>
      </c>
      <c r="U432">
        <v>13</v>
      </c>
      <c r="V432" t="s">
        <v>2107</v>
      </c>
      <c r="W432" t="s">
        <v>34</v>
      </c>
      <c r="Y432" s="2" t="str">
        <f>IF(EmployeeData[[#This Row],[Age]]&lt;25,"Under 25",IF(EmployeeData[[#This Row],[Age]]&lt;=34,"25-34",IF(EmployeeData[[#This Row],[Age]]&lt;=44,"35-44",IF(EmployeeData[[#This Row],[Age]]&lt;=54,"45-54","55+"))))</f>
        <v>45-54</v>
      </c>
      <c r="Z432">
        <f ca="1">DATEDIF(EmployeeData[[#This Row],[DateOfJoining]],IF(AND(EmployeeData[[#This Row],[Attrition]]="Yes",EmployeeData[[#This Row],[LastWorkingDate]]&lt;&gt;""),EmployeeData[[#This Row],[LastWorkingDate]],TODAY()),"Y")</f>
        <v>1</v>
      </c>
      <c r="AA432" t="str">
        <f>IF(EmployeeData[[#This Row],[MonthlyIncome]]&lt;30000,"Low",IF(EmployeeData[[#This Row],[MonthlyIncome]]&lt;=60000,"Medium",IF(EmployeeData[[#This Row],[MonthlyIncome]]&lt;=100000,"High","Very High")))</f>
        <v>Very High</v>
      </c>
      <c r="AB432">
        <f>IF(EmployeeData[[#This Row],[Attrition]]="Yes",1,0)</f>
        <v>0</v>
      </c>
      <c r="AC432" t="str">
        <f ca="1">IF(EmployeeData[[#This Row],[Tenure Years]]&lt;1,"Less than 1 Year",IF(EmployeeData[[#This Row],[Tenure Years]]&lt;=3,"1-3 Years",IF(EmployeeData[[#This Row],[Tenure Years]]&lt;=5,"4-5 Years",IF(EmployeeData[[#This Row],[Tenure Years]]&lt;=10,"6-10 Years","More than 10 Years"))))</f>
        <v>1-3 Years</v>
      </c>
      <c r="AD432">
        <f>ROUND(AVERAGE(EmployeeData[[#This Row],[JobSatisfaction]],EmployeeData[[#This Row],[EnvironmentSatisfaction]],EmployeeData[[#This Row],[WorkLifeBalance]]),2)</f>
        <v>2.67</v>
      </c>
      <c r="AE432" t="str">
        <f>IF(EmployeeData[[#This Row],[Satisfaction Score]]&lt;2,"Low",IF(EmployeeData[[#This Row],[Satisfaction Score]]&lt;3,"Medium","High"))</f>
        <v>Medium</v>
      </c>
    </row>
    <row r="433" spans="1:31" x14ac:dyDescent="0.25">
      <c r="A433" t="s">
        <v>2108</v>
      </c>
      <c r="B433" t="s">
        <v>2109</v>
      </c>
      <c r="C433" t="s">
        <v>58</v>
      </c>
      <c r="D433">
        <v>35</v>
      </c>
      <c r="E433" t="s">
        <v>27</v>
      </c>
      <c r="F433" t="s">
        <v>75</v>
      </c>
      <c r="G433" s="1">
        <v>42857</v>
      </c>
      <c r="H433">
        <v>109405</v>
      </c>
      <c r="I433" t="s">
        <v>30</v>
      </c>
      <c r="J433" t="s">
        <v>61</v>
      </c>
      <c r="K433" t="s">
        <v>32</v>
      </c>
      <c r="L433" t="s">
        <v>62</v>
      </c>
      <c r="M433">
        <v>17</v>
      </c>
      <c r="N433" t="s">
        <v>34</v>
      </c>
      <c r="O433">
        <v>2</v>
      </c>
      <c r="P433">
        <v>3</v>
      </c>
      <c r="Q433">
        <v>2</v>
      </c>
      <c r="R433">
        <v>4</v>
      </c>
      <c r="S433">
        <v>1</v>
      </c>
      <c r="T433">
        <v>5</v>
      </c>
      <c r="U433">
        <v>15</v>
      </c>
      <c r="V433" t="s">
        <v>2111</v>
      </c>
      <c r="W433" t="s">
        <v>45</v>
      </c>
      <c r="X433" s="1">
        <v>45255</v>
      </c>
      <c r="Y433" s="2" t="str">
        <f>IF(EmployeeData[[#This Row],[Age]]&lt;25,"Under 25",IF(EmployeeData[[#This Row],[Age]]&lt;=34,"25-34",IF(EmployeeData[[#This Row],[Age]]&lt;=44,"35-44",IF(EmployeeData[[#This Row],[Age]]&lt;=54,"45-54","55+"))))</f>
        <v>35-44</v>
      </c>
      <c r="Z433">
        <f ca="1">DATEDIF(EmployeeData[[#This Row],[DateOfJoining]],IF(AND(EmployeeData[[#This Row],[Attrition]]="Yes",EmployeeData[[#This Row],[LastWorkingDate]]&lt;&gt;""),EmployeeData[[#This Row],[LastWorkingDate]],TODAY()),"Y")</f>
        <v>6</v>
      </c>
      <c r="AA433" t="str">
        <f>IF(EmployeeData[[#This Row],[MonthlyIncome]]&lt;30000,"Low",IF(EmployeeData[[#This Row],[MonthlyIncome]]&lt;=60000,"Medium",IF(EmployeeData[[#This Row],[MonthlyIncome]]&lt;=100000,"High","Very High")))</f>
        <v>Very High</v>
      </c>
      <c r="AB433">
        <f>IF(EmployeeData[[#This Row],[Attrition]]="Yes",1,0)</f>
        <v>1</v>
      </c>
      <c r="AC433" t="str">
        <f ca="1">IF(EmployeeData[[#This Row],[Tenure Years]]&lt;1,"Less than 1 Year",IF(EmployeeData[[#This Row],[Tenure Years]]&lt;=3,"1-3 Years",IF(EmployeeData[[#This Row],[Tenure Years]]&lt;=5,"4-5 Years",IF(EmployeeData[[#This Row],[Tenure Years]]&lt;=10,"6-10 Years","More than 10 Years"))))</f>
        <v>6-10 Years</v>
      </c>
      <c r="AD433">
        <f>ROUND(AVERAGE(EmployeeData[[#This Row],[JobSatisfaction]],EmployeeData[[#This Row],[EnvironmentSatisfaction]],EmployeeData[[#This Row],[WorkLifeBalance]]),2)</f>
        <v>2.33</v>
      </c>
      <c r="AE433" t="str">
        <f>IF(EmployeeData[[#This Row],[Satisfaction Score]]&lt;2,"Low",IF(EmployeeData[[#This Row],[Satisfaction Score]]&lt;3,"Medium","High"))</f>
        <v>Medium</v>
      </c>
    </row>
    <row r="434" spans="1:31" x14ac:dyDescent="0.25">
      <c r="A434" t="s">
        <v>2112</v>
      </c>
      <c r="B434" t="s">
        <v>2113</v>
      </c>
      <c r="C434" t="s">
        <v>58</v>
      </c>
      <c r="D434">
        <v>31</v>
      </c>
      <c r="E434" t="s">
        <v>5459</v>
      </c>
      <c r="F434" t="s">
        <v>266</v>
      </c>
      <c r="G434" s="1">
        <v>43993</v>
      </c>
      <c r="H434">
        <v>75664</v>
      </c>
      <c r="I434" t="s">
        <v>52</v>
      </c>
      <c r="J434" t="s">
        <v>61</v>
      </c>
      <c r="K434" t="s">
        <v>83</v>
      </c>
      <c r="L434" t="s">
        <v>33</v>
      </c>
      <c r="M434">
        <v>10</v>
      </c>
      <c r="N434" t="s">
        <v>34</v>
      </c>
      <c r="O434">
        <v>4</v>
      </c>
      <c r="P434">
        <v>4</v>
      </c>
      <c r="Q434">
        <v>4</v>
      </c>
      <c r="R434">
        <v>4</v>
      </c>
      <c r="S434">
        <v>4</v>
      </c>
      <c r="T434">
        <v>5</v>
      </c>
      <c r="U434">
        <v>18</v>
      </c>
      <c r="V434" t="s">
        <v>2115</v>
      </c>
      <c r="W434" t="s">
        <v>34</v>
      </c>
      <c r="Y434" s="2" t="str">
        <f>IF(EmployeeData[[#This Row],[Age]]&lt;25,"Under 25",IF(EmployeeData[[#This Row],[Age]]&lt;=34,"25-34",IF(EmployeeData[[#This Row],[Age]]&lt;=44,"35-44",IF(EmployeeData[[#This Row],[Age]]&lt;=54,"45-54","55+"))))</f>
        <v>25-34</v>
      </c>
      <c r="Z434">
        <f ca="1">DATEDIF(EmployeeData[[#This Row],[DateOfJoining]],IF(AND(EmployeeData[[#This Row],[Attrition]]="Yes",EmployeeData[[#This Row],[LastWorkingDate]]&lt;&gt;""),EmployeeData[[#This Row],[LastWorkingDate]],TODAY()),"Y")</f>
        <v>6</v>
      </c>
      <c r="AA434" t="str">
        <f>IF(EmployeeData[[#This Row],[MonthlyIncome]]&lt;30000,"Low",IF(EmployeeData[[#This Row],[MonthlyIncome]]&lt;=60000,"Medium",IF(EmployeeData[[#This Row],[MonthlyIncome]]&lt;=100000,"High","Very High")))</f>
        <v>High</v>
      </c>
      <c r="AB434">
        <f>IF(EmployeeData[[#This Row],[Attrition]]="Yes",1,0)</f>
        <v>0</v>
      </c>
      <c r="AC434" t="str">
        <f ca="1">IF(EmployeeData[[#This Row],[Tenure Years]]&lt;1,"Less than 1 Year",IF(EmployeeData[[#This Row],[Tenure Years]]&lt;=3,"1-3 Years",IF(EmployeeData[[#This Row],[Tenure Years]]&lt;=5,"4-5 Years",IF(EmployeeData[[#This Row],[Tenure Years]]&lt;=10,"6-10 Years","More than 10 Years"))))</f>
        <v>6-10 Years</v>
      </c>
      <c r="AD434">
        <f>ROUND(AVERAGE(EmployeeData[[#This Row],[JobSatisfaction]],EmployeeData[[#This Row],[EnvironmentSatisfaction]],EmployeeData[[#This Row],[WorkLifeBalance]]),2)</f>
        <v>4</v>
      </c>
      <c r="AE434" t="str">
        <f>IF(EmployeeData[[#This Row],[Satisfaction Score]]&lt;2,"Low",IF(EmployeeData[[#This Row],[Satisfaction Score]]&lt;3,"Medium","High"))</f>
        <v>High</v>
      </c>
    </row>
    <row r="435" spans="1:31" x14ac:dyDescent="0.25">
      <c r="A435" t="s">
        <v>2116</v>
      </c>
      <c r="B435" t="s">
        <v>2117</v>
      </c>
      <c r="C435" t="s">
        <v>58</v>
      </c>
      <c r="D435">
        <v>35</v>
      </c>
      <c r="E435" t="s">
        <v>128</v>
      </c>
      <c r="F435" t="s">
        <v>255</v>
      </c>
      <c r="G435" s="1">
        <v>45543</v>
      </c>
      <c r="H435">
        <v>47250</v>
      </c>
      <c r="I435" t="s">
        <v>42</v>
      </c>
      <c r="J435" t="s">
        <v>61</v>
      </c>
      <c r="K435" t="s">
        <v>113</v>
      </c>
      <c r="L435" t="s">
        <v>33</v>
      </c>
      <c r="M435">
        <v>15</v>
      </c>
      <c r="N435" t="s">
        <v>34</v>
      </c>
      <c r="O435">
        <v>2</v>
      </c>
      <c r="P435">
        <v>3</v>
      </c>
      <c r="Q435">
        <v>4</v>
      </c>
      <c r="R435">
        <v>2</v>
      </c>
      <c r="S435">
        <v>0</v>
      </c>
      <c r="T435">
        <v>0</v>
      </c>
      <c r="U435">
        <v>15</v>
      </c>
      <c r="V435" t="s">
        <v>2011</v>
      </c>
      <c r="W435" t="s">
        <v>45</v>
      </c>
      <c r="X435" s="1">
        <v>45602</v>
      </c>
      <c r="Y435" s="2" t="str">
        <f>IF(EmployeeData[[#This Row],[Age]]&lt;25,"Under 25",IF(EmployeeData[[#This Row],[Age]]&lt;=34,"25-34",IF(EmployeeData[[#This Row],[Age]]&lt;=44,"35-44",IF(EmployeeData[[#This Row],[Age]]&lt;=54,"45-54","55+"))))</f>
        <v>35-44</v>
      </c>
      <c r="Z435">
        <f ca="1">DATEDIF(EmployeeData[[#This Row],[DateOfJoining]],IF(AND(EmployeeData[[#This Row],[Attrition]]="Yes",EmployeeData[[#This Row],[LastWorkingDate]]&lt;&gt;""),EmployeeData[[#This Row],[LastWorkingDate]],TODAY()),"Y")</f>
        <v>0</v>
      </c>
      <c r="AA435" t="str">
        <f>IF(EmployeeData[[#This Row],[MonthlyIncome]]&lt;30000,"Low",IF(EmployeeData[[#This Row],[MonthlyIncome]]&lt;=60000,"Medium",IF(EmployeeData[[#This Row],[MonthlyIncome]]&lt;=100000,"High","Very High")))</f>
        <v>Medium</v>
      </c>
      <c r="AB435">
        <f>IF(EmployeeData[[#This Row],[Attrition]]="Yes",1,0)</f>
        <v>1</v>
      </c>
      <c r="AC435" t="str">
        <f ca="1">IF(EmployeeData[[#This Row],[Tenure Years]]&lt;1,"Less than 1 Year",IF(EmployeeData[[#This Row],[Tenure Years]]&lt;=3,"1-3 Years",IF(EmployeeData[[#This Row],[Tenure Years]]&lt;=5,"4-5 Years",IF(EmployeeData[[#This Row],[Tenure Years]]&lt;=10,"6-10 Years","More than 10 Years"))))</f>
        <v>Less than 1 Year</v>
      </c>
      <c r="AD435">
        <f>ROUND(AVERAGE(EmployeeData[[#This Row],[JobSatisfaction]],EmployeeData[[#This Row],[EnvironmentSatisfaction]],EmployeeData[[#This Row],[WorkLifeBalance]]),2)</f>
        <v>3</v>
      </c>
      <c r="AE435" t="str">
        <f>IF(EmployeeData[[#This Row],[Satisfaction Score]]&lt;2,"Low",IF(EmployeeData[[#This Row],[Satisfaction Score]]&lt;3,"Medium","High"))</f>
        <v>High</v>
      </c>
    </row>
    <row r="436" spans="1:31" x14ac:dyDescent="0.25">
      <c r="A436" t="s">
        <v>2121</v>
      </c>
      <c r="B436" t="s">
        <v>2122</v>
      </c>
      <c r="C436" t="s">
        <v>49</v>
      </c>
      <c r="D436">
        <v>36</v>
      </c>
      <c r="E436" t="s">
        <v>5461</v>
      </c>
      <c r="F436" t="s">
        <v>89</v>
      </c>
      <c r="G436" s="1">
        <v>45028</v>
      </c>
      <c r="H436">
        <v>79849</v>
      </c>
      <c r="I436" t="s">
        <v>52</v>
      </c>
      <c r="J436" t="s">
        <v>61</v>
      </c>
      <c r="K436" t="s">
        <v>131</v>
      </c>
      <c r="L436" t="s">
        <v>62</v>
      </c>
      <c r="M436">
        <v>18</v>
      </c>
      <c r="N436" t="s">
        <v>34</v>
      </c>
      <c r="O436">
        <v>3</v>
      </c>
      <c r="P436">
        <v>4</v>
      </c>
      <c r="Q436">
        <v>2</v>
      </c>
      <c r="R436">
        <v>4</v>
      </c>
      <c r="S436">
        <v>5</v>
      </c>
      <c r="T436">
        <v>6</v>
      </c>
      <c r="U436">
        <v>25</v>
      </c>
      <c r="V436" t="s">
        <v>2125</v>
      </c>
      <c r="W436" t="s">
        <v>34</v>
      </c>
      <c r="Y436" s="2" t="str">
        <f>IF(EmployeeData[[#This Row],[Age]]&lt;25,"Under 25",IF(EmployeeData[[#This Row],[Age]]&lt;=34,"25-34",IF(EmployeeData[[#This Row],[Age]]&lt;=44,"35-44",IF(EmployeeData[[#This Row],[Age]]&lt;=54,"45-54","55+"))))</f>
        <v>35-44</v>
      </c>
      <c r="Z436">
        <f ca="1">DATEDIF(EmployeeData[[#This Row],[DateOfJoining]],IF(AND(EmployeeData[[#This Row],[Attrition]]="Yes",EmployeeData[[#This Row],[LastWorkingDate]]&lt;&gt;""),EmployeeData[[#This Row],[LastWorkingDate]],TODAY()),"Y")</f>
        <v>3</v>
      </c>
      <c r="AA436" t="str">
        <f>IF(EmployeeData[[#This Row],[MonthlyIncome]]&lt;30000,"Low",IF(EmployeeData[[#This Row],[MonthlyIncome]]&lt;=60000,"Medium",IF(EmployeeData[[#This Row],[MonthlyIncome]]&lt;=100000,"High","Very High")))</f>
        <v>High</v>
      </c>
      <c r="AB436">
        <f>IF(EmployeeData[[#This Row],[Attrition]]="Yes",1,0)</f>
        <v>0</v>
      </c>
      <c r="AC436" t="str">
        <f ca="1">IF(EmployeeData[[#This Row],[Tenure Years]]&lt;1,"Less than 1 Year",IF(EmployeeData[[#This Row],[Tenure Years]]&lt;=3,"1-3 Years",IF(EmployeeData[[#This Row],[Tenure Years]]&lt;=5,"4-5 Years",IF(EmployeeData[[#This Row],[Tenure Years]]&lt;=10,"6-10 Years","More than 10 Years"))))</f>
        <v>1-3 Years</v>
      </c>
      <c r="AD436">
        <f>ROUND(AVERAGE(EmployeeData[[#This Row],[JobSatisfaction]],EmployeeData[[#This Row],[EnvironmentSatisfaction]],EmployeeData[[#This Row],[WorkLifeBalance]]),2)</f>
        <v>3</v>
      </c>
      <c r="AE436" t="str">
        <f>IF(EmployeeData[[#This Row],[Satisfaction Score]]&lt;2,"Low",IF(EmployeeData[[#This Row],[Satisfaction Score]]&lt;3,"Medium","High"))</f>
        <v>High</v>
      </c>
    </row>
    <row r="437" spans="1:31" x14ac:dyDescent="0.25">
      <c r="A437" t="s">
        <v>2126</v>
      </c>
      <c r="B437" t="s">
        <v>2127</v>
      </c>
      <c r="C437" t="s">
        <v>58</v>
      </c>
      <c r="D437">
        <v>50</v>
      </c>
      <c r="E437" t="s">
        <v>5461</v>
      </c>
      <c r="F437" t="s">
        <v>261</v>
      </c>
      <c r="G437" s="1">
        <v>43513</v>
      </c>
      <c r="H437">
        <v>115896</v>
      </c>
      <c r="I437" t="s">
        <v>42</v>
      </c>
      <c r="J437" t="s">
        <v>143</v>
      </c>
      <c r="K437" t="s">
        <v>131</v>
      </c>
      <c r="L437" t="s">
        <v>62</v>
      </c>
      <c r="M437">
        <v>29</v>
      </c>
      <c r="N437" t="s">
        <v>34</v>
      </c>
      <c r="O437">
        <v>3</v>
      </c>
      <c r="P437">
        <v>4</v>
      </c>
      <c r="Q437">
        <v>3</v>
      </c>
      <c r="R437">
        <v>3</v>
      </c>
      <c r="S437">
        <v>2</v>
      </c>
      <c r="T437">
        <v>5</v>
      </c>
      <c r="U437">
        <v>24</v>
      </c>
      <c r="V437" t="s">
        <v>2129</v>
      </c>
      <c r="W437" t="s">
        <v>34</v>
      </c>
      <c r="Y437" s="2" t="str">
        <f>IF(EmployeeData[[#This Row],[Age]]&lt;25,"Under 25",IF(EmployeeData[[#This Row],[Age]]&lt;=34,"25-34",IF(EmployeeData[[#This Row],[Age]]&lt;=44,"35-44",IF(EmployeeData[[#This Row],[Age]]&lt;=54,"45-54","55+"))))</f>
        <v>45-54</v>
      </c>
      <c r="Z437">
        <f ca="1">DATEDIF(EmployeeData[[#This Row],[DateOfJoining]],IF(AND(EmployeeData[[#This Row],[Attrition]]="Yes",EmployeeData[[#This Row],[LastWorkingDate]]&lt;&gt;""),EmployeeData[[#This Row],[LastWorkingDate]],TODAY()),"Y")</f>
        <v>7</v>
      </c>
      <c r="AA437" t="str">
        <f>IF(EmployeeData[[#This Row],[MonthlyIncome]]&lt;30000,"Low",IF(EmployeeData[[#This Row],[MonthlyIncome]]&lt;=60000,"Medium",IF(EmployeeData[[#This Row],[MonthlyIncome]]&lt;=100000,"High","Very High")))</f>
        <v>Very High</v>
      </c>
      <c r="AB437">
        <f>IF(EmployeeData[[#This Row],[Attrition]]="Yes",1,0)</f>
        <v>0</v>
      </c>
      <c r="AC437" t="str">
        <f ca="1">IF(EmployeeData[[#This Row],[Tenure Years]]&lt;1,"Less than 1 Year",IF(EmployeeData[[#This Row],[Tenure Years]]&lt;=3,"1-3 Years",IF(EmployeeData[[#This Row],[Tenure Years]]&lt;=5,"4-5 Years",IF(EmployeeData[[#This Row],[Tenure Years]]&lt;=10,"6-10 Years","More than 10 Years"))))</f>
        <v>6-10 Years</v>
      </c>
      <c r="AD437">
        <f>ROUND(AVERAGE(EmployeeData[[#This Row],[JobSatisfaction]],EmployeeData[[#This Row],[EnvironmentSatisfaction]],EmployeeData[[#This Row],[WorkLifeBalance]]),2)</f>
        <v>3.33</v>
      </c>
      <c r="AE437" t="str">
        <f>IF(EmployeeData[[#This Row],[Satisfaction Score]]&lt;2,"Low",IF(EmployeeData[[#This Row],[Satisfaction Score]]&lt;3,"Medium","High"))</f>
        <v>High</v>
      </c>
    </row>
    <row r="438" spans="1:31" x14ac:dyDescent="0.25">
      <c r="A438" t="s">
        <v>2130</v>
      </c>
      <c r="B438" t="s">
        <v>2131</v>
      </c>
      <c r="C438" t="s">
        <v>49</v>
      </c>
      <c r="D438">
        <v>22</v>
      </c>
      <c r="E438" t="s">
        <v>27</v>
      </c>
      <c r="F438" t="s">
        <v>188</v>
      </c>
      <c r="G438" s="1">
        <v>42250</v>
      </c>
      <c r="H438">
        <v>56028</v>
      </c>
      <c r="I438" t="s">
        <v>30</v>
      </c>
      <c r="J438" t="s">
        <v>31</v>
      </c>
      <c r="K438" t="s">
        <v>54</v>
      </c>
      <c r="L438" t="s">
        <v>62</v>
      </c>
      <c r="M438">
        <v>28</v>
      </c>
      <c r="N438" t="s">
        <v>34</v>
      </c>
      <c r="O438">
        <v>3</v>
      </c>
      <c r="P438">
        <v>4</v>
      </c>
      <c r="Q438">
        <v>4</v>
      </c>
      <c r="R438">
        <v>3</v>
      </c>
      <c r="S438">
        <v>2</v>
      </c>
      <c r="T438">
        <v>1</v>
      </c>
      <c r="U438">
        <v>23</v>
      </c>
      <c r="V438" t="s">
        <v>2133</v>
      </c>
      <c r="W438" t="s">
        <v>34</v>
      </c>
      <c r="Y438" s="2" t="str">
        <f>IF(EmployeeData[[#This Row],[Age]]&lt;25,"Under 25",IF(EmployeeData[[#This Row],[Age]]&lt;=34,"25-34",IF(EmployeeData[[#This Row],[Age]]&lt;=44,"35-44",IF(EmployeeData[[#This Row],[Age]]&lt;=54,"45-54","55+"))))</f>
        <v>Under 25</v>
      </c>
      <c r="Z438">
        <f ca="1">DATEDIF(EmployeeData[[#This Row],[DateOfJoining]],IF(AND(EmployeeData[[#This Row],[Attrition]]="Yes",EmployeeData[[#This Row],[LastWorkingDate]]&lt;&gt;""),EmployeeData[[#This Row],[LastWorkingDate]],TODAY()),"Y")</f>
        <v>11</v>
      </c>
      <c r="AA438" t="str">
        <f>IF(EmployeeData[[#This Row],[MonthlyIncome]]&lt;30000,"Low",IF(EmployeeData[[#This Row],[MonthlyIncome]]&lt;=60000,"Medium",IF(EmployeeData[[#This Row],[MonthlyIncome]]&lt;=100000,"High","Very High")))</f>
        <v>Medium</v>
      </c>
      <c r="AB438">
        <f>IF(EmployeeData[[#This Row],[Attrition]]="Yes",1,0)</f>
        <v>0</v>
      </c>
      <c r="AC438" t="str">
        <f ca="1">IF(EmployeeData[[#This Row],[Tenure Years]]&lt;1,"Less than 1 Year",IF(EmployeeData[[#This Row],[Tenure Years]]&lt;=3,"1-3 Years",IF(EmployeeData[[#This Row],[Tenure Years]]&lt;=5,"4-5 Years",IF(EmployeeData[[#This Row],[Tenure Years]]&lt;=10,"6-10 Years","More than 10 Years"))))</f>
        <v>More than 10 Years</v>
      </c>
      <c r="AD438">
        <f>ROUND(AVERAGE(EmployeeData[[#This Row],[JobSatisfaction]],EmployeeData[[#This Row],[EnvironmentSatisfaction]],EmployeeData[[#This Row],[WorkLifeBalance]]),2)</f>
        <v>3.67</v>
      </c>
      <c r="AE438" t="str">
        <f>IF(EmployeeData[[#This Row],[Satisfaction Score]]&lt;2,"Low",IF(EmployeeData[[#This Row],[Satisfaction Score]]&lt;3,"Medium","High"))</f>
        <v>High</v>
      </c>
    </row>
    <row r="439" spans="1:31" x14ac:dyDescent="0.25">
      <c r="A439" t="s">
        <v>2134</v>
      </c>
      <c r="B439" t="s">
        <v>2135</v>
      </c>
      <c r="C439" t="s">
        <v>49</v>
      </c>
      <c r="D439">
        <v>36</v>
      </c>
      <c r="E439" t="s">
        <v>128</v>
      </c>
      <c r="F439" t="s">
        <v>271</v>
      </c>
      <c r="G439" s="1">
        <v>41036</v>
      </c>
      <c r="H439">
        <v>63966</v>
      </c>
      <c r="I439" t="s">
        <v>30</v>
      </c>
      <c r="J439" t="s">
        <v>31</v>
      </c>
      <c r="K439" t="s">
        <v>131</v>
      </c>
      <c r="L439" t="s">
        <v>43</v>
      </c>
      <c r="M439">
        <v>35</v>
      </c>
      <c r="N439" t="s">
        <v>34</v>
      </c>
      <c r="O439">
        <v>1</v>
      </c>
      <c r="P439">
        <v>3</v>
      </c>
      <c r="Q439">
        <v>2</v>
      </c>
      <c r="R439">
        <v>5</v>
      </c>
      <c r="S439">
        <v>5</v>
      </c>
      <c r="T439">
        <v>5</v>
      </c>
      <c r="U439">
        <v>13</v>
      </c>
      <c r="V439" t="s">
        <v>2138</v>
      </c>
      <c r="W439" t="s">
        <v>45</v>
      </c>
      <c r="X439" s="1">
        <v>45491</v>
      </c>
      <c r="Y439" s="2" t="str">
        <f>IF(EmployeeData[[#This Row],[Age]]&lt;25,"Under 25",IF(EmployeeData[[#This Row],[Age]]&lt;=34,"25-34",IF(EmployeeData[[#This Row],[Age]]&lt;=44,"35-44",IF(EmployeeData[[#This Row],[Age]]&lt;=54,"45-54","55+"))))</f>
        <v>35-44</v>
      </c>
      <c r="Z439">
        <f ca="1">DATEDIF(EmployeeData[[#This Row],[DateOfJoining]],IF(AND(EmployeeData[[#This Row],[Attrition]]="Yes",EmployeeData[[#This Row],[LastWorkingDate]]&lt;&gt;""),EmployeeData[[#This Row],[LastWorkingDate]],TODAY()),"Y")</f>
        <v>12</v>
      </c>
      <c r="AA439" t="str">
        <f>IF(EmployeeData[[#This Row],[MonthlyIncome]]&lt;30000,"Low",IF(EmployeeData[[#This Row],[MonthlyIncome]]&lt;=60000,"Medium",IF(EmployeeData[[#This Row],[MonthlyIncome]]&lt;=100000,"High","Very High")))</f>
        <v>High</v>
      </c>
      <c r="AB439">
        <f>IF(EmployeeData[[#This Row],[Attrition]]="Yes",1,0)</f>
        <v>1</v>
      </c>
      <c r="AC439" t="str">
        <f ca="1">IF(EmployeeData[[#This Row],[Tenure Years]]&lt;1,"Less than 1 Year",IF(EmployeeData[[#This Row],[Tenure Years]]&lt;=3,"1-3 Years",IF(EmployeeData[[#This Row],[Tenure Years]]&lt;=5,"4-5 Years",IF(EmployeeData[[#This Row],[Tenure Years]]&lt;=10,"6-10 Years","More than 10 Years"))))</f>
        <v>More than 10 Years</v>
      </c>
      <c r="AD439">
        <f>ROUND(AVERAGE(EmployeeData[[#This Row],[JobSatisfaction]],EmployeeData[[#This Row],[EnvironmentSatisfaction]],EmployeeData[[#This Row],[WorkLifeBalance]]),2)</f>
        <v>2</v>
      </c>
      <c r="AE439" t="str">
        <f>IF(EmployeeData[[#This Row],[Satisfaction Score]]&lt;2,"Low",IF(EmployeeData[[#This Row],[Satisfaction Score]]&lt;3,"Medium","High"))</f>
        <v>Medium</v>
      </c>
    </row>
    <row r="440" spans="1:31" x14ac:dyDescent="0.25">
      <c r="A440" t="s">
        <v>2140</v>
      </c>
      <c r="B440" t="s">
        <v>2141</v>
      </c>
      <c r="C440" t="s">
        <v>58</v>
      </c>
      <c r="D440">
        <v>30</v>
      </c>
      <c r="E440" t="s">
        <v>94</v>
      </c>
      <c r="F440" t="s">
        <v>266</v>
      </c>
      <c r="G440" s="1">
        <v>42938</v>
      </c>
      <c r="H440">
        <v>103288</v>
      </c>
      <c r="I440" t="s">
        <v>52</v>
      </c>
      <c r="J440" t="s">
        <v>53</v>
      </c>
      <c r="K440" t="s">
        <v>113</v>
      </c>
      <c r="L440" t="s">
        <v>43</v>
      </c>
      <c r="M440">
        <v>2</v>
      </c>
      <c r="N440" t="s">
        <v>34</v>
      </c>
      <c r="O440">
        <v>1</v>
      </c>
      <c r="P440">
        <v>1</v>
      </c>
      <c r="Q440">
        <v>3</v>
      </c>
      <c r="R440">
        <v>3</v>
      </c>
      <c r="S440">
        <v>5</v>
      </c>
      <c r="T440">
        <v>0</v>
      </c>
      <c r="U440">
        <v>16</v>
      </c>
      <c r="V440" t="s">
        <v>2144</v>
      </c>
      <c r="W440" t="s">
        <v>34</v>
      </c>
      <c r="Y440" s="2" t="str">
        <f>IF(EmployeeData[[#This Row],[Age]]&lt;25,"Under 25",IF(EmployeeData[[#This Row],[Age]]&lt;=34,"25-34",IF(EmployeeData[[#This Row],[Age]]&lt;=44,"35-44",IF(EmployeeData[[#This Row],[Age]]&lt;=54,"45-54","55+"))))</f>
        <v>25-34</v>
      </c>
      <c r="Z440">
        <f ca="1">DATEDIF(EmployeeData[[#This Row],[DateOfJoining]],IF(AND(EmployeeData[[#This Row],[Attrition]]="Yes",EmployeeData[[#This Row],[LastWorkingDate]]&lt;&gt;""),EmployeeData[[#This Row],[LastWorkingDate]],TODAY()),"Y")</f>
        <v>9</v>
      </c>
      <c r="AA440" t="str">
        <f>IF(EmployeeData[[#This Row],[MonthlyIncome]]&lt;30000,"Low",IF(EmployeeData[[#This Row],[MonthlyIncome]]&lt;=60000,"Medium",IF(EmployeeData[[#This Row],[MonthlyIncome]]&lt;=100000,"High","Very High")))</f>
        <v>Very High</v>
      </c>
      <c r="AB440">
        <f>IF(EmployeeData[[#This Row],[Attrition]]="Yes",1,0)</f>
        <v>0</v>
      </c>
      <c r="AC440" t="str">
        <f ca="1">IF(EmployeeData[[#This Row],[Tenure Years]]&lt;1,"Less than 1 Year",IF(EmployeeData[[#This Row],[Tenure Years]]&lt;=3,"1-3 Years",IF(EmployeeData[[#This Row],[Tenure Years]]&lt;=5,"4-5 Years",IF(EmployeeData[[#This Row],[Tenure Years]]&lt;=10,"6-10 Years","More than 10 Years"))))</f>
        <v>6-10 Years</v>
      </c>
      <c r="AD440">
        <f>ROUND(AVERAGE(EmployeeData[[#This Row],[JobSatisfaction]],EmployeeData[[#This Row],[EnvironmentSatisfaction]],EmployeeData[[#This Row],[WorkLifeBalance]]),2)</f>
        <v>1.67</v>
      </c>
      <c r="AE440" t="str">
        <f>IF(EmployeeData[[#This Row],[Satisfaction Score]]&lt;2,"Low",IF(EmployeeData[[#This Row],[Satisfaction Score]]&lt;3,"Medium","High"))</f>
        <v>Low</v>
      </c>
    </row>
    <row r="441" spans="1:31" x14ac:dyDescent="0.25">
      <c r="A441" t="s">
        <v>2145</v>
      </c>
      <c r="B441" t="s">
        <v>2146</v>
      </c>
      <c r="C441" t="s">
        <v>58</v>
      </c>
      <c r="D441">
        <v>23</v>
      </c>
      <c r="E441" t="s">
        <v>94</v>
      </c>
      <c r="F441" t="s">
        <v>639</v>
      </c>
      <c r="G441" s="1">
        <v>42253</v>
      </c>
      <c r="H441">
        <v>124474</v>
      </c>
      <c r="I441" t="s">
        <v>30</v>
      </c>
      <c r="J441" t="s">
        <v>53</v>
      </c>
      <c r="K441" t="s">
        <v>131</v>
      </c>
      <c r="L441" t="s">
        <v>33</v>
      </c>
      <c r="M441">
        <v>31</v>
      </c>
      <c r="N441" t="s">
        <v>45</v>
      </c>
      <c r="O441">
        <v>3</v>
      </c>
      <c r="P441">
        <v>4</v>
      </c>
      <c r="Q441">
        <v>3</v>
      </c>
      <c r="R441">
        <v>3</v>
      </c>
      <c r="S441">
        <v>2</v>
      </c>
      <c r="T441">
        <v>7</v>
      </c>
      <c r="U441">
        <v>17</v>
      </c>
      <c r="V441" t="s">
        <v>2148</v>
      </c>
      <c r="W441" t="s">
        <v>34</v>
      </c>
      <c r="Y441" s="2" t="str">
        <f>IF(EmployeeData[[#This Row],[Age]]&lt;25,"Under 25",IF(EmployeeData[[#This Row],[Age]]&lt;=34,"25-34",IF(EmployeeData[[#This Row],[Age]]&lt;=44,"35-44",IF(EmployeeData[[#This Row],[Age]]&lt;=54,"45-54","55+"))))</f>
        <v>Under 25</v>
      </c>
      <c r="Z441">
        <f ca="1">DATEDIF(EmployeeData[[#This Row],[DateOfJoining]],IF(AND(EmployeeData[[#This Row],[Attrition]]="Yes",EmployeeData[[#This Row],[LastWorkingDate]]&lt;&gt;""),EmployeeData[[#This Row],[LastWorkingDate]],TODAY()),"Y")</f>
        <v>10</v>
      </c>
      <c r="AA441" t="str">
        <f>IF(EmployeeData[[#This Row],[MonthlyIncome]]&lt;30000,"Low",IF(EmployeeData[[#This Row],[MonthlyIncome]]&lt;=60000,"Medium",IF(EmployeeData[[#This Row],[MonthlyIncome]]&lt;=100000,"High","Very High")))</f>
        <v>Very High</v>
      </c>
      <c r="AB441">
        <f>IF(EmployeeData[[#This Row],[Attrition]]="Yes",1,0)</f>
        <v>0</v>
      </c>
      <c r="AC441" t="str">
        <f ca="1">IF(EmployeeData[[#This Row],[Tenure Years]]&lt;1,"Less than 1 Year",IF(EmployeeData[[#This Row],[Tenure Years]]&lt;=3,"1-3 Years",IF(EmployeeData[[#This Row],[Tenure Years]]&lt;=5,"4-5 Years",IF(EmployeeData[[#This Row],[Tenure Years]]&lt;=10,"6-10 Years","More than 10 Years"))))</f>
        <v>6-10 Years</v>
      </c>
      <c r="AD441">
        <f>ROUND(AVERAGE(EmployeeData[[#This Row],[JobSatisfaction]],EmployeeData[[#This Row],[EnvironmentSatisfaction]],EmployeeData[[#This Row],[WorkLifeBalance]]),2)</f>
        <v>3.33</v>
      </c>
      <c r="AE441" t="str">
        <f>IF(EmployeeData[[#This Row],[Satisfaction Score]]&lt;2,"Low",IF(EmployeeData[[#This Row],[Satisfaction Score]]&lt;3,"Medium","High"))</f>
        <v>High</v>
      </c>
    </row>
    <row r="442" spans="1:31" x14ac:dyDescent="0.25">
      <c r="A442" t="s">
        <v>2149</v>
      </c>
      <c r="B442" t="s">
        <v>2150</v>
      </c>
      <c r="C442" t="s">
        <v>58</v>
      </c>
      <c r="D442">
        <v>26</v>
      </c>
      <c r="E442" t="s">
        <v>38</v>
      </c>
      <c r="F442" t="s">
        <v>5460</v>
      </c>
      <c r="G442" s="1">
        <v>41535</v>
      </c>
      <c r="H442">
        <v>92167</v>
      </c>
      <c r="I442" t="s">
        <v>30</v>
      </c>
      <c r="J442" t="s">
        <v>31</v>
      </c>
      <c r="K442" t="s">
        <v>167</v>
      </c>
      <c r="L442" t="s">
        <v>43</v>
      </c>
      <c r="M442">
        <v>1</v>
      </c>
      <c r="N442" t="s">
        <v>34</v>
      </c>
      <c r="O442">
        <v>2</v>
      </c>
      <c r="P442">
        <v>3</v>
      </c>
      <c r="Q442">
        <v>1</v>
      </c>
      <c r="R442">
        <v>3</v>
      </c>
      <c r="S442">
        <v>3</v>
      </c>
      <c r="T442">
        <v>5</v>
      </c>
      <c r="U442">
        <v>13</v>
      </c>
      <c r="V442" t="s">
        <v>2152</v>
      </c>
      <c r="W442" t="s">
        <v>34</v>
      </c>
      <c r="Y442" s="2" t="str">
        <f>IF(EmployeeData[[#This Row],[Age]]&lt;25,"Under 25",IF(EmployeeData[[#This Row],[Age]]&lt;=34,"25-34",IF(EmployeeData[[#This Row],[Age]]&lt;=44,"35-44",IF(EmployeeData[[#This Row],[Age]]&lt;=54,"45-54","55+"))))</f>
        <v>25-34</v>
      </c>
      <c r="Z442">
        <f ca="1">DATEDIF(EmployeeData[[#This Row],[DateOfJoining]],IF(AND(EmployeeData[[#This Row],[Attrition]]="Yes",EmployeeData[[#This Row],[LastWorkingDate]]&lt;&gt;""),EmployeeData[[#This Row],[LastWorkingDate]],TODAY()),"Y")</f>
        <v>12</v>
      </c>
      <c r="AA442" t="str">
        <f>IF(EmployeeData[[#This Row],[MonthlyIncome]]&lt;30000,"Low",IF(EmployeeData[[#This Row],[MonthlyIncome]]&lt;=60000,"Medium",IF(EmployeeData[[#This Row],[MonthlyIncome]]&lt;=100000,"High","Very High")))</f>
        <v>High</v>
      </c>
      <c r="AB442">
        <f>IF(EmployeeData[[#This Row],[Attrition]]="Yes",1,0)</f>
        <v>0</v>
      </c>
      <c r="AC442" t="str">
        <f ca="1">IF(EmployeeData[[#This Row],[Tenure Years]]&lt;1,"Less than 1 Year",IF(EmployeeData[[#This Row],[Tenure Years]]&lt;=3,"1-3 Years",IF(EmployeeData[[#This Row],[Tenure Years]]&lt;=5,"4-5 Years",IF(EmployeeData[[#This Row],[Tenure Years]]&lt;=10,"6-10 Years","More than 10 Years"))))</f>
        <v>More than 10 Years</v>
      </c>
      <c r="AD442">
        <f>ROUND(AVERAGE(EmployeeData[[#This Row],[JobSatisfaction]],EmployeeData[[#This Row],[EnvironmentSatisfaction]],EmployeeData[[#This Row],[WorkLifeBalance]]),2)</f>
        <v>2</v>
      </c>
      <c r="AE442" t="str">
        <f>IF(EmployeeData[[#This Row],[Satisfaction Score]]&lt;2,"Low",IF(EmployeeData[[#This Row],[Satisfaction Score]]&lt;3,"Medium","High"))</f>
        <v>Medium</v>
      </c>
    </row>
    <row r="443" spans="1:31" x14ac:dyDescent="0.25">
      <c r="A443" t="s">
        <v>2153</v>
      </c>
      <c r="B443" t="s">
        <v>2154</v>
      </c>
      <c r="C443" t="s">
        <v>58</v>
      </c>
      <c r="D443">
        <v>28</v>
      </c>
      <c r="E443" t="s">
        <v>38</v>
      </c>
      <c r="F443" t="s">
        <v>5462</v>
      </c>
      <c r="G443" s="1">
        <v>44078</v>
      </c>
      <c r="H443">
        <v>70221</v>
      </c>
      <c r="I443" t="s">
        <v>52</v>
      </c>
      <c r="J443" t="s">
        <v>31</v>
      </c>
      <c r="K443" t="s">
        <v>54</v>
      </c>
      <c r="L443" t="s">
        <v>43</v>
      </c>
      <c r="M443">
        <v>35</v>
      </c>
      <c r="N443" t="s">
        <v>34</v>
      </c>
      <c r="O443">
        <v>4</v>
      </c>
      <c r="P443">
        <v>1</v>
      </c>
      <c r="Q443">
        <v>1</v>
      </c>
      <c r="R443">
        <v>3</v>
      </c>
      <c r="S443">
        <v>4</v>
      </c>
      <c r="T443">
        <v>5</v>
      </c>
      <c r="U443">
        <v>25</v>
      </c>
      <c r="V443" t="s">
        <v>2158</v>
      </c>
      <c r="W443" t="s">
        <v>34</v>
      </c>
      <c r="Y443" s="2" t="str">
        <f>IF(EmployeeData[[#This Row],[Age]]&lt;25,"Under 25",IF(EmployeeData[[#This Row],[Age]]&lt;=34,"25-34",IF(EmployeeData[[#This Row],[Age]]&lt;=44,"35-44",IF(EmployeeData[[#This Row],[Age]]&lt;=54,"45-54","55+"))))</f>
        <v>25-34</v>
      </c>
      <c r="Z443">
        <f ca="1">DATEDIF(EmployeeData[[#This Row],[DateOfJoining]],IF(AND(EmployeeData[[#This Row],[Attrition]]="Yes",EmployeeData[[#This Row],[LastWorkingDate]]&lt;&gt;""),EmployeeData[[#This Row],[LastWorkingDate]],TODAY()),"Y")</f>
        <v>6</v>
      </c>
      <c r="AA443" t="str">
        <f>IF(EmployeeData[[#This Row],[MonthlyIncome]]&lt;30000,"Low",IF(EmployeeData[[#This Row],[MonthlyIncome]]&lt;=60000,"Medium",IF(EmployeeData[[#This Row],[MonthlyIncome]]&lt;=100000,"High","Very High")))</f>
        <v>High</v>
      </c>
      <c r="AB443">
        <f>IF(EmployeeData[[#This Row],[Attrition]]="Yes",1,0)</f>
        <v>0</v>
      </c>
      <c r="AC443" t="str">
        <f ca="1">IF(EmployeeData[[#This Row],[Tenure Years]]&lt;1,"Less than 1 Year",IF(EmployeeData[[#This Row],[Tenure Years]]&lt;=3,"1-3 Years",IF(EmployeeData[[#This Row],[Tenure Years]]&lt;=5,"4-5 Years",IF(EmployeeData[[#This Row],[Tenure Years]]&lt;=10,"6-10 Years","More than 10 Years"))))</f>
        <v>6-10 Years</v>
      </c>
      <c r="AD443">
        <f>ROUND(AVERAGE(EmployeeData[[#This Row],[JobSatisfaction]],EmployeeData[[#This Row],[EnvironmentSatisfaction]],EmployeeData[[#This Row],[WorkLifeBalance]]),2)</f>
        <v>2</v>
      </c>
      <c r="AE443" t="str">
        <f>IF(EmployeeData[[#This Row],[Satisfaction Score]]&lt;2,"Low",IF(EmployeeData[[#This Row],[Satisfaction Score]]&lt;3,"Medium","High"))</f>
        <v>Medium</v>
      </c>
    </row>
    <row r="444" spans="1:31" x14ac:dyDescent="0.25">
      <c r="A444" t="s">
        <v>2159</v>
      </c>
      <c r="B444" t="s">
        <v>2160</v>
      </c>
      <c r="C444" t="s">
        <v>58</v>
      </c>
      <c r="D444">
        <v>43</v>
      </c>
      <c r="E444" t="s">
        <v>27</v>
      </c>
      <c r="F444" t="s">
        <v>59</v>
      </c>
      <c r="G444" s="1">
        <v>43448</v>
      </c>
      <c r="H444">
        <v>122610</v>
      </c>
      <c r="I444" t="s">
        <v>30</v>
      </c>
      <c r="J444" t="s">
        <v>31</v>
      </c>
      <c r="K444" t="s">
        <v>98</v>
      </c>
      <c r="L444" t="s">
        <v>62</v>
      </c>
      <c r="M444">
        <v>29</v>
      </c>
      <c r="N444" t="s">
        <v>45</v>
      </c>
      <c r="O444">
        <v>3</v>
      </c>
      <c r="P444">
        <v>1</v>
      </c>
      <c r="Q444">
        <v>4</v>
      </c>
      <c r="R444">
        <v>3</v>
      </c>
      <c r="S444">
        <v>3</v>
      </c>
      <c r="T444">
        <v>2</v>
      </c>
      <c r="U444">
        <v>24</v>
      </c>
      <c r="V444" t="s">
        <v>2162</v>
      </c>
      <c r="W444" t="s">
        <v>34</v>
      </c>
      <c r="Y444" s="2" t="str">
        <f>IF(EmployeeData[[#This Row],[Age]]&lt;25,"Under 25",IF(EmployeeData[[#This Row],[Age]]&lt;=34,"25-34",IF(EmployeeData[[#This Row],[Age]]&lt;=44,"35-44",IF(EmployeeData[[#This Row],[Age]]&lt;=54,"45-54","55+"))))</f>
        <v>35-44</v>
      </c>
      <c r="Z444">
        <f ca="1">DATEDIF(EmployeeData[[#This Row],[DateOfJoining]],IF(AND(EmployeeData[[#This Row],[Attrition]]="Yes",EmployeeData[[#This Row],[LastWorkingDate]]&lt;&gt;""),EmployeeData[[#This Row],[LastWorkingDate]],TODAY()),"Y")</f>
        <v>7</v>
      </c>
      <c r="AA444" t="str">
        <f>IF(EmployeeData[[#This Row],[MonthlyIncome]]&lt;30000,"Low",IF(EmployeeData[[#This Row],[MonthlyIncome]]&lt;=60000,"Medium",IF(EmployeeData[[#This Row],[MonthlyIncome]]&lt;=100000,"High","Very High")))</f>
        <v>Very High</v>
      </c>
      <c r="AB444">
        <f>IF(EmployeeData[[#This Row],[Attrition]]="Yes",1,0)</f>
        <v>0</v>
      </c>
      <c r="AC444" t="str">
        <f ca="1">IF(EmployeeData[[#This Row],[Tenure Years]]&lt;1,"Less than 1 Year",IF(EmployeeData[[#This Row],[Tenure Years]]&lt;=3,"1-3 Years",IF(EmployeeData[[#This Row],[Tenure Years]]&lt;=5,"4-5 Years",IF(EmployeeData[[#This Row],[Tenure Years]]&lt;=10,"6-10 Years","More than 10 Years"))))</f>
        <v>6-10 Years</v>
      </c>
      <c r="AD444">
        <f>ROUND(AVERAGE(EmployeeData[[#This Row],[JobSatisfaction]],EmployeeData[[#This Row],[EnvironmentSatisfaction]],EmployeeData[[#This Row],[WorkLifeBalance]]),2)</f>
        <v>2.67</v>
      </c>
      <c r="AE444" t="str">
        <f>IF(EmployeeData[[#This Row],[Satisfaction Score]]&lt;2,"Low",IF(EmployeeData[[#This Row],[Satisfaction Score]]&lt;3,"Medium","High"))</f>
        <v>Medium</v>
      </c>
    </row>
    <row r="445" spans="1:31" x14ac:dyDescent="0.25">
      <c r="A445" t="s">
        <v>2163</v>
      </c>
      <c r="B445" t="s">
        <v>2164</v>
      </c>
      <c r="C445" t="s">
        <v>58</v>
      </c>
      <c r="D445">
        <v>33</v>
      </c>
      <c r="E445" t="s">
        <v>27</v>
      </c>
      <c r="F445" t="s">
        <v>75</v>
      </c>
      <c r="G445" s="1">
        <v>43568</v>
      </c>
      <c r="H445">
        <v>88915</v>
      </c>
      <c r="I445" t="s">
        <v>52</v>
      </c>
      <c r="J445" t="s">
        <v>53</v>
      </c>
      <c r="K445" t="s">
        <v>83</v>
      </c>
      <c r="L445" t="s">
        <v>62</v>
      </c>
      <c r="M445">
        <v>39</v>
      </c>
      <c r="N445" t="s">
        <v>34</v>
      </c>
      <c r="O445">
        <v>2</v>
      </c>
      <c r="P445">
        <v>3</v>
      </c>
      <c r="Q445">
        <v>3</v>
      </c>
      <c r="R445">
        <v>4</v>
      </c>
      <c r="S445">
        <v>5</v>
      </c>
      <c r="T445">
        <v>6</v>
      </c>
      <c r="U445">
        <v>17</v>
      </c>
      <c r="V445" t="s">
        <v>2166</v>
      </c>
      <c r="W445" t="s">
        <v>34</v>
      </c>
      <c r="Y445" s="2" t="str">
        <f>IF(EmployeeData[[#This Row],[Age]]&lt;25,"Under 25",IF(EmployeeData[[#This Row],[Age]]&lt;=34,"25-34",IF(EmployeeData[[#This Row],[Age]]&lt;=44,"35-44",IF(EmployeeData[[#This Row],[Age]]&lt;=54,"45-54","55+"))))</f>
        <v>25-34</v>
      </c>
      <c r="Z445">
        <f ca="1">DATEDIF(EmployeeData[[#This Row],[DateOfJoining]],IF(AND(EmployeeData[[#This Row],[Attrition]]="Yes",EmployeeData[[#This Row],[LastWorkingDate]]&lt;&gt;""),EmployeeData[[#This Row],[LastWorkingDate]],TODAY()),"Y")</f>
        <v>7</v>
      </c>
      <c r="AA445" t="str">
        <f>IF(EmployeeData[[#This Row],[MonthlyIncome]]&lt;30000,"Low",IF(EmployeeData[[#This Row],[MonthlyIncome]]&lt;=60000,"Medium",IF(EmployeeData[[#This Row],[MonthlyIncome]]&lt;=100000,"High","Very High")))</f>
        <v>High</v>
      </c>
      <c r="AB445">
        <f>IF(EmployeeData[[#This Row],[Attrition]]="Yes",1,0)</f>
        <v>0</v>
      </c>
      <c r="AC445" t="str">
        <f ca="1">IF(EmployeeData[[#This Row],[Tenure Years]]&lt;1,"Less than 1 Year",IF(EmployeeData[[#This Row],[Tenure Years]]&lt;=3,"1-3 Years",IF(EmployeeData[[#This Row],[Tenure Years]]&lt;=5,"4-5 Years",IF(EmployeeData[[#This Row],[Tenure Years]]&lt;=10,"6-10 Years","More than 10 Years"))))</f>
        <v>6-10 Years</v>
      </c>
      <c r="AD445">
        <f>ROUND(AVERAGE(EmployeeData[[#This Row],[JobSatisfaction]],EmployeeData[[#This Row],[EnvironmentSatisfaction]],EmployeeData[[#This Row],[WorkLifeBalance]]),2)</f>
        <v>2.67</v>
      </c>
      <c r="AE445" t="str">
        <f>IF(EmployeeData[[#This Row],[Satisfaction Score]]&lt;2,"Low",IF(EmployeeData[[#This Row],[Satisfaction Score]]&lt;3,"Medium","High"))</f>
        <v>Medium</v>
      </c>
    </row>
    <row r="446" spans="1:31" x14ac:dyDescent="0.25">
      <c r="A446" t="s">
        <v>2167</v>
      </c>
      <c r="B446" t="s">
        <v>2168</v>
      </c>
      <c r="C446" t="s">
        <v>49</v>
      </c>
      <c r="D446">
        <v>38</v>
      </c>
      <c r="E446" t="s">
        <v>128</v>
      </c>
      <c r="F446" t="s">
        <v>226</v>
      </c>
      <c r="G446" s="1">
        <v>41216</v>
      </c>
      <c r="H446">
        <v>54687</v>
      </c>
      <c r="I446" t="s">
        <v>52</v>
      </c>
      <c r="J446" t="s">
        <v>61</v>
      </c>
      <c r="K446" t="s">
        <v>5459</v>
      </c>
      <c r="L446" t="s">
        <v>62</v>
      </c>
      <c r="M446">
        <v>32</v>
      </c>
      <c r="N446" t="s">
        <v>45</v>
      </c>
      <c r="O446">
        <v>1</v>
      </c>
      <c r="P446">
        <v>1</v>
      </c>
      <c r="Q446">
        <v>4</v>
      </c>
      <c r="R446">
        <v>5</v>
      </c>
      <c r="S446">
        <v>6</v>
      </c>
      <c r="T446">
        <v>6</v>
      </c>
      <c r="U446">
        <v>19</v>
      </c>
      <c r="V446" t="s">
        <v>2170</v>
      </c>
      <c r="W446" t="s">
        <v>45</v>
      </c>
      <c r="X446" s="1">
        <v>45774</v>
      </c>
      <c r="Y446" s="2" t="str">
        <f>IF(EmployeeData[[#This Row],[Age]]&lt;25,"Under 25",IF(EmployeeData[[#This Row],[Age]]&lt;=34,"25-34",IF(EmployeeData[[#This Row],[Age]]&lt;=44,"35-44",IF(EmployeeData[[#This Row],[Age]]&lt;=54,"45-54","55+"))))</f>
        <v>35-44</v>
      </c>
      <c r="Z446">
        <f ca="1">DATEDIF(EmployeeData[[#This Row],[DateOfJoining]],IF(AND(EmployeeData[[#This Row],[Attrition]]="Yes",EmployeeData[[#This Row],[LastWorkingDate]]&lt;&gt;""),EmployeeData[[#This Row],[LastWorkingDate]],TODAY()),"Y")</f>
        <v>12</v>
      </c>
      <c r="AA446" t="str">
        <f>IF(EmployeeData[[#This Row],[MonthlyIncome]]&lt;30000,"Low",IF(EmployeeData[[#This Row],[MonthlyIncome]]&lt;=60000,"Medium",IF(EmployeeData[[#This Row],[MonthlyIncome]]&lt;=100000,"High","Very High")))</f>
        <v>Medium</v>
      </c>
      <c r="AB446">
        <f>IF(EmployeeData[[#This Row],[Attrition]]="Yes",1,0)</f>
        <v>1</v>
      </c>
      <c r="AC446" t="str">
        <f ca="1">IF(EmployeeData[[#This Row],[Tenure Years]]&lt;1,"Less than 1 Year",IF(EmployeeData[[#This Row],[Tenure Years]]&lt;=3,"1-3 Years",IF(EmployeeData[[#This Row],[Tenure Years]]&lt;=5,"4-5 Years",IF(EmployeeData[[#This Row],[Tenure Years]]&lt;=10,"6-10 Years","More than 10 Years"))))</f>
        <v>More than 10 Years</v>
      </c>
      <c r="AD446">
        <f>ROUND(AVERAGE(EmployeeData[[#This Row],[JobSatisfaction]],EmployeeData[[#This Row],[EnvironmentSatisfaction]],EmployeeData[[#This Row],[WorkLifeBalance]]),2)</f>
        <v>2</v>
      </c>
      <c r="AE446" t="str">
        <f>IF(EmployeeData[[#This Row],[Satisfaction Score]]&lt;2,"Low",IF(EmployeeData[[#This Row],[Satisfaction Score]]&lt;3,"Medium","High"))</f>
        <v>Medium</v>
      </c>
    </row>
    <row r="447" spans="1:31" x14ac:dyDescent="0.25">
      <c r="A447" t="s">
        <v>2172</v>
      </c>
      <c r="B447" t="s">
        <v>2173</v>
      </c>
      <c r="C447" t="s">
        <v>58</v>
      </c>
      <c r="D447">
        <v>49</v>
      </c>
      <c r="E447" t="s">
        <v>38</v>
      </c>
      <c r="F447" t="s">
        <v>5462</v>
      </c>
      <c r="G447" s="1">
        <v>44142</v>
      </c>
      <c r="H447">
        <v>70607</v>
      </c>
      <c r="I447" t="s">
        <v>42</v>
      </c>
      <c r="J447" t="s">
        <v>31</v>
      </c>
      <c r="K447" t="s">
        <v>54</v>
      </c>
      <c r="L447" t="s">
        <v>33</v>
      </c>
      <c r="M447">
        <v>45</v>
      </c>
      <c r="N447" t="s">
        <v>34</v>
      </c>
      <c r="O447">
        <v>2</v>
      </c>
      <c r="P447">
        <v>2</v>
      </c>
      <c r="Q447">
        <v>2</v>
      </c>
      <c r="R447">
        <v>4</v>
      </c>
      <c r="S447">
        <v>4</v>
      </c>
      <c r="T447">
        <v>0</v>
      </c>
      <c r="U447">
        <v>19</v>
      </c>
      <c r="V447" t="s">
        <v>2175</v>
      </c>
      <c r="W447" t="s">
        <v>45</v>
      </c>
      <c r="X447" s="1">
        <v>44731</v>
      </c>
      <c r="Y447" s="2" t="str">
        <f>IF(EmployeeData[[#This Row],[Age]]&lt;25,"Under 25",IF(EmployeeData[[#This Row],[Age]]&lt;=34,"25-34",IF(EmployeeData[[#This Row],[Age]]&lt;=44,"35-44",IF(EmployeeData[[#This Row],[Age]]&lt;=54,"45-54","55+"))))</f>
        <v>45-54</v>
      </c>
      <c r="Z447">
        <f ca="1">DATEDIF(EmployeeData[[#This Row],[DateOfJoining]],IF(AND(EmployeeData[[#This Row],[Attrition]]="Yes",EmployeeData[[#This Row],[LastWorkingDate]]&lt;&gt;""),EmployeeData[[#This Row],[LastWorkingDate]],TODAY()),"Y")</f>
        <v>1</v>
      </c>
      <c r="AA447" t="str">
        <f>IF(EmployeeData[[#This Row],[MonthlyIncome]]&lt;30000,"Low",IF(EmployeeData[[#This Row],[MonthlyIncome]]&lt;=60000,"Medium",IF(EmployeeData[[#This Row],[MonthlyIncome]]&lt;=100000,"High","Very High")))</f>
        <v>High</v>
      </c>
      <c r="AB447">
        <f>IF(EmployeeData[[#This Row],[Attrition]]="Yes",1,0)</f>
        <v>1</v>
      </c>
      <c r="AC447" t="str">
        <f ca="1">IF(EmployeeData[[#This Row],[Tenure Years]]&lt;1,"Less than 1 Year",IF(EmployeeData[[#This Row],[Tenure Years]]&lt;=3,"1-3 Years",IF(EmployeeData[[#This Row],[Tenure Years]]&lt;=5,"4-5 Years",IF(EmployeeData[[#This Row],[Tenure Years]]&lt;=10,"6-10 Years","More than 10 Years"))))</f>
        <v>1-3 Years</v>
      </c>
      <c r="AD447">
        <f>ROUND(AVERAGE(EmployeeData[[#This Row],[JobSatisfaction]],EmployeeData[[#This Row],[EnvironmentSatisfaction]],EmployeeData[[#This Row],[WorkLifeBalance]]),2)</f>
        <v>2</v>
      </c>
      <c r="AE447" t="str">
        <f>IF(EmployeeData[[#This Row],[Satisfaction Score]]&lt;2,"Low",IF(EmployeeData[[#This Row],[Satisfaction Score]]&lt;3,"Medium","High"))</f>
        <v>Medium</v>
      </c>
    </row>
    <row r="448" spans="1:31" x14ac:dyDescent="0.25">
      <c r="A448" t="s">
        <v>2177</v>
      </c>
      <c r="B448" t="s">
        <v>2178</v>
      </c>
      <c r="C448" t="s">
        <v>49</v>
      </c>
      <c r="D448">
        <v>51</v>
      </c>
      <c r="E448" t="s">
        <v>128</v>
      </c>
      <c r="F448" t="s">
        <v>255</v>
      </c>
      <c r="G448" s="1">
        <v>42873</v>
      </c>
      <c r="H448">
        <v>92755</v>
      </c>
      <c r="I448" t="s">
        <v>42</v>
      </c>
      <c r="J448" t="s">
        <v>61</v>
      </c>
      <c r="K448" t="s">
        <v>77</v>
      </c>
      <c r="L448" t="s">
        <v>43</v>
      </c>
      <c r="M448">
        <v>32</v>
      </c>
      <c r="N448" t="s">
        <v>34</v>
      </c>
      <c r="O448">
        <v>3</v>
      </c>
      <c r="P448">
        <v>2</v>
      </c>
      <c r="Q448">
        <v>1</v>
      </c>
      <c r="R448">
        <v>3</v>
      </c>
      <c r="S448">
        <v>1</v>
      </c>
      <c r="T448">
        <v>3</v>
      </c>
      <c r="U448">
        <v>18</v>
      </c>
      <c r="V448" t="s">
        <v>2180</v>
      </c>
      <c r="W448" t="s">
        <v>45</v>
      </c>
      <c r="X448" s="1">
        <v>45351</v>
      </c>
      <c r="Y448" s="2" t="str">
        <f>IF(EmployeeData[[#This Row],[Age]]&lt;25,"Under 25",IF(EmployeeData[[#This Row],[Age]]&lt;=34,"25-34",IF(EmployeeData[[#This Row],[Age]]&lt;=44,"35-44",IF(EmployeeData[[#This Row],[Age]]&lt;=54,"45-54","55+"))))</f>
        <v>45-54</v>
      </c>
      <c r="Z448">
        <f ca="1">DATEDIF(EmployeeData[[#This Row],[DateOfJoining]],IF(AND(EmployeeData[[#This Row],[Attrition]]="Yes",EmployeeData[[#This Row],[LastWorkingDate]]&lt;&gt;""),EmployeeData[[#This Row],[LastWorkingDate]],TODAY()),"Y")</f>
        <v>6</v>
      </c>
      <c r="AA448" t="str">
        <f>IF(EmployeeData[[#This Row],[MonthlyIncome]]&lt;30000,"Low",IF(EmployeeData[[#This Row],[MonthlyIncome]]&lt;=60000,"Medium",IF(EmployeeData[[#This Row],[MonthlyIncome]]&lt;=100000,"High","Very High")))</f>
        <v>High</v>
      </c>
      <c r="AB448">
        <f>IF(EmployeeData[[#This Row],[Attrition]]="Yes",1,0)</f>
        <v>1</v>
      </c>
      <c r="AC448" t="str">
        <f ca="1">IF(EmployeeData[[#This Row],[Tenure Years]]&lt;1,"Less than 1 Year",IF(EmployeeData[[#This Row],[Tenure Years]]&lt;=3,"1-3 Years",IF(EmployeeData[[#This Row],[Tenure Years]]&lt;=5,"4-5 Years",IF(EmployeeData[[#This Row],[Tenure Years]]&lt;=10,"6-10 Years","More than 10 Years"))))</f>
        <v>6-10 Years</v>
      </c>
      <c r="AD448">
        <f>ROUND(AVERAGE(EmployeeData[[#This Row],[JobSatisfaction]],EmployeeData[[#This Row],[EnvironmentSatisfaction]],EmployeeData[[#This Row],[WorkLifeBalance]]),2)</f>
        <v>2</v>
      </c>
      <c r="AE448" t="str">
        <f>IF(EmployeeData[[#This Row],[Satisfaction Score]]&lt;2,"Low",IF(EmployeeData[[#This Row],[Satisfaction Score]]&lt;3,"Medium","High"))</f>
        <v>Medium</v>
      </c>
    </row>
    <row r="449" spans="1:31" x14ac:dyDescent="0.25">
      <c r="A449" t="s">
        <v>2182</v>
      </c>
      <c r="B449" t="s">
        <v>2183</v>
      </c>
      <c r="C449" t="s">
        <v>58</v>
      </c>
      <c r="D449">
        <v>35</v>
      </c>
      <c r="E449" t="s">
        <v>27</v>
      </c>
      <c r="F449" t="s">
        <v>50</v>
      </c>
      <c r="G449" s="1">
        <v>43717</v>
      </c>
      <c r="H449">
        <v>83084</v>
      </c>
      <c r="I449" t="s">
        <v>30</v>
      </c>
      <c r="J449" t="s">
        <v>31</v>
      </c>
      <c r="K449" t="s">
        <v>200</v>
      </c>
      <c r="L449" t="s">
        <v>62</v>
      </c>
      <c r="M449">
        <v>10</v>
      </c>
      <c r="N449" t="s">
        <v>34</v>
      </c>
      <c r="O449">
        <v>4</v>
      </c>
      <c r="P449">
        <v>2</v>
      </c>
      <c r="Q449">
        <v>1</v>
      </c>
      <c r="R449">
        <v>5</v>
      </c>
      <c r="S449">
        <v>0</v>
      </c>
      <c r="T449">
        <v>3</v>
      </c>
      <c r="U449">
        <v>11</v>
      </c>
      <c r="V449" t="s">
        <v>2185</v>
      </c>
      <c r="W449" t="s">
        <v>34</v>
      </c>
      <c r="Y449" s="2" t="str">
        <f>IF(EmployeeData[[#This Row],[Age]]&lt;25,"Under 25",IF(EmployeeData[[#This Row],[Age]]&lt;=34,"25-34",IF(EmployeeData[[#This Row],[Age]]&lt;=44,"35-44",IF(EmployeeData[[#This Row],[Age]]&lt;=54,"45-54","55+"))))</f>
        <v>35-44</v>
      </c>
      <c r="Z449">
        <f ca="1">DATEDIF(EmployeeData[[#This Row],[DateOfJoining]],IF(AND(EmployeeData[[#This Row],[Attrition]]="Yes",EmployeeData[[#This Row],[LastWorkingDate]]&lt;&gt;""),EmployeeData[[#This Row],[LastWorkingDate]],TODAY()),"Y")</f>
        <v>6</v>
      </c>
      <c r="AA449" t="str">
        <f>IF(EmployeeData[[#This Row],[MonthlyIncome]]&lt;30000,"Low",IF(EmployeeData[[#This Row],[MonthlyIncome]]&lt;=60000,"Medium",IF(EmployeeData[[#This Row],[MonthlyIncome]]&lt;=100000,"High","Very High")))</f>
        <v>High</v>
      </c>
      <c r="AB449">
        <f>IF(EmployeeData[[#This Row],[Attrition]]="Yes",1,0)</f>
        <v>0</v>
      </c>
      <c r="AC449" t="str">
        <f ca="1">IF(EmployeeData[[#This Row],[Tenure Years]]&lt;1,"Less than 1 Year",IF(EmployeeData[[#This Row],[Tenure Years]]&lt;=3,"1-3 Years",IF(EmployeeData[[#This Row],[Tenure Years]]&lt;=5,"4-5 Years",IF(EmployeeData[[#This Row],[Tenure Years]]&lt;=10,"6-10 Years","More than 10 Years"))))</f>
        <v>6-10 Years</v>
      </c>
      <c r="AD449">
        <f>ROUND(AVERAGE(EmployeeData[[#This Row],[JobSatisfaction]],EmployeeData[[#This Row],[EnvironmentSatisfaction]],EmployeeData[[#This Row],[WorkLifeBalance]]),2)</f>
        <v>2.33</v>
      </c>
      <c r="AE449" t="str">
        <f>IF(EmployeeData[[#This Row],[Satisfaction Score]]&lt;2,"Low",IF(EmployeeData[[#This Row],[Satisfaction Score]]&lt;3,"Medium","High"))</f>
        <v>Medium</v>
      </c>
    </row>
    <row r="450" spans="1:31" x14ac:dyDescent="0.25">
      <c r="A450" t="s">
        <v>2186</v>
      </c>
      <c r="B450" t="s">
        <v>2187</v>
      </c>
      <c r="C450" t="s">
        <v>49</v>
      </c>
      <c r="D450">
        <v>34</v>
      </c>
      <c r="E450" t="s">
        <v>94</v>
      </c>
      <c r="F450" t="s">
        <v>639</v>
      </c>
      <c r="G450" s="1">
        <v>41626</v>
      </c>
      <c r="H450">
        <v>114116</v>
      </c>
      <c r="I450" t="s">
        <v>30</v>
      </c>
      <c r="J450" t="s">
        <v>61</v>
      </c>
      <c r="K450" t="s">
        <v>113</v>
      </c>
      <c r="L450" t="s">
        <v>43</v>
      </c>
      <c r="M450">
        <v>14</v>
      </c>
      <c r="N450" t="s">
        <v>34</v>
      </c>
      <c r="O450">
        <v>2</v>
      </c>
      <c r="P450">
        <v>3</v>
      </c>
      <c r="Q450">
        <v>1</v>
      </c>
      <c r="R450">
        <v>2</v>
      </c>
      <c r="S450">
        <v>5</v>
      </c>
      <c r="T450">
        <v>2</v>
      </c>
      <c r="U450">
        <v>17</v>
      </c>
      <c r="V450" t="s">
        <v>2188</v>
      </c>
      <c r="W450" t="s">
        <v>34</v>
      </c>
      <c r="Y450" s="2" t="str">
        <f>IF(EmployeeData[[#This Row],[Age]]&lt;25,"Under 25",IF(EmployeeData[[#This Row],[Age]]&lt;=34,"25-34",IF(EmployeeData[[#This Row],[Age]]&lt;=44,"35-44",IF(EmployeeData[[#This Row],[Age]]&lt;=54,"45-54","55+"))))</f>
        <v>25-34</v>
      </c>
      <c r="Z450">
        <f ca="1">DATEDIF(EmployeeData[[#This Row],[DateOfJoining]],IF(AND(EmployeeData[[#This Row],[Attrition]]="Yes",EmployeeData[[#This Row],[LastWorkingDate]]&lt;&gt;""),EmployeeData[[#This Row],[LastWorkingDate]],TODAY()),"Y")</f>
        <v>12</v>
      </c>
      <c r="AA450" t="str">
        <f>IF(EmployeeData[[#This Row],[MonthlyIncome]]&lt;30000,"Low",IF(EmployeeData[[#This Row],[MonthlyIncome]]&lt;=60000,"Medium",IF(EmployeeData[[#This Row],[MonthlyIncome]]&lt;=100000,"High","Very High")))</f>
        <v>Very High</v>
      </c>
      <c r="AB450">
        <f>IF(EmployeeData[[#This Row],[Attrition]]="Yes",1,0)</f>
        <v>0</v>
      </c>
      <c r="AC450" t="str">
        <f ca="1">IF(EmployeeData[[#This Row],[Tenure Years]]&lt;1,"Less than 1 Year",IF(EmployeeData[[#This Row],[Tenure Years]]&lt;=3,"1-3 Years",IF(EmployeeData[[#This Row],[Tenure Years]]&lt;=5,"4-5 Years",IF(EmployeeData[[#This Row],[Tenure Years]]&lt;=10,"6-10 Years","More than 10 Years"))))</f>
        <v>More than 10 Years</v>
      </c>
      <c r="AD450">
        <f>ROUND(AVERAGE(EmployeeData[[#This Row],[JobSatisfaction]],EmployeeData[[#This Row],[EnvironmentSatisfaction]],EmployeeData[[#This Row],[WorkLifeBalance]]),2)</f>
        <v>2</v>
      </c>
      <c r="AE450" t="str">
        <f>IF(EmployeeData[[#This Row],[Satisfaction Score]]&lt;2,"Low",IF(EmployeeData[[#This Row],[Satisfaction Score]]&lt;3,"Medium","High"))</f>
        <v>Medium</v>
      </c>
    </row>
    <row r="451" spans="1:31" x14ac:dyDescent="0.25">
      <c r="A451" t="s">
        <v>2189</v>
      </c>
      <c r="B451" t="s">
        <v>2190</v>
      </c>
      <c r="C451" t="s">
        <v>49</v>
      </c>
      <c r="D451">
        <v>40</v>
      </c>
      <c r="E451" t="s">
        <v>27</v>
      </c>
      <c r="F451" t="s">
        <v>75</v>
      </c>
      <c r="G451" s="1">
        <v>43611</v>
      </c>
      <c r="H451">
        <v>74701</v>
      </c>
      <c r="I451" t="s">
        <v>30</v>
      </c>
      <c r="J451" t="s">
        <v>61</v>
      </c>
      <c r="K451" t="s">
        <v>54</v>
      </c>
      <c r="L451" t="s">
        <v>33</v>
      </c>
      <c r="M451">
        <v>45</v>
      </c>
      <c r="N451" t="s">
        <v>45</v>
      </c>
      <c r="O451">
        <v>2</v>
      </c>
      <c r="P451">
        <v>4</v>
      </c>
      <c r="Q451">
        <v>2</v>
      </c>
      <c r="R451">
        <v>3</v>
      </c>
      <c r="S451">
        <v>2</v>
      </c>
      <c r="T451">
        <v>2</v>
      </c>
      <c r="U451">
        <v>18</v>
      </c>
      <c r="V451" t="s">
        <v>2192</v>
      </c>
      <c r="W451" t="s">
        <v>45</v>
      </c>
      <c r="X451" s="1">
        <v>44067</v>
      </c>
      <c r="Y451" s="2" t="str">
        <f>IF(EmployeeData[[#This Row],[Age]]&lt;25,"Under 25",IF(EmployeeData[[#This Row],[Age]]&lt;=34,"25-34",IF(EmployeeData[[#This Row],[Age]]&lt;=44,"35-44",IF(EmployeeData[[#This Row],[Age]]&lt;=54,"45-54","55+"))))</f>
        <v>35-44</v>
      </c>
      <c r="Z451">
        <f ca="1">DATEDIF(EmployeeData[[#This Row],[DateOfJoining]],IF(AND(EmployeeData[[#This Row],[Attrition]]="Yes",EmployeeData[[#This Row],[LastWorkingDate]]&lt;&gt;""),EmployeeData[[#This Row],[LastWorkingDate]],TODAY()),"Y")</f>
        <v>1</v>
      </c>
      <c r="AA451" t="str">
        <f>IF(EmployeeData[[#This Row],[MonthlyIncome]]&lt;30000,"Low",IF(EmployeeData[[#This Row],[MonthlyIncome]]&lt;=60000,"Medium",IF(EmployeeData[[#This Row],[MonthlyIncome]]&lt;=100000,"High","Very High")))</f>
        <v>High</v>
      </c>
      <c r="AB451">
        <f>IF(EmployeeData[[#This Row],[Attrition]]="Yes",1,0)</f>
        <v>1</v>
      </c>
      <c r="AC451" t="str">
        <f ca="1">IF(EmployeeData[[#This Row],[Tenure Years]]&lt;1,"Less than 1 Year",IF(EmployeeData[[#This Row],[Tenure Years]]&lt;=3,"1-3 Years",IF(EmployeeData[[#This Row],[Tenure Years]]&lt;=5,"4-5 Years",IF(EmployeeData[[#This Row],[Tenure Years]]&lt;=10,"6-10 Years","More than 10 Years"))))</f>
        <v>1-3 Years</v>
      </c>
      <c r="AD451">
        <f>ROUND(AVERAGE(EmployeeData[[#This Row],[JobSatisfaction]],EmployeeData[[#This Row],[EnvironmentSatisfaction]],EmployeeData[[#This Row],[WorkLifeBalance]]),2)</f>
        <v>2.67</v>
      </c>
      <c r="AE451" t="str">
        <f>IF(EmployeeData[[#This Row],[Satisfaction Score]]&lt;2,"Low",IF(EmployeeData[[#This Row],[Satisfaction Score]]&lt;3,"Medium","High"))</f>
        <v>Medium</v>
      </c>
    </row>
    <row r="452" spans="1:31" x14ac:dyDescent="0.25">
      <c r="A452" t="s">
        <v>2194</v>
      </c>
      <c r="B452" t="s">
        <v>2195</v>
      </c>
      <c r="C452" t="s">
        <v>49</v>
      </c>
      <c r="D452">
        <v>35</v>
      </c>
      <c r="E452" t="s">
        <v>38</v>
      </c>
      <c r="F452" t="s">
        <v>792</v>
      </c>
      <c r="G452" s="1">
        <v>45749</v>
      </c>
      <c r="H452">
        <v>68845</v>
      </c>
      <c r="I452" t="s">
        <v>30</v>
      </c>
      <c r="J452" t="s">
        <v>31</v>
      </c>
      <c r="K452" t="s">
        <v>32</v>
      </c>
      <c r="L452" t="s">
        <v>43</v>
      </c>
      <c r="M452">
        <v>4</v>
      </c>
      <c r="N452" t="s">
        <v>34</v>
      </c>
      <c r="O452">
        <v>1</v>
      </c>
      <c r="P452">
        <v>1</v>
      </c>
      <c r="Q452">
        <v>4</v>
      </c>
      <c r="R452">
        <v>3</v>
      </c>
      <c r="S452">
        <v>5</v>
      </c>
      <c r="T452">
        <v>6</v>
      </c>
      <c r="U452">
        <v>22</v>
      </c>
      <c r="V452" t="s">
        <v>2197</v>
      </c>
      <c r="W452" t="s">
        <v>45</v>
      </c>
      <c r="X452" s="1">
        <v>46133</v>
      </c>
      <c r="Y452" s="2" t="str">
        <f>IF(EmployeeData[[#This Row],[Age]]&lt;25,"Under 25",IF(EmployeeData[[#This Row],[Age]]&lt;=34,"25-34",IF(EmployeeData[[#This Row],[Age]]&lt;=44,"35-44",IF(EmployeeData[[#This Row],[Age]]&lt;=54,"45-54","55+"))))</f>
        <v>35-44</v>
      </c>
      <c r="Z452">
        <f ca="1">DATEDIF(EmployeeData[[#This Row],[DateOfJoining]],IF(AND(EmployeeData[[#This Row],[Attrition]]="Yes",EmployeeData[[#This Row],[LastWorkingDate]]&lt;&gt;""),EmployeeData[[#This Row],[LastWorkingDate]],TODAY()),"Y")</f>
        <v>1</v>
      </c>
      <c r="AA452" t="str">
        <f>IF(EmployeeData[[#This Row],[MonthlyIncome]]&lt;30000,"Low",IF(EmployeeData[[#This Row],[MonthlyIncome]]&lt;=60000,"Medium",IF(EmployeeData[[#This Row],[MonthlyIncome]]&lt;=100000,"High","Very High")))</f>
        <v>High</v>
      </c>
      <c r="AB452">
        <f>IF(EmployeeData[[#This Row],[Attrition]]="Yes",1,0)</f>
        <v>1</v>
      </c>
      <c r="AC452" t="str">
        <f ca="1">IF(EmployeeData[[#This Row],[Tenure Years]]&lt;1,"Less than 1 Year",IF(EmployeeData[[#This Row],[Tenure Years]]&lt;=3,"1-3 Years",IF(EmployeeData[[#This Row],[Tenure Years]]&lt;=5,"4-5 Years",IF(EmployeeData[[#This Row],[Tenure Years]]&lt;=10,"6-10 Years","More than 10 Years"))))</f>
        <v>1-3 Years</v>
      </c>
      <c r="AD452">
        <f>ROUND(AVERAGE(EmployeeData[[#This Row],[JobSatisfaction]],EmployeeData[[#This Row],[EnvironmentSatisfaction]],EmployeeData[[#This Row],[WorkLifeBalance]]),2)</f>
        <v>2</v>
      </c>
      <c r="AE452" t="str">
        <f>IF(EmployeeData[[#This Row],[Satisfaction Score]]&lt;2,"Low",IF(EmployeeData[[#This Row],[Satisfaction Score]]&lt;3,"Medium","High"))</f>
        <v>Medium</v>
      </c>
    </row>
    <row r="453" spans="1:31" x14ac:dyDescent="0.25">
      <c r="A453" t="s">
        <v>2199</v>
      </c>
      <c r="B453" t="s">
        <v>2200</v>
      </c>
      <c r="C453" t="s">
        <v>58</v>
      </c>
      <c r="D453">
        <v>42</v>
      </c>
      <c r="E453" t="s">
        <v>197</v>
      </c>
      <c r="F453" t="s">
        <v>323</v>
      </c>
      <c r="G453" s="1">
        <v>42051</v>
      </c>
      <c r="H453">
        <v>102052</v>
      </c>
      <c r="I453" t="s">
        <v>52</v>
      </c>
      <c r="J453" t="s">
        <v>31</v>
      </c>
      <c r="K453" t="s">
        <v>131</v>
      </c>
      <c r="L453" t="s">
        <v>33</v>
      </c>
      <c r="M453">
        <v>28</v>
      </c>
      <c r="N453" t="s">
        <v>34</v>
      </c>
      <c r="O453">
        <v>2</v>
      </c>
      <c r="P453">
        <v>2</v>
      </c>
      <c r="Q453">
        <v>2</v>
      </c>
      <c r="R453">
        <v>5</v>
      </c>
      <c r="S453">
        <v>5</v>
      </c>
      <c r="T453">
        <v>7</v>
      </c>
      <c r="U453">
        <v>14</v>
      </c>
      <c r="V453" t="s">
        <v>2202</v>
      </c>
      <c r="W453" t="s">
        <v>45</v>
      </c>
      <c r="X453" s="1">
        <v>46043</v>
      </c>
      <c r="Y453" s="2" t="str">
        <f>IF(EmployeeData[[#This Row],[Age]]&lt;25,"Under 25",IF(EmployeeData[[#This Row],[Age]]&lt;=34,"25-34",IF(EmployeeData[[#This Row],[Age]]&lt;=44,"35-44",IF(EmployeeData[[#This Row],[Age]]&lt;=54,"45-54","55+"))))</f>
        <v>35-44</v>
      </c>
      <c r="Z453">
        <f ca="1">DATEDIF(EmployeeData[[#This Row],[DateOfJoining]],IF(AND(EmployeeData[[#This Row],[Attrition]]="Yes",EmployeeData[[#This Row],[LastWorkingDate]]&lt;&gt;""),EmployeeData[[#This Row],[LastWorkingDate]],TODAY()),"Y")</f>
        <v>10</v>
      </c>
      <c r="AA453" t="str">
        <f>IF(EmployeeData[[#This Row],[MonthlyIncome]]&lt;30000,"Low",IF(EmployeeData[[#This Row],[MonthlyIncome]]&lt;=60000,"Medium",IF(EmployeeData[[#This Row],[MonthlyIncome]]&lt;=100000,"High","Very High")))</f>
        <v>Very High</v>
      </c>
      <c r="AB453">
        <f>IF(EmployeeData[[#This Row],[Attrition]]="Yes",1,0)</f>
        <v>1</v>
      </c>
      <c r="AC453" t="str">
        <f ca="1">IF(EmployeeData[[#This Row],[Tenure Years]]&lt;1,"Less than 1 Year",IF(EmployeeData[[#This Row],[Tenure Years]]&lt;=3,"1-3 Years",IF(EmployeeData[[#This Row],[Tenure Years]]&lt;=5,"4-5 Years",IF(EmployeeData[[#This Row],[Tenure Years]]&lt;=10,"6-10 Years","More than 10 Years"))))</f>
        <v>6-10 Years</v>
      </c>
      <c r="AD453">
        <f>ROUND(AVERAGE(EmployeeData[[#This Row],[JobSatisfaction]],EmployeeData[[#This Row],[EnvironmentSatisfaction]],EmployeeData[[#This Row],[WorkLifeBalance]]),2)</f>
        <v>2</v>
      </c>
      <c r="AE453" t="str">
        <f>IF(EmployeeData[[#This Row],[Satisfaction Score]]&lt;2,"Low",IF(EmployeeData[[#This Row],[Satisfaction Score]]&lt;3,"Medium","High"))</f>
        <v>Medium</v>
      </c>
    </row>
    <row r="454" spans="1:31" x14ac:dyDescent="0.25">
      <c r="A454" t="s">
        <v>2204</v>
      </c>
      <c r="B454" t="s">
        <v>2205</v>
      </c>
      <c r="C454" t="s">
        <v>49</v>
      </c>
      <c r="D454">
        <v>36</v>
      </c>
      <c r="E454" t="s">
        <v>128</v>
      </c>
      <c r="F454" t="s">
        <v>271</v>
      </c>
      <c r="G454" s="1">
        <v>43479</v>
      </c>
      <c r="H454">
        <v>78358</v>
      </c>
      <c r="I454" t="s">
        <v>42</v>
      </c>
      <c r="J454" t="s">
        <v>61</v>
      </c>
      <c r="K454" t="s">
        <v>200</v>
      </c>
      <c r="L454" t="s">
        <v>43</v>
      </c>
      <c r="M454">
        <v>12</v>
      </c>
      <c r="N454" t="s">
        <v>45</v>
      </c>
      <c r="O454">
        <v>4</v>
      </c>
      <c r="P454">
        <v>1</v>
      </c>
      <c r="Q454">
        <v>4</v>
      </c>
      <c r="R454">
        <v>4</v>
      </c>
      <c r="S454">
        <v>4</v>
      </c>
      <c r="T454">
        <v>8</v>
      </c>
      <c r="U454">
        <v>24</v>
      </c>
      <c r="V454" t="s">
        <v>5459</v>
      </c>
      <c r="W454" t="s">
        <v>34</v>
      </c>
      <c r="Y454" s="2" t="str">
        <f>IF(EmployeeData[[#This Row],[Age]]&lt;25,"Under 25",IF(EmployeeData[[#This Row],[Age]]&lt;=34,"25-34",IF(EmployeeData[[#This Row],[Age]]&lt;=44,"35-44",IF(EmployeeData[[#This Row],[Age]]&lt;=54,"45-54","55+"))))</f>
        <v>35-44</v>
      </c>
      <c r="Z454">
        <f ca="1">DATEDIF(EmployeeData[[#This Row],[DateOfJoining]],IF(AND(EmployeeData[[#This Row],[Attrition]]="Yes",EmployeeData[[#This Row],[LastWorkingDate]]&lt;&gt;""),EmployeeData[[#This Row],[LastWorkingDate]],TODAY()),"Y")</f>
        <v>7</v>
      </c>
      <c r="AA454" t="str">
        <f>IF(EmployeeData[[#This Row],[MonthlyIncome]]&lt;30000,"Low",IF(EmployeeData[[#This Row],[MonthlyIncome]]&lt;=60000,"Medium",IF(EmployeeData[[#This Row],[MonthlyIncome]]&lt;=100000,"High","Very High")))</f>
        <v>High</v>
      </c>
      <c r="AB454">
        <f>IF(EmployeeData[[#This Row],[Attrition]]="Yes",1,0)</f>
        <v>0</v>
      </c>
      <c r="AC454" t="str">
        <f ca="1">IF(EmployeeData[[#This Row],[Tenure Years]]&lt;1,"Less than 1 Year",IF(EmployeeData[[#This Row],[Tenure Years]]&lt;=3,"1-3 Years",IF(EmployeeData[[#This Row],[Tenure Years]]&lt;=5,"4-5 Years",IF(EmployeeData[[#This Row],[Tenure Years]]&lt;=10,"6-10 Years","More than 10 Years"))))</f>
        <v>6-10 Years</v>
      </c>
      <c r="AD454">
        <f>ROUND(AVERAGE(EmployeeData[[#This Row],[JobSatisfaction]],EmployeeData[[#This Row],[EnvironmentSatisfaction]],EmployeeData[[#This Row],[WorkLifeBalance]]),2)</f>
        <v>3</v>
      </c>
      <c r="AE454" t="str">
        <f>IF(EmployeeData[[#This Row],[Satisfaction Score]]&lt;2,"Low",IF(EmployeeData[[#This Row],[Satisfaction Score]]&lt;3,"Medium","High"))</f>
        <v>High</v>
      </c>
    </row>
    <row r="455" spans="1:31" x14ac:dyDescent="0.25">
      <c r="A455" t="s">
        <v>2207</v>
      </c>
      <c r="B455" t="s">
        <v>2208</v>
      </c>
      <c r="C455" t="s">
        <v>49</v>
      </c>
      <c r="D455">
        <v>32</v>
      </c>
      <c r="E455" t="s">
        <v>5461</v>
      </c>
      <c r="F455" t="s">
        <v>483</v>
      </c>
      <c r="G455" s="1">
        <v>41074</v>
      </c>
      <c r="H455">
        <v>118318</v>
      </c>
      <c r="I455" t="s">
        <v>42</v>
      </c>
      <c r="J455" t="s">
        <v>61</v>
      </c>
      <c r="K455" t="s">
        <v>77</v>
      </c>
      <c r="L455" t="s">
        <v>33</v>
      </c>
      <c r="M455">
        <v>29</v>
      </c>
      <c r="N455" t="s">
        <v>34</v>
      </c>
      <c r="O455">
        <v>4</v>
      </c>
      <c r="P455">
        <v>4</v>
      </c>
      <c r="Q455">
        <v>3</v>
      </c>
      <c r="R455">
        <v>3</v>
      </c>
      <c r="S455">
        <v>5</v>
      </c>
      <c r="T455">
        <v>6</v>
      </c>
      <c r="U455">
        <v>21</v>
      </c>
      <c r="V455" t="s">
        <v>2211</v>
      </c>
      <c r="W455" t="s">
        <v>34</v>
      </c>
      <c r="Y455" s="2" t="str">
        <f>IF(EmployeeData[[#This Row],[Age]]&lt;25,"Under 25",IF(EmployeeData[[#This Row],[Age]]&lt;=34,"25-34",IF(EmployeeData[[#This Row],[Age]]&lt;=44,"35-44",IF(EmployeeData[[#This Row],[Age]]&lt;=54,"45-54","55+"))))</f>
        <v>25-34</v>
      </c>
      <c r="Z455">
        <f ca="1">DATEDIF(EmployeeData[[#This Row],[DateOfJoining]],IF(AND(EmployeeData[[#This Row],[Attrition]]="Yes",EmployeeData[[#This Row],[LastWorkingDate]]&lt;&gt;""),EmployeeData[[#This Row],[LastWorkingDate]],TODAY()),"Y")</f>
        <v>14</v>
      </c>
      <c r="AA455" t="str">
        <f>IF(EmployeeData[[#This Row],[MonthlyIncome]]&lt;30000,"Low",IF(EmployeeData[[#This Row],[MonthlyIncome]]&lt;=60000,"Medium",IF(EmployeeData[[#This Row],[MonthlyIncome]]&lt;=100000,"High","Very High")))</f>
        <v>Very High</v>
      </c>
      <c r="AB455">
        <f>IF(EmployeeData[[#This Row],[Attrition]]="Yes",1,0)</f>
        <v>0</v>
      </c>
      <c r="AC455" t="str">
        <f ca="1">IF(EmployeeData[[#This Row],[Tenure Years]]&lt;1,"Less than 1 Year",IF(EmployeeData[[#This Row],[Tenure Years]]&lt;=3,"1-3 Years",IF(EmployeeData[[#This Row],[Tenure Years]]&lt;=5,"4-5 Years",IF(EmployeeData[[#This Row],[Tenure Years]]&lt;=10,"6-10 Years","More than 10 Years"))))</f>
        <v>More than 10 Years</v>
      </c>
      <c r="AD455">
        <f>ROUND(AVERAGE(EmployeeData[[#This Row],[JobSatisfaction]],EmployeeData[[#This Row],[EnvironmentSatisfaction]],EmployeeData[[#This Row],[WorkLifeBalance]]),2)</f>
        <v>3.67</v>
      </c>
      <c r="AE455" t="str">
        <f>IF(EmployeeData[[#This Row],[Satisfaction Score]]&lt;2,"Low",IF(EmployeeData[[#This Row],[Satisfaction Score]]&lt;3,"Medium","High"))</f>
        <v>High</v>
      </c>
    </row>
    <row r="456" spans="1:31" x14ac:dyDescent="0.25">
      <c r="A456" t="s">
        <v>2212</v>
      </c>
      <c r="B456" t="s">
        <v>2213</v>
      </c>
      <c r="C456" t="s">
        <v>58</v>
      </c>
      <c r="D456">
        <v>42</v>
      </c>
      <c r="E456" t="s">
        <v>197</v>
      </c>
      <c r="F456" t="s">
        <v>235</v>
      </c>
      <c r="G456" s="1">
        <v>41054</v>
      </c>
      <c r="H456">
        <v>94992</v>
      </c>
      <c r="I456" t="s">
        <v>52</v>
      </c>
      <c r="J456" t="s">
        <v>5459</v>
      </c>
      <c r="K456" t="s">
        <v>32</v>
      </c>
      <c r="L456" t="s">
        <v>62</v>
      </c>
      <c r="M456">
        <v>16</v>
      </c>
      <c r="N456" t="s">
        <v>34</v>
      </c>
      <c r="O456">
        <v>4</v>
      </c>
      <c r="P456">
        <v>4</v>
      </c>
      <c r="Q456">
        <v>1</v>
      </c>
      <c r="R456">
        <v>3</v>
      </c>
      <c r="S456">
        <v>4</v>
      </c>
      <c r="T456">
        <v>3</v>
      </c>
      <c r="U456">
        <v>15</v>
      </c>
      <c r="V456" t="s">
        <v>2215</v>
      </c>
      <c r="W456" t="s">
        <v>34</v>
      </c>
      <c r="Y456" s="2" t="str">
        <f>IF(EmployeeData[[#This Row],[Age]]&lt;25,"Under 25",IF(EmployeeData[[#This Row],[Age]]&lt;=34,"25-34",IF(EmployeeData[[#This Row],[Age]]&lt;=44,"35-44",IF(EmployeeData[[#This Row],[Age]]&lt;=54,"45-54","55+"))))</f>
        <v>35-44</v>
      </c>
      <c r="Z456">
        <f ca="1">DATEDIF(EmployeeData[[#This Row],[DateOfJoining]],IF(AND(EmployeeData[[#This Row],[Attrition]]="Yes",EmployeeData[[#This Row],[LastWorkingDate]]&lt;&gt;""),EmployeeData[[#This Row],[LastWorkingDate]],TODAY()),"Y")</f>
        <v>14</v>
      </c>
      <c r="AA456" t="str">
        <f>IF(EmployeeData[[#This Row],[MonthlyIncome]]&lt;30000,"Low",IF(EmployeeData[[#This Row],[MonthlyIncome]]&lt;=60000,"Medium",IF(EmployeeData[[#This Row],[MonthlyIncome]]&lt;=100000,"High","Very High")))</f>
        <v>High</v>
      </c>
      <c r="AB456">
        <f>IF(EmployeeData[[#This Row],[Attrition]]="Yes",1,0)</f>
        <v>0</v>
      </c>
      <c r="AC456" t="str">
        <f ca="1">IF(EmployeeData[[#This Row],[Tenure Years]]&lt;1,"Less than 1 Year",IF(EmployeeData[[#This Row],[Tenure Years]]&lt;=3,"1-3 Years",IF(EmployeeData[[#This Row],[Tenure Years]]&lt;=5,"4-5 Years",IF(EmployeeData[[#This Row],[Tenure Years]]&lt;=10,"6-10 Years","More than 10 Years"))))</f>
        <v>More than 10 Years</v>
      </c>
      <c r="AD456">
        <f>ROUND(AVERAGE(EmployeeData[[#This Row],[JobSatisfaction]],EmployeeData[[#This Row],[EnvironmentSatisfaction]],EmployeeData[[#This Row],[WorkLifeBalance]]),2)</f>
        <v>3</v>
      </c>
      <c r="AE456" t="str">
        <f>IF(EmployeeData[[#This Row],[Satisfaction Score]]&lt;2,"Low",IF(EmployeeData[[#This Row],[Satisfaction Score]]&lt;3,"Medium","High"))</f>
        <v>High</v>
      </c>
    </row>
    <row r="457" spans="1:31" x14ac:dyDescent="0.25">
      <c r="A457" t="s">
        <v>2216</v>
      </c>
      <c r="B457" t="s">
        <v>2217</v>
      </c>
      <c r="C457" t="s">
        <v>49</v>
      </c>
      <c r="D457">
        <v>20</v>
      </c>
      <c r="E457" t="s">
        <v>94</v>
      </c>
      <c r="F457" t="s">
        <v>639</v>
      </c>
      <c r="G457" s="1">
        <v>42187</v>
      </c>
      <c r="H457">
        <v>82103</v>
      </c>
      <c r="I457" t="s">
        <v>42</v>
      </c>
      <c r="J457" t="s">
        <v>31</v>
      </c>
      <c r="K457" t="s">
        <v>77</v>
      </c>
      <c r="L457" t="s">
        <v>43</v>
      </c>
      <c r="M457">
        <v>27</v>
      </c>
      <c r="N457" t="s">
        <v>45</v>
      </c>
      <c r="O457">
        <v>1</v>
      </c>
      <c r="P457">
        <v>1</v>
      </c>
      <c r="Q457">
        <v>3</v>
      </c>
      <c r="R457">
        <v>3</v>
      </c>
      <c r="S457">
        <v>0</v>
      </c>
      <c r="T457">
        <v>4</v>
      </c>
      <c r="U457">
        <v>18</v>
      </c>
      <c r="V457" t="s">
        <v>2219</v>
      </c>
      <c r="W457" t="s">
        <v>45</v>
      </c>
      <c r="X457" s="1">
        <v>42946</v>
      </c>
      <c r="Y457" s="2" t="str">
        <f>IF(EmployeeData[[#This Row],[Age]]&lt;25,"Under 25",IF(EmployeeData[[#This Row],[Age]]&lt;=34,"25-34",IF(EmployeeData[[#This Row],[Age]]&lt;=44,"35-44",IF(EmployeeData[[#This Row],[Age]]&lt;=54,"45-54","55+"))))</f>
        <v>Under 25</v>
      </c>
      <c r="Z457">
        <f ca="1">DATEDIF(EmployeeData[[#This Row],[DateOfJoining]],IF(AND(EmployeeData[[#This Row],[Attrition]]="Yes",EmployeeData[[#This Row],[LastWorkingDate]]&lt;&gt;""),EmployeeData[[#This Row],[LastWorkingDate]],TODAY()),"Y")</f>
        <v>2</v>
      </c>
      <c r="AA457" t="str">
        <f>IF(EmployeeData[[#This Row],[MonthlyIncome]]&lt;30000,"Low",IF(EmployeeData[[#This Row],[MonthlyIncome]]&lt;=60000,"Medium",IF(EmployeeData[[#This Row],[MonthlyIncome]]&lt;=100000,"High","Very High")))</f>
        <v>High</v>
      </c>
      <c r="AB457">
        <f>IF(EmployeeData[[#This Row],[Attrition]]="Yes",1,0)</f>
        <v>1</v>
      </c>
      <c r="AC457" t="str">
        <f ca="1">IF(EmployeeData[[#This Row],[Tenure Years]]&lt;1,"Less than 1 Year",IF(EmployeeData[[#This Row],[Tenure Years]]&lt;=3,"1-3 Years",IF(EmployeeData[[#This Row],[Tenure Years]]&lt;=5,"4-5 Years",IF(EmployeeData[[#This Row],[Tenure Years]]&lt;=10,"6-10 Years","More than 10 Years"))))</f>
        <v>1-3 Years</v>
      </c>
      <c r="AD457">
        <f>ROUND(AVERAGE(EmployeeData[[#This Row],[JobSatisfaction]],EmployeeData[[#This Row],[EnvironmentSatisfaction]],EmployeeData[[#This Row],[WorkLifeBalance]]),2)</f>
        <v>1.67</v>
      </c>
      <c r="AE457" t="str">
        <f>IF(EmployeeData[[#This Row],[Satisfaction Score]]&lt;2,"Low",IF(EmployeeData[[#This Row],[Satisfaction Score]]&lt;3,"Medium","High"))</f>
        <v>Low</v>
      </c>
    </row>
    <row r="458" spans="1:31" x14ac:dyDescent="0.25">
      <c r="A458" t="s">
        <v>2221</v>
      </c>
      <c r="B458" t="s">
        <v>2222</v>
      </c>
      <c r="C458" t="s">
        <v>49</v>
      </c>
      <c r="D458">
        <v>53</v>
      </c>
      <c r="E458" t="s">
        <v>27</v>
      </c>
      <c r="F458" t="s">
        <v>50</v>
      </c>
      <c r="G458" s="1">
        <v>42687</v>
      </c>
      <c r="H458">
        <v>90033</v>
      </c>
      <c r="I458" t="s">
        <v>42</v>
      </c>
      <c r="J458" t="s">
        <v>31</v>
      </c>
      <c r="K458" t="s">
        <v>98</v>
      </c>
      <c r="L458" t="s">
        <v>43</v>
      </c>
      <c r="M458">
        <v>11</v>
      </c>
      <c r="N458" t="s">
        <v>34</v>
      </c>
      <c r="O458">
        <v>3</v>
      </c>
      <c r="P458">
        <v>4</v>
      </c>
      <c r="Q458">
        <v>3</v>
      </c>
      <c r="R458">
        <v>5</v>
      </c>
      <c r="S458">
        <v>4</v>
      </c>
      <c r="T458">
        <v>3</v>
      </c>
      <c r="U458">
        <v>14</v>
      </c>
      <c r="V458" t="s">
        <v>2224</v>
      </c>
      <c r="W458" t="s">
        <v>34</v>
      </c>
      <c r="Y458" s="2" t="str">
        <f>IF(EmployeeData[[#This Row],[Age]]&lt;25,"Under 25",IF(EmployeeData[[#This Row],[Age]]&lt;=34,"25-34",IF(EmployeeData[[#This Row],[Age]]&lt;=44,"35-44",IF(EmployeeData[[#This Row],[Age]]&lt;=54,"45-54","55+"))))</f>
        <v>45-54</v>
      </c>
      <c r="Z458">
        <f ca="1">DATEDIF(EmployeeData[[#This Row],[DateOfJoining]],IF(AND(EmployeeData[[#This Row],[Attrition]]="Yes",EmployeeData[[#This Row],[LastWorkingDate]]&lt;&gt;""),EmployeeData[[#This Row],[LastWorkingDate]],TODAY()),"Y")</f>
        <v>9</v>
      </c>
      <c r="AA458" t="str">
        <f>IF(EmployeeData[[#This Row],[MonthlyIncome]]&lt;30000,"Low",IF(EmployeeData[[#This Row],[MonthlyIncome]]&lt;=60000,"Medium",IF(EmployeeData[[#This Row],[MonthlyIncome]]&lt;=100000,"High","Very High")))</f>
        <v>High</v>
      </c>
      <c r="AB458">
        <f>IF(EmployeeData[[#This Row],[Attrition]]="Yes",1,0)</f>
        <v>0</v>
      </c>
      <c r="AC458" t="str">
        <f ca="1">IF(EmployeeData[[#This Row],[Tenure Years]]&lt;1,"Less than 1 Year",IF(EmployeeData[[#This Row],[Tenure Years]]&lt;=3,"1-3 Years",IF(EmployeeData[[#This Row],[Tenure Years]]&lt;=5,"4-5 Years",IF(EmployeeData[[#This Row],[Tenure Years]]&lt;=10,"6-10 Years","More than 10 Years"))))</f>
        <v>6-10 Years</v>
      </c>
      <c r="AD458">
        <f>ROUND(AVERAGE(EmployeeData[[#This Row],[JobSatisfaction]],EmployeeData[[#This Row],[EnvironmentSatisfaction]],EmployeeData[[#This Row],[WorkLifeBalance]]),2)</f>
        <v>3.33</v>
      </c>
      <c r="AE458" t="str">
        <f>IF(EmployeeData[[#This Row],[Satisfaction Score]]&lt;2,"Low",IF(EmployeeData[[#This Row],[Satisfaction Score]]&lt;3,"Medium","High"))</f>
        <v>High</v>
      </c>
    </row>
    <row r="459" spans="1:31" x14ac:dyDescent="0.25">
      <c r="A459" t="s">
        <v>2225</v>
      </c>
      <c r="B459" t="s">
        <v>2226</v>
      </c>
      <c r="C459" t="s">
        <v>58</v>
      </c>
      <c r="D459">
        <v>36</v>
      </c>
      <c r="E459" t="s">
        <v>5461</v>
      </c>
      <c r="F459" t="s">
        <v>5464</v>
      </c>
      <c r="G459" s="1">
        <v>42412</v>
      </c>
      <c r="H459">
        <v>58348</v>
      </c>
      <c r="I459" t="s">
        <v>52</v>
      </c>
      <c r="J459" t="s">
        <v>61</v>
      </c>
      <c r="K459" t="s">
        <v>167</v>
      </c>
      <c r="L459" t="s">
        <v>43</v>
      </c>
      <c r="M459">
        <v>33</v>
      </c>
      <c r="N459" t="s">
        <v>34</v>
      </c>
      <c r="O459">
        <v>3</v>
      </c>
      <c r="P459">
        <v>3</v>
      </c>
      <c r="Q459">
        <v>1</v>
      </c>
      <c r="R459">
        <v>3</v>
      </c>
      <c r="S459">
        <v>0</v>
      </c>
      <c r="T459">
        <v>4</v>
      </c>
      <c r="U459">
        <v>16</v>
      </c>
      <c r="V459" t="s">
        <v>2229</v>
      </c>
      <c r="W459" t="s">
        <v>34</v>
      </c>
      <c r="Y459" s="2" t="str">
        <f>IF(EmployeeData[[#This Row],[Age]]&lt;25,"Under 25",IF(EmployeeData[[#This Row],[Age]]&lt;=34,"25-34",IF(EmployeeData[[#This Row],[Age]]&lt;=44,"35-44",IF(EmployeeData[[#This Row],[Age]]&lt;=54,"45-54","55+"))))</f>
        <v>35-44</v>
      </c>
      <c r="Z459">
        <f ca="1">DATEDIF(EmployeeData[[#This Row],[DateOfJoining]],IF(AND(EmployeeData[[#This Row],[Attrition]]="Yes",EmployeeData[[#This Row],[LastWorkingDate]]&lt;&gt;""),EmployeeData[[#This Row],[LastWorkingDate]],TODAY()),"Y")</f>
        <v>10</v>
      </c>
      <c r="AA459" t="str">
        <f>IF(EmployeeData[[#This Row],[MonthlyIncome]]&lt;30000,"Low",IF(EmployeeData[[#This Row],[MonthlyIncome]]&lt;=60000,"Medium",IF(EmployeeData[[#This Row],[MonthlyIncome]]&lt;=100000,"High","Very High")))</f>
        <v>Medium</v>
      </c>
      <c r="AB459">
        <f>IF(EmployeeData[[#This Row],[Attrition]]="Yes",1,0)</f>
        <v>0</v>
      </c>
      <c r="AC459" t="str">
        <f ca="1">IF(EmployeeData[[#This Row],[Tenure Years]]&lt;1,"Less than 1 Year",IF(EmployeeData[[#This Row],[Tenure Years]]&lt;=3,"1-3 Years",IF(EmployeeData[[#This Row],[Tenure Years]]&lt;=5,"4-5 Years",IF(EmployeeData[[#This Row],[Tenure Years]]&lt;=10,"6-10 Years","More than 10 Years"))))</f>
        <v>6-10 Years</v>
      </c>
      <c r="AD459">
        <f>ROUND(AVERAGE(EmployeeData[[#This Row],[JobSatisfaction]],EmployeeData[[#This Row],[EnvironmentSatisfaction]],EmployeeData[[#This Row],[WorkLifeBalance]]),2)</f>
        <v>2.33</v>
      </c>
      <c r="AE459" t="str">
        <f>IF(EmployeeData[[#This Row],[Satisfaction Score]]&lt;2,"Low",IF(EmployeeData[[#This Row],[Satisfaction Score]]&lt;3,"Medium","High"))</f>
        <v>Medium</v>
      </c>
    </row>
    <row r="460" spans="1:31" x14ac:dyDescent="0.25">
      <c r="A460" t="s">
        <v>2230</v>
      </c>
      <c r="B460" t="s">
        <v>2231</v>
      </c>
      <c r="C460" t="s">
        <v>49</v>
      </c>
      <c r="D460">
        <v>28</v>
      </c>
      <c r="E460" t="s">
        <v>27</v>
      </c>
      <c r="F460" t="s">
        <v>59</v>
      </c>
      <c r="G460" s="1">
        <v>46085</v>
      </c>
      <c r="H460">
        <v>93265</v>
      </c>
      <c r="I460" t="s">
        <v>42</v>
      </c>
      <c r="J460" t="s">
        <v>31</v>
      </c>
      <c r="K460" t="s">
        <v>77</v>
      </c>
      <c r="L460" t="s">
        <v>62</v>
      </c>
      <c r="M460">
        <v>40</v>
      </c>
      <c r="N460" t="s">
        <v>34</v>
      </c>
      <c r="O460">
        <v>1</v>
      </c>
      <c r="P460">
        <v>2</v>
      </c>
      <c r="Q460">
        <v>3</v>
      </c>
      <c r="R460">
        <v>3</v>
      </c>
      <c r="S460">
        <v>4</v>
      </c>
      <c r="T460">
        <v>3</v>
      </c>
      <c r="U460">
        <v>25</v>
      </c>
      <c r="V460" t="s">
        <v>2233</v>
      </c>
      <c r="W460" t="s">
        <v>45</v>
      </c>
      <c r="X460" s="1">
        <v>46156</v>
      </c>
      <c r="Y460" s="2" t="str">
        <f>IF(EmployeeData[[#This Row],[Age]]&lt;25,"Under 25",IF(EmployeeData[[#This Row],[Age]]&lt;=34,"25-34",IF(EmployeeData[[#This Row],[Age]]&lt;=44,"35-44",IF(EmployeeData[[#This Row],[Age]]&lt;=54,"45-54","55+"))))</f>
        <v>25-34</v>
      </c>
      <c r="Z460">
        <f ca="1">DATEDIF(EmployeeData[[#This Row],[DateOfJoining]],IF(AND(EmployeeData[[#This Row],[Attrition]]="Yes",EmployeeData[[#This Row],[LastWorkingDate]]&lt;&gt;""),EmployeeData[[#This Row],[LastWorkingDate]],TODAY()),"Y")</f>
        <v>0</v>
      </c>
      <c r="AA460" t="str">
        <f>IF(EmployeeData[[#This Row],[MonthlyIncome]]&lt;30000,"Low",IF(EmployeeData[[#This Row],[MonthlyIncome]]&lt;=60000,"Medium",IF(EmployeeData[[#This Row],[MonthlyIncome]]&lt;=100000,"High","Very High")))</f>
        <v>High</v>
      </c>
      <c r="AB460">
        <f>IF(EmployeeData[[#This Row],[Attrition]]="Yes",1,0)</f>
        <v>1</v>
      </c>
      <c r="AC460" t="str">
        <f ca="1">IF(EmployeeData[[#This Row],[Tenure Years]]&lt;1,"Less than 1 Year",IF(EmployeeData[[#This Row],[Tenure Years]]&lt;=3,"1-3 Years",IF(EmployeeData[[#This Row],[Tenure Years]]&lt;=5,"4-5 Years",IF(EmployeeData[[#This Row],[Tenure Years]]&lt;=10,"6-10 Years","More than 10 Years"))))</f>
        <v>Less than 1 Year</v>
      </c>
      <c r="AD460">
        <f>ROUND(AVERAGE(EmployeeData[[#This Row],[JobSatisfaction]],EmployeeData[[#This Row],[EnvironmentSatisfaction]],EmployeeData[[#This Row],[WorkLifeBalance]]),2)</f>
        <v>2</v>
      </c>
      <c r="AE460" t="str">
        <f>IF(EmployeeData[[#This Row],[Satisfaction Score]]&lt;2,"Low",IF(EmployeeData[[#This Row],[Satisfaction Score]]&lt;3,"Medium","High"))</f>
        <v>Medium</v>
      </c>
    </row>
    <row r="461" spans="1:31" x14ac:dyDescent="0.25">
      <c r="A461" t="s">
        <v>2235</v>
      </c>
      <c r="B461" t="s">
        <v>2236</v>
      </c>
      <c r="C461" t="s">
        <v>49</v>
      </c>
      <c r="D461">
        <v>35</v>
      </c>
      <c r="E461" t="s">
        <v>128</v>
      </c>
      <c r="F461" t="s">
        <v>255</v>
      </c>
      <c r="G461" s="1">
        <v>40888</v>
      </c>
      <c r="H461">
        <v>100628</v>
      </c>
      <c r="I461" t="s">
        <v>42</v>
      </c>
      <c r="J461" t="s">
        <v>53</v>
      </c>
      <c r="K461" t="s">
        <v>77</v>
      </c>
      <c r="L461" t="s">
        <v>33</v>
      </c>
      <c r="M461">
        <v>10</v>
      </c>
      <c r="N461" t="s">
        <v>34</v>
      </c>
      <c r="O461">
        <v>4</v>
      </c>
      <c r="P461">
        <v>4</v>
      </c>
      <c r="Q461">
        <v>3</v>
      </c>
      <c r="R461">
        <v>4</v>
      </c>
      <c r="S461">
        <v>2</v>
      </c>
      <c r="T461">
        <v>4</v>
      </c>
      <c r="U461">
        <v>18</v>
      </c>
      <c r="V461" t="s">
        <v>2238</v>
      </c>
      <c r="W461" t="s">
        <v>34</v>
      </c>
      <c r="Y461" s="2" t="str">
        <f>IF(EmployeeData[[#This Row],[Age]]&lt;25,"Under 25",IF(EmployeeData[[#This Row],[Age]]&lt;=34,"25-34",IF(EmployeeData[[#This Row],[Age]]&lt;=44,"35-44",IF(EmployeeData[[#This Row],[Age]]&lt;=54,"45-54","55+"))))</f>
        <v>35-44</v>
      </c>
      <c r="Z461">
        <f ca="1">DATEDIF(EmployeeData[[#This Row],[DateOfJoining]],IF(AND(EmployeeData[[#This Row],[Attrition]]="Yes",EmployeeData[[#This Row],[LastWorkingDate]]&lt;&gt;""),EmployeeData[[#This Row],[LastWorkingDate]],TODAY()),"Y")</f>
        <v>14</v>
      </c>
      <c r="AA461" t="str">
        <f>IF(EmployeeData[[#This Row],[MonthlyIncome]]&lt;30000,"Low",IF(EmployeeData[[#This Row],[MonthlyIncome]]&lt;=60000,"Medium",IF(EmployeeData[[#This Row],[MonthlyIncome]]&lt;=100000,"High","Very High")))</f>
        <v>Very High</v>
      </c>
      <c r="AB461">
        <f>IF(EmployeeData[[#This Row],[Attrition]]="Yes",1,0)</f>
        <v>0</v>
      </c>
      <c r="AC461" t="str">
        <f ca="1">IF(EmployeeData[[#This Row],[Tenure Years]]&lt;1,"Less than 1 Year",IF(EmployeeData[[#This Row],[Tenure Years]]&lt;=3,"1-3 Years",IF(EmployeeData[[#This Row],[Tenure Years]]&lt;=5,"4-5 Years",IF(EmployeeData[[#This Row],[Tenure Years]]&lt;=10,"6-10 Years","More than 10 Years"))))</f>
        <v>More than 10 Years</v>
      </c>
      <c r="AD461">
        <f>ROUND(AVERAGE(EmployeeData[[#This Row],[JobSatisfaction]],EmployeeData[[#This Row],[EnvironmentSatisfaction]],EmployeeData[[#This Row],[WorkLifeBalance]]),2)</f>
        <v>3.67</v>
      </c>
      <c r="AE461" t="str">
        <f>IF(EmployeeData[[#This Row],[Satisfaction Score]]&lt;2,"Low",IF(EmployeeData[[#This Row],[Satisfaction Score]]&lt;3,"Medium","High"))</f>
        <v>High</v>
      </c>
    </row>
    <row r="462" spans="1:31" x14ac:dyDescent="0.25">
      <c r="A462" t="s">
        <v>2239</v>
      </c>
      <c r="B462" t="s">
        <v>2240</v>
      </c>
      <c r="C462" t="s">
        <v>58</v>
      </c>
      <c r="D462">
        <v>19</v>
      </c>
      <c r="E462" t="s">
        <v>94</v>
      </c>
      <c r="F462" t="s">
        <v>266</v>
      </c>
      <c r="G462" s="1">
        <v>45456</v>
      </c>
      <c r="H462">
        <v>123828</v>
      </c>
      <c r="I462" t="s">
        <v>52</v>
      </c>
      <c r="J462" t="s">
        <v>143</v>
      </c>
      <c r="K462" t="s">
        <v>98</v>
      </c>
      <c r="L462" t="s">
        <v>33</v>
      </c>
      <c r="M462">
        <v>28</v>
      </c>
      <c r="N462" t="s">
        <v>34</v>
      </c>
      <c r="O462">
        <v>1</v>
      </c>
      <c r="P462">
        <v>1</v>
      </c>
      <c r="Q462">
        <v>3</v>
      </c>
      <c r="R462">
        <v>5</v>
      </c>
      <c r="S462">
        <v>6</v>
      </c>
      <c r="T462">
        <v>6</v>
      </c>
      <c r="U462">
        <v>18</v>
      </c>
      <c r="V462" t="s">
        <v>2242</v>
      </c>
      <c r="W462" t="s">
        <v>45</v>
      </c>
      <c r="X462" s="1">
        <v>46188</v>
      </c>
      <c r="Y462" s="2" t="str">
        <f>IF(EmployeeData[[#This Row],[Age]]&lt;25,"Under 25",IF(EmployeeData[[#This Row],[Age]]&lt;=34,"25-34",IF(EmployeeData[[#This Row],[Age]]&lt;=44,"35-44",IF(EmployeeData[[#This Row],[Age]]&lt;=54,"45-54","55+"))))</f>
        <v>Under 25</v>
      </c>
      <c r="Z462">
        <f ca="1">DATEDIF(EmployeeData[[#This Row],[DateOfJoining]],IF(AND(EmployeeData[[#This Row],[Attrition]]="Yes",EmployeeData[[#This Row],[LastWorkingDate]]&lt;&gt;""),EmployeeData[[#This Row],[LastWorkingDate]],TODAY()),"Y")</f>
        <v>2</v>
      </c>
      <c r="AA462" t="str">
        <f>IF(EmployeeData[[#This Row],[MonthlyIncome]]&lt;30000,"Low",IF(EmployeeData[[#This Row],[MonthlyIncome]]&lt;=60000,"Medium",IF(EmployeeData[[#This Row],[MonthlyIncome]]&lt;=100000,"High","Very High")))</f>
        <v>Very High</v>
      </c>
      <c r="AB462">
        <f>IF(EmployeeData[[#This Row],[Attrition]]="Yes",1,0)</f>
        <v>1</v>
      </c>
      <c r="AC462" t="str">
        <f ca="1">IF(EmployeeData[[#This Row],[Tenure Years]]&lt;1,"Less than 1 Year",IF(EmployeeData[[#This Row],[Tenure Years]]&lt;=3,"1-3 Years",IF(EmployeeData[[#This Row],[Tenure Years]]&lt;=5,"4-5 Years",IF(EmployeeData[[#This Row],[Tenure Years]]&lt;=10,"6-10 Years","More than 10 Years"))))</f>
        <v>1-3 Years</v>
      </c>
      <c r="AD462">
        <f>ROUND(AVERAGE(EmployeeData[[#This Row],[JobSatisfaction]],EmployeeData[[#This Row],[EnvironmentSatisfaction]],EmployeeData[[#This Row],[WorkLifeBalance]]),2)</f>
        <v>1.67</v>
      </c>
      <c r="AE462" t="str">
        <f>IF(EmployeeData[[#This Row],[Satisfaction Score]]&lt;2,"Low",IF(EmployeeData[[#This Row],[Satisfaction Score]]&lt;3,"Medium","High"))</f>
        <v>Low</v>
      </c>
    </row>
    <row r="463" spans="1:31" x14ac:dyDescent="0.25">
      <c r="A463" t="s">
        <v>2244</v>
      </c>
      <c r="B463" t="s">
        <v>2245</v>
      </c>
      <c r="C463" t="s">
        <v>58</v>
      </c>
      <c r="D463">
        <v>35</v>
      </c>
      <c r="E463" t="s">
        <v>94</v>
      </c>
      <c r="F463" t="s">
        <v>306</v>
      </c>
      <c r="G463" s="1">
        <v>43897</v>
      </c>
      <c r="H463">
        <v>131500</v>
      </c>
      <c r="I463" t="s">
        <v>30</v>
      </c>
      <c r="J463" t="s">
        <v>61</v>
      </c>
      <c r="K463" t="s">
        <v>167</v>
      </c>
      <c r="L463" t="s">
        <v>43</v>
      </c>
      <c r="M463">
        <v>10</v>
      </c>
      <c r="N463" t="s">
        <v>45</v>
      </c>
      <c r="O463">
        <v>4</v>
      </c>
      <c r="P463">
        <v>3</v>
      </c>
      <c r="Q463">
        <v>2</v>
      </c>
      <c r="R463">
        <v>2</v>
      </c>
      <c r="S463">
        <v>4</v>
      </c>
      <c r="T463">
        <v>2</v>
      </c>
      <c r="U463">
        <v>15</v>
      </c>
      <c r="V463" t="s">
        <v>2248</v>
      </c>
      <c r="W463" t="s">
        <v>34</v>
      </c>
      <c r="Y463" s="2" t="str">
        <f>IF(EmployeeData[[#This Row],[Age]]&lt;25,"Under 25",IF(EmployeeData[[#This Row],[Age]]&lt;=34,"25-34",IF(EmployeeData[[#This Row],[Age]]&lt;=44,"35-44",IF(EmployeeData[[#This Row],[Age]]&lt;=54,"45-54","55+"))))</f>
        <v>35-44</v>
      </c>
      <c r="Z463">
        <f ca="1">DATEDIF(EmployeeData[[#This Row],[DateOfJoining]],IF(AND(EmployeeData[[#This Row],[Attrition]]="Yes",EmployeeData[[#This Row],[LastWorkingDate]]&lt;&gt;""),EmployeeData[[#This Row],[LastWorkingDate]],TODAY()),"Y")</f>
        <v>6</v>
      </c>
      <c r="AA463" t="str">
        <f>IF(EmployeeData[[#This Row],[MonthlyIncome]]&lt;30000,"Low",IF(EmployeeData[[#This Row],[MonthlyIncome]]&lt;=60000,"Medium",IF(EmployeeData[[#This Row],[MonthlyIncome]]&lt;=100000,"High","Very High")))</f>
        <v>Very High</v>
      </c>
      <c r="AB463">
        <f>IF(EmployeeData[[#This Row],[Attrition]]="Yes",1,0)</f>
        <v>0</v>
      </c>
      <c r="AC463" t="str">
        <f ca="1">IF(EmployeeData[[#This Row],[Tenure Years]]&lt;1,"Less than 1 Year",IF(EmployeeData[[#This Row],[Tenure Years]]&lt;=3,"1-3 Years",IF(EmployeeData[[#This Row],[Tenure Years]]&lt;=5,"4-5 Years",IF(EmployeeData[[#This Row],[Tenure Years]]&lt;=10,"6-10 Years","More than 10 Years"))))</f>
        <v>6-10 Years</v>
      </c>
      <c r="AD463">
        <f>ROUND(AVERAGE(EmployeeData[[#This Row],[JobSatisfaction]],EmployeeData[[#This Row],[EnvironmentSatisfaction]],EmployeeData[[#This Row],[WorkLifeBalance]]),2)</f>
        <v>3</v>
      </c>
      <c r="AE463" t="str">
        <f>IF(EmployeeData[[#This Row],[Satisfaction Score]]&lt;2,"Low",IF(EmployeeData[[#This Row],[Satisfaction Score]]&lt;3,"Medium","High"))</f>
        <v>High</v>
      </c>
    </row>
    <row r="464" spans="1:31" x14ac:dyDescent="0.25">
      <c r="A464" t="s">
        <v>2249</v>
      </c>
      <c r="B464" t="s">
        <v>2250</v>
      </c>
      <c r="C464" t="s">
        <v>49</v>
      </c>
      <c r="D464">
        <v>45</v>
      </c>
      <c r="E464" t="s">
        <v>197</v>
      </c>
      <c r="F464" t="s">
        <v>323</v>
      </c>
      <c r="G464" s="1">
        <v>41436</v>
      </c>
      <c r="H464">
        <v>47470</v>
      </c>
      <c r="I464" t="s">
        <v>42</v>
      </c>
      <c r="J464" t="s">
        <v>31</v>
      </c>
      <c r="K464" t="s">
        <v>106</v>
      </c>
      <c r="L464" t="s">
        <v>62</v>
      </c>
      <c r="M464">
        <v>17</v>
      </c>
      <c r="N464" t="s">
        <v>45</v>
      </c>
      <c r="O464">
        <v>2</v>
      </c>
      <c r="P464">
        <v>4</v>
      </c>
      <c r="Q464">
        <v>1</v>
      </c>
      <c r="R464">
        <v>3</v>
      </c>
      <c r="S464">
        <v>3</v>
      </c>
      <c r="T464">
        <v>4</v>
      </c>
      <c r="U464">
        <v>24</v>
      </c>
      <c r="V464" t="s">
        <v>2253</v>
      </c>
      <c r="W464" t="s">
        <v>45</v>
      </c>
      <c r="X464" s="1">
        <v>44854</v>
      </c>
      <c r="Y464" s="2" t="str">
        <f>IF(EmployeeData[[#This Row],[Age]]&lt;25,"Under 25",IF(EmployeeData[[#This Row],[Age]]&lt;=34,"25-34",IF(EmployeeData[[#This Row],[Age]]&lt;=44,"35-44",IF(EmployeeData[[#This Row],[Age]]&lt;=54,"45-54","55+"))))</f>
        <v>45-54</v>
      </c>
      <c r="Z464">
        <f ca="1">DATEDIF(EmployeeData[[#This Row],[DateOfJoining]],IF(AND(EmployeeData[[#This Row],[Attrition]]="Yes",EmployeeData[[#This Row],[LastWorkingDate]]&lt;&gt;""),EmployeeData[[#This Row],[LastWorkingDate]],TODAY()),"Y")</f>
        <v>9</v>
      </c>
      <c r="AA464" t="str">
        <f>IF(EmployeeData[[#This Row],[MonthlyIncome]]&lt;30000,"Low",IF(EmployeeData[[#This Row],[MonthlyIncome]]&lt;=60000,"Medium",IF(EmployeeData[[#This Row],[MonthlyIncome]]&lt;=100000,"High","Very High")))</f>
        <v>Medium</v>
      </c>
      <c r="AB464">
        <f>IF(EmployeeData[[#This Row],[Attrition]]="Yes",1,0)</f>
        <v>1</v>
      </c>
      <c r="AC464" t="str">
        <f ca="1">IF(EmployeeData[[#This Row],[Tenure Years]]&lt;1,"Less than 1 Year",IF(EmployeeData[[#This Row],[Tenure Years]]&lt;=3,"1-3 Years",IF(EmployeeData[[#This Row],[Tenure Years]]&lt;=5,"4-5 Years",IF(EmployeeData[[#This Row],[Tenure Years]]&lt;=10,"6-10 Years","More than 10 Years"))))</f>
        <v>6-10 Years</v>
      </c>
      <c r="AD464">
        <f>ROUND(AVERAGE(EmployeeData[[#This Row],[JobSatisfaction]],EmployeeData[[#This Row],[EnvironmentSatisfaction]],EmployeeData[[#This Row],[WorkLifeBalance]]),2)</f>
        <v>2.33</v>
      </c>
      <c r="AE464" t="str">
        <f>IF(EmployeeData[[#This Row],[Satisfaction Score]]&lt;2,"Low",IF(EmployeeData[[#This Row],[Satisfaction Score]]&lt;3,"Medium","High"))</f>
        <v>Medium</v>
      </c>
    </row>
    <row r="465" spans="1:31" x14ac:dyDescent="0.25">
      <c r="A465" t="s">
        <v>2255</v>
      </c>
      <c r="B465" t="s">
        <v>2256</v>
      </c>
      <c r="C465" t="s">
        <v>58</v>
      </c>
      <c r="D465">
        <v>35</v>
      </c>
      <c r="E465" t="s">
        <v>197</v>
      </c>
      <c r="F465" t="s">
        <v>323</v>
      </c>
      <c r="G465" s="1">
        <v>42232</v>
      </c>
      <c r="H465">
        <v>91218</v>
      </c>
      <c r="I465" t="s">
        <v>52</v>
      </c>
      <c r="J465" t="s">
        <v>31</v>
      </c>
      <c r="K465" t="s">
        <v>113</v>
      </c>
      <c r="L465" t="s">
        <v>43</v>
      </c>
      <c r="M465">
        <v>14</v>
      </c>
      <c r="N465" t="s">
        <v>34</v>
      </c>
      <c r="O465">
        <v>2</v>
      </c>
      <c r="P465">
        <v>3</v>
      </c>
      <c r="Q465">
        <v>3</v>
      </c>
      <c r="R465">
        <v>5</v>
      </c>
      <c r="S465">
        <v>2</v>
      </c>
      <c r="T465">
        <v>8</v>
      </c>
      <c r="U465">
        <v>25</v>
      </c>
      <c r="V465" t="s">
        <v>2258</v>
      </c>
      <c r="W465" t="s">
        <v>34</v>
      </c>
      <c r="Y465" s="2" t="str">
        <f>IF(EmployeeData[[#This Row],[Age]]&lt;25,"Under 25",IF(EmployeeData[[#This Row],[Age]]&lt;=34,"25-34",IF(EmployeeData[[#This Row],[Age]]&lt;=44,"35-44",IF(EmployeeData[[#This Row],[Age]]&lt;=54,"45-54","55+"))))</f>
        <v>35-44</v>
      </c>
      <c r="Z465">
        <f ca="1">DATEDIF(EmployeeData[[#This Row],[DateOfJoining]],IF(AND(EmployeeData[[#This Row],[Attrition]]="Yes",EmployeeData[[#This Row],[LastWorkingDate]]&lt;&gt;""),EmployeeData[[#This Row],[LastWorkingDate]],TODAY()),"Y")</f>
        <v>11</v>
      </c>
      <c r="AA465" t="str">
        <f>IF(EmployeeData[[#This Row],[MonthlyIncome]]&lt;30000,"Low",IF(EmployeeData[[#This Row],[MonthlyIncome]]&lt;=60000,"Medium",IF(EmployeeData[[#This Row],[MonthlyIncome]]&lt;=100000,"High","Very High")))</f>
        <v>High</v>
      </c>
      <c r="AB465">
        <f>IF(EmployeeData[[#This Row],[Attrition]]="Yes",1,0)</f>
        <v>0</v>
      </c>
      <c r="AC465" t="str">
        <f ca="1">IF(EmployeeData[[#This Row],[Tenure Years]]&lt;1,"Less than 1 Year",IF(EmployeeData[[#This Row],[Tenure Years]]&lt;=3,"1-3 Years",IF(EmployeeData[[#This Row],[Tenure Years]]&lt;=5,"4-5 Years",IF(EmployeeData[[#This Row],[Tenure Years]]&lt;=10,"6-10 Years","More than 10 Years"))))</f>
        <v>More than 10 Years</v>
      </c>
      <c r="AD465">
        <f>ROUND(AVERAGE(EmployeeData[[#This Row],[JobSatisfaction]],EmployeeData[[#This Row],[EnvironmentSatisfaction]],EmployeeData[[#This Row],[WorkLifeBalance]]),2)</f>
        <v>2.67</v>
      </c>
      <c r="AE465" t="str">
        <f>IF(EmployeeData[[#This Row],[Satisfaction Score]]&lt;2,"Low",IF(EmployeeData[[#This Row],[Satisfaction Score]]&lt;3,"Medium","High"))</f>
        <v>Medium</v>
      </c>
    </row>
    <row r="466" spans="1:31" x14ac:dyDescent="0.25">
      <c r="A466" t="s">
        <v>2259</v>
      </c>
      <c r="B466" t="s">
        <v>2260</v>
      </c>
      <c r="C466" t="s">
        <v>58</v>
      </c>
      <c r="D466">
        <v>37</v>
      </c>
      <c r="E466" t="s">
        <v>128</v>
      </c>
      <c r="F466" t="s">
        <v>226</v>
      </c>
      <c r="G466" s="1">
        <v>44488</v>
      </c>
      <c r="H466">
        <v>42954</v>
      </c>
      <c r="I466" t="s">
        <v>52</v>
      </c>
      <c r="J466" t="s">
        <v>61</v>
      </c>
      <c r="K466" t="s">
        <v>77</v>
      </c>
      <c r="L466" t="s">
        <v>43</v>
      </c>
      <c r="M466">
        <v>40</v>
      </c>
      <c r="N466" t="s">
        <v>34</v>
      </c>
      <c r="O466">
        <v>3</v>
      </c>
      <c r="P466">
        <v>2</v>
      </c>
      <c r="Q466">
        <v>1</v>
      </c>
      <c r="R466">
        <v>3</v>
      </c>
      <c r="S466">
        <v>6</v>
      </c>
      <c r="T466">
        <v>2</v>
      </c>
      <c r="U466">
        <v>16</v>
      </c>
      <c r="V466" t="s">
        <v>2263</v>
      </c>
      <c r="W466" t="s">
        <v>34</v>
      </c>
      <c r="Y466" s="2" t="str">
        <f>IF(EmployeeData[[#This Row],[Age]]&lt;25,"Under 25",IF(EmployeeData[[#This Row],[Age]]&lt;=34,"25-34",IF(EmployeeData[[#This Row],[Age]]&lt;=44,"35-44",IF(EmployeeData[[#This Row],[Age]]&lt;=54,"45-54","55+"))))</f>
        <v>35-44</v>
      </c>
      <c r="Z466">
        <f ca="1">DATEDIF(EmployeeData[[#This Row],[DateOfJoining]],IF(AND(EmployeeData[[#This Row],[Attrition]]="Yes",EmployeeData[[#This Row],[LastWorkingDate]]&lt;&gt;""),EmployeeData[[#This Row],[LastWorkingDate]],TODAY()),"Y")</f>
        <v>4</v>
      </c>
      <c r="AA466" t="str">
        <f>IF(EmployeeData[[#This Row],[MonthlyIncome]]&lt;30000,"Low",IF(EmployeeData[[#This Row],[MonthlyIncome]]&lt;=60000,"Medium",IF(EmployeeData[[#This Row],[MonthlyIncome]]&lt;=100000,"High","Very High")))</f>
        <v>Medium</v>
      </c>
      <c r="AB466">
        <f>IF(EmployeeData[[#This Row],[Attrition]]="Yes",1,0)</f>
        <v>0</v>
      </c>
      <c r="AC466" t="str">
        <f ca="1">IF(EmployeeData[[#This Row],[Tenure Years]]&lt;1,"Less than 1 Year",IF(EmployeeData[[#This Row],[Tenure Years]]&lt;=3,"1-3 Years",IF(EmployeeData[[#This Row],[Tenure Years]]&lt;=5,"4-5 Years",IF(EmployeeData[[#This Row],[Tenure Years]]&lt;=10,"6-10 Years","More than 10 Years"))))</f>
        <v>4-5 Years</v>
      </c>
      <c r="AD466">
        <f>ROUND(AVERAGE(EmployeeData[[#This Row],[JobSatisfaction]],EmployeeData[[#This Row],[EnvironmentSatisfaction]],EmployeeData[[#This Row],[WorkLifeBalance]]),2)</f>
        <v>2</v>
      </c>
      <c r="AE466" t="str">
        <f>IF(EmployeeData[[#This Row],[Satisfaction Score]]&lt;2,"Low",IF(EmployeeData[[#This Row],[Satisfaction Score]]&lt;3,"Medium","High"))</f>
        <v>Medium</v>
      </c>
    </row>
    <row r="467" spans="1:31" x14ac:dyDescent="0.25">
      <c r="A467" t="s">
        <v>2264</v>
      </c>
      <c r="B467" t="s">
        <v>2265</v>
      </c>
      <c r="C467" t="s">
        <v>49</v>
      </c>
      <c r="D467">
        <v>36</v>
      </c>
      <c r="E467" t="s">
        <v>38</v>
      </c>
      <c r="F467" t="s">
        <v>792</v>
      </c>
      <c r="G467" s="1">
        <v>45009</v>
      </c>
      <c r="H467">
        <v>67215</v>
      </c>
      <c r="I467" t="s">
        <v>42</v>
      </c>
      <c r="J467" t="s">
        <v>31</v>
      </c>
      <c r="K467" t="s">
        <v>113</v>
      </c>
      <c r="L467" t="s">
        <v>33</v>
      </c>
      <c r="M467">
        <v>40</v>
      </c>
      <c r="N467" t="s">
        <v>34</v>
      </c>
      <c r="O467">
        <v>4</v>
      </c>
      <c r="P467">
        <v>3</v>
      </c>
      <c r="Q467">
        <v>1</v>
      </c>
      <c r="R467">
        <v>2</v>
      </c>
      <c r="S467">
        <v>0</v>
      </c>
      <c r="T467">
        <v>1</v>
      </c>
      <c r="U467">
        <v>20</v>
      </c>
      <c r="V467" t="s">
        <v>2267</v>
      </c>
      <c r="W467" t="s">
        <v>34</v>
      </c>
      <c r="Y467" s="2" t="str">
        <f>IF(EmployeeData[[#This Row],[Age]]&lt;25,"Under 25",IF(EmployeeData[[#This Row],[Age]]&lt;=34,"25-34",IF(EmployeeData[[#This Row],[Age]]&lt;=44,"35-44",IF(EmployeeData[[#This Row],[Age]]&lt;=54,"45-54","55+"))))</f>
        <v>35-44</v>
      </c>
      <c r="Z467">
        <f ca="1">DATEDIF(EmployeeData[[#This Row],[DateOfJoining]],IF(AND(EmployeeData[[#This Row],[Attrition]]="Yes",EmployeeData[[#This Row],[LastWorkingDate]]&lt;&gt;""),EmployeeData[[#This Row],[LastWorkingDate]],TODAY()),"Y")</f>
        <v>3</v>
      </c>
      <c r="AA467" t="str">
        <f>IF(EmployeeData[[#This Row],[MonthlyIncome]]&lt;30000,"Low",IF(EmployeeData[[#This Row],[MonthlyIncome]]&lt;=60000,"Medium",IF(EmployeeData[[#This Row],[MonthlyIncome]]&lt;=100000,"High","Very High")))</f>
        <v>High</v>
      </c>
      <c r="AB467">
        <f>IF(EmployeeData[[#This Row],[Attrition]]="Yes",1,0)</f>
        <v>0</v>
      </c>
      <c r="AC467" t="str">
        <f ca="1">IF(EmployeeData[[#This Row],[Tenure Years]]&lt;1,"Less than 1 Year",IF(EmployeeData[[#This Row],[Tenure Years]]&lt;=3,"1-3 Years",IF(EmployeeData[[#This Row],[Tenure Years]]&lt;=5,"4-5 Years",IF(EmployeeData[[#This Row],[Tenure Years]]&lt;=10,"6-10 Years","More than 10 Years"))))</f>
        <v>1-3 Years</v>
      </c>
      <c r="AD467">
        <f>ROUND(AVERAGE(EmployeeData[[#This Row],[JobSatisfaction]],EmployeeData[[#This Row],[EnvironmentSatisfaction]],EmployeeData[[#This Row],[WorkLifeBalance]]),2)</f>
        <v>2.67</v>
      </c>
      <c r="AE467" t="str">
        <f>IF(EmployeeData[[#This Row],[Satisfaction Score]]&lt;2,"Low",IF(EmployeeData[[#This Row],[Satisfaction Score]]&lt;3,"Medium","High"))</f>
        <v>Medium</v>
      </c>
    </row>
    <row r="468" spans="1:31" x14ac:dyDescent="0.25">
      <c r="A468" t="s">
        <v>2268</v>
      </c>
      <c r="B468" t="s">
        <v>2269</v>
      </c>
      <c r="C468" t="s">
        <v>49</v>
      </c>
      <c r="D468">
        <v>39</v>
      </c>
      <c r="E468" t="s">
        <v>94</v>
      </c>
      <c r="F468" t="s">
        <v>356</v>
      </c>
      <c r="G468" s="1">
        <v>45894</v>
      </c>
      <c r="H468">
        <v>84049</v>
      </c>
      <c r="I468" t="s">
        <v>52</v>
      </c>
      <c r="J468" t="s">
        <v>53</v>
      </c>
      <c r="K468" t="s">
        <v>54</v>
      </c>
      <c r="L468" t="s">
        <v>43</v>
      </c>
      <c r="M468">
        <v>13</v>
      </c>
      <c r="N468" t="s">
        <v>34</v>
      </c>
      <c r="O468">
        <v>2</v>
      </c>
      <c r="P468">
        <v>3</v>
      </c>
      <c r="Q468">
        <v>1</v>
      </c>
      <c r="R468">
        <v>3</v>
      </c>
      <c r="S468">
        <v>5</v>
      </c>
      <c r="T468">
        <v>6</v>
      </c>
      <c r="U468">
        <v>24</v>
      </c>
      <c r="V468" t="s">
        <v>2271</v>
      </c>
      <c r="W468" t="s">
        <v>45</v>
      </c>
      <c r="X468" s="1">
        <v>46087</v>
      </c>
      <c r="Y468" s="2" t="str">
        <f>IF(EmployeeData[[#This Row],[Age]]&lt;25,"Under 25",IF(EmployeeData[[#This Row],[Age]]&lt;=34,"25-34",IF(EmployeeData[[#This Row],[Age]]&lt;=44,"35-44",IF(EmployeeData[[#This Row],[Age]]&lt;=54,"45-54","55+"))))</f>
        <v>35-44</v>
      </c>
      <c r="Z468">
        <f ca="1">DATEDIF(EmployeeData[[#This Row],[DateOfJoining]],IF(AND(EmployeeData[[#This Row],[Attrition]]="Yes",EmployeeData[[#This Row],[LastWorkingDate]]&lt;&gt;""),EmployeeData[[#This Row],[LastWorkingDate]],TODAY()),"Y")</f>
        <v>0</v>
      </c>
      <c r="AA468" t="str">
        <f>IF(EmployeeData[[#This Row],[MonthlyIncome]]&lt;30000,"Low",IF(EmployeeData[[#This Row],[MonthlyIncome]]&lt;=60000,"Medium",IF(EmployeeData[[#This Row],[MonthlyIncome]]&lt;=100000,"High","Very High")))</f>
        <v>High</v>
      </c>
      <c r="AB468">
        <f>IF(EmployeeData[[#This Row],[Attrition]]="Yes",1,0)</f>
        <v>1</v>
      </c>
      <c r="AC468" t="str">
        <f ca="1">IF(EmployeeData[[#This Row],[Tenure Years]]&lt;1,"Less than 1 Year",IF(EmployeeData[[#This Row],[Tenure Years]]&lt;=3,"1-3 Years",IF(EmployeeData[[#This Row],[Tenure Years]]&lt;=5,"4-5 Years",IF(EmployeeData[[#This Row],[Tenure Years]]&lt;=10,"6-10 Years","More than 10 Years"))))</f>
        <v>Less than 1 Year</v>
      </c>
      <c r="AD468">
        <f>ROUND(AVERAGE(EmployeeData[[#This Row],[JobSatisfaction]],EmployeeData[[#This Row],[EnvironmentSatisfaction]],EmployeeData[[#This Row],[WorkLifeBalance]]),2)</f>
        <v>2</v>
      </c>
      <c r="AE468" t="str">
        <f>IF(EmployeeData[[#This Row],[Satisfaction Score]]&lt;2,"Low",IF(EmployeeData[[#This Row],[Satisfaction Score]]&lt;3,"Medium","High"))</f>
        <v>Medium</v>
      </c>
    </row>
    <row r="469" spans="1:31" x14ac:dyDescent="0.25">
      <c r="A469" t="s">
        <v>2273</v>
      </c>
      <c r="B469" t="s">
        <v>2274</v>
      </c>
      <c r="C469" t="s">
        <v>49</v>
      </c>
      <c r="D469">
        <v>35</v>
      </c>
      <c r="E469" t="s">
        <v>94</v>
      </c>
      <c r="F469" t="s">
        <v>356</v>
      </c>
      <c r="G469" s="1">
        <v>44386</v>
      </c>
      <c r="H469">
        <v>100678</v>
      </c>
      <c r="I469" t="s">
        <v>52</v>
      </c>
      <c r="J469" t="s">
        <v>61</v>
      </c>
      <c r="K469" t="s">
        <v>5459</v>
      </c>
      <c r="L469" t="s">
        <v>33</v>
      </c>
      <c r="M469">
        <v>38</v>
      </c>
      <c r="N469" t="s">
        <v>34</v>
      </c>
      <c r="O469">
        <v>2</v>
      </c>
      <c r="P469">
        <v>4</v>
      </c>
      <c r="Q469">
        <v>2</v>
      </c>
      <c r="R469">
        <v>3</v>
      </c>
      <c r="S469">
        <v>6</v>
      </c>
      <c r="T469">
        <v>6</v>
      </c>
      <c r="U469">
        <v>15</v>
      </c>
      <c r="V469" t="s">
        <v>2277</v>
      </c>
      <c r="W469" t="s">
        <v>45</v>
      </c>
      <c r="X469" s="1">
        <v>45276</v>
      </c>
      <c r="Y469" s="2" t="str">
        <f>IF(EmployeeData[[#This Row],[Age]]&lt;25,"Under 25",IF(EmployeeData[[#This Row],[Age]]&lt;=34,"25-34",IF(EmployeeData[[#This Row],[Age]]&lt;=44,"35-44",IF(EmployeeData[[#This Row],[Age]]&lt;=54,"45-54","55+"))))</f>
        <v>35-44</v>
      </c>
      <c r="Z469">
        <f ca="1">DATEDIF(EmployeeData[[#This Row],[DateOfJoining]],IF(AND(EmployeeData[[#This Row],[Attrition]]="Yes",EmployeeData[[#This Row],[LastWorkingDate]]&lt;&gt;""),EmployeeData[[#This Row],[LastWorkingDate]],TODAY()),"Y")</f>
        <v>2</v>
      </c>
      <c r="AA469" t="str">
        <f>IF(EmployeeData[[#This Row],[MonthlyIncome]]&lt;30000,"Low",IF(EmployeeData[[#This Row],[MonthlyIncome]]&lt;=60000,"Medium",IF(EmployeeData[[#This Row],[MonthlyIncome]]&lt;=100000,"High","Very High")))</f>
        <v>Very High</v>
      </c>
      <c r="AB469">
        <f>IF(EmployeeData[[#This Row],[Attrition]]="Yes",1,0)</f>
        <v>1</v>
      </c>
      <c r="AC469" t="str">
        <f ca="1">IF(EmployeeData[[#This Row],[Tenure Years]]&lt;1,"Less than 1 Year",IF(EmployeeData[[#This Row],[Tenure Years]]&lt;=3,"1-3 Years",IF(EmployeeData[[#This Row],[Tenure Years]]&lt;=5,"4-5 Years",IF(EmployeeData[[#This Row],[Tenure Years]]&lt;=10,"6-10 Years","More than 10 Years"))))</f>
        <v>1-3 Years</v>
      </c>
      <c r="AD469">
        <f>ROUND(AVERAGE(EmployeeData[[#This Row],[JobSatisfaction]],EmployeeData[[#This Row],[EnvironmentSatisfaction]],EmployeeData[[#This Row],[WorkLifeBalance]]),2)</f>
        <v>2.67</v>
      </c>
      <c r="AE469" t="str">
        <f>IF(EmployeeData[[#This Row],[Satisfaction Score]]&lt;2,"Low",IF(EmployeeData[[#This Row],[Satisfaction Score]]&lt;3,"Medium","High"))</f>
        <v>Medium</v>
      </c>
    </row>
    <row r="470" spans="1:31" x14ac:dyDescent="0.25">
      <c r="A470" t="s">
        <v>2279</v>
      </c>
      <c r="B470" t="s">
        <v>2280</v>
      </c>
      <c r="C470" t="s">
        <v>49</v>
      </c>
      <c r="D470">
        <v>29</v>
      </c>
      <c r="E470" t="s">
        <v>94</v>
      </c>
      <c r="F470" t="s">
        <v>639</v>
      </c>
      <c r="G470" s="1">
        <v>43275</v>
      </c>
      <c r="H470">
        <v>59183</v>
      </c>
      <c r="I470" t="s">
        <v>42</v>
      </c>
      <c r="J470" t="s">
        <v>61</v>
      </c>
      <c r="K470" t="s">
        <v>32</v>
      </c>
      <c r="L470" t="s">
        <v>62</v>
      </c>
      <c r="M470">
        <v>38</v>
      </c>
      <c r="N470" t="s">
        <v>34</v>
      </c>
      <c r="O470">
        <v>2</v>
      </c>
      <c r="P470">
        <v>4</v>
      </c>
      <c r="Q470">
        <v>4</v>
      </c>
      <c r="R470">
        <v>4</v>
      </c>
      <c r="S470">
        <v>3</v>
      </c>
      <c r="T470">
        <v>3</v>
      </c>
      <c r="U470">
        <v>21</v>
      </c>
      <c r="V470" t="s">
        <v>2282</v>
      </c>
      <c r="W470" t="s">
        <v>34</v>
      </c>
      <c r="Y470" s="2" t="str">
        <f>IF(EmployeeData[[#This Row],[Age]]&lt;25,"Under 25",IF(EmployeeData[[#This Row],[Age]]&lt;=34,"25-34",IF(EmployeeData[[#This Row],[Age]]&lt;=44,"35-44",IF(EmployeeData[[#This Row],[Age]]&lt;=54,"45-54","55+"))))</f>
        <v>25-34</v>
      </c>
      <c r="Z470">
        <f ca="1">DATEDIF(EmployeeData[[#This Row],[DateOfJoining]],IF(AND(EmployeeData[[#This Row],[Attrition]]="Yes",EmployeeData[[#This Row],[LastWorkingDate]]&lt;&gt;""),EmployeeData[[#This Row],[LastWorkingDate]],TODAY()),"Y")</f>
        <v>8</v>
      </c>
      <c r="AA470" t="str">
        <f>IF(EmployeeData[[#This Row],[MonthlyIncome]]&lt;30000,"Low",IF(EmployeeData[[#This Row],[MonthlyIncome]]&lt;=60000,"Medium",IF(EmployeeData[[#This Row],[MonthlyIncome]]&lt;=100000,"High","Very High")))</f>
        <v>Medium</v>
      </c>
      <c r="AB470">
        <f>IF(EmployeeData[[#This Row],[Attrition]]="Yes",1,0)</f>
        <v>0</v>
      </c>
      <c r="AC470" t="str">
        <f ca="1">IF(EmployeeData[[#This Row],[Tenure Years]]&lt;1,"Less than 1 Year",IF(EmployeeData[[#This Row],[Tenure Years]]&lt;=3,"1-3 Years",IF(EmployeeData[[#This Row],[Tenure Years]]&lt;=5,"4-5 Years",IF(EmployeeData[[#This Row],[Tenure Years]]&lt;=10,"6-10 Years","More than 10 Years"))))</f>
        <v>6-10 Years</v>
      </c>
      <c r="AD470">
        <f>ROUND(AVERAGE(EmployeeData[[#This Row],[JobSatisfaction]],EmployeeData[[#This Row],[EnvironmentSatisfaction]],EmployeeData[[#This Row],[WorkLifeBalance]]),2)</f>
        <v>3.33</v>
      </c>
      <c r="AE470" t="str">
        <f>IF(EmployeeData[[#This Row],[Satisfaction Score]]&lt;2,"Low",IF(EmployeeData[[#This Row],[Satisfaction Score]]&lt;3,"Medium","High"))</f>
        <v>High</v>
      </c>
    </row>
    <row r="471" spans="1:31" x14ac:dyDescent="0.25">
      <c r="A471" t="s">
        <v>2283</v>
      </c>
      <c r="B471" t="s">
        <v>2284</v>
      </c>
      <c r="C471" t="s">
        <v>58</v>
      </c>
      <c r="D471">
        <v>29</v>
      </c>
      <c r="E471" t="s">
        <v>197</v>
      </c>
      <c r="F471" t="s">
        <v>573</v>
      </c>
      <c r="G471" s="1">
        <v>41293</v>
      </c>
      <c r="H471">
        <v>108479</v>
      </c>
      <c r="I471" t="s">
        <v>30</v>
      </c>
      <c r="J471" t="s">
        <v>61</v>
      </c>
      <c r="K471" t="s">
        <v>106</v>
      </c>
      <c r="L471" t="s">
        <v>43</v>
      </c>
      <c r="M471">
        <v>40</v>
      </c>
      <c r="N471" t="s">
        <v>34</v>
      </c>
      <c r="O471">
        <v>4</v>
      </c>
      <c r="P471">
        <v>2</v>
      </c>
      <c r="Q471">
        <v>4</v>
      </c>
      <c r="R471">
        <v>3</v>
      </c>
      <c r="S471">
        <v>1</v>
      </c>
      <c r="T471">
        <v>7</v>
      </c>
      <c r="U471">
        <v>19</v>
      </c>
      <c r="V471" t="s">
        <v>2286</v>
      </c>
      <c r="W471" t="s">
        <v>34</v>
      </c>
      <c r="Y471" s="2" t="str">
        <f>IF(EmployeeData[[#This Row],[Age]]&lt;25,"Under 25",IF(EmployeeData[[#This Row],[Age]]&lt;=34,"25-34",IF(EmployeeData[[#This Row],[Age]]&lt;=44,"35-44",IF(EmployeeData[[#This Row],[Age]]&lt;=54,"45-54","55+"))))</f>
        <v>25-34</v>
      </c>
      <c r="Z471">
        <f ca="1">DATEDIF(EmployeeData[[#This Row],[DateOfJoining]],IF(AND(EmployeeData[[#This Row],[Attrition]]="Yes",EmployeeData[[#This Row],[LastWorkingDate]]&lt;&gt;""),EmployeeData[[#This Row],[LastWorkingDate]],TODAY()),"Y")</f>
        <v>13</v>
      </c>
      <c r="AA471" t="str">
        <f>IF(EmployeeData[[#This Row],[MonthlyIncome]]&lt;30000,"Low",IF(EmployeeData[[#This Row],[MonthlyIncome]]&lt;=60000,"Medium",IF(EmployeeData[[#This Row],[MonthlyIncome]]&lt;=100000,"High","Very High")))</f>
        <v>Very High</v>
      </c>
      <c r="AB471">
        <f>IF(EmployeeData[[#This Row],[Attrition]]="Yes",1,0)</f>
        <v>0</v>
      </c>
      <c r="AC471" t="str">
        <f ca="1">IF(EmployeeData[[#This Row],[Tenure Years]]&lt;1,"Less than 1 Year",IF(EmployeeData[[#This Row],[Tenure Years]]&lt;=3,"1-3 Years",IF(EmployeeData[[#This Row],[Tenure Years]]&lt;=5,"4-5 Years",IF(EmployeeData[[#This Row],[Tenure Years]]&lt;=10,"6-10 Years","More than 10 Years"))))</f>
        <v>More than 10 Years</v>
      </c>
      <c r="AD471">
        <f>ROUND(AVERAGE(EmployeeData[[#This Row],[JobSatisfaction]],EmployeeData[[#This Row],[EnvironmentSatisfaction]],EmployeeData[[#This Row],[WorkLifeBalance]]),2)</f>
        <v>3.33</v>
      </c>
      <c r="AE471" t="str">
        <f>IF(EmployeeData[[#This Row],[Satisfaction Score]]&lt;2,"Low",IF(EmployeeData[[#This Row],[Satisfaction Score]]&lt;3,"Medium","High"))</f>
        <v>High</v>
      </c>
    </row>
    <row r="472" spans="1:31" x14ac:dyDescent="0.25">
      <c r="A472" t="s">
        <v>2287</v>
      </c>
      <c r="B472" t="s">
        <v>2288</v>
      </c>
      <c r="C472" t="s">
        <v>58</v>
      </c>
      <c r="D472">
        <v>36</v>
      </c>
      <c r="E472" t="s">
        <v>94</v>
      </c>
      <c r="F472" t="s">
        <v>306</v>
      </c>
      <c r="G472" s="1">
        <v>43923</v>
      </c>
      <c r="H472">
        <v>129523</v>
      </c>
      <c r="I472" t="s">
        <v>30</v>
      </c>
      <c r="J472" t="s">
        <v>5459</v>
      </c>
      <c r="K472" t="s">
        <v>32</v>
      </c>
      <c r="L472" t="s">
        <v>43</v>
      </c>
      <c r="M472">
        <v>15</v>
      </c>
      <c r="N472" t="s">
        <v>34</v>
      </c>
      <c r="O472">
        <v>2</v>
      </c>
      <c r="P472">
        <v>3</v>
      </c>
      <c r="Q472">
        <v>1</v>
      </c>
      <c r="R472">
        <v>2</v>
      </c>
      <c r="S472">
        <v>5</v>
      </c>
      <c r="T472">
        <v>2</v>
      </c>
      <c r="U472">
        <v>20</v>
      </c>
      <c r="V472" t="s">
        <v>2290</v>
      </c>
      <c r="W472" t="s">
        <v>34</v>
      </c>
      <c r="Y472" s="2" t="str">
        <f>IF(EmployeeData[[#This Row],[Age]]&lt;25,"Under 25",IF(EmployeeData[[#This Row],[Age]]&lt;=34,"25-34",IF(EmployeeData[[#This Row],[Age]]&lt;=44,"35-44",IF(EmployeeData[[#This Row],[Age]]&lt;=54,"45-54","55+"))))</f>
        <v>35-44</v>
      </c>
      <c r="Z472">
        <f ca="1">DATEDIF(EmployeeData[[#This Row],[DateOfJoining]],IF(AND(EmployeeData[[#This Row],[Attrition]]="Yes",EmployeeData[[#This Row],[LastWorkingDate]]&lt;&gt;""),EmployeeData[[#This Row],[LastWorkingDate]],TODAY()),"Y")</f>
        <v>6</v>
      </c>
      <c r="AA472" t="str">
        <f>IF(EmployeeData[[#This Row],[MonthlyIncome]]&lt;30000,"Low",IF(EmployeeData[[#This Row],[MonthlyIncome]]&lt;=60000,"Medium",IF(EmployeeData[[#This Row],[MonthlyIncome]]&lt;=100000,"High","Very High")))</f>
        <v>Very High</v>
      </c>
      <c r="AB472">
        <f>IF(EmployeeData[[#This Row],[Attrition]]="Yes",1,0)</f>
        <v>0</v>
      </c>
      <c r="AC472" t="str">
        <f ca="1">IF(EmployeeData[[#This Row],[Tenure Years]]&lt;1,"Less than 1 Year",IF(EmployeeData[[#This Row],[Tenure Years]]&lt;=3,"1-3 Years",IF(EmployeeData[[#This Row],[Tenure Years]]&lt;=5,"4-5 Years",IF(EmployeeData[[#This Row],[Tenure Years]]&lt;=10,"6-10 Years","More than 10 Years"))))</f>
        <v>6-10 Years</v>
      </c>
      <c r="AD472">
        <f>ROUND(AVERAGE(EmployeeData[[#This Row],[JobSatisfaction]],EmployeeData[[#This Row],[EnvironmentSatisfaction]],EmployeeData[[#This Row],[WorkLifeBalance]]),2)</f>
        <v>2</v>
      </c>
      <c r="AE472" t="str">
        <f>IF(EmployeeData[[#This Row],[Satisfaction Score]]&lt;2,"Low",IF(EmployeeData[[#This Row],[Satisfaction Score]]&lt;3,"Medium","High"))</f>
        <v>Medium</v>
      </c>
    </row>
    <row r="473" spans="1:31" x14ac:dyDescent="0.25">
      <c r="A473" t="s">
        <v>2291</v>
      </c>
      <c r="B473" t="s">
        <v>2292</v>
      </c>
      <c r="C473" t="s">
        <v>58</v>
      </c>
      <c r="D473">
        <v>26</v>
      </c>
      <c r="E473" t="s">
        <v>27</v>
      </c>
      <c r="F473" t="s">
        <v>59</v>
      </c>
      <c r="G473" s="1">
        <v>44583</v>
      </c>
      <c r="H473">
        <v>87765</v>
      </c>
      <c r="I473" t="s">
        <v>52</v>
      </c>
      <c r="J473" t="s">
        <v>61</v>
      </c>
      <c r="K473" t="s">
        <v>77</v>
      </c>
      <c r="L473" t="s">
        <v>62</v>
      </c>
      <c r="M473">
        <v>23</v>
      </c>
      <c r="N473" t="s">
        <v>34</v>
      </c>
      <c r="O473">
        <v>4</v>
      </c>
      <c r="P473">
        <v>1</v>
      </c>
      <c r="Q473">
        <v>3</v>
      </c>
      <c r="R473">
        <v>3</v>
      </c>
      <c r="S473">
        <v>0</v>
      </c>
      <c r="T473">
        <v>4</v>
      </c>
      <c r="U473">
        <v>15</v>
      </c>
      <c r="V473" t="s">
        <v>2294</v>
      </c>
      <c r="W473" t="s">
        <v>34</v>
      </c>
      <c r="Y473" s="2" t="str">
        <f>IF(EmployeeData[[#This Row],[Age]]&lt;25,"Under 25",IF(EmployeeData[[#This Row],[Age]]&lt;=34,"25-34",IF(EmployeeData[[#This Row],[Age]]&lt;=44,"35-44",IF(EmployeeData[[#This Row],[Age]]&lt;=54,"45-54","55+"))))</f>
        <v>25-34</v>
      </c>
      <c r="Z473">
        <f ca="1">DATEDIF(EmployeeData[[#This Row],[DateOfJoining]],IF(AND(EmployeeData[[#This Row],[Attrition]]="Yes",EmployeeData[[#This Row],[LastWorkingDate]]&lt;&gt;""),EmployeeData[[#This Row],[LastWorkingDate]],TODAY()),"Y")</f>
        <v>4</v>
      </c>
      <c r="AA473" t="str">
        <f>IF(EmployeeData[[#This Row],[MonthlyIncome]]&lt;30000,"Low",IF(EmployeeData[[#This Row],[MonthlyIncome]]&lt;=60000,"Medium",IF(EmployeeData[[#This Row],[MonthlyIncome]]&lt;=100000,"High","Very High")))</f>
        <v>High</v>
      </c>
      <c r="AB473">
        <f>IF(EmployeeData[[#This Row],[Attrition]]="Yes",1,0)</f>
        <v>0</v>
      </c>
      <c r="AC473" t="str">
        <f ca="1">IF(EmployeeData[[#This Row],[Tenure Years]]&lt;1,"Less than 1 Year",IF(EmployeeData[[#This Row],[Tenure Years]]&lt;=3,"1-3 Years",IF(EmployeeData[[#This Row],[Tenure Years]]&lt;=5,"4-5 Years",IF(EmployeeData[[#This Row],[Tenure Years]]&lt;=10,"6-10 Years","More than 10 Years"))))</f>
        <v>4-5 Years</v>
      </c>
      <c r="AD473">
        <f>ROUND(AVERAGE(EmployeeData[[#This Row],[JobSatisfaction]],EmployeeData[[#This Row],[EnvironmentSatisfaction]],EmployeeData[[#This Row],[WorkLifeBalance]]),2)</f>
        <v>2.67</v>
      </c>
      <c r="AE473" t="str">
        <f>IF(EmployeeData[[#This Row],[Satisfaction Score]]&lt;2,"Low",IF(EmployeeData[[#This Row],[Satisfaction Score]]&lt;3,"Medium","High"))</f>
        <v>Medium</v>
      </c>
    </row>
    <row r="474" spans="1:31" x14ac:dyDescent="0.25">
      <c r="A474" t="s">
        <v>2295</v>
      </c>
      <c r="B474" t="s">
        <v>2296</v>
      </c>
      <c r="C474" t="s">
        <v>58</v>
      </c>
      <c r="D474">
        <v>35</v>
      </c>
      <c r="E474" t="s">
        <v>5461</v>
      </c>
      <c r="F474" t="s">
        <v>261</v>
      </c>
      <c r="G474" s="1">
        <v>40997</v>
      </c>
      <c r="H474">
        <v>89896</v>
      </c>
      <c r="I474" t="s">
        <v>52</v>
      </c>
      <c r="J474" t="s">
        <v>143</v>
      </c>
      <c r="K474" t="s">
        <v>167</v>
      </c>
      <c r="L474" t="s">
        <v>33</v>
      </c>
      <c r="M474">
        <v>41</v>
      </c>
      <c r="N474" t="s">
        <v>34</v>
      </c>
      <c r="O474">
        <v>2</v>
      </c>
      <c r="P474">
        <v>2</v>
      </c>
      <c r="Q474">
        <v>1</v>
      </c>
      <c r="R474">
        <v>3</v>
      </c>
      <c r="S474">
        <v>0</v>
      </c>
      <c r="T474">
        <v>1</v>
      </c>
      <c r="U474">
        <v>19</v>
      </c>
      <c r="V474" t="s">
        <v>5459</v>
      </c>
      <c r="W474" t="s">
        <v>45</v>
      </c>
      <c r="X474" s="1">
        <v>45683</v>
      </c>
      <c r="Y474" s="2" t="str">
        <f>IF(EmployeeData[[#This Row],[Age]]&lt;25,"Under 25",IF(EmployeeData[[#This Row],[Age]]&lt;=34,"25-34",IF(EmployeeData[[#This Row],[Age]]&lt;=44,"35-44",IF(EmployeeData[[#This Row],[Age]]&lt;=54,"45-54","55+"))))</f>
        <v>35-44</v>
      </c>
      <c r="Z474">
        <f ca="1">DATEDIF(EmployeeData[[#This Row],[DateOfJoining]],IF(AND(EmployeeData[[#This Row],[Attrition]]="Yes",EmployeeData[[#This Row],[LastWorkingDate]]&lt;&gt;""),EmployeeData[[#This Row],[LastWorkingDate]],TODAY()),"Y")</f>
        <v>12</v>
      </c>
      <c r="AA474" t="str">
        <f>IF(EmployeeData[[#This Row],[MonthlyIncome]]&lt;30000,"Low",IF(EmployeeData[[#This Row],[MonthlyIncome]]&lt;=60000,"Medium",IF(EmployeeData[[#This Row],[MonthlyIncome]]&lt;=100000,"High","Very High")))</f>
        <v>High</v>
      </c>
      <c r="AB474">
        <f>IF(EmployeeData[[#This Row],[Attrition]]="Yes",1,0)</f>
        <v>1</v>
      </c>
      <c r="AC474" t="str">
        <f ca="1">IF(EmployeeData[[#This Row],[Tenure Years]]&lt;1,"Less than 1 Year",IF(EmployeeData[[#This Row],[Tenure Years]]&lt;=3,"1-3 Years",IF(EmployeeData[[#This Row],[Tenure Years]]&lt;=5,"4-5 Years",IF(EmployeeData[[#This Row],[Tenure Years]]&lt;=10,"6-10 Years","More than 10 Years"))))</f>
        <v>More than 10 Years</v>
      </c>
      <c r="AD474">
        <f>ROUND(AVERAGE(EmployeeData[[#This Row],[JobSatisfaction]],EmployeeData[[#This Row],[EnvironmentSatisfaction]],EmployeeData[[#This Row],[WorkLifeBalance]]),2)</f>
        <v>1.67</v>
      </c>
      <c r="AE474" t="str">
        <f>IF(EmployeeData[[#This Row],[Satisfaction Score]]&lt;2,"Low",IF(EmployeeData[[#This Row],[Satisfaction Score]]&lt;3,"Medium","High"))</f>
        <v>Low</v>
      </c>
    </row>
    <row r="475" spans="1:31" x14ac:dyDescent="0.25">
      <c r="A475" t="s">
        <v>2299</v>
      </c>
      <c r="B475" t="s">
        <v>2300</v>
      </c>
      <c r="C475" t="s">
        <v>58</v>
      </c>
      <c r="D475">
        <v>34</v>
      </c>
      <c r="E475" t="s">
        <v>94</v>
      </c>
      <c r="F475" t="s">
        <v>356</v>
      </c>
      <c r="G475" s="1">
        <v>41441</v>
      </c>
      <c r="H475">
        <v>74816</v>
      </c>
      <c r="I475" t="s">
        <v>30</v>
      </c>
      <c r="J475" t="s">
        <v>61</v>
      </c>
      <c r="K475" t="s">
        <v>77</v>
      </c>
      <c r="L475" t="s">
        <v>43</v>
      </c>
      <c r="M475">
        <v>24</v>
      </c>
      <c r="N475" t="s">
        <v>45</v>
      </c>
      <c r="O475">
        <v>1</v>
      </c>
      <c r="P475">
        <v>2</v>
      </c>
      <c r="Q475">
        <v>3</v>
      </c>
      <c r="R475">
        <v>2</v>
      </c>
      <c r="S475">
        <v>3</v>
      </c>
      <c r="T475">
        <v>6</v>
      </c>
      <c r="U475">
        <v>14</v>
      </c>
      <c r="V475" t="s">
        <v>2302</v>
      </c>
      <c r="W475" t="s">
        <v>45</v>
      </c>
      <c r="X475" s="1">
        <v>45093</v>
      </c>
      <c r="Y475" s="2" t="str">
        <f>IF(EmployeeData[[#This Row],[Age]]&lt;25,"Under 25",IF(EmployeeData[[#This Row],[Age]]&lt;=34,"25-34",IF(EmployeeData[[#This Row],[Age]]&lt;=44,"35-44",IF(EmployeeData[[#This Row],[Age]]&lt;=54,"45-54","55+"))))</f>
        <v>25-34</v>
      </c>
      <c r="Z475">
        <f ca="1">DATEDIF(EmployeeData[[#This Row],[DateOfJoining]],IF(AND(EmployeeData[[#This Row],[Attrition]]="Yes",EmployeeData[[#This Row],[LastWorkingDate]]&lt;&gt;""),EmployeeData[[#This Row],[LastWorkingDate]],TODAY()),"Y")</f>
        <v>10</v>
      </c>
      <c r="AA475" t="str">
        <f>IF(EmployeeData[[#This Row],[MonthlyIncome]]&lt;30000,"Low",IF(EmployeeData[[#This Row],[MonthlyIncome]]&lt;=60000,"Medium",IF(EmployeeData[[#This Row],[MonthlyIncome]]&lt;=100000,"High","Very High")))</f>
        <v>High</v>
      </c>
      <c r="AB475">
        <f>IF(EmployeeData[[#This Row],[Attrition]]="Yes",1,0)</f>
        <v>1</v>
      </c>
      <c r="AC475" t="str">
        <f ca="1">IF(EmployeeData[[#This Row],[Tenure Years]]&lt;1,"Less than 1 Year",IF(EmployeeData[[#This Row],[Tenure Years]]&lt;=3,"1-3 Years",IF(EmployeeData[[#This Row],[Tenure Years]]&lt;=5,"4-5 Years",IF(EmployeeData[[#This Row],[Tenure Years]]&lt;=10,"6-10 Years","More than 10 Years"))))</f>
        <v>6-10 Years</v>
      </c>
      <c r="AD475">
        <f>ROUND(AVERAGE(EmployeeData[[#This Row],[JobSatisfaction]],EmployeeData[[#This Row],[EnvironmentSatisfaction]],EmployeeData[[#This Row],[WorkLifeBalance]]),2)</f>
        <v>2</v>
      </c>
      <c r="AE475" t="str">
        <f>IF(EmployeeData[[#This Row],[Satisfaction Score]]&lt;2,"Low",IF(EmployeeData[[#This Row],[Satisfaction Score]]&lt;3,"Medium","High"))</f>
        <v>Medium</v>
      </c>
    </row>
    <row r="476" spans="1:31" x14ac:dyDescent="0.25">
      <c r="A476" t="s">
        <v>2304</v>
      </c>
      <c r="B476" t="s">
        <v>2305</v>
      </c>
      <c r="C476" t="s">
        <v>58</v>
      </c>
      <c r="D476">
        <v>28</v>
      </c>
      <c r="E476" t="s">
        <v>5461</v>
      </c>
      <c r="F476" t="s">
        <v>483</v>
      </c>
      <c r="G476" s="1">
        <v>44661</v>
      </c>
      <c r="H476">
        <v>55109</v>
      </c>
      <c r="I476" t="s">
        <v>42</v>
      </c>
      <c r="J476" t="s">
        <v>5459</v>
      </c>
      <c r="K476" t="s">
        <v>83</v>
      </c>
      <c r="L476" t="s">
        <v>33</v>
      </c>
      <c r="M476">
        <v>22</v>
      </c>
      <c r="N476" t="s">
        <v>34</v>
      </c>
      <c r="O476">
        <v>4</v>
      </c>
      <c r="P476">
        <v>1</v>
      </c>
      <c r="Q476">
        <v>3</v>
      </c>
      <c r="R476">
        <v>3</v>
      </c>
      <c r="S476">
        <v>6</v>
      </c>
      <c r="T476">
        <v>2</v>
      </c>
      <c r="U476">
        <v>17</v>
      </c>
      <c r="V476" t="s">
        <v>2308</v>
      </c>
      <c r="W476" t="s">
        <v>34</v>
      </c>
      <c r="Y476" s="2" t="str">
        <f>IF(EmployeeData[[#This Row],[Age]]&lt;25,"Under 25",IF(EmployeeData[[#This Row],[Age]]&lt;=34,"25-34",IF(EmployeeData[[#This Row],[Age]]&lt;=44,"35-44",IF(EmployeeData[[#This Row],[Age]]&lt;=54,"45-54","55+"))))</f>
        <v>25-34</v>
      </c>
      <c r="Z476">
        <f ca="1">DATEDIF(EmployeeData[[#This Row],[DateOfJoining]],IF(AND(EmployeeData[[#This Row],[Attrition]]="Yes",EmployeeData[[#This Row],[LastWorkingDate]]&lt;&gt;""),EmployeeData[[#This Row],[LastWorkingDate]],TODAY()),"Y")</f>
        <v>4</v>
      </c>
      <c r="AA476" t="str">
        <f>IF(EmployeeData[[#This Row],[MonthlyIncome]]&lt;30000,"Low",IF(EmployeeData[[#This Row],[MonthlyIncome]]&lt;=60000,"Medium",IF(EmployeeData[[#This Row],[MonthlyIncome]]&lt;=100000,"High","Very High")))</f>
        <v>Medium</v>
      </c>
      <c r="AB476">
        <f>IF(EmployeeData[[#This Row],[Attrition]]="Yes",1,0)</f>
        <v>0</v>
      </c>
      <c r="AC476" t="str">
        <f ca="1">IF(EmployeeData[[#This Row],[Tenure Years]]&lt;1,"Less than 1 Year",IF(EmployeeData[[#This Row],[Tenure Years]]&lt;=3,"1-3 Years",IF(EmployeeData[[#This Row],[Tenure Years]]&lt;=5,"4-5 Years",IF(EmployeeData[[#This Row],[Tenure Years]]&lt;=10,"6-10 Years","More than 10 Years"))))</f>
        <v>4-5 Years</v>
      </c>
      <c r="AD476">
        <f>ROUND(AVERAGE(EmployeeData[[#This Row],[JobSatisfaction]],EmployeeData[[#This Row],[EnvironmentSatisfaction]],EmployeeData[[#This Row],[WorkLifeBalance]]),2)</f>
        <v>2.67</v>
      </c>
      <c r="AE476" t="str">
        <f>IF(EmployeeData[[#This Row],[Satisfaction Score]]&lt;2,"Low",IF(EmployeeData[[#This Row],[Satisfaction Score]]&lt;3,"Medium","High"))</f>
        <v>Medium</v>
      </c>
    </row>
    <row r="477" spans="1:31" x14ac:dyDescent="0.25">
      <c r="A477" t="s">
        <v>2309</v>
      </c>
      <c r="B477" t="s">
        <v>2310</v>
      </c>
      <c r="C477" t="s">
        <v>49</v>
      </c>
      <c r="D477">
        <v>50</v>
      </c>
      <c r="E477" t="s">
        <v>197</v>
      </c>
      <c r="F477" t="s">
        <v>573</v>
      </c>
      <c r="G477" s="1">
        <v>44056</v>
      </c>
      <c r="H477">
        <v>73478</v>
      </c>
      <c r="I477" t="s">
        <v>42</v>
      </c>
      <c r="J477" t="s">
        <v>53</v>
      </c>
      <c r="K477" t="s">
        <v>113</v>
      </c>
      <c r="L477" t="s">
        <v>43</v>
      </c>
      <c r="M477">
        <v>30</v>
      </c>
      <c r="N477" t="s">
        <v>34</v>
      </c>
      <c r="O477">
        <v>1</v>
      </c>
      <c r="P477">
        <v>2</v>
      </c>
      <c r="Q477">
        <v>2</v>
      </c>
      <c r="R477">
        <v>5</v>
      </c>
      <c r="S477">
        <v>5</v>
      </c>
      <c r="T477">
        <v>2</v>
      </c>
      <c r="U477">
        <v>14</v>
      </c>
      <c r="V477" t="s">
        <v>2312</v>
      </c>
      <c r="W477" t="s">
        <v>45</v>
      </c>
      <c r="X477" s="1">
        <v>44497</v>
      </c>
      <c r="Y477" s="2" t="str">
        <f>IF(EmployeeData[[#This Row],[Age]]&lt;25,"Under 25",IF(EmployeeData[[#This Row],[Age]]&lt;=34,"25-34",IF(EmployeeData[[#This Row],[Age]]&lt;=44,"35-44",IF(EmployeeData[[#This Row],[Age]]&lt;=54,"45-54","55+"))))</f>
        <v>45-54</v>
      </c>
      <c r="Z477">
        <f ca="1">DATEDIF(EmployeeData[[#This Row],[DateOfJoining]],IF(AND(EmployeeData[[#This Row],[Attrition]]="Yes",EmployeeData[[#This Row],[LastWorkingDate]]&lt;&gt;""),EmployeeData[[#This Row],[LastWorkingDate]],TODAY()),"Y")</f>
        <v>1</v>
      </c>
      <c r="AA477" t="str">
        <f>IF(EmployeeData[[#This Row],[MonthlyIncome]]&lt;30000,"Low",IF(EmployeeData[[#This Row],[MonthlyIncome]]&lt;=60000,"Medium",IF(EmployeeData[[#This Row],[MonthlyIncome]]&lt;=100000,"High","Very High")))</f>
        <v>High</v>
      </c>
      <c r="AB477">
        <f>IF(EmployeeData[[#This Row],[Attrition]]="Yes",1,0)</f>
        <v>1</v>
      </c>
      <c r="AC477" t="str">
        <f ca="1">IF(EmployeeData[[#This Row],[Tenure Years]]&lt;1,"Less than 1 Year",IF(EmployeeData[[#This Row],[Tenure Years]]&lt;=3,"1-3 Years",IF(EmployeeData[[#This Row],[Tenure Years]]&lt;=5,"4-5 Years",IF(EmployeeData[[#This Row],[Tenure Years]]&lt;=10,"6-10 Years","More than 10 Years"))))</f>
        <v>1-3 Years</v>
      </c>
      <c r="AD477">
        <f>ROUND(AVERAGE(EmployeeData[[#This Row],[JobSatisfaction]],EmployeeData[[#This Row],[EnvironmentSatisfaction]],EmployeeData[[#This Row],[WorkLifeBalance]]),2)</f>
        <v>1.67</v>
      </c>
      <c r="AE477" t="str">
        <f>IF(EmployeeData[[#This Row],[Satisfaction Score]]&lt;2,"Low",IF(EmployeeData[[#This Row],[Satisfaction Score]]&lt;3,"Medium","High"))</f>
        <v>Low</v>
      </c>
    </row>
    <row r="478" spans="1:31" x14ac:dyDescent="0.25">
      <c r="A478" t="s">
        <v>2314</v>
      </c>
      <c r="B478" t="s">
        <v>2315</v>
      </c>
      <c r="C478" t="s">
        <v>58</v>
      </c>
      <c r="D478">
        <v>39</v>
      </c>
      <c r="E478" t="s">
        <v>94</v>
      </c>
      <c r="F478" t="s">
        <v>266</v>
      </c>
      <c r="G478" s="1">
        <v>45561</v>
      </c>
      <c r="H478">
        <v>72904</v>
      </c>
      <c r="I478" t="s">
        <v>30</v>
      </c>
      <c r="J478" t="s">
        <v>61</v>
      </c>
      <c r="K478" t="s">
        <v>83</v>
      </c>
      <c r="L478" t="s">
        <v>33</v>
      </c>
      <c r="M478">
        <v>42</v>
      </c>
      <c r="N478" t="s">
        <v>34</v>
      </c>
      <c r="O478">
        <v>4</v>
      </c>
      <c r="P478">
        <v>3</v>
      </c>
      <c r="Q478">
        <v>3</v>
      </c>
      <c r="R478">
        <v>3</v>
      </c>
      <c r="S478">
        <v>5</v>
      </c>
      <c r="T478">
        <v>4</v>
      </c>
      <c r="U478">
        <v>16</v>
      </c>
      <c r="V478" t="s">
        <v>2317</v>
      </c>
      <c r="W478" t="s">
        <v>34</v>
      </c>
      <c r="Y478" s="2" t="str">
        <f>IF(EmployeeData[[#This Row],[Age]]&lt;25,"Under 25",IF(EmployeeData[[#This Row],[Age]]&lt;=34,"25-34",IF(EmployeeData[[#This Row],[Age]]&lt;=44,"35-44",IF(EmployeeData[[#This Row],[Age]]&lt;=54,"45-54","55+"))))</f>
        <v>35-44</v>
      </c>
      <c r="Z478">
        <f ca="1">DATEDIF(EmployeeData[[#This Row],[DateOfJoining]],IF(AND(EmployeeData[[#This Row],[Attrition]]="Yes",EmployeeData[[#This Row],[LastWorkingDate]]&lt;&gt;""),EmployeeData[[#This Row],[LastWorkingDate]],TODAY()),"Y")</f>
        <v>1</v>
      </c>
      <c r="AA478" t="str">
        <f>IF(EmployeeData[[#This Row],[MonthlyIncome]]&lt;30000,"Low",IF(EmployeeData[[#This Row],[MonthlyIncome]]&lt;=60000,"Medium",IF(EmployeeData[[#This Row],[MonthlyIncome]]&lt;=100000,"High","Very High")))</f>
        <v>High</v>
      </c>
      <c r="AB478">
        <f>IF(EmployeeData[[#This Row],[Attrition]]="Yes",1,0)</f>
        <v>0</v>
      </c>
      <c r="AC478" t="str">
        <f ca="1">IF(EmployeeData[[#This Row],[Tenure Years]]&lt;1,"Less than 1 Year",IF(EmployeeData[[#This Row],[Tenure Years]]&lt;=3,"1-3 Years",IF(EmployeeData[[#This Row],[Tenure Years]]&lt;=5,"4-5 Years",IF(EmployeeData[[#This Row],[Tenure Years]]&lt;=10,"6-10 Years","More than 10 Years"))))</f>
        <v>1-3 Years</v>
      </c>
      <c r="AD478">
        <f>ROUND(AVERAGE(EmployeeData[[#This Row],[JobSatisfaction]],EmployeeData[[#This Row],[EnvironmentSatisfaction]],EmployeeData[[#This Row],[WorkLifeBalance]]),2)</f>
        <v>3.33</v>
      </c>
      <c r="AE478" t="str">
        <f>IF(EmployeeData[[#This Row],[Satisfaction Score]]&lt;2,"Low",IF(EmployeeData[[#This Row],[Satisfaction Score]]&lt;3,"Medium","High"))</f>
        <v>High</v>
      </c>
    </row>
    <row r="479" spans="1:31" x14ac:dyDescent="0.25">
      <c r="A479" t="s">
        <v>2318</v>
      </c>
      <c r="B479" t="s">
        <v>2319</v>
      </c>
      <c r="C479" t="s">
        <v>58</v>
      </c>
      <c r="D479">
        <v>30</v>
      </c>
      <c r="E479" t="s">
        <v>5461</v>
      </c>
      <c r="F479" t="s">
        <v>261</v>
      </c>
      <c r="G479" s="1">
        <v>45821</v>
      </c>
      <c r="H479">
        <v>74189</v>
      </c>
      <c r="I479" t="s">
        <v>30</v>
      </c>
      <c r="J479" t="s">
        <v>143</v>
      </c>
      <c r="K479" t="s">
        <v>5459</v>
      </c>
      <c r="L479" t="s">
        <v>62</v>
      </c>
      <c r="M479">
        <v>44</v>
      </c>
      <c r="N479" t="s">
        <v>34</v>
      </c>
      <c r="O479">
        <v>2</v>
      </c>
      <c r="P479">
        <v>1</v>
      </c>
      <c r="Q479">
        <v>3</v>
      </c>
      <c r="R479">
        <v>3</v>
      </c>
      <c r="S479">
        <v>3</v>
      </c>
      <c r="T479">
        <v>0</v>
      </c>
      <c r="U479">
        <v>23</v>
      </c>
      <c r="V479" t="s">
        <v>2321</v>
      </c>
      <c r="W479" t="s">
        <v>45</v>
      </c>
      <c r="X479" s="1">
        <v>46137</v>
      </c>
      <c r="Y479" s="2" t="str">
        <f>IF(EmployeeData[[#This Row],[Age]]&lt;25,"Under 25",IF(EmployeeData[[#This Row],[Age]]&lt;=34,"25-34",IF(EmployeeData[[#This Row],[Age]]&lt;=44,"35-44",IF(EmployeeData[[#This Row],[Age]]&lt;=54,"45-54","55+"))))</f>
        <v>25-34</v>
      </c>
      <c r="Z479">
        <f ca="1">DATEDIF(EmployeeData[[#This Row],[DateOfJoining]],IF(AND(EmployeeData[[#This Row],[Attrition]]="Yes",EmployeeData[[#This Row],[LastWorkingDate]]&lt;&gt;""),EmployeeData[[#This Row],[LastWorkingDate]],TODAY()),"Y")</f>
        <v>0</v>
      </c>
      <c r="AA479" t="str">
        <f>IF(EmployeeData[[#This Row],[MonthlyIncome]]&lt;30000,"Low",IF(EmployeeData[[#This Row],[MonthlyIncome]]&lt;=60000,"Medium",IF(EmployeeData[[#This Row],[MonthlyIncome]]&lt;=100000,"High","Very High")))</f>
        <v>High</v>
      </c>
      <c r="AB479">
        <f>IF(EmployeeData[[#This Row],[Attrition]]="Yes",1,0)</f>
        <v>1</v>
      </c>
      <c r="AC479" t="str">
        <f ca="1">IF(EmployeeData[[#This Row],[Tenure Years]]&lt;1,"Less than 1 Year",IF(EmployeeData[[#This Row],[Tenure Years]]&lt;=3,"1-3 Years",IF(EmployeeData[[#This Row],[Tenure Years]]&lt;=5,"4-5 Years",IF(EmployeeData[[#This Row],[Tenure Years]]&lt;=10,"6-10 Years","More than 10 Years"))))</f>
        <v>Less than 1 Year</v>
      </c>
      <c r="AD479">
        <f>ROUND(AVERAGE(EmployeeData[[#This Row],[JobSatisfaction]],EmployeeData[[#This Row],[EnvironmentSatisfaction]],EmployeeData[[#This Row],[WorkLifeBalance]]),2)</f>
        <v>2</v>
      </c>
      <c r="AE479" t="str">
        <f>IF(EmployeeData[[#This Row],[Satisfaction Score]]&lt;2,"Low",IF(EmployeeData[[#This Row],[Satisfaction Score]]&lt;3,"Medium","High"))</f>
        <v>Medium</v>
      </c>
    </row>
    <row r="480" spans="1:31" x14ac:dyDescent="0.25">
      <c r="A480" t="s">
        <v>2323</v>
      </c>
      <c r="B480" t="s">
        <v>2324</v>
      </c>
      <c r="C480" t="s">
        <v>58</v>
      </c>
      <c r="D480">
        <v>23</v>
      </c>
      <c r="E480" t="s">
        <v>27</v>
      </c>
      <c r="F480" t="s">
        <v>50</v>
      </c>
      <c r="G480" s="1">
        <v>41591</v>
      </c>
      <c r="H480">
        <v>95356</v>
      </c>
      <c r="I480" t="s">
        <v>52</v>
      </c>
      <c r="J480" t="s">
        <v>61</v>
      </c>
      <c r="K480" t="s">
        <v>98</v>
      </c>
      <c r="L480" t="s">
        <v>62</v>
      </c>
      <c r="M480">
        <v>32</v>
      </c>
      <c r="N480" t="s">
        <v>34</v>
      </c>
      <c r="O480">
        <v>4</v>
      </c>
      <c r="P480">
        <v>3</v>
      </c>
      <c r="Q480">
        <v>1</v>
      </c>
      <c r="R480">
        <v>3</v>
      </c>
      <c r="S480">
        <v>0</v>
      </c>
      <c r="T480">
        <v>1</v>
      </c>
      <c r="U480">
        <v>11</v>
      </c>
      <c r="V480" t="s">
        <v>2326</v>
      </c>
      <c r="W480" t="s">
        <v>34</v>
      </c>
      <c r="Y480" s="2" t="str">
        <f>IF(EmployeeData[[#This Row],[Age]]&lt;25,"Under 25",IF(EmployeeData[[#This Row],[Age]]&lt;=34,"25-34",IF(EmployeeData[[#This Row],[Age]]&lt;=44,"35-44",IF(EmployeeData[[#This Row],[Age]]&lt;=54,"45-54","55+"))))</f>
        <v>Under 25</v>
      </c>
      <c r="Z480">
        <f ca="1">DATEDIF(EmployeeData[[#This Row],[DateOfJoining]],IF(AND(EmployeeData[[#This Row],[Attrition]]="Yes",EmployeeData[[#This Row],[LastWorkingDate]]&lt;&gt;""),EmployeeData[[#This Row],[LastWorkingDate]],TODAY()),"Y")</f>
        <v>12</v>
      </c>
      <c r="AA480" t="str">
        <f>IF(EmployeeData[[#This Row],[MonthlyIncome]]&lt;30000,"Low",IF(EmployeeData[[#This Row],[MonthlyIncome]]&lt;=60000,"Medium",IF(EmployeeData[[#This Row],[MonthlyIncome]]&lt;=100000,"High","Very High")))</f>
        <v>High</v>
      </c>
      <c r="AB480">
        <f>IF(EmployeeData[[#This Row],[Attrition]]="Yes",1,0)</f>
        <v>0</v>
      </c>
      <c r="AC480" t="str">
        <f ca="1">IF(EmployeeData[[#This Row],[Tenure Years]]&lt;1,"Less than 1 Year",IF(EmployeeData[[#This Row],[Tenure Years]]&lt;=3,"1-3 Years",IF(EmployeeData[[#This Row],[Tenure Years]]&lt;=5,"4-5 Years",IF(EmployeeData[[#This Row],[Tenure Years]]&lt;=10,"6-10 Years","More than 10 Years"))))</f>
        <v>More than 10 Years</v>
      </c>
      <c r="AD480">
        <f>ROUND(AVERAGE(EmployeeData[[#This Row],[JobSatisfaction]],EmployeeData[[#This Row],[EnvironmentSatisfaction]],EmployeeData[[#This Row],[WorkLifeBalance]]),2)</f>
        <v>2.67</v>
      </c>
      <c r="AE480" t="str">
        <f>IF(EmployeeData[[#This Row],[Satisfaction Score]]&lt;2,"Low",IF(EmployeeData[[#This Row],[Satisfaction Score]]&lt;3,"Medium","High"))</f>
        <v>Medium</v>
      </c>
    </row>
    <row r="481" spans="1:31" x14ac:dyDescent="0.25">
      <c r="A481" t="s">
        <v>2327</v>
      </c>
      <c r="B481" t="s">
        <v>2328</v>
      </c>
      <c r="C481" t="s">
        <v>49</v>
      </c>
      <c r="D481">
        <v>40</v>
      </c>
      <c r="E481" t="s">
        <v>128</v>
      </c>
      <c r="F481" t="s">
        <v>226</v>
      </c>
      <c r="G481" s="1">
        <v>44365</v>
      </c>
      <c r="H481">
        <v>41021</v>
      </c>
      <c r="I481" t="s">
        <v>52</v>
      </c>
      <c r="J481" t="s">
        <v>31</v>
      </c>
      <c r="K481" t="s">
        <v>77</v>
      </c>
      <c r="L481" t="s">
        <v>62</v>
      </c>
      <c r="M481">
        <v>9</v>
      </c>
      <c r="N481" t="s">
        <v>34</v>
      </c>
      <c r="O481">
        <v>1</v>
      </c>
      <c r="P481">
        <v>3</v>
      </c>
      <c r="Q481">
        <v>2</v>
      </c>
      <c r="R481">
        <v>3</v>
      </c>
      <c r="S481">
        <v>2</v>
      </c>
      <c r="T481">
        <v>4</v>
      </c>
      <c r="U481">
        <v>23</v>
      </c>
      <c r="V481" t="s">
        <v>2330</v>
      </c>
      <c r="W481" t="s">
        <v>34</v>
      </c>
      <c r="Y481" s="2" t="str">
        <f>IF(EmployeeData[[#This Row],[Age]]&lt;25,"Under 25",IF(EmployeeData[[#This Row],[Age]]&lt;=34,"25-34",IF(EmployeeData[[#This Row],[Age]]&lt;=44,"35-44",IF(EmployeeData[[#This Row],[Age]]&lt;=54,"45-54","55+"))))</f>
        <v>35-44</v>
      </c>
      <c r="Z481">
        <f ca="1">DATEDIF(EmployeeData[[#This Row],[DateOfJoining]],IF(AND(EmployeeData[[#This Row],[Attrition]]="Yes",EmployeeData[[#This Row],[LastWorkingDate]]&lt;&gt;""),EmployeeData[[#This Row],[LastWorkingDate]],TODAY()),"Y")</f>
        <v>5</v>
      </c>
      <c r="AA481" t="str">
        <f>IF(EmployeeData[[#This Row],[MonthlyIncome]]&lt;30000,"Low",IF(EmployeeData[[#This Row],[MonthlyIncome]]&lt;=60000,"Medium",IF(EmployeeData[[#This Row],[MonthlyIncome]]&lt;=100000,"High","Very High")))</f>
        <v>Medium</v>
      </c>
      <c r="AB481">
        <f>IF(EmployeeData[[#This Row],[Attrition]]="Yes",1,0)</f>
        <v>0</v>
      </c>
      <c r="AC481" t="str">
        <f ca="1">IF(EmployeeData[[#This Row],[Tenure Years]]&lt;1,"Less than 1 Year",IF(EmployeeData[[#This Row],[Tenure Years]]&lt;=3,"1-3 Years",IF(EmployeeData[[#This Row],[Tenure Years]]&lt;=5,"4-5 Years",IF(EmployeeData[[#This Row],[Tenure Years]]&lt;=10,"6-10 Years","More than 10 Years"))))</f>
        <v>4-5 Years</v>
      </c>
      <c r="AD481">
        <f>ROUND(AVERAGE(EmployeeData[[#This Row],[JobSatisfaction]],EmployeeData[[#This Row],[EnvironmentSatisfaction]],EmployeeData[[#This Row],[WorkLifeBalance]]),2)</f>
        <v>2</v>
      </c>
      <c r="AE481" t="str">
        <f>IF(EmployeeData[[#This Row],[Satisfaction Score]]&lt;2,"Low",IF(EmployeeData[[#This Row],[Satisfaction Score]]&lt;3,"Medium","High"))</f>
        <v>Medium</v>
      </c>
    </row>
    <row r="482" spans="1:31" x14ac:dyDescent="0.25">
      <c r="A482" t="s">
        <v>2331</v>
      </c>
      <c r="B482" t="s">
        <v>2332</v>
      </c>
      <c r="C482" t="s">
        <v>49</v>
      </c>
      <c r="D482">
        <v>43</v>
      </c>
      <c r="E482" t="s">
        <v>27</v>
      </c>
      <c r="F482" t="s">
        <v>59</v>
      </c>
      <c r="G482" s="1">
        <v>40905</v>
      </c>
      <c r="H482">
        <v>83084</v>
      </c>
      <c r="I482" t="s">
        <v>52</v>
      </c>
      <c r="J482" t="s">
        <v>31</v>
      </c>
      <c r="K482" t="s">
        <v>77</v>
      </c>
      <c r="L482" t="s">
        <v>62</v>
      </c>
      <c r="M482">
        <v>15</v>
      </c>
      <c r="N482" t="s">
        <v>34</v>
      </c>
      <c r="O482">
        <v>1</v>
      </c>
      <c r="P482">
        <v>2</v>
      </c>
      <c r="Q482">
        <v>2</v>
      </c>
      <c r="R482">
        <v>3</v>
      </c>
      <c r="S482">
        <v>4</v>
      </c>
      <c r="T482">
        <v>7</v>
      </c>
      <c r="U482">
        <v>12</v>
      </c>
      <c r="V482" t="s">
        <v>2334</v>
      </c>
      <c r="W482" t="s">
        <v>34</v>
      </c>
      <c r="Y482" s="2" t="str">
        <f>IF(EmployeeData[[#This Row],[Age]]&lt;25,"Under 25",IF(EmployeeData[[#This Row],[Age]]&lt;=34,"25-34",IF(EmployeeData[[#This Row],[Age]]&lt;=44,"35-44",IF(EmployeeData[[#This Row],[Age]]&lt;=54,"45-54","55+"))))</f>
        <v>35-44</v>
      </c>
      <c r="Z482">
        <f ca="1">DATEDIF(EmployeeData[[#This Row],[DateOfJoining]],IF(AND(EmployeeData[[#This Row],[Attrition]]="Yes",EmployeeData[[#This Row],[LastWorkingDate]]&lt;&gt;""),EmployeeData[[#This Row],[LastWorkingDate]],TODAY()),"Y")</f>
        <v>14</v>
      </c>
      <c r="AA482" t="str">
        <f>IF(EmployeeData[[#This Row],[MonthlyIncome]]&lt;30000,"Low",IF(EmployeeData[[#This Row],[MonthlyIncome]]&lt;=60000,"Medium",IF(EmployeeData[[#This Row],[MonthlyIncome]]&lt;=100000,"High","Very High")))</f>
        <v>High</v>
      </c>
      <c r="AB482">
        <f>IF(EmployeeData[[#This Row],[Attrition]]="Yes",1,0)</f>
        <v>0</v>
      </c>
      <c r="AC482" t="str">
        <f ca="1">IF(EmployeeData[[#This Row],[Tenure Years]]&lt;1,"Less than 1 Year",IF(EmployeeData[[#This Row],[Tenure Years]]&lt;=3,"1-3 Years",IF(EmployeeData[[#This Row],[Tenure Years]]&lt;=5,"4-5 Years",IF(EmployeeData[[#This Row],[Tenure Years]]&lt;=10,"6-10 Years","More than 10 Years"))))</f>
        <v>More than 10 Years</v>
      </c>
      <c r="AD482">
        <f>ROUND(AVERAGE(EmployeeData[[#This Row],[JobSatisfaction]],EmployeeData[[#This Row],[EnvironmentSatisfaction]],EmployeeData[[#This Row],[WorkLifeBalance]]),2)</f>
        <v>1.67</v>
      </c>
      <c r="AE482" t="str">
        <f>IF(EmployeeData[[#This Row],[Satisfaction Score]]&lt;2,"Low",IF(EmployeeData[[#This Row],[Satisfaction Score]]&lt;3,"Medium","High"))</f>
        <v>Low</v>
      </c>
    </row>
    <row r="483" spans="1:31" x14ac:dyDescent="0.25">
      <c r="A483" t="s">
        <v>2335</v>
      </c>
      <c r="B483" t="s">
        <v>2336</v>
      </c>
      <c r="C483" t="s">
        <v>49</v>
      </c>
      <c r="D483">
        <v>34</v>
      </c>
      <c r="E483" t="s">
        <v>197</v>
      </c>
      <c r="F483" t="s">
        <v>235</v>
      </c>
      <c r="G483" s="1">
        <v>43994</v>
      </c>
      <c r="H483">
        <v>58736</v>
      </c>
      <c r="I483" t="s">
        <v>5459</v>
      </c>
      <c r="J483" t="s">
        <v>61</v>
      </c>
      <c r="K483" t="s">
        <v>98</v>
      </c>
      <c r="L483" t="s">
        <v>33</v>
      </c>
      <c r="M483">
        <v>8</v>
      </c>
      <c r="N483" t="s">
        <v>34</v>
      </c>
      <c r="O483">
        <v>2</v>
      </c>
      <c r="P483">
        <v>3</v>
      </c>
      <c r="Q483">
        <v>1</v>
      </c>
      <c r="R483">
        <v>4</v>
      </c>
      <c r="S483">
        <v>2</v>
      </c>
      <c r="T483">
        <v>5</v>
      </c>
      <c r="U483">
        <v>15</v>
      </c>
      <c r="V483" t="s">
        <v>2338</v>
      </c>
      <c r="W483" t="s">
        <v>45</v>
      </c>
      <c r="X483" s="1">
        <v>45074</v>
      </c>
      <c r="Y483" s="2" t="str">
        <f>IF(EmployeeData[[#This Row],[Age]]&lt;25,"Under 25",IF(EmployeeData[[#This Row],[Age]]&lt;=34,"25-34",IF(EmployeeData[[#This Row],[Age]]&lt;=44,"35-44",IF(EmployeeData[[#This Row],[Age]]&lt;=54,"45-54","55+"))))</f>
        <v>25-34</v>
      </c>
      <c r="Z483">
        <f ca="1">DATEDIF(EmployeeData[[#This Row],[DateOfJoining]],IF(AND(EmployeeData[[#This Row],[Attrition]]="Yes",EmployeeData[[#This Row],[LastWorkingDate]]&lt;&gt;""),EmployeeData[[#This Row],[LastWorkingDate]],TODAY()),"Y")</f>
        <v>2</v>
      </c>
      <c r="AA483" t="str">
        <f>IF(EmployeeData[[#This Row],[MonthlyIncome]]&lt;30000,"Low",IF(EmployeeData[[#This Row],[MonthlyIncome]]&lt;=60000,"Medium",IF(EmployeeData[[#This Row],[MonthlyIncome]]&lt;=100000,"High","Very High")))</f>
        <v>Medium</v>
      </c>
      <c r="AB483">
        <f>IF(EmployeeData[[#This Row],[Attrition]]="Yes",1,0)</f>
        <v>1</v>
      </c>
      <c r="AC483" t="str">
        <f ca="1">IF(EmployeeData[[#This Row],[Tenure Years]]&lt;1,"Less than 1 Year",IF(EmployeeData[[#This Row],[Tenure Years]]&lt;=3,"1-3 Years",IF(EmployeeData[[#This Row],[Tenure Years]]&lt;=5,"4-5 Years",IF(EmployeeData[[#This Row],[Tenure Years]]&lt;=10,"6-10 Years","More than 10 Years"))))</f>
        <v>1-3 Years</v>
      </c>
      <c r="AD483">
        <f>ROUND(AVERAGE(EmployeeData[[#This Row],[JobSatisfaction]],EmployeeData[[#This Row],[EnvironmentSatisfaction]],EmployeeData[[#This Row],[WorkLifeBalance]]),2)</f>
        <v>2</v>
      </c>
      <c r="AE483" t="str">
        <f>IF(EmployeeData[[#This Row],[Satisfaction Score]]&lt;2,"Low",IF(EmployeeData[[#This Row],[Satisfaction Score]]&lt;3,"Medium","High"))</f>
        <v>Medium</v>
      </c>
    </row>
    <row r="484" spans="1:31" x14ac:dyDescent="0.25">
      <c r="A484" t="s">
        <v>2340</v>
      </c>
      <c r="B484" t="s">
        <v>5459</v>
      </c>
      <c r="C484" t="s">
        <v>49</v>
      </c>
      <c r="D484">
        <v>37</v>
      </c>
      <c r="E484" t="s">
        <v>27</v>
      </c>
      <c r="F484" t="s">
        <v>50</v>
      </c>
      <c r="G484" s="1">
        <v>44445</v>
      </c>
      <c r="H484">
        <v>47458</v>
      </c>
      <c r="I484" t="s">
        <v>30</v>
      </c>
      <c r="J484" t="s">
        <v>31</v>
      </c>
      <c r="K484" t="s">
        <v>113</v>
      </c>
      <c r="L484" t="s">
        <v>62</v>
      </c>
      <c r="M484">
        <v>24</v>
      </c>
      <c r="N484" t="s">
        <v>34</v>
      </c>
      <c r="O484">
        <v>4</v>
      </c>
      <c r="P484">
        <v>1</v>
      </c>
      <c r="Q484">
        <v>4</v>
      </c>
      <c r="R484">
        <v>5</v>
      </c>
      <c r="S484">
        <v>2</v>
      </c>
      <c r="T484">
        <v>6</v>
      </c>
      <c r="U484">
        <v>13</v>
      </c>
      <c r="V484" t="s">
        <v>2342</v>
      </c>
      <c r="W484" t="s">
        <v>34</v>
      </c>
      <c r="Y484" s="2" t="str">
        <f>IF(EmployeeData[[#This Row],[Age]]&lt;25,"Under 25",IF(EmployeeData[[#This Row],[Age]]&lt;=34,"25-34",IF(EmployeeData[[#This Row],[Age]]&lt;=44,"35-44",IF(EmployeeData[[#This Row],[Age]]&lt;=54,"45-54","55+"))))</f>
        <v>35-44</v>
      </c>
      <c r="Z484">
        <f ca="1">DATEDIF(EmployeeData[[#This Row],[DateOfJoining]],IF(AND(EmployeeData[[#This Row],[Attrition]]="Yes",EmployeeData[[#This Row],[LastWorkingDate]]&lt;&gt;""),EmployeeData[[#This Row],[LastWorkingDate]],TODAY()),"Y")</f>
        <v>4</v>
      </c>
      <c r="AA484" t="str">
        <f>IF(EmployeeData[[#This Row],[MonthlyIncome]]&lt;30000,"Low",IF(EmployeeData[[#This Row],[MonthlyIncome]]&lt;=60000,"Medium",IF(EmployeeData[[#This Row],[MonthlyIncome]]&lt;=100000,"High","Very High")))</f>
        <v>Medium</v>
      </c>
      <c r="AB484">
        <f>IF(EmployeeData[[#This Row],[Attrition]]="Yes",1,0)</f>
        <v>0</v>
      </c>
      <c r="AC484" t="str">
        <f ca="1">IF(EmployeeData[[#This Row],[Tenure Years]]&lt;1,"Less than 1 Year",IF(EmployeeData[[#This Row],[Tenure Years]]&lt;=3,"1-3 Years",IF(EmployeeData[[#This Row],[Tenure Years]]&lt;=5,"4-5 Years",IF(EmployeeData[[#This Row],[Tenure Years]]&lt;=10,"6-10 Years","More than 10 Years"))))</f>
        <v>4-5 Years</v>
      </c>
      <c r="AD484">
        <f>ROUND(AVERAGE(EmployeeData[[#This Row],[JobSatisfaction]],EmployeeData[[#This Row],[EnvironmentSatisfaction]],EmployeeData[[#This Row],[WorkLifeBalance]]),2)</f>
        <v>3</v>
      </c>
      <c r="AE484" t="str">
        <f>IF(EmployeeData[[#This Row],[Satisfaction Score]]&lt;2,"Low",IF(EmployeeData[[#This Row],[Satisfaction Score]]&lt;3,"Medium","High"))</f>
        <v>High</v>
      </c>
    </row>
    <row r="485" spans="1:31" x14ac:dyDescent="0.25">
      <c r="A485" t="s">
        <v>2343</v>
      </c>
      <c r="B485" t="s">
        <v>2344</v>
      </c>
      <c r="C485" t="s">
        <v>49</v>
      </c>
      <c r="D485">
        <v>34</v>
      </c>
      <c r="E485" t="s">
        <v>27</v>
      </c>
      <c r="F485" t="s">
        <v>50</v>
      </c>
      <c r="G485" s="1">
        <v>42992</v>
      </c>
      <c r="H485">
        <v>101453</v>
      </c>
      <c r="I485" t="s">
        <v>52</v>
      </c>
      <c r="J485" t="s">
        <v>61</v>
      </c>
      <c r="K485" t="s">
        <v>54</v>
      </c>
      <c r="L485" t="s">
        <v>33</v>
      </c>
      <c r="M485">
        <v>20</v>
      </c>
      <c r="N485" t="s">
        <v>34</v>
      </c>
      <c r="O485">
        <v>2</v>
      </c>
      <c r="P485">
        <v>2</v>
      </c>
      <c r="Q485">
        <v>1</v>
      </c>
      <c r="R485">
        <v>3</v>
      </c>
      <c r="S485">
        <v>3</v>
      </c>
      <c r="T485">
        <v>2</v>
      </c>
      <c r="U485">
        <v>11</v>
      </c>
      <c r="V485" t="s">
        <v>2346</v>
      </c>
      <c r="W485" t="s">
        <v>34</v>
      </c>
      <c r="Y485" s="2" t="str">
        <f>IF(EmployeeData[[#This Row],[Age]]&lt;25,"Under 25",IF(EmployeeData[[#This Row],[Age]]&lt;=34,"25-34",IF(EmployeeData[[#This Row],[Age]]&lt;=44,"35-44",IF(EmployeeData[[#This Row],[Age]]&lt;=54,"45-54","55+"))))</f>
        <v>25-34</v>
      </c>
      <c r="Z485">
        <f ca="1">DATEDIF(EmployeeData[[#This Row],[DateOfJoining]],IF(AND(EmployeeData[[#This Row],[Attrition]]="Yes",EmployeeData[[#This Row],[LastWorkingDate]]&lt;&gt;""),EmployeeData[[#This Row],[LastWorkingDate]],TODAY()),"Y")</f>
        <v>8</v>
      </c>
      <c r="AA485" t="str">
        <f>IF(EmployeeData[[#This Row],[MonthlyIncome]]&lt;30000,"Low",IF(EmployeeData[[#This Row],[MonthlyIncome]]&lt;=60000,"Medium",IF(EmployeeData[[#This Row],[MonthlyIncome]]&lt;=100000,"High","Very High")))</f>
        <v>Very High</v>
      </c>
      <c r="AB485">
        <f>IF(EmployeeData[[#This Row],[Attrition]]="Yes",1,0)</f>
        <v>0</v>
      </c>
      <c r="AC485" t="str">
        <f ca="1">IF(EmployeeData[[#This Row],[Tenure Years]]&lt;1,"Less than 1 Year",IF(EmployeeData[[#This Row],[Tenure Years]]&lt;=3,"1-3 Years",IF(EmployeeData[[#This Row],[Tenure Years]]&lt;=5,"4-5 Years",IF(EmployeeData[[#This Row],[Tenure Years]]&lt;=10,"6-10 Years","More than 10 Years"))))</f>
        <v>6-10 Years</v>
      </c>
      <c r="AD485">
        <f>ROUND(AVERAGE(EmployeeData[[#This Row],[JobSatisfaction]],EmployeeData[[#This Row],[EnvironmentSatisfaction]],EmployeeData[[#This Row],[WorkLifeBalance]]),2)</f>
        <v>1.67</v>
      </c>
      <c r="AE485" t="str">
        <f>IF(EmployeeData[[#This Row],[Satisfaction Score]]&lt;2,"Low",IF(EmployeeData[[#This Row],[Satisfaction Score]]&lt;3,"Medium","High"))</f>
        <v>Low</v>
      </c>
    </row>
    <row r="486" spans="1:31" x14ac:dyDescent="0.25">
      <c r="A486" t="s">
        <v>2347</v>
      </c>
      <c r="B486" t="s">
        <v>2348</v>
      </c>
      <c r="C486" t="s">
        <v>58</v>
      </c>
      <c r="D486">
        <v>26</v>
      </c>
      <c r="E486" t="s">
        <v>128</v>
      </c>
      <c r="F486" t="s">
        <v>226</v>
      </c>
      <c r="G486" s="1">
        <v>41413</v>
      </c>
      <c r="H486">
        <v>71930</v>
      </c>
      <c r="I486" t="s">
        <v>42</v>
      </c>
      <c r="J486" t="s">
        <v>53</v>
      </c>
      <c r="K486" t="s">
        <v>98</v>
      </c>
      <c r="L486" t="s">
        <v>43</v>
      </c>
      <c r="M486">
        <v>20</v>
      </c>
      <c r="N486" t="s">
        <v>34</v>
      </c>
      <c r="O486">
        <v>3</v>
      </c>
      <c r="P486">
        <v>3</v>
      </c>
      <c r="Q486">
        <v>1</v>
      </c>
      <c r="R486">
        <v>2</v>
      </c>
      <c r="S486">
        <v>4</v>
      </c>
      <c r="T486">
        <v>2</v>
      </c>
      <c r="U486">
        <v>18</v>
      </c>
      <c r="V486" t="s">
        <v>2350</v>
      </c>
      <c r="W486" t="s">
        <v>34</v>
      </c>
      <c r="Y486" s="2" t="str">
        <f>IF(EmployeeData[[#This Row],[Age]]&lt;25,"Under 25",IF(EmployeeData[[#This Row],[Age]]&lt;=34,"25-34",IF(EmployeeData[[#This Row],[Age]]&lt;=44,"35-44",IF(EmployeeData[[#This Row],[Age]]&lt;=54,"45-54","55+"))))</f>
        <v>25-34</v>
      </c>
      <c r="Z486">
        <f ca="1">DATEDIF(EmployeeData[[#This Row],[DateOfJoining]],IF(AND(EmployeeData[[#This Row],[Attrition]]="Yes",EmployeeData[[#This Row],[LastWorkingDate]]&lt;&gt;""),EmployeeData[[#This Row],[LastWorkingDate]],TODAY()),"Y")</f>
        <v>13</v>
      </c>
      <c r="AA486" t="str">
        <f>IF(EmployeeData[[#This Row],[MonthlyIncome]]&lt;30000,"Low",IF(EmployeeData[[#This Row],[MonthlyIncome]]&lt;=60000,"Medium",IF(EmployeeData[[#This Row],[MonthlyIncome]]&lt;=100000,"High","Very High")))</f>
        <v>High</v>
      </c>
      <c r="AB486">
        <f>IF(EmployeeData[[#This Row],[Attrition]]="Yes",1,0)</f>
        <v>0</v>
      </c>
      <c r="AC486" t="str">
        <f ca="1">IF(EmployeeData[[#This Row],[Tenure Years]]&lt;1,"Less than 1 Year",IF(EmployeeData[[#This Row],[Tenure Years]]&lt;=3,"1-3 Years",IF(EmployeeData[[#This Row],[Tenure Years]]&lt;=5,"4-5 Years",IF(EmployeeData[[#This Row],[Tenure Years]]&lt;=10,"6-10 Years","More than 10 Years"))))</f>
        <v>More than 10 Years</v>
      </c>
      <c r="AD486">
        <f>ROUND(AVERAGE(EmployeeData[[#This Row],[JobSatisfaction]],EmployeeData[[#This Row],[EnvironmentSatisfaction]],EmployeeData[[#This Row],[WorkLifeBalance]]),2)</f>
        <v>2.33</v>
      </c>
      <c r="AE486" t="str">
        <f>IF(EmployeeData[[#This Row],[Satisfaction Score]]&lt;2,"Low",IF(EmployeeData[[#This Row],[Satisfaction Score]]&lt;3,"Medium","High"))</f>
        <v>Medium</v>
      </c>
    </row>
    <row r="487" spans="1:31" x14ac:dyDescent="0.25">
      <c r="A487" t="s">
        <v>2351</v>
      </c>
      <c r="B487" t="s">
        <v>2352</v>
      </c>
      <c r="C487" t="s">
        <v>49</v>
      </c>
      <c r="D487">
        <v>44</v>
      </c>
      <c r="E487" t="s">
        <v>5461</v>
      </c>
      <c r="F487" t="s">
        <v>89</v>
      </c>
      <c r="G487" s="1">
        <v>44566</v>
      </c>
      <c r="H487">
        <v>76061</v>
      </c>
      <c r="I487" t="s">
        <v>42</v>
      </c>
      <c r="J487" t="s">
        <v>143</v>
      </c>
      <c r="K487" t="s">
        <v>113</v>
      </c>
      <c r="L487" t="s">
        <v>33</v>
      </c>
      <c r="M487">
        <v>22</v>
      </c>
      <c r="N487" t="s">
        <v>45</v>
      </c>
      <c r="O487">
        <v>1</v>
      </c>
      <c r="P487">
        <v>1</v>
      </c>
      <c r="Q487">
        <v>3</v>
      </c>
      <c r="R487">
        <v>5</v>
      </c>
      <c r="S487">
        <v>1</v>
      </c>
      <c r="T487">
        <v>1</v>
      </c>
      <c r="U487">
        <v>22</v>
      </c>
      <c r="V487" t="s">
        <v>2354</v>
      </c>
      <c r="W487" t="s">
        <v>34</v>
      </c>
      <c r="Y487" s="2" t="str">
        <f>IF(EmployeeData[[#This Row],[Age]]&lt;25,"Under 25",IF(EmployeeData[[#This Row],[Age]]&lt;=34,"25-34",IF(EmployeeData[[#This Row],[Age]]&lt;=44,"35-44",IF(EmployeeData[[#This Row],[Age]]&lt;=54,"45-54","55+"))))</f>
        <v>35-44</v>
      </c>
      <c r="Z487">
        <f ca="1">DATEDIF(EmployeeData[[#This Row],[DateOfJoining]],IF(AND(EmployeeData[[#This Row],[Attrition]]="Yes",EmployeeData[[#This Row],[LastWorkingDate]]&lt;&gt;""),EmployeeData[[#This Row],[LastWorkingDate]],TODAY()),"Y")</f>
        <v>4</v>
      </c>
      <c r="AA487" t="str">
        <f>IF(EmployeeData[[#This Row],[MonthlyIncome]]&lt;30000,"Low",IF(EmployeeData[[#This Row],[MonthlyIncome]]&lt;=60000,"Medium",IF(EmployeeData[[#This Row],[MonthlyIncome]]&lt;=100000,"High","Very High")))</f>
        <v>High</v>
      </c>
      <c r="AB487">
        <f>IF(EmployeeData[[#This Row],[Attrition]]="Yes",1,0)</f>
        <v>0</v>
      </c>
      <c r="AC487" t="str">
        <f ca="1">IF(EmployeeData[[#This Row],[Tenure Years]]&lt;1,"Less than 1 Year",IF(EmployeeData[[#This Row],[Tenure Years]]&lt;=3,"1-3 Years",IF(EmployeeData[[#This Row],[Tenure Years]]&lt;=5,"4-5 Years",IF(EmployeeData[[#This Row],[Tenure Years]]&lt;=10,"6-10 Years","More than 10 Years"))))</f>
        <v>4-5 Years</v>
      </c>
      <c r="AD487">
        <f>ROUND(AVERAGE(EmployeeData[[#This Row],[JobSatisfaction]],EmployeeData[[#This Row],[EnvironmentSatisfaction]],EmployeeData[[#This Row],[WorkLifeBalance]]),2)</f>
        <v>1.67</v>
      </c>
      <c r="AE487" t="str">
        <f>IF(EmployeeData[[#This Row],[Satisfaction Score]]&lt;2,"Low",IF(EmployeeData[[#This Row],[Satisfaction Score]]&lt;3,"Medium","High"))</f>
        <v>Low</v>
      </c>
    </row>
    <row r="488" spans="1:31" x14ac:dyDescent="0.25">
      <c r="A488" t="s">
        <v>2355</v>
      </c>
      <c r="B488" t="s">
        <v>2356</v>
      </c>
      <c r="C488" t="s">
        <v>49</v>
      </c>
      <c r="D488">
        <v>50</v>
      </c>
      <c r="E488" t="s">
        <v>27</v>
      </c>
      <c r="F488" t="s">
        <v>188</v>
      </c>
      <c r="G488" s="1">
        <v>46051</v>
      </c>
      <c r="H488">
        <v>118013</v>
      </c>
      <c r="I488" t="s">
        <v>30</v>
      </c>
      <c r="J488" t="s">
        <v>53</v>
      </c>
      <c r="K488" t="s">
        <v>83</v>
      </c>
      <c r="L488" t="s">
        <v>62</v>
      </c>
      <c r="M488">
        <v>5</v>
      </c>
      <c r="N488" t="s">
        <v>34</v>
      </c>
      <c r="O488">
        <v>1</v>
      </c>
      <c r="P488">
        <v>3</v>
      </c>
      <c r="Q488">
        <v>4</v>
      </c>
      <c r="R488">
        <v>3</v>
      </c>
      <c r="S488">
        <v>5</v>
      </c>
      <c r="T488">
        <v>2</v>
      </c>
      <c r="U488">
        <v>18</v>
      </c>
      <c r="V488" t="s">
        <v>2359</v>
      </c>
      <c r="W488" t="s">
        <v>34</v>
      </c>
      <c r="Y488" s="2" t="str">
        <f>IF(EmployeeData[[#This Row],[Age]]&lt;25,"Under 25",IF(EmployeeData[[#This Row],[Age]]&lt;=34,"25-34",IF(EmployeeData[[#This Row],[Age]]&lt;=44,"35-44",IF(EmployeeData[[#This Row],[Age]]&lt;=54,"45-54","55+"))))</f>
        <v>45-54</v>
      </c>
      <c r="Z488">
        <f ca="1">DATEDIF(EmployeeData[[#This Row],[DateOfJoining]],IF(AND(EmployeeData[[#This Row],[Attrition]]="Yes",EmployeeData[[#This Row],[LastWorkingDate]]&lt;&gt;""),EmployeeData[[#This Row],[LastWorkingDate]],TODAY()),"Y")</f>
        <v>0</v>
      </c>
      <c r="AA488" t="str">
        <f>IF(EmployeeData[[#This Row],[MonthlyIncome]]&lt;30000,"Low",IF(EmployeeData[[#This Row],[MonthlyIncome]]&lt;=60000,"Medium",IF(EmployeeData[[#This Row],[MonthlyIncome]]&lt;=100000,"High","Very High")))</f>
        <v>Very High</v>
      </c>
      <c r="AB488">
        <f>IF(EmployeeData[[#This Row],[Attrition]]="Yes",1,0)</f>
        <v>0</v>
      </c>
      <c r="AC488" t="str">
        <f ca="1">IF(EmployeeData[[#This Row],[Tenure Years]]&lt;1,"Less than 1 Year",IF(EmployeeData[[#This Row],[Tenure Years]]&lt;=3,"1-3 Years",IF(EmployeeData[[#This Row],[Tenure Years]]&lt;=5,"4-5 Years",IF(EmployeeData[[#This Row],[Tenure Years]]&lt;=10,"6-10 Years","More than 10 Years"))))</f>
        <v>Less than 1 Year</v>
      </c>
      <c r="AD488">
        <f>ROUND(AVERAGE(EmployeeData[[#This Row],[JobSatisfaction]],EmployeeData[[#This Row],[EnvironmentSatisfaction]],EmployeeData[[#This Row],[WorkLifeBalance]]),2)</f>
        <v>2.67</v>
      </c>
      <c r="AE488" t="str">
        <f>IF(EmployeeData[[#This Row],[Satisfaction Score]]&lt;2,"Low",IF(EmployeeData[[#This Row],[Satisfaction Score]]&lt;3,"Medium","High"))</f>
        <v>Medium</v>
      </c>
    </row>
    <row r="489" spans="1:31" x14ac:dyDescent="0.25">
      <c r="A489" t="s">
        <v>2360</v>
      </c>
      <c r="B489" t="s">
        <v>2361</v>
      </c>
      <c r="C489" t="s">
        <v>49</v>
      </c>
      <c r="D489">
        <v>38</v>
      </c>
      <c r="E489" t="s">
        <v>412</v>
      </c>
      <c r="F489" t="s">
        <v>828</v>
      </c>
      <c r="G489" s="1">
        <v>41004</v>
      </c>
      <c r="H489">
        <v>82411</v>
      </c>
      <c r="I489" t="s">
        <v>42</v>
      </c>
      <c r="J489" t="s">
        <v>61</v>
      </c>
      <c r="K489" t="s">
        <v>83</v>
      </c>
      <c r="L489" t="s">
        <v>33</v>
      </c>
      <c r="M489">
        <v>21</v>
      </c>
      <c r="N489" t="s">
        <v>45</v>
      </c>
      <c r="O489">
        <v>4</v>
      </c>
      <c r="P489">
        <v>3</v>
      </c>
      <c r="Q489">
        <v>1</v>
      </c>
      <c r="R489">
        <v>3</v>
      </c>
      <c r="S489">
        <v>1</v>
      </c>
      <c r="T489">
        <v>7</v>
      </c>
      <c r="U489">
        <v>21</v>
      </c>
      <c r="V489" t="s">
        <v>5459</v>
      </c>
      <c r="W489" t="s">
        <v>45</v>
      </c>
      <c r="X489" s="1">
        <v>43480</v>
      </c>
      <c r="Y489" s="2" t="str">
        <f>IF(EmployeeData[[#This Row],[Age]]&lt;25,"Under 25",IF(EmployeeData[[#This Row],[Age]]&lt;=34,"25-34",IF(EmployeeData[[#This Row],[Age]]&lt;=44,"35-44",IF(EmployeeData[[#This Row],[Age]]&lt;=54,"45-54","55+"))))</f>
        <v>35-44</v>
      </c>
      <c r="Z489">
        <f ca="1">DATEDIF(EmployeeData[[#This Row],[DateOfJoining]],IF(AND(EmployeeData[[#This Row],[Attrition]]="Yes",EmployeeData[[#This Row],[LastWorkingDate]]&lt;&gt;""),EmployeeData[[#This Row],[LastWorkingDate]],TODAY()),"Y")</f>
        <v>6</v>
      </c>
      <c r="AA489" t="str">
        <f>IF(EmployeeData[[#This Row],[MonthlyIncome]]&lt;30000,"Low",IF(EmployeeData[[#This Row],[MonthlyIncome]]&lt;=60000,"Medium",IF(EmployeeData[[#This Row],[MonthlyIncome]]&lt;=100000,"High","Very High")))</f>
        <v>High</v>
      </c>
      <c r="AB489">
        <f>IF(EmployeeData[[#This Row],[Attrition]]="Yes",1,0)</f>
        <v>1</v>
      </c>
      <c r="AC489" t="str">
        <f ca="1">IF(EmployeeData[[#This Row],[Tenure Years]]&lt;1,"Less than 1 Year",IF(EmployeeData[[#This Row],[Tenure Years]]&lt;=3,"1-3 Years",IF(EmployeeData[[#This Row],[Tenure Years]]&lt;=5,"4-5 Years",IF(EmployeeData[[#This Row],[Tenure Years]]&lt;=10,"6-10 Years","More than 10 Years"))))</f>
        <v>6-10 Years</v>
      </c>
      <c r="AD489">
        <f>ROUND(AVERAGE(EmployeeData[[#This Row],[JobSatisfaction]],EmployeeData[[#This Row],[EnvironmentSatisfaction]],EmployeeData[[#This Row],[WorkLifeBalance]]),2)</f>
        <v>2.67</v>
      </c>
      <c r="AE489" t="str">
        <f>IF(EmployeeData[[#This Row],[Satisfaction Score]]&lt;2,"Low",IF(EmployeeData[[#This Row],[Satisfaction Score]]&lt;3,"Medium","High"))</f>
        <v>Medium</v>
      </c>
    </row>
    <row r="490" spans="1:31" x14ac:dyDescent="0.25">
      <c r="A490" t="s">
        <v>2365</v>
      </c>
      <c r="B490" t="s">
        <v>2366</v>
      </c>
      <c r="C490" t="s">
        <v>49</v>
      </c>
      <c r="D490">
        <v>36</v>
      </c>
      <c r="E490" t="s">
        <v>412</v>
      </c>
      <c r="F490" t="s">
        <v>1093</v>
      </c>
      <c r="G490" s="1">
        <v>44200</v>
      </c>
      <c r="H490">
        <v>54371</v>
      </c>
      <c r="I490" t="s">
        <v>30</v>
      </c>
      <c r="J490" t="s">
        <v>31</v>
      </c>
      <c r="K490" t="s">
        <v>83</v>
      </c>
      <c r="L490" t="s">
        <v>43</v>
      </c>
      <c r="M490">
        <v>21</v>
      </c>
      <c r="N490" t="s">
        <v>34</v>
      </c>
      <c r="O490">
        <v>2</v>
      </c>
      <c r="P490">
        <v>1</v>
      </c>
      <c r="Q490">
        <v>3</v>
      </c>
      <c r="R490">
        <v>4</v>
      </c>
      <c r="S490">
        <v>0</v>
      </c>
      <c r="T490">
        <v>4</v>
      </c>
      <c r="U490">
        <v>24</v>
      </c>
      <c r="V490" t="s">
        <v>2368</v>
      </c>
      <c r="W490" t="s">
        <v>34</v>
      </c>
      <c r="Y490" s="2" t="str">
        <f>IF(EmployeeData[[#This Row],[Age]]&lt;25,"Under 25",IF(EmployeeData[[#This Row],[Age]]&lt;=34,"25-34",IF(EmployeeData[[#This Row],[Age]]&lt;=44,"35-44",IF(EmployeeData[[#This Row],[Age]]&lt;=54,"45-54","55+"))))</f>
        <v>35-44</v>
      </c>
      <c r="Z490">
        <f ca="1">DATEDIF(EmployeeData[[#This Row],[DateOfJoining]],IF(AND(EmployeeData[[#This Row],[Attrition]]="Yes",EmployeeData[[#This Row],[LastWorkingDate]]&lt;&gt;""),EmployeeData[[#This Row],[LastWorkingDate]],TODAY()),"Y")</f>
        <v>5</v>
      </c>
      <c r="AA490" t="str">
        <f>IF(EmployeeData[[#This Row],[MonthlyIncome]]&lt;30000,"Low",IF(EmployeeData[[#This Row],[MonthlyIncome]]&lt;=60000,"Medium",IF(EmployeeData[[#This Row],[MonthlyIncome]]&lt;=100000,"High","Very High")))</f>
        <v>Medium</v>
      </c>
      <c r="AB490">
        <f>IF(EmployeeData[[#This Row],[Attrition]]="Yes",1,0)</f>
        <v>0</v>
      </c>
      <c r="AC490" t="str">
        <f ca="1">IF(EmployeeData[[#This Row],[Tenure Years]]&lt;1,"Less than 1 Year",IF(EmployeeData[[#This Row],[Tenure Years]]&lt;=3,"1-3 Years",IF(EmployeeData[[#This Row],[Tenure Years]]&lt;=5,"4-5 Years",IF(EmployeeData[[#This Row],[Tenure Years]]&lt;=10,"6-10 Years","More than 10 Years"))))</f>
        <v>4-5 Years</v>
      </c>
      <c r="AD490">
        <f>ROUND(AVERAGE(EmployeeData[[#This Row],[JobSatisfaction]],EmployeeData[[#This Row],[EnvironmentSatisfaction]],EmployeeData[[#This Row],[WorkLifeBalance]]),2)</f>
        <v>2</v>
      </c>
      <c r="AE490" t="str">
        <f>IF(EmployeeData[[#This Row],[Satisfaction Score]]&lt;2,"Low",IF(EmployeeData[[#This Row],[Satisfaction Score]]&lt;3,"Medium","High"))</f>
        <v>Medium</v>
      </c>
    </row>
    <row r="491" spans="1:31" x14ac:dyDescent="0.25">
      <c r="A491" t="s">
        <v>2369</v>
      </c>
      <c r="B491" t="s">
        <v>2370</v>
      </c>
      <c r="C491" t="s">
        <v>49</v>
      </c>
      <c r="D491">
        <v>47</v>
      </c>
      <c r="E491" t="s">
        <v>128</v>
      </c>
      <c r="F491" t="s">
        <v>255</v>
      </c>
      <c r="G491" s="1">
        <v>41833</v>
      </c>
      <c r="H491">
        <v>58203</v>
      </c>
      <c r="I491" t="s">
        <v>52</v>
      </c>
      <c r="J491" t="s">
        <v>31</v>
      </c>
      <c r="K491" t="s">
        <v>200</v>
      </c>
      <c r="L491" t="s">
        <v>62</v>
      </c>
      <c r="M491">
        <v>10</v>
      </c>
      <c r="N491" t="s">
        <v>34</v>
      </c>
      <c r="O491">
        <v>1</v>
      </c>
      <c r="P491">
        <v>1</v>
      </c>
      <c r="Q491">
        <v>3</v>
      </c>
      <c r="R491">
        <v>2</v>
      </c>
      <c r="S491">
        <v>3</v>
      </c>
      <c r="T491">
        <v>5</v>
      </c>
      <c r="U491">
        <v>24</v>
      </c>
      <c r="V491" t="s">
        <v>2372</v>
      </c>
      <c r="W491" t="s">
        <v>34</v>
      </c>
      <c r="Y491" s="2" t="str">
        <f>IF(EmployeeData[[#This Row],[Age]]&lt;25,"Under 25",IF(EmployeeData[[#This Row],[Age]]&lt;=34,"25-34",IF(EmployeeData[[#This Row],[Age]]&lt;=44,"35-44",IF(EmployeeData[[#This Row],[Age]]&lt;=54,"45-54","55+"))))</f>
        <v>45-54</v>
      </c>
      <c r="Z491">
        <f ca="1">DATEDIF(EmployeeData[[#This Row],[DateOfJoining]],IF(AND(EmployeeData[[#This Row],[Attrition]]="Yes",EmployeeData[[#This Row],[LastWorkingDate]]&lt;&gt;""),EmployeeData[[#This Row],[LastWorkingDate]],TODAY()),"Y")</f>
        <v>12</v>
      </c>
      <c r="AA491" t="str">
        <f>IF(EmployeeData[[#This Row],[MonthlyIncome]]&lt;30000,"Low",IF(EmployeeData[[#This Row],[MonthlyIncome]]&lt;=60000,"Medium",IF(EmployeeData[[#This Row],[MonthlyIncome]]&lt;=100000,"High","Very High")))</f>
        <v>Medium</v>
      </c>
      <c r="AB491">
        <f>IF(EmployeeData[[#This Row],[Attrition]]="Yes",1,0)</f>
        <v>0</v>
      </c>
      <c r="AC491" t="str">
        <f ca="1">IF(EmployeeData[[#This Row],[Tenure Years]]&lt;1,"Less than 1 Year",IF(EmployeeData[[#This Row],[Tenure Years]]&lt;=3,"1-3 Years",IF(EmployeeData[[#This Row],[Tenure Years]]&lt;=5,"4-5 Years",IF(EmployeeData[[#This Row],[Tenure Years]]&lt;=10,"6-10 Years","More than 10 Years"))))</f>
        <v>More than 10 Years</v>
      </c>
      <c r="AD491">
        <f>ROUND(AVERAGE(EmployeeData[[#This Row],[JobSatisfaction]],EmployeeData[[#This Row],[EnvironmentSatisfaction]],EmployeeData[[#This Row],[WorkLifeBalance]]),2)</f>
        <v>1.67</v>
      </c>
      <c r="AE491" t="str">
        <f>IF(EmployeeData[[#This Row],[Satisfaction Score]]&lt;2,"Low",IF(EmployeeData[[#This Row],[Satisfaction Score]]&lt;3,"Medium","High"))</f>
        <v>Low</v>
      </c>
    </row>
    <row r="492" spans="1:31" x14ac:dyDescent="0.25">
      <c r="A492" t="s">
        <v>2373</v>
      </c>
      <c r="B492" t="s">
        <v>2374</v>
      </c>
      <c r="C492" t="s">
        <v>49</v>
      </c>
      <c r="D492">
        <v>47</v>
      </c>
      <c r="E492" t="s">
        <v>27</v>
      </c>
      <c r="F492" t="s">
        <v>75</v>
      </c>
      <c r="G492" s="1">
        <v>41095</v>
      </c>
      <c r="H492">
        <v>61074</v>
      </c>
      <c r="I492" t="s">
        <v>30</v>
      </c>
      <c r="J492" t="s">
        <v>61</v>
      </c>
      <c r="K492" t="s">
        <v>131</v>
      </c>
      <c r="L492" t="s">
        <v>33</v>
      </c>
      <c r="M492">
        <v>8</v>
      </c>
      <c r="N492" t="s">
        <v>34</v>
      </c>
      <c r="O492">
        <v>3</v>
      </c>
      <c r="P492">
        <v>4</v>
      </c>
      <c r="Q492">
        <v>1</v>
      </c>
      <c r="R492">
        <v>2</v>
      </c>
      <c r="S492">
        <v>1</v>
      </c>
      <c r="T492">
        <v>4</v>
      </c>
      <c r="U492">
        <v>12</v>
      </c>
      <c r="V492" t="s">
        <v>2376</v>
      </c>
      <c r="W492" t="s">
        <v>34</v>
      </c>
      <c r="Y492" s="2" t="str">
        <f>IF(EmployeeData[[#This Row],[Age]]&lt;25,"Under 25",IF(EmployeeData[[#This Row],[Age]]&lt;=34,"25-34",IF(EmployeeData[[#This Row],[Age]]&lt;=44,"35-44",IF(EmployeeData[[#This Row],[Age]]&lt;=54,"45-54","55+"))))</f>
        <v>45-54</v>
      </c>
      <c r="Z492">
        <f ca="1">DATEDIF(EmployeeData[[#This Row],[DateOfJoining]],IF(AND(EmployeeData[[#This Row],[Attrition]]="Yes",EmployeeData[[#This Row],[LastWorkingDate]]&lt;&gt;""),EmployeeData[[#This Row],[LastWorkingDate]],TODAY()),"Y")</f>
        <v>14</v>
      </c>
      <c r="AA492" t="str">
        <f>IF(EmployeeData[[#This Row],[MonthlyIncome]]&lt;30000,"Low",IF(EmployeeData[[#This Row],[MonthlyIncome]]&lt;=60000,"Medium",IF(EmployeeData[[#This Row],[MonthlyIncome]]&lt;=100000,"High","Very High")))</f>
        <v>High</v>
      </c>
      <c r="AB492">
        <f>IF(EmployeeData[[#This Row],[Attrition]]="Yes",1,0)</f>
        <v>0</v>
      </c>
      <c r="AC492" t="str">
        <f ca="1">IF(EmployeeData[[#This Row],[Tenure Years]]&lt;1,"Less than 1 Year",IF(EmployeeData[[#This Row],[Tenure Years]]&lt;=3,"1-3 Years",IF(EmployeeData[[#This Row],[Tenure Years]]&lt;=5,"4-5 Years",IF(EmployeeData[[#This Row],[Tenure Years]]&lt;=10,"6-10 Years","More than 10 Years"))))</f>
        <v>More than 10 Years</v>
      </c>
      <c r="AD492">
        <f>ROUND(AVERAGE(EmployeeData[[#This Row],[JobSatisfaction]],EmployeeData[[#This Row],[EnvironmentSatisfaction]],EmployeeData[[#This Row],[WorkLifeBalance]]),2)</f>
        <v>2.67</v>
      </c>
      <c r="AE492" t="str">
        <f>IF(EmployeeData[[#This Row],[Satisfaction Score]]&lt;2,"Low",IF(EmployeeData[[#This Row],[Satisfaction Score]]&lt;3,"Medium","High"))</f>
        <v>Medium</v>
      </c>
    </row>
    <row r="493" spans="1:31" x14ac:dyDescent="0.25">
      <c r="A493" t="s">
        <v>2377</v>
      </c>
      <c r="B493" t="s">
        <v>2378</v>
      </c>
      <c r="C493" t="s">
        <v>58</v>
      </c>
      <c r="D493">
        <v>42</v>
      </c>
      <c r="E493" t="s">
        <v>5461</v>
      </c>
      <c r="F493" t="s">
        <v>5463</v>
      </c>
      <c r="G493" s="1">
        <v>44845</v>
      </c>
      <c r="H493">
        <v>79956</v>
      </c>
      <c r="I493" t="s">
        <v>42</v>
      </c>
      <c r="J493" t="s">
        <v>61</v>
      </c>
      <c r="K493" t="s">
        <v>200</v>
      </c>
      <c r="L493" t="s">
        <v>33</v>
      </c>
      <c r="M493">
        <v>28</v>
      </c>
      <c r="N493" t="s">
        <v>34</v>
      </c>
      <c r="O493">
        <v>3</v>
      </c>
      <c r="P493">
        <v>2</v>
      </c>
      <c r="Q493">
        <v>2</v>
      </c>
      <c r="R493">
        <v>1</v>
      </c>
      <c r="S493">
        <v>3</v>
      </c>
      <c r="T493">
        <v>1</v>
      </c>
      <c r="U493">
        <v>13</v>
      </c>
      <c r="V493" t="s">
        <v>2380</v>
      </c>
      <c r="W493" t="s">
        <v>34</v>
      </c>
      <c r="Y493" s="2" t="str">
        <f>IF(EmployeeData[[#This Row],[Age]]&lt;25,"Under 25",IF(EmployeeData[[#This Row],[Age]]&lt;=34,"25-34",IF(EmployeeData[[#This Row],[Age]]&lt;=44,"35-44",IF(EmployeeData[[#This Row],[Age]]&lt;=54,"45-54","55+"))))</f>
        <v>35-44</v>
      </c>
      <c r="Z493">
        <f ca="1">DATEDIF(EmployeeData[[#This Row],[DateOfJoining]],IF(AND(EmployeeData[[#This Row],[Attrition]]="Yes",EmployeeData[[#This Row],[LastWorkingDate]]&lt;&gt;""),EmployeeData[[#This Row],[LastWorkingDate]],TODAY()),"Y")</f>
        <v>3</v>
      </c>
      <c r="AA493" t="str">
        <f>IF(EmployeeData[[#This Row],[MonthlyIncome]]&lt;30000,"Low",IF(EmployeeData[[#This Row],[MonthlyIncome]]&lt;=60000,"Medium",IF(EmployeeData[[#This Row],[MonthlyIncome]]&lt;=100000,"High","Very High")))</f>
        <v>High</v>
      </c>
      <c r="AB493">
        <f>IF(EmployeeData[[#This Row],[Attrition]]="Yes",1,0)</f>
        <v>0</v>
      </c>
      <c r="AC493" t="str">
        <f ca="1">IF(EmployeeData[[#This Row],[Tenure Years]]&lt;1,"Less than 1 Year",IF(EmployeeData[[#This Row],[Tenure Years]]&lt;=3,"1-3 Years",IF(EmployeeData[[#This Row],[Tenure Years]]&lt;=5,"4-5 Years",IF(EmployeeData[[#This Row],[Tenure Years]]&lt;=10,"6-10 Years","More than 10 Years"))))</f>
        <v>1-3 Years</v>
      </c>
      <c r="AD493">
        <f>ROUND(AVERAGE(EmployeeData[[#This Row],[JobSatisfaction]],EmployeeData[[#This Row],[EnvironmentSatisfaction]],EmployeeData[[#This Row],[WorkLifeBalance]]),2)</f>
        <v>2.33</v>
      </c>
      <c r="AE493" t="str">
        <f>IF(EmployeeData[[#This Row],[Satisfaction Score]]&lt;2,"Low",IF(EmployeeData[[#This Row],[Satisfaction Score]]&lt;3,"Medium","High"))</f>
        <v>Medium</v>
      </c>
    </row>
    <row r="494" spans="1:31" x14ac:dyDescent="0.25">
      <c r="A494" t="s">
        <v>2381</v>
      </c>
      <c r="B494" t="s">
        <v>2382</v>
      </c>
      <c r="C494" t="s">
        <v>58</v>
      </c>
      <c r="D494">
        <v>42</v>
      </c>
      <c r="E494" t="s">
        <v>94</v>
      </c>
      <c r="F494" t="s">
        <v>306</v>
      </c>
      <c r="G494" s="1">
        <v>45254</v>
      </c>
      <c r="H494">
        <v>115607</v>
      </c>
      <c r="I494" t="s">
        <v>30</v>
      </c>
      <c r="J494" t="s">
        <v>5459</v>
      </c>
      <c r="K494" t="s">
        <v>200</v>
      </c>
      <c r="L494" t="s">
        <v>62</v>
      </c>
      <c r="M494">
        <v>20</v>
      </c>
      <c r="N494" t="s">
        <v>45</v>
      </c>
      <c r="O494">
        <v>1</v>
      </c>
      <c r="P494">
        <v>2</v>
      </c>
      <c r="Q494">
        <v>4</v>
      </c>
      <c r="R494">
        <v>3</v>
      </c>
      <c r="S494">
        <v>0</v>
      </c>
      <c r="T494">
        <v>0</v>
      </c>
      <c r="U494">
        <v>12</v>
      </c>
      <c r="V494" t="s">
        <v>2384</v>
      </c>
      <c r="W494" t="s">
        <v>45</v>
      </c>
      <c r="X494" s="1">
        <v>45267</v>
      </c>
      <c r="Y494" s="2" t="str">
        <f>IF(EmployeeData[[#This Row],[Age]]&lt;25,"Under 25",IF(EmployeeData[[#This Row],[Age]]&lt;=34,"25-34",IF(EmployeeData[[#This Row],[Age]]&lt;=44,"35-44",IF(EmployeeData[[#This Row],[Age]]&lt;=54,"45-54","55+"))))</f>
        <v>35-44</v>
      </c>
      <c r="Z494">
        <f ca="1">DATEDIF(EmployeeData[[#This Row],[DateOfJoining]],IF(AND(EmployeeData[[#This Row],[Attrition]]="Yes",EmployeeData[[#This Row],[LastWorkingDate]]&lt;&gt;""),EmployeeData[[#This Row],[LastWorkingDate]],TODAY()),"Y")</f>
        <v>0</v>
      </c>
      <c r="AA494" t="str">
        <f>IF(EmployeeData[[#This Row],[MonthlyIncome]]&lt;30000,"Low",IF(EmployeeData[[#This Row],[MonthlyIncome]]&lt;=60000,"Medium",IF(EmployeeData[[#This Row],[MonthlyIncome]]&lt;=100000,"High","Very High")))</f>
        <v>Very High</v>
      </c>
      <c r="AB494">
        <f>IF(EmployeeData[[#This Row],[Attrition]]="Yes",1,0)</f>
        <v>1</v>
      </c>
      <c r="AC494" t="str">
        <f ca="1">IF(EmployeeData[[#This Row],[Tenure Years]]&lt;1,"Less than 1 Year",IF(EmployeeData[[#This Row],[Tenure Years]]&lt;=3,"1-3 Years",IF(EmployeeData[[#This Row],[Tenure Years]]&lt;=5,"4-5 Years",IF(EmployeeData[[#This Row],[Tenure Years]]&lt;=10,"6-10 Years","More than 10 Years"))))</f>
        <v>Less than 1 Year</v>
      </c>
      <c r="AD494">
        <f>ROUND(AVERAGE(EmployeeData[[#This Row],[JobSatisfaction]],EmployeeData[[#This Row],[EnvironmentSatisfaction]],EmployeeData[[#This Row],[WorkLifeBalance]]),2)</f>
        <v>2.33</v>
      </c>
      <c r="AE494" t="str">
        <f>IF(EmployeeData[[#This Row],[Satisfaction Score]]&lt;2,"Low",IF(EmployeeData[[#This Row],[Satisfaction Score]]&lt;3,"Medium","High"))</f>
        <v>Medium</v>
      </c>
    </row>
    <row r="495" spans="1:31" x14ac:dyDescent="0.25">
      <c r="A495" t="s">
        <v>2386</v>
      </c>
      <c r="B495" t="s">
        <v>2387</v>
      </c>
      <c r="C495" t="s">
        <v>49</v>
      </c>
      <c r="D495">
        <v>39</v>
      </c>
      <c r="E495" t="s">
        <v>5461</v>
      </c>
      <c r="F495" t="s">
        <v>89</v>
      </c>
      <c r="G495" s="1">
        <v>44606</v>
      </c>
      <c r="H495">
        <v>133673</v>
      </c>
      <c r="I495" t="s">
        <v>52</v>
      </c>
      <c r="J495" t="s">
        <v>31</v>
      </c>
      <c r="K495" t="s">
        <v>83</v>
      </c>
      <c r="L495" t="s">
        <v>43</v>
      </c>
      <c r="M495">
        <v>15</v>
      </c>
      <c r="N495" t="s">
        <v>34</v>
      </c>
      <c r="O495">
        <v>4</v>
      </c>
      <c r="P495">
        <v>2</v>
      </c>
      <c r="Q495">
        <v>3</v>
      </c>
      <c r="R495">
        <v>3</v>
      </c>
      <c r="S495">
        <v>2</v>
      </c>
      <c r="T495">
        <v>4</v>
      </c>
      <c r="U495">
        <v>13</v>
      </c>
      <c r="V495" t="s">
        <v>2389</v>
      </c>
      <c r="W495" t="s">
        <v>34</v>
      </c>
      <c r="Y495" s="2" t="str">
        <f>IF(EmployeeData[[#This Row],[Age]]&lt;25,"Under 25",IF(EmployeeData[[#This Row],[Age]]&lt;=34,"25-34",IF(EmployeeData[[#This Row],[Age]]&lt;=44,"35-44",IF(EmployeeData[[#This Row],[Age]]&lt;=54,"45-54","55+"))))</f>
        <v>35-44</v>
      </c>
      <c r="Z495">
        <f ca="1">DATEDIF(EmployeeData[[#This Row],[DateOfJoining]],IF(AND(EmployeeData[[#This Row],[Attrition]]="Yes",EmployeeData[[#This Row],[LastWorkingDate]]&lt;&gt;""),EmployeeData[[#This Row],[LastWorkingDate]],TODAY()),"Y")</f>
        <v>4</v>
      </c>
      <c r="AA495" t="str">
        <f>IF(EmployeeData[[#This Row],[MonthlyIncome]]&lt;30000,"Low",IF(EmployeeData[[#This Row],[MonthlyIncome]]&lt;=60000,"Medium",IF(EmployeeData[[#This Row],[MonthlyIncome]]&lt;=100000,"High","Very High")))</f>
        <v>Very High</v>
      </c>
      <c r="AB495">
        <f>IF(EmployeeData[[#This Row],[Attrition]]="Yes",1,0)</f>
        <v>0</v>
      </c>
      <c r="AC495" t="str">
        <f ca="1">IF(EmployeeData[[#This Row],[Tenure Years]]&lt;1,"Less than 1 Year",IF(EmployeeData[[#This Row],[Tenure Years]]&lt;=3,"1-3 Years",IF(EmployeeData[[#This Row],[Tenure Years]]&lt;=5,"4-5 Years",IF(EmployeeData[[#This Row],[Tenure Years]]&lt;=10,"6-10 Years","More than 10 Years"))))</f>
        <v>4-5 Years</v>
      </c>
      <c r="AD495">
        <f>ROUND(AVERAGE(EmployeeData[[#This Row],[JobSatisfaction]],EmployeeData[[#This Row],[EnvironmentSatisfaction]],EmployeeData[[#This Row],[WorkLifeBalance]]),2)</f>
        <v>3</v>
      </c>
      <c r="AE495" t="str">
        <f>IF(EmployeeData[[#This Row],[Satisfaction Score]]&lt;2,"Low",IF(EmployeeData[[#This Row],[Satisfaction Score]]&lt;3,"Medium","High"))</f>
        <v>High</v>
      </c>
    </row>
    <row r="496" spans="1:31" x14ac:dyDescent="0.25">
      <c r="A496" t="s">
        <v>2390</v>
      </c>
      <c r="B496" t="s">
        <v>2391</v>
      </c>
      <c r="C496" t="s">
        <v>49</v>
      </c>
      <c r="D496">
        <v>29</v>
      </c>
      <c r="E496" t="s">
        <v>197</v>
      </c>
      <c r="F496" t="s">
        <v>235</v>
      </c>
      <c r="G496" s="1">
        <v>45367</v>
      </c>
      <c r="H496">
        <v>87106</v>
      </c>
      <c r="I496" t="s">
        <v>30</v>
      </c>
      <c r="J496" t="s">
        <v>53</v>
      </c>
      <c r="K496" t="s">
        <v>98</v>
      </c>
      <c r="L496" t="s">
        <v>33</v>
      </c>
      <c r="M496">
        <v>43</v>
      </c>
      <c r="N496" t="s">
        <v>34</v>
      </c>
      <c r="O496">
        <v>1</v>
      </c>
      <c r="P496">
        <v>1</v>
      </c>
      <c r="Q496">
        <v>2</v>
      </c>
      <c r="R496">
        <v>4</v>
      </c>
      <c r="S496">
        <v>5</v>
      </c>
      <c r="T496">
        <v>4</v>
      </c>
      <c r="U496">
        <v>19</v>
      </c>
      <c r="V496" t="s">
        <v>2393</v>
      </c>
      <c r="W496" t="s">
        <v>45</v>
      </c>
      <c r="X496" s="1">
        <v>46101</v>
      </c>
      <c r="Y496" s="2" t="str">
        <f>IF(EmployeeData[[#This Row],[Age]]&lt;25,"Under 25",IF(EmployeeData[[#This Row],[Age]]&lt;=34,"25-34",IF(EmployeeData[[#This Row],[Age]]&lt;=44,"35-44",IF(EmployeeData[[#This Row],[Age]]&lt;=54,"45-54","55+"))))</f>
        <v>25-34</v>
      </c>
      <c r="Z496">
        <f ca="1">DATEDIF(EmployeeData[[#This Row],[DateOfJoining]],IF(AND(EmployeeData[[#This Row],[Attrition]]="Yes",EmployeeData[[#This Row],[LastWorkingDate]]&lt;&gt;""),EmployeeData[[#This Row],[LastWorkingDate]],TODAY()),"Y")</f>
        <v>2</v>
      </c>
      <c r="AA496" t="str">
        <f>IF(EmployeeData[[#This Row],[MonthlyIncome]]&lt;30000,"Low",IF(EmployeeData[[#This Row],[MonthlyIncome]]&lt;=60000,"Medium",IF(EmployeeData[[#This Row],[MonthlyIncome]]&lt;=100000,"High","Very High")))</f>
        <v>High</v>
      </c>
      <c r="AB496">
        <f>IF(EmployeeData[[#This Row],[Attrition]]="Yes",1,0)</f>
        <v>1</v>
      </c>
      <c r="AC496" t="str">
        <f ca="1">IF(EmployeeData[[#This Row],[Tenure Years]]&lt;1,"Less than 1 Year",IF(EmployeeData[[#This Row],[Tenure Years]]&lt;=3,"1-3 Years",IF(EmployeeData[[#This Row],[Tenure Years]]&lt;=5,"4-5 Years",IF(EmployeeData[[#This Row],[Tenure Years]]&lt;=10,"6-10 Years","More than 10 Years"))))</f>
        <v>1-3 Years</v>
      </c>
      <c r="AD496">
        <f>ROUND(AVERAGE(EmployeeData[[#This Row],[JobSatisfaction]],EmployeeData[[#This Row],[EnvironmentSatisfaction]],EmployeeData[[#This Row],[WorkLifeBalance]]),2)</f>
        <v>1.33</v>
      </c>
      <c r="AE496" t="str">
        <f>IF(EmployeeData[[#This Row],[Satisfaction Score]]&lt;2,"Low",IF(EmployeeData[[#This Row],[Satisfaction Score]]&lt;3,"Medium","High"))</f>
        <v>Low</v>
      </c>
    </row>
    <row r="497" spans="1:31" x14ac:dyDescent="0.25">
      <c r="A497" t="s">
        <v>2395</v>
      </c>
      <c r="B497" t="s">
        <v>2396</v>
      </c>
      <c r="C497" t="s">
        <v>49</v>
      </c>
      <c r="D497">
        <v>32</v>
      </c>
      <c r="E497" t="s">
        <v>27</v>
      </c>
      <c r="F497" t="s">
        <v>59</v>
      </c>
      <c r="G497" s="1">
        <v>44420</v>
      </c>
      <c r="H497">
        <v>44026</v>
      </c>
      <c r="I497" t="s">
        <v>42</v>
      </c>
      <c r="J497" t="s">
        <v>31</v>
      </c>
      <c r="K497" t="s">
        <v>32</v>
      </c>
      <c r="L497" t="s">
        <v>43</v>
      </c>
      <c r="M497">
        <v>7</v>
      </c>
      <c r="N497" t="s">
        <v>45</v>
      </c>
      <c r="O497">
        <v>2</v>
      </c>
      <c r="P497">
        <v>3</v>
      </c>
      <c r="Q497">
        <v>1</v>
      </c>
      <c r="R497">
        <v>3</v>
      </c>
      <c r="S497">
        <v>3</v>
      </c>
      <c r="T497">
        <v>2</v>
      </c>
      <c r="U497">
        <v>15</v>
      </c>
      <c r="V497" t="s">
        <v>2398</v>
      </c>
      <c r="W497" t="s">
        <v>45</v>
      </c>
      <c r="X497" s="1">
        <v>45966</v>
      </c>
      <c r="Y497" s="2" t="str">
        <f>IF(EmployeeData[[#This Row],[Age]]&lt;25,"Under 25",IF(EmployeeData[[#This Row],[Age]]&lt;=34,"25-34",IF(EmployeeData[[#This Row],[Age]]&lt;=44,"35-44",IF(EmployeeData[[#This Row],[Age]]&lt;=54,"45-54","55+"))))</f>
        <v>25-34</v>
      </c>
      <c r="Z497">
        <f ca="1">DATEDIF(EmployeeData[[#This Row],[DateOfJoining]],IF(AND(EmployeeData[[#This Row],[Attrition]]="Yes",EmployeeData[[#This Row],[LastWorkingDate]]&lt;&gt;""),EmployeeData[[#This Row],[LastWorkingDate]],TODAY()),"Y")</f>
        <v>4</v>
      </c>
      <c r="AA497" t="str">
        <f>IF(EmployeeData[[#This Row],[MonthlyIncome]]&lt;30000,"Low",IF(EmployeeData[[#This Row],[MonthlyIncome]]&lt;=60000,"Medium",IF(EmployeeData[[#This Row],[MonthlyIncome]]&lt;=100000,"High","Very High")))</f>
        <v>Medium</v>
      </c>
      <c r="AB497">
        <f>IF(EmployeeData[[#This Row],[Attrition]]="Yes",1,0)</f>
        <v>1</v>
      </c>
      <c r="AC497" t="str">
        <f ca="1">IF(EmployeeData[[#This Row],[Tenure Years]]&lt;1,"Less than 1 Year",IF(EmployeeData[[#This Row],[Tenure Years]]&lt;=3,"1-3 Years",IF(EmployeeData[[#This Row],[Tenure Years]]&lt;=5,"4-5 Years",IF(EmployeeData[[#This Row],[Tenure Years]]&lt;=10,"6-10 Years","More than 10 Years"))))</f>
        <v>4-5 Years</v>
      </c>
      <c r="AD497">
        <f>ROUND(AVERAGE(EmployeeData[[#This Row],[JobSatisfaction]],EmployeeData[[#This Row],[EnvironmentSatisfaction]],EmployeeData[[#This Row],[WorkLifeBalance]]),2)</f>
        <v>2</v>
      </c>
      <c r="AE497" t="str">
        <f>IF(EmployeeData[[#This Row],[Satisfaction Score]]&lt;2,"Low",IF(EmployeeData[[#This Row],[Satisfaction Score]]&lt;3,"Medium","High"))</f>
        <v>Medium</v>
      </c>
    </row>
    <row r="498" spans="1:31" x14ac:dyDescent="0.25">
      <c r="A498" t="s">
        <v>2400</v>
      </c>
      <c r="B498" t="s">
        <v>2401</v>
      </c>
      <c r="C498" t="s">
        <v>49</v>
      </c>
      <c r="D498">
        <v>40</v>
      </c>
      <c r="E498" t="s">
        <v>38</v>
      </c>
      <c r="F498" t="s">
        <v>5462</v>
      </c>
      <c r="G498" s="1">
        <v>43009</v>
      </c>
      <c r="H498">
        <v>51460</v>
      </c>
      <c r="I498" t="s">
        <v>42</v>
      </c>
      <c r="J498" t="s">
        <v>31</v>
      </c>
      <c r="K498" t="s">
        <v>113</v>
      </c>
      <c r="L498" t="s">
        <v>33</v>
      </c>
      <c r="M498">
        <v>41</v>
      </c>
      <c r="N498" t="s">
        <v>45</v>
      </c>
      <c r="O498">
        <v>4</v>
      </c>
      <c r="P498">
        <v>3</v>
      </c>
      <c r="Q498">
        <v>3</v>
      </c>
      <c r="R498">
        <v>1</v>
      </c>
      <c r="S498">
        <v>0</v>
      </c>
      <c r="T498">
        <v>8</v>
      </c>
      <c r="U498">
        <v>22</v>
      </c>
      <c r="V498" t="s">
        <v>2404</v>
      </c>
      <c r="W498" t="s">
        <v>34</v>
      </c>
      <c r="Y498" s="2" t="str">
        <f>IF(EmployeeData[[#This Row],[Age]]&lt;25,"Under 25",IF(EmployeeData[[#This Row],[Age]]&lt;=34,"25-34",IF(EmployeeData[[#This Row],[Age]]&lt;=44,"35-44",IF(EmployeeData[[#This Row],[Age]]&lt;=54,"45-54","55+"))))</f>
        <v>35-44</v>
      </c>
      <c r="Z498">
        <f ca="1">DATEDIF(EmployeeData[[#This Row],[DateOfJoining]],IF(AND(EmployeeData[[#This Row],[Attrition]]="Yes",EmployeeData[[#This Row],[LastWorkingDate]]&lt;&gt;""),EmployeeData[[#This Row],[LastWorkingDate]],TODAY()),"Y")</f>
        <v>8</v>
      </c>
      <c r="AA498" t="str">
        <f>IF(EmployeeData[[#This Row],[MonthlyIncome]]&lt;30000,"Low",IF(EmployeeData[[#This Row],[MonthlyIncome]]&lt;=60000,"Medium",IF(EmployeeData[[#This Row],[MonthlyIncome]]&lt;=100000,"High","Very High")))</f>
        <v>Medium</v>
      </c>
      <c r="AB498">
        <f>IF(EmployeeData[[#This Row],[Attrition]]="Yes",1,0)</f>
        <v>0</v>
      </c>
      <c r="AC498" t="str">
        <f ca="1">IF(EmployeeData[[#This Row],[Tenure Years]]&lt;1,"Less than 1 Year",IF(EmployeeData[[#This Row],[Tenure Years]]&lt;=3,"1-3 Years",IF(EmployeeData[[#This Row],[Tenure Years]]&lt;=5,"4-5 Years",IF(EmployeeData[[#This Row],[Tenure Years]]&lt;=10,"6-10 Years","More than 10 Years"))))</f>
        <v>6-10 Years</v>
      </c>
      <c r="AD498">
        <f>ROUND(AVERAGE(EmployeeData[[#This Row],[JobSatisfaction]],EmployeeData[[#This Row],[EnvironmentSatisfaction]],EmployeeData[[#This Row],[WorkLifeBalance]]),2)</f>
        <v>3.33</v>
      </c>
      <c r="AE498" t="str">
        <f>IF(EmployeeData[[#This Row],[Satisfaction Score]]&lt;2,"Low",IF(EmployeeData[[#This Row],[Satisfaction Score]]&lt;3,"Medium","High"))</f>
        <v>High</v>
      </c>
    </row>
    <row r="499" spans="1:31" x14ac:dyDescent="0.25">
      <c r="A499" t="s">
        <v>2405</v>
      </c>
      <c r="B499" t="s">
        <v>2406</v>
      </c>
      <c r="C499" t="s">
        <v>49</v>
      </c>
      <c r="D499">
        <v>35</v>
      </c>
      <c r="E499" t="s">
        <v>27</v>
      </c>
      <c r="F499" t="s">
        <v>59</v>
      </c>
      <c r="G499" s="1">
        <v>42703</v>
      </c>
      <c r="H499">
        <v>59686</v>
      </c>
      <c r="I499" t="s">
        <v>42</v>
      </c>
      <c r="J499" t="s">
        <v>53</v>
      </c>
      <c r="K499" t="s">
        <v>106</v>
      </c>
      <c r="L499" t="s">
        <v>33</v>
      </c>
      <c r="M499">
        <v>38</v>
      </c>
      <c r="N499" t="s">
        <v>34</v>
      </c>
      <c r="O499">
        <v>2</v>
      </c>
      <c r="P499">
        <v>3</v>
      </c>
      <c r="Q499">
        <v>3</v>
      </c>
      <c r="R499">
        <v>3</v>
      </c>
      <c r="S499">
        <v>1</v>
      </c>
      <c r="T499">
        <v>4</v>
      </c>
      <c r="U499">
        <v>11</v>
      </c>
      <c r="V499" t="s">
        <v>2408</v>
      </c>
      <c r="W499" t="s">
        <v>34</v>
      </c>
      <c r="Y499" s="2" t="str">
        <f>IF(EmployeeData[[#This Row],[Age]]&lt;25,"Under 25",IF(EmployeeData[[#This Row],[Age]]&lt;=34,"25-34",IF(EmployeeData[[#This Row],[Age]]&lt;=44,"35-44",IF(EmployeeData[[#This Row],[Age]]&lt;=54,"45-54","55+"))))</f>
        <v>35-44</v>
      </c>
      <c r="Z499">
        <f ca="1">DATEDIF(EmployeeData[[#This Row],[DateOfJoining]],IF(AND(EmployeeData[[#This Row],[Attrition]]="Yes",EmployeeData[[#This Row],[LastWorkingDate]]&lt;&gt;""),EmployeeData[[#This Row],[LastWorkingDate]],TODAY()),"Y")</f>
        <v>9</v>
      </c>
      <c r="AA499" t="str">
        <f>IF(EmployeeData[[#This Row],[MonthlyIncome]]&lt;30000,"Low",IF(EmployeeData[[#This Row],[MonthlyIncome]]&lt;=60000,"Medium",IF(EmployeeData[[#This Row],[MonthlyIncome]]&lt;=100000,"High","Very High")))</f>
        <v>Medium</v>
      </c>
      <c r="AB499">
        <f>IF(EmployeeData[[#This Row],[Attrition]]="Yes",1,0)</f>
        <v>0</v>
      </c>
      <c r="AC499" t="str">
        <f ca="1">IF(EmployeeData[[#This Row],[Tenure Years]]&lt;1,"Less than 1 Year",IF(EmployeeData[[#This Row],[Tenure Years]]&lt;=3,"1-3 Years",IF(EmployeeData[[#This Row],[Tenure Years]]&lt;=5,"4-5 Years",IF(EmployeeData[[#This Row],[Tenure Years]]&lt;=10,"6-10 Years","More than 10 Years"))))</f>
        <v>6-10 Years</v>
      </c>
      <c r="AD499">
        <f>ROUND(AVERAGE(EmployeeData[[#This Row],[JobSatisfaction]],EmployeeData[[#This Row],[EnvironmentSatisfaction]],EmployeeData[[#This Row],[WorkLifeBalance]]),2)</f>
        <v>2.67</v>
      </c>
      <c r="AE499" t="str">
        <f>IF(EmployeeData[[#This Row],[Satisfaction Score]]&lt;2,"Low",IF(EmployeeData[[#This Row],[Satisfaction Score]]&lt;3,"Medium","High"))</f>
        <v>Medium</v>
      </c>
    </row>
    <row r="500" spans="1:31" x14ac:dyDescent="0.25">
      <c r="A500" t="s">
        <v>2409</v>
      </c>
      <c r="B500" t="s">
        <v>2410</v>
      </c>
      <c r="C500" t="s">
        <v>49</v>
      </c>
      <c r="D500">
        <v>22</v>
      </c>
      <c r="E500" t="s">
        <v>128</v>
      </c>
      <c r="F500" t="s">
        <v>226</v>
      </c>
      <c r="G500" s="1">
        <v>41515</v>
      </c>
      <c r="H500">
        <v>61904</v>
      </c>
      <c r="I500" t="s">
        <v>52</v>
      </c>
      <c r="J500" t="s">
        <v>61</v>
      </c>
      <c r="K500" t="s">
        <v>98</v>
      </c>
      <c r="L500" t="s">
        <v>33</v>
      </c>
      <c r="M500">
        <v>15</v>
      </c>
      <c r="N500" t="s">
        <v>34</v>
      </c>
      <c r="O500">
        <v>2</v>
      </c>
      <c r="P500">
        <v>4</v>
      </c>
      <c r="Q500">
        <v>3</v>
      </c>
      <c r="R500">
        <v>4</v>
      </c>
      <c r="S500">
        <v>6</v>
      </c>
      <c r="T500">
        <v>5</v>
      </c>
      <c r="U500">
        <v>14</v>
      </c>
      <c r="V500" t="s">
        <v>2412</v>
      </c>
      <c r="W500" t="s">
        <v>34</v>
      </c>
      <c r="Y500" s="2" t="str">
        <f>IF(EmployeeData[[#This Row],[Age]]&lt;25,"Under 25",IF(EmployeeData[[#This Row],[Age]]&lt;=34,"25-34",IF(EmployeeData[[#This Row],[Age]]&lt;=44,"35-44",IF(EmployeeData[[#This Row],[Age]]&lt;=54,"45-54","55+"))))</f>
        <v>Under 25</v>
      </c>
      <c r="Z500">
        <f ca="1">DATEDIF(EmployeeData[[#This Row],[DateOfJoining]],IF(AND(EmployeeData[[#This Row],[Attrition]]="Yes",EmployeeData[[#This Row],[LastWorkingDate]]&lt;&gt;""),EmployeeData[[#This Row],[LastWorkingDate]],TODAY()),"Y")</f>
        <v>13</v>
      </c>
      <c r="AA500" t="str">
        <f>IF(EmployeeData[[#This Row],[MonthlyIncome]]&lt;30000,"Low",IF(EmployeeData[[#This Row],[MonthlyIncome]]&lt;=60000,"Medium",IF(EmployeeData[[#This Row],[MonthlyIncome]]&lt;=100000,"High","Very High")))</f>
        <v>High</v>
      </c>
      <c r="AB500">
        <f>IF(EmployeeData[[#This Row],[Attrition]]="Yes",1,0)</f>
        <v>0</v>
      </c>
      <c r="AC500" t="str">
        <f ca="1">IF(EmployeeData[[#This Row],[Tenure Years]]&lt;1,"Less than 1 Year",IF(EmployeeData[[#This Row],[Tenure Years]]&lt;=3,"1-3 Years",IF(EmployeeData[[#This Row],[Tenure Years]]&lt;=5,"4-5 Years",IF(EmployeeData[[#This Row],[Tenure Years]]&lt;=10,"6-10 Years","More than 10 Years"))))</f>
        <v>More than 10 Years</v>
      </c>
      <c r="AD500">
        <f>ROUND(AVERAGE(EmployeeData[[#This Row],[JobSatisfaction]],EmployeeData[[#This Row],[EnvironmentSatisfaction]],EmployeeData[[#This Row],[WorkLifeBalance]]),2)</f>
        <v>3</v>
      </c>
      <c r="AE500" t="str">
        <f>IF(EmployeeData[[#This Row],[Satisfaction Score]]&lt;2,"Low",IF(EmployeeData[[#This Row],[Satisfaction Score]]&lt;3,"Medium","High"))</f>
        <v>High</v>
      </c>
    </row>
    <row r="501" spans="1:31" x14ac:dyDescent="0.25">
      <c r="A501" t="s">
        <v>2413</v>
      </c>
      <c r="B501" t="s">
        <v>2414</v>
      </c>
      <c r="C501" t="s">
        <v>49</v>
      </c>
      <c r="D501">
        <v>24</v>
      </c>
      <c r="E501" t="s">
        <v>128</v>
      </c>
      <c r="F501" t="s">
        <v>123</v>
      </c>
      <c r="G501" s="1">
        <v>45115</v>
      </c>
      <c r="H501">
        <v>55140</v>
      </c>
      <c r="I501" t="s">
        <v>30</v>
      </c>
      <c r="J501" t="s">
        <v>61</v>
      </c>
      <c r="K501" t="s">
        <v>83</v>
      </c>
      <c r="L501" t="s">
        <v>33</v>
      </c>
      <c r="M501">
        <v>13</v>
      </c>
      <c r="N501" t="s">
        <v>45</v>
      </c>
      <c r="O501">
        <v>4</v>
      </c>
      <c r="P501">
        <v>4</v>
      </c>
      <c r="Q501">
        <v>4</v>
      </c>
      <c r="R501">
        <v>2</v>
      </c>
      <c r="S501">
        <v>3</v>
      </c>
      <c r="T501">
        <v>5</v>
      </c>
      <c r="U501">
        <v>20</v>
      </c>
      <c r="V501" t="s">
        <v>2416</v>
      </c>
      <c r="W501" t="s">
        <v>34</v>
      </c>
      <c r="Y501" s="2" t="str">
        <f>IF(EmployeeData[[#This Row],[Age]]&lt;25,"Under 25",IF(EmployeeData[[#This Row],[Age]]&lt;=34,"25-34",IF(EmployeeData[[#This Row],[Age]]&lt;=44,"35-44",IF(EmployeeData[[#This Row],[Age]]&lt;=54,"45-54","55+"))))</f>
        <v>Under 25</v>
      </c>
      <c r="Z501">
        <f ca="1">DATEDIF(EmployeeData[[#This Row],[DateOfJoining]],IF(AND(EmployeeData[[#This Row],[Attrition]]="Yes",EmployeeData[[#This Row],[LastWorkingDate]]&lt;&gt;""),EmployeeData[[#This Row],[LastWorkingDate]],TODAY()),"Y")</f>
        <v>3</v>
      </c>
      <c r="AA501" t="str">
        <f>IF(EmployeeData[[#This Row],[MonthlyIncome]]&lt;30000,"Low",IF(EmployeeData[[#This Row],[MonthlyIncome]]&lt;=60000,"Medium",IF(EmployeeData[[#This Row],[MonthlyIncome]]&lt;=100000,"High","Very High")))</f>
        <v>Medium</v>
      </c>
      <c r="AB501">
        <f>IF(EmployeeData[[#This Row],[Attrition]]="Yes",1,0)</f>
        <v>0</v>
      </c>
      <c r="AC501" t="str">
        <f ca="1">IF(EmployeeData[[#This Row],[Tenure Years]]&lt;1,"Less than 1 Year",IF(EmployeeData[[#This Row],[Tenure Years]]&lt;=3,"1-3 Years",IF(EmployeeData[[#This Row],[Tenure Years]]&lt;=5,"4-5 Years",IF(EmployeeData[[#This Row],[Tenure Years]]&lt;=10,"6-10 Years","More than 10 Years"))))</f>
        <v>1-3 Years</v>
      </c>
      <c r="AD501">
        <f>ROUND(AVERAGE(EmployeeData[[#This Row],[JobSatisfaction]],EmployeeData[[#This Row],[EnvironmentSatisfaction]],EmployeeData[[#This Row],[WorkLifeBalance]]),2)</f>
        <v>4</v>
      </c>
      <c r="AE501" t="str">
        <f>IF(EmployeeData[[#This Row],[Satisfaction Score]]&lt;2,"Low",IF(EmployeeData[[#This Row],[Satisfaction Score]]&lt;3,"Medium","High"))</f>
        <v>High</v>
      </c>
    </row>
    <row r="502" spans="1:31" x14ac:dyDescent="0.25">
      <c r="A502" t="s">
        <v>2417</v>
      </c>
      <c r="B502" t="s">
        <v>2418</v>
      </c>
      <c r="C502" t="s">
        <v>49</v>
      </c>
      <c r="D502">
        <v>27</v>
      </c>
      <c r="E502" t="s">
        <v>27</v>
      </c>
      <c r="F502" t="s">
        <v>75</v>
      </c>
      <c r="G502" s="1">
        <v>43524</v>
      </c>
      <c r="H502">
        <v>113029</v>
      </c>
      <c r="I502" t="s">
        <v>52</v>
      </c>
      <c r="J502" t="s">
        <v>31</v>
      </c>
      <c r="K502" t="s">
        <v>167</v>
      </c>
      <c r="L502" t="s">
        <v>43</v>
      </c>
      <c r="M502">
        <v>8</v>
      </c>
      <c r="N502" t="s">
        <v>34</v>
      </c>
      <c r="O502">
        <v>2</v>
      </c>
      <c r="P502">
        <v>2</v>
      </c>
      <c r="Q502">
        <v>1</v>
      </c>
      <c r="R502">
        <v>3</v>
      </c>
      <c r="S502">
        <v>5</v>
      </c>
      <c r="T502">
        <v>1</v>
      </c>
      <c r="U502">
        <v>18</v>
      </c>
      <c r="V502" t="s">
        <v>2421</v>
      </c>
      <c r="W502" t="s">
        <v>45</v>
      </c>
      <c r="X502" s="1">
        <v>43986</v>
      </c>
      <c r="Y502" s="2" t="str">
        <f>IF(EmployeeData[[#This Row],[Age]]&lt;25,"Under 25",IF(EmployeeData[[#This Row],[Age]]&lt;=34,"25-34",IF(EmployeeData[[#This Row],[Age]]&lt;=44,"35-44",IF(EmployeeData[[#This Row],[Age]]&lt;=54,"45-54","55+"))))</f>
        <v>25-34</v>
      </c>
      <c r="Z502">
        <f ca="1">DATEDIF(EmployeeData[[#This Row],[DateOfJoining]],IF(AND(EmployeeData[[#This Row],[Attrition]]="Yes",EmployeeData[[#This Row],[LastWorkingDate]]&lt;&gt;""),EmployeeData[[#This Row],[LastWorkingDate]],TODAY()),"Y")</f>
        <v>1</v>
      </c>
      <c r="AA502" t="str">
        <f>IF(EmployeeData[[#This Row],[MonthlyIncome]]&lt;30000,"Low",IF(EmployeeData[[#This Row],[MonthlyIncome]]&lt;=60000,"Medium",IF(EmployeeData[[#This Row],[MonthlyIncome]]&lt;=100000,"High","Very High")))</f>
        <v>Very High</v>
      </c>
      <c r="AB502">
        <f>IF(EmployeeData[[#This Row],[Attrition]]="Yes",1,0)</f>
        <v>1</v>
      </c>
      <c r="AC502" t="str">
        <f ca="1">IF(EmployeeData[[#This Row],[Tenure Years]]&lt;1,"Less than 1 Year",IF(EmployeeData[[#This Row],[Tenure Years]]&lt;=3,"1-3 Years",IF(EmployeeData[[#This Row],[Tenure Years]]&lt;=5,"4-5 Years",IF(EmployeeData[[#This Row],[Tenure Years]]&lt;=10,"6-10 Years","More than 10 Years"))))</f>
        <v>1-3 Years</v>
      </c>
      <c r="AD502">
        <f>ROUND(AVERAGE(EmployeeData[[#This Row],[JobSatisfaction]],EmployeeData[[#This Row],[EnvironmentSatisfaction]],EmployeeData[[#This Row],[WorkLifeBalance]]),2)</f>
        <v>1.67</v>
      </c>
      <c r="AE502" t="str">
        <f>IF(EmployeeData[[#This Row],[Satisfaction Score]]&lt;2,"Low",IF(EmployeeData[[#This Row],[Satisfaction Score]]&lt;3,"Medium","High"))</f>
        <v>Low</v>
      </c>
    </row>
    <row r="503" spans="1:31" x14ac:dyDescent="0.25">
      <c r="A503" t="s">
        <v>2423</v>
      </c>
      <c r="B503" t="s">
        <v>2424</v>
      </c>
      <c r="C503" t="s">
        <v>58</v>
      </c>
      <c r="D503">
        <v>43</v>
      </c>
      <c r="E503" t="s">
        <v>197</v>
      </c>
      <c r="F503" t="s">
        <v>323</v>
      </c>
      <c r="G503" s="1">
        <v>42289</v>
      </c>
      <c r="H503">
        <v>89178</v>
      </c>
      <c r="I503" t="s">
        <v>42</v>
      </c>
      <c r="J503" t="s">
        <v>143</v>
      </c>
      <c r="K503" t="s">
        <v>77</v>
      </c>
      <c r="L503" t="s">
        <v>33</v>
      </c>
      <c r="M503">
        <v>36</v>
      </c>
      <c r="N503" t="s">
        <v>45</v>
      </c>
      <c r="O503">
        <v>4</v>
      </c>
      <c r="P503">
        <v>3</v>
      </c>
      <c r="Q503">
        <v>2</v>
      </c>
      <c r="R503">
        <v>4</v>
      </c>
      <c r="S503">
        <v>4</v>
      </c>
      <c r="T503">
        <v>3</v>
      </c>
      <c r="U503">
        <v>18</v>
      </c>
      <c r="V503" t="s">
        <v>2426</v>
      </c>
      <c r="W503" t="s">
        <v>45</v>
      </c>
      <c r="X503" s="1">
        <v>44490</v>
      </c>
      <c r="Y503" s="2" t="str">
        <f>IF(EmployeeData[[#This Row],[Age]]&lt;25,"Under 25",IF(EmployeeData[[#This Row],[Age]]&lt;=34,"25-34",IF(EmployeeData[[#This Row],[Age]]&lt;=44,"35-44",IF(EmployeeData[[#This Row],[Age]]&lt;=54,"45-54","55+"))))</f>
        <v>35-44</v>
      </c>
      <c r="Z503">
        <f ca="1">DATEDIF(EmployeeData[[#This Row],[DateOfJoining]],IF(AND(EmployeeData[[#This Row],[Attrition]]="Yes",EmployeeData[[#This Row],[LastWorkingDate]]&lt;&gt;""),EmployeeData[[#This Row],[LastWorkingDate]],TODAY()),"Y")</f>
        <v>6</v>
      </c>
      <c r="AA503" t="str">
        <f>IF(EmployeeData[[#This Row],[MonthlyIncome]]&lt;30000,"Low",IF(EmployeeData[[#This Row],[MonthlyIncome]]&lt;=60000,"Medium",IF(EmployeeData[[#This Row],[MonthlyIncome]]&lt;=100000,"High","Very High")))</f>
        <v>High</v>
      </c>
      <c r="AB503">
        <f>IF(EmployeeData[[#This Row],[Attrition]]="Yes",1,0)</f>
        <v>1</v>
      </c>
      <c r="AC503" t="str">
        <f ca="1">IF(EmployeeData[[#This Row],[Tenure Years]]&lt;1,"Less than 1 Year",IF(EmployeeData[[#This Row],[Tenure Years]]&lt;=3,"1-3 Years",IF(EmployeeData[[#This Row],[Tenure Years]]&lt;=5,"4-5 Years",IF(EmployeeData[[#This Row],[Tenure Years]]&lt;=10,"6-10 Years","More than 10 Years"))))</f>
        <v>6-10 Years</v>
      </c>
      <c r="AD503">
        <f>ROUND(AVERAGE(EmployeeData[[#This Row],[JobSatisfaction]],EmployeeData[[#This Row],[EnvironmentSatisfaction]],EmployeeData[[#This Row],[WorkLifeBalance]]),2)</f>
        <v>3</v>
      </c>
      <c r="AE503" t="str">
        <f>IF(EmployeeData[[#This Row],[Satisfaction Score]]&lt;2,"Low",IF(EmployeeData[[#This Row],[Satisfaction Score]]&lt;3,"Medium","High"))</f>
        <v>High</v>
      </c>
    </row>
    <row r="504" spans="1:31" x14ac:dyDescent="0.25">
      <c r="A504" t="s">
        <v>2428</v>
      </c>
      <c r="B504" t="s">
        <v>2429</v>
      </c>
      <c r="C504" t="s">
        <v>49</v>
      </c>
      <c r="D504">
        <v>48</v>
      </c>
      <c r="E504" t="s">
        <v>5461</v>
      </c>
      <c r="F504" t="s">
        <v>483</v>
      </c>
      <c r="G504" s="1">
        <v>44861</v>
      </c>
      <c r="H504">
        <v>70882</v>
      </c>
      <c r="I504" t="s">
        <v>5459</v>
      </c>
      <c r="J504" t="s">
        <v>61</v>
      </c>
      <c r="K504" t="s">
        <v>54</v>
      </c>
      <c r="L504" t="s">
        <v>43</v>
      </c>
      <c r="M504">
        <v>43</v>
      </c>
      <c r="N504" t="s">
        <v>34</v>
      </c>
      <c r="O504">
        <v>3</v>
      </c>
      <c r="P504">
        <v>2</v>
      </c>
      <c r="Q504">
        <v>3</v>
      </c>
      <c r="R504">
        <v>3</v>
      </c>
      <c r="S504">
        <v>6</v>
      </c>
      <c r="T504">
        <v>8</v>
      </c>
      <c r="U504">
        <v>16</v>
      </c>
      <c r="V504" t="s">
        <v>2431</v>
      </c>
      <c r="W504" t="s">
        <v>34</v>
      </c>
      <c r="Y504" s="2" t="str">
        <f>IF(EmployeeData[[#This Row],[Age]]&lt;25,"Under 25",IF(EmployeeData[[#This Row],[Age]]&lt;=34,"25-34",IF(EmployeeData[[#This Row],[Age]]&lt;=44,"35-44",IF(EmployeeData[[#This Row],[Age]]&lt;=54,"45-54","55+"))))</f>
        <v>45-54</v>
      </c>
      <c r="Z504">
        <f ca="1">DATEDIF(EmployeeData[[#This Row],[DateOfJoining]],IF(AND(EmployeeData[[#This Row],[Attrition]]="Yes",EmployeeData[[#This Row],[LastWorkingDate]]&lt;&gt;""),EmployeeData[[#This Row],[LastWorkingDate]],TODAY()),"Y")</f>
        <v>3</v>
      </c>
      <c r="AA504" t="str">
        <f>IF(EmployeeData[[#This Row],[MonthlyIncome]]&lt;30000,"Low",IF(EmployeeData[[#This Row],[MonthlyIncome]]&lt;=60000,"Medium",IF(EmployeeData[[#This Row],[MonthlyIncome]]&lt;=100000,"High","Very High")))</f>
        <v>High</v>
      </c>
      <c r="AB504">
        <f>IF(EmployeeData[[#This Row],[Attrition]]="Yes",1,0)</f>
        <v>0</v>
      </c>
      <c r="AC504" t="str">
        <f ca="1">IF(EmployeeData[[#This Row],[Tenure Years]]&lt;1,"Less than 1 Year",IF(EmployeeData[[#This Row],[Tenure Years]]&lt;=3,"1-3 Years",IF(EmployeeData[[#This Row],[Tenure Years]]&lt;=5,"4-5 Years",IF(EmployeeData[[#This Row],[Tenure Years]]&lt;=10,"6-10 Years","More than 10 Years"))))</f>
        <v>1-3 Years</v>
      </c>
      <c r="AD504">
        <f>ROUND(AVERAGE(EmployeeData[[#This Row],[JobSatisfaction]],EmployeeData[[#This Row],[EnvironmentSatisfaction]],EmployeeData[[#This Row],[WorkLifeBalance]]),2)</f>
        <v>2.67</v>
      </c>
      <c r="AE504" t="str">
        <f>IF(EmployeeData[[#This Row],[Satisfaction Score]]&lt;2,"Low",IF(EmployeeData[[#This Row],[Satisfaction Score]]&lt;3,"Medium","High"))</f>
        <v>Medium</v>
      </c>
    </row>
    <row r="505" spans="1:31" x14ac:dyDescent="0.25">
      <c r="A505" t="s">
        <v>2432</v>
      </c>
      <c r="B505" t="s">
        <v>2433</v>
      </c>
      <c r="C505" t="s">
        <v>58</v>
      </c>
      <c r="D505">
        <v>35</v>
      </c>
      <c r="E505" t="s">
        <v>128</v>
      </c>
      <c r="F505" t="s">
        <v>271</v>
      </c>
      <c r="G505" s="1">
        <v>41058</v>
      </c>
      <c r="H505">
        <v>51723</v>
      </c>
      <c r="I505" t="s">
        <v>30</v>
      </c>
      <c r="J505" t="s">
        <v>31</v>
      </c>
      <c r="K505" t="s">
        <v>77</v>
      </c>
      <c r="L505" t="s">
        <v>5459</v>
      </c>
      <c r="M505">
        <v>30</v>
      </c>
      <c r="N505" t="s">
        <v>34</v>
      </c>
      <c r="O505">
        <v>3</v>
      </c>
      <c r="P505">
        <v>4</v>
      </c>
      <c r="Q505">
        <v>2</v>
      </c>
      <c r="R505">
        <v>3</v>
      </c>
      <c r="S505">
        <v>1</v>
      </c>
      <c r="T505">
        <v>6</v>
      </c>
      <c r="U505">
        <v>11</v>
      </c>
      <c r="V505" t="s">
        <v>2436</v>
      </c>
      <c r="W505" t="s">
        <v>34</v>
      </c>
      <c r="Y505" s="2" t="str">
        <f>IF(EmployeeData[[#This Row],[Age]]&lt;25,"Under 25",IF(EmployeeData[[#This Row],[Age]]&lt;=34,"25-34",IF(EmployeeData[[#This Row],[Age]]&lt;=44,"35-44",IF(EmployeeData[[#This Row],[Age]]&lt;=54,"45-54","55+"))))</f>
        <v>35-44</v>
      </c>
      <c r="Z505">
        <f ca="1">DATEDIF(EmployeeData[[#This Row],[DateOfJoining]],IF(AND(EmployeeData[[#This Row],[Attrition]]="Yes",EmployeeData[[#This Row],[LastWorkingDate]]&lt;&gt;""),EmployeeData[[#This Row],[LastWorkingDate]],TODAY()),"Y")</f>
        <v>14</v>
      </c>
      <c r="AA505" t="str">
        <f>IF(EmployeeData[[#This Row],[MonthlyIncome]]&lt;30000,"Low",IF(EmployeeData[[#This Row],[MonthlyIncome]]&lt;=60000,"Medium",IF(EmployeeData[[#This Row],[MonthlyIncome]]&lt;=100000,"High","Very High")))</f>
        <v>Medium</v>
      </c>
      <c r="AB505">
        <f>IF(EmployeeData[[#This Row],[Attrition]]="Yes",1,0)</f>
        <v>0</v>
      </c>
      <c r="AC505" t="str">
        <f ca="1">IF(EmployeeData[[#This Row],[Tenure Years]]&lt;1,"Less than 1 Year",IF(EmployeeData[[#This Row],[Tenure Years]]&lt;=3,"1-3 Years",IF(EmployeeData[[#This Row],[Tenure Years]]&lt;=5,"4-5 Years",IF(EmployeeData[[#This Row],[Tenure Years]]&lt;=10,"6-10 Years","More than 10 Years"))))</f>
        <v>More than 10 Years</v>
      </c>
      <c r="AD505">
        <f>ROUND(AVERAGE(EmployeeData[[#This Row],[JobSatisfaction]],EmployeeData[[#This Row],[EnvironmentSatisfaction]],EmployeeData[[#This Row],[WorkLifeBalance]]),2)</f>
        <v>3</v>
      </c>
      <c r="AE505" t="str">
        <f>IF(EmployeeData[[#This Row],[Satisfaction Score]]&lt;2,"Low",IF(EmployeeData[[#This Row],[Satisfaction Score]]&lt;3,"Medium","High"))</f>
        <v>High</v>
      </c>
    </row>
    <row r="506" spans="1:31" x14ac:dyDescent="0.25">
      <c r="A506" t="s">
        <v>2437</v>
      </c>
      <c r="B506" t="s">
        <v>2438</v>
      </c>
      <c r="C506" t="s">
        <v>58</v>
      </c>
      <c r="D506">
        <v>39</v>
      </c>
      <c r="E506" t="s">
        <v>5461</v>
      </c>
      <c r="F506" t="s">
        <v>89</v>
      </c>
      <c r="G506" s="1">
        <v>44435</v>
      </c>
      <c r="H506">
        <v>118463</v>
      </c>
      <c r="I506" t="s">
        <v>52</v>
      </c>
      <c r="J506" t="s">
        <v>61</v>
      </c>
      <c r="K506" t="s">
        <v>32</v>
      </c>
      <c r="L506" t="s">
        <v>62</v>
      </c>
      <c r="M506">
        <v>24</v>
      </c>
      <c r="N506" t="s">
        <v>34</v>
      </c>
      <c r="O506">
        <v>4</v>
      </c>
      <c r="P506">
        <v>2</v>
      </c>
      <c r="Q506">
        <v>3</v>
      </c>
      <c r="R506">
        <v>4</v>
      </c>
      <c r="S506">
        <v>0</v>
      </c>
      <c r="T506">
        <v>4</v>
      </c>
      <c r="U506">
        <v>16</v>
      </c>
      <c r="V506" t="s">
        <v>2441</v>
      </c>
      <c r="W506" t="s">
        <v>34</v>
      </c>
      <c r="Y506" s="2" t="str">
        <f>IF(EmployeeData[[#This Row],[Age]]&lt;25,"Under 25",IF(EmployeeData[[#This Row],[Age]]&lt;=34,"25-34",IF(EmployeeData[[#This Row],[Age]]&lt;=44,"35-44",IF(EmployeeData[[#This Row],[Age]]&lt;=54,"45-54","55+"))))</f>
        <v>35-44</v>
      </c>
      <c r="Z506">
        <f ca="1">DATEDIF(EmployeeData[[#This Row],[DateOfJoining]],IF(AND(EmployeeData[[#This Row],[Attrition]]="Yes",EmployeeData[[#This Row],[LastWorkingDate]]&lt;&gt;""),EmployeeData[[#This Row],[LastWorkingDate]],TODAY()),"Y")</f>
        <v>5</v>
      </c>
      <c r="AA506" t="str">
        <f>IF(EmployeeData[[#This Row],[MonthlyIncome]]&lt;30000,"Low",IF(EmployeeData[[#This Row],[MonthlyIncome]]&lt;=60000,"Medium",IF(EmployeeData[[#This Row],[MonthlyIncome]]&lt;=100000,"High","Very High")))</f>
        <v>Very High</v>
      </c>
      <c r="AB506">
        <f>IF(EmployeeData[[#This Row],[Attrition]]="Yes",1,0)</f>
        <v>0</v>
      </c>
      <c r="AC506" t="str">
        <f ca="1">IF(EmployeeData[[#This Row],[Tenure Years]]&lt;1,"Less than 1 Year",IF(EmployeeData[[#This Row],[Tenure Years]]&lt;=3,"1-3 Years",IF(EmployeeData[[#This Row],[Tenure Years]]&lt;=5,"4-5 Years",IF(EmployeeData[[#This Row],[Tenure Years]]&lt;=10,"6-10 Years","More than 10 Years"))))</f>
        <v>4-5 Years</v>
      </c>
      <c r="AD506">
        <f>ROUND(AVERAGE(EmployeeData[[#This Row],[JobSatisfaction]],EmployeeData[[#This Row],[EnvironmentSatisfaction]],EmployeeData[[#This Row],[WorkLifeBalance]]),2)</f>
        <v>3</v>
      </c>
      <c r="AE506" t="str">
        <f>IF(EmployeeData[[#This Row],[Satisfaction Score]]&lt;2,"Low",IF(EmployeeData[[#This Row],[Satisfaction Score]]&lt;3,"Medium","High"))</f>
        <v>High</v>
      </c>
    </row>
    <row r="507" spans="1:31" x14ac:dyDescent="0.25">
      <c r="A507" t="s">
        <v>2442</v>
      </c>
      <c r="B507" t="s">
        <v>2443</v>
      </c>
      <c r="C507" t="s">
        <v>58</v>
      </c>
      <c r="D507">
        <v>33</v>
      </c>
      <c r="E507" t="s">
        <v>27</v>
      </c>
      <c r="F507" t="s">
        <v>50</v>
      </c>
      <c r="G507" s="1">
        <v>45838</v>
      </c>
      <c r="H507">
        <v>95297</v>
      </c>
      <c r="I507" t="s">
        <v>52</v>
      </c>
      <c r="J507" t="s">
        <v>31</v>
      </c>
      <c r="K507" t="s">
        <v>106</v>
      </c>
      <c r="L507" t="s">
        <v>43</v>
      </c>
      <c r="M507">
        <v>25</v>
      </c>
      <c r="N507" t="s">
        <v>45</v>
      </c>
      <c r="O507">
        <v>4</v>
      </c>
      <c r="P507">
        <v>1</v>
      </c>
      <c r="Q507">
        <v>3</v>
      </c>
      <c r="R507">
        <v>3</v>
      </c>
      <c r="S507">
        <v>0</v>
      </c>
      <c r="T507">
        <v>8</v>
      </c>
      <c r="U507">
        <v>16</v>
      </c>
      <c r="V507" t="s">
        <v>2446</v>
      </c>
      <c r="W507" t="s">
        <v>45</v>
      </c>
      <c r="X507" s="1">
        <v>46029</v>
      </c>
      <c r="Y507" s="2" t="str">
        <f>IF(EmployeeData[[#This Row],[Age]]&lt;25,"Under 25",IF(EmployeeData[[#This Row],[Age]]&lt;=34,"25-34",IF(EmployeeData[[#This Row],[Age]]&lt;=44,"35-44",IF(EmployeeData[[#This Row],[Age]]&lt;=54,"45-54","55+"))))</f>
        <v>25-34</v>
      </c>
      <c r="Z507">
        <f ca="1">DATEDIF(EmployeeData[[#This Row],[DateOfJoining]],IF(AND(EmployeeData[[#This Row],[Attrition]]="Yes",EmployeeData[[#This Row],[LastWorkingDate]]&lt;&gt;""),EmployeeData[[#This Row],[LastWorkingDate]],TODAY()),"Y")</f>
        <v>0</v>
      </c>
      <c r="AA507" t="str">
        <f>IF(EmployeeData[[#This Row],[MonthlyIncome]]&lt;30000,"Low",IF(EmployeeData[[#This Row],[MonthlyIncome]]&lt;=60000,"Medium",IF(EmployeeData[[#This Row],[MonthlyIncome]]&lt;=100000,"High","Very High")))</f>
        <v>High</v>
      </c>
      <c r="AB507">
        <f>IF(EmployeeData[[#This Row],[Attrition]]="Yes",1,0)</f>
        <v>1</v>
      </c>
      <c r="AC507" t="str">
        <f ca="1">IF(EmployeeData[[#This Row],[Tenure Years]]&lt;1,"Less than 1 Year",IF(EmployeeData[[#This Row],[Tenure Years]]&lt;=3,"1-3 Years",IF(EmployeeData[[#This Row],[Tenure Years]]&lt;=5,"4-5 Years",IF(EmployeeData[[#This Row],[Tenure Years]]&lt;=10,"6-10 Years","More than 10 Years"))))</f>
        <v>Less than 1 Year</v>
      </c>
      <c r="AD507">
        <f>ROUND(AVERAGE(EmployeeData[[#This Row],[JobSatisfaction]],EmployeeData[[#This Row],[EnvironmentSatisfaction]],EmployeeData[[#This Row],[WorkLifeBalance]]),2)</f>
        <v>2.67</v>
      </c>
      <c r="AE507" t="str">
        <f>IF(EmployeeData[[#This Row],[Satisfaction Score]]&lt;2,"Low",IF(EmployeeData[[#This Row],[Satisfaction Score]]&lt;3,"Medium","High"))</f>
        <v>Medium</v>
      </c>
    </row>
    <row r="508" spans="1:31" x14ac:dyDescent="0.25">
      <c r="A508" t="s">
        <v>2448</v>
      </c>
      <c r="B508" t="s">
        <v>2449</v>
      </c>
      <c r="C508" t="s">
        <v>5459</v>
      </c>
      <c r="D508">
        <v>35</v>
      </c>
      <c r="E508" t="s">
        <v>128</v>
      </c>
      <c r="F508" t="s">
        <v>271</v>
      </c>
      <c r="G508" s="1">
        <v>41328</v>
      </c>
      <c r="H508">
        <v>108740</v>
      </c>
      <c r="I508" t="s">
        <v>30</v>
      </c>
      <c r="J508" t="s">
        <v>31</v>
      </c>
      <c r="K508" t="s">
        <v>83</v>
      </c>
      <c r="L508" t="s">
        <v>62</v>
      </c>
      <c r="M508">
        <v>13</v>
      </c>
      <c r="N508" t="s">
        <v>45</v>
      </c>
      <c r="O508">
        <v>3</v>
      </c>
      <c r="P508">
        <v>4</v>
      </c>
      <c r="Q508">
        <v>3</v>
      </c>
      <c r="R508">
        <v>5</v>
      </c>
      <c r="S508">
        <v>6</v>
      </c>
      <c r="T508">
        <v>1</v>
      </c>
      <c r="U508">
        <v>20</v>
      </c>
      <c r="V508" t="s">
        <v>5459</v>
      </c>
      <c r="W508" t="s">
        <v>34</v>
      </c>
      <c r="Y508" s="2" t="str">
        <f>IF(EmployeeData[[#This Row],[Age]]&lt;25,"Under 25",IF(EmployeeData[[#This Row],[Age]]&lt;=34,"25-34",IF(EmployeeData[[#This Row],[Age]]&lt;=44,"35-44",IF(EmployeeData[[#This Row],[Age]]&lt;=54,"45-54","55+"))))</f>
        <v>35-44</v>
      </c>
      <c r="Z508">
        <f ca="1">DATEDIF(EmployeeData[[#This Row],[DateOfJoining]],IF(AND(EmployeeData[[#This Row],[Attrition]]="Yes",EmployeeData[[#This Row],[LastWorkingDate]]&lt;&gt;""),EmployeeData[[#This Row],[LastWorkingDate]],TODAY()),"Y")</f>
        <v>13</v>
      </c>
      <c r="AA508" t="str">
        <f>IF(EmployeeData[[#This Row],[MonthlyIncome]]&lt;30000,"Low",IF(EmployeeData[[#This Row],[MonthlyIncome]]&lt;=60000,"Medium",IF(EmployeeData[[#This Row],[MonthlyIncome]]&lt;=100000,"High","Very High")))</f>
        <v>Very High</v>
      </c>
      <c r="AB508">
        <f>IF(EmployeeData[[#This Row],[Attrition]]="Yes",1,0)</f>
        <v>0</v>
      </c>
      <c r="AC508" t="str">
        <f ca="1">IF(EmployeeData[[#This Row],[Tenure Years]]&lt;1,"Less than 1 Year",IF(EmployeeData[[#This Row],[Tenure Years]]&lt;=3,"1-3 Years",IF(EmployeeData[[#This Row],[Tenure Years]]&lt;=5,"4-5 Years",IF(EmployeeData[[#This Row],[Tenure Years]]&lt;=10,"6-10 Years","More than 10 Years"))))</f>
        <v>More than 10 Years</v>
      </c>
      <c r="AD508">
        <f>ROUND(AVERAGE(EmployeeData[[#This Row],[JobSatisfaction]],EmployeeData[[#This Row],[EnvironmentSatisfaction]],EmployeeData[[#This Row],[WorkLifeBalance]]),2)</f>
        <v>3.33</v>
      </c>
      <c r="AE508" t="str">
        <f>IF(EmployeeData[[#This Row],[Satisfaction Score]]&lt;2,"Low",IF(EmployeeData[[#This Row],[Satisfaction Score]]&lt;3,"Medium","High"))</f>
        <v>High</v>
      </c>
    </row>
    <row r="509" spans="1:31" x14ac:dyDescent="0.25">
      <c r="A509" t="s">
        <v>2451</v>
      </c>
      <c r="B509" t="s">
        <v>2452</v>
      </c>
      <c r="C509" t="s">
        <v>49</v>
      </c>
      <c r="D509">
        <v>33</v>
      </c>
      <c r="E509" t="s">
        <v>38</v>
      </c>
      <c r="F509" t="s">
        <v>5462</v>
      </c>
      <c r="G509" s="1">
        <v>41451</v>
      </c>
      <c r="H509">
        <v>63997</v>
      </c>
      <c r="I509" t="s">
        <v>52</v>
      </c>
      <c r="J509" t="s">
        <v>53</v>
      </c>
      <c r="K509" t="s">
        <v>32</v>
      </c>
      <c r="L509" t="s">
        <v>43</v>
      </c>
      <c r="M509">
        <v>45</v>
      </c>
      <c r="N509" t="s">
        <v>34</v>
      </c>
      <c r="O509">
        <v>1</v>
      </c>
      <c r="P509">
        <v>1</v>
      </c>
      <c r="Q509">
        <v>4</v>
      </c>
      <c r="R509">
        <v>3</v>
      </c>
      <c r="S509">
        <v>4</v>
      </c>
      <c r="T509">
        <v>5</v>
      </c>
      <c r="U509">
        <v>15</v>
      </c>
      <c r="V509" t="s">
        <v>2454</v>
      </c>
      <c r="W509" t="s">
        <v>34</v>
      </c>
      <c r="Y509" s="2" t="str">
        <f>IF(EmployeeData[[#This Row],[Age]]&lt;25,"Under 25",IF(EmployeeData[[#This Row],[Age]]&lt;=34,"25-34",IF(EmployeeData[[#This Row],[Age]]&lt;=44,"35-44",IF(EmployeeData[[#This Row],[Age]]&lt;=54,"45-54","55+"))))</f>
        <v>25-34</v>
      </c>
      <c r="Z509">
        <f ca="1">DATEDIF(EmployeeData[[#This Row],[DateOfJoining]],IF(AND(EmployeeData[[#This Row],[Attrition]]="Yes",EmployeeData[[#This Row],[LastWorkingDate]]&lt;&gt;""),EmployeeData[[#This Row],[LastWorkingDate]],TODAY()),"Y")</f>
        <v>13</v>
      </c>
      <c r="AA509" t="str">
        <f>IF(EmployeeData[[#This Row],[MonthlyIncome]]&lt;30000,"Low",IF(EmployeeData[[#This Row],[MonthlyIncome]]&lt;=60000,"Medium",IF(EmployeeData[[#This Row],[MonthlyIncome]]&lt;=100000,"High","Very High")))</f>
        <v>High</v>
      </c>
      <c r="AB509">
        <f>IF(EmployeeData[[#This Row],[Attrition]]="Yes",1,0)</f>
        <v>0</v>
      </c>
      <c r="AC509" t="str">
        <f ca="1">IF(EmployeeData[[#This Row],[Tenure Years]]&lt;1,"Less than 1 Year",IF(EmployeeData[[#This Row],[Tenure Years]]&lt;=3,"1-3 Years",IF(EmployeeData[[#This Row],[Tenure Years]]&lt;=5,"4-5 Years",IF(EmployeeData[[#This Row],[Tenure Years]]&lt;=10,"6-10 Years","More than 10 Years"))))</f>
        <v>More than 10 Years</v>
      </c>
      <c r="AD509">
        <f>ROUND(AVERAGE(EmployeeData[[#This Row],[JobSatisfaction]],EmployeeData[[#This Row],[EnvironmentSatisfaction]],EmployeeData[[#This Row],[WorkLifeBalance]]),2)</f>
        <v>2</v>
      </c>
      <c r="AE509" t="str">
        <f>IF(EmployeeData[[#This Row],[Satisfaction Score]]&lt;2,"Low",IF(EmployeeData[[#This Row],[Satisfaction Score]]&lt;3,"Medium","High"))</f>
        <v>Medium</v>
      </c>
    </row>
    <row r="510" spans="1:31" x14ac:dyDescent="0.25">
      <c r="A510" t="s">
        <v>2455</v>
      </c>
      <c r="B510" t="s">
        <v>2456</v>
      </c>
      <c r="C510" t="s">
        <v>49</v>
      </c>
      <c r="D510">
        <v>42</v>
      </c>
      <c r="E510" t="s">
        <v>197</v>
      </c>
      <c r="F510" t="s">
        <v>235</v>
      </c>
      <c r="G510" s="1">
        <v>42509</v>
      </c>
      <c r="H510">
        <v>77630</v>
      </c>
      <c r="I510" t="s">
        <v>30</v>
      </c>
      <c r="J510" t="s">
        <v>61</v>
      </c>
      <c r="K510" t="s">
        <v>32</v>
      </c>
      <c r="L510" t="s">
        <v>62</v>
      </c>
      <c r="M510">
        <v>40</v>
      </c>
      <c r="N510" t="s">
        <v>45</v>
      </c>
      <c r="O510">
        <v>1</v>
      </c>
      <c r="P510">
        <v>2</v>
      </c>
      <c r="Q510">
        <v>4</v>
      </c>
      <c r="R510">
        <v>3</v>
      </c>
      <c r="S510">
        <v>5</v>
      </c>
      <c r="T510">
        <v>5</v>
      </c>
      <c r="U510">
        <v>18</v>
      </c>
      <c r="V510" t="s">
        <v>2458</v>
      </c>
      <c r="W510" t="s">
        <v>45</v>
      </c>
      <c r="X510" s="1">
        <v>43970</v>
      </c>
      <c r="Y510" s="2" t="str">
        <f>IF(EmployeeData[[#This Row],[Age]]&lt;25,"Under 25",IF(EmployeeData[[#This Row],[Age]]&lt;=34,"25-34",IF(EmployeeData[[#This Row],[Age]]&lt;=44,"35-44",IF(EmployeeData[[#This Row],[Age]]&lt;=54,"45-54","55+"))))</f>
        <v>35-44</v>
      </c>
      <c r="Z510">
        <f ca="1">DATEDIF(EmployeeData[[#This Row],[DateOfJoining]],IF(AND(EmployeeData[[#This Row],[Attrition]]="Yes",EmployeeData[[#This Row],[LastWorkingDate]]&lt;&gt;""),EmployeeData[[#This Row],[LastWorkingDate]],TODAY()),"Y")</f>
        <v>4</v>
      </c>
      <c r="AA510" t="str">
        <f>IF(EmployeeData[[#This Row],[MonthlyIncome]]&lt;30000,"Low",IF(EmployeeData[[#This Row],[MonthlyIncome]]&lt;=60000,"Medium",IF(EmployeeData[[#This Row],[MonthlyIncome]]&lt;=100000,"High","Very High")))</f>
        <v>High</v>
      </c>
      <c r="AB510">
        <f>IF(EmployeeData[[#This Row],[Attrition]]="Yes",1,0)</f>
        <v>1</v>
      </c>
      <c r="AC510" t="str">
        <f ca="1">IF(EmployeeData[[#This Row],[Tenure Years]]&lt;1,"Less than 1 Year",IF(EmployeeData[[#This Row],[Tenure Years]]&lt;=3,"1-3 Years",IF(EmployeeData[[#This Row],[Tenure Years]]&lt;=5,"4-5 Years",IF(EmployeeData[[#This Row],[Tenure Years]]&lt;=10,"6-10 Years","More than 10 Years"))))</f>
        <v>4-5 Years</v>
      </c>
      <c r="AD510">
        <f>ROUND(AVERAGE(EmployeeData[[#This Row],[JobSatisfaction]],EmployeeData[[#This Row],[EnvironmentSatisfaction]],EmployeeData[[#This Row],[WorkLifeBalance]]),2)</f>
        <v>2.33</v>
      </c>
      <c r="AE510" t="str">
        <f>IF(EmployeeData[[#This Row],[Satisfaction Score]]&lt;2,"Low",IF(EmployeeData[[#This Row],[Satisfaction Score]]&lt;3,"Medium","High"))</f>
        <v>Medium</v>
      </c>
    </row>
    <row r="511" spans="1:31" x14ac:dyDescent="0.25">
      <c r="A511" t="s">
        <v>2460</v>
      </c>
      <c r="B511" t="s">
        <v>2461</v>
      </c>
      <c r="C511" t="s">
        <v>49</v>
      </c>
      <c r="D511">
        <v>35</v>
      </c>
      <c r="E511" t="s">
        <v>128</v>
      </c>
      <c r="F511" t="s">
        <v>255</v>
      </c>
      <c r="G511" s="1">
        <v>41542</v>
      </c>
      <c r="H511">
        <v>61327</v>
      </c>
      <c r="I511" t="s">
        <v>52</v>
      </c>
      <c r="J511" t="s">
        <v>31</v>
      </c>
      <c r="K511" t="s">
        <v>32</v>
      </c>
      <c r="L511" t="s">
        <v>62</v>
      </c>
      <c r="M511">
        <v>5</v>
      </c>
      <c r="N511" t="s">
        <v>34</v>
      </c>
      <c r="O511">
        <v>2</v>
      </c>
      <c r="P511">
        <v>4</v>
      </c>
      <c r="Q511">
        <v>2</v>
      </c>
      <c r="R511">
        <v>3</v>
      </c>
      <c r="S511">
        <v>3</v>
      </c>
      <c r="T511">
        <v>4</v>
      </c>
      <c r="U511">
        <v>18</v>
      </c>
      <c r="V511" t="s">
        <v>5459</v>
      </c>
      <c r="W511" t="s">
        <v>34</v>
      </c>
      <c r="Y511" s="2" t="str">
        <f>IF(EmployeeData[[#This Row],[Age]]&lt;25,"Under 25",IF(EmployeeData[[#This Row],[Age]]&lt;=34,"25-34",IF(EmployeeData[[#This Row],[Age]]&lt;=44,"35-44",IF(EmployeeData[[#This Row],[Age]]&lt;=54,"45-54","55+"))))</f>
        <v>35-44</v>
      </c>
      <c r="Z511">
        <f ca="1">DATEDIF(EmployeeData[[#This Row],[DateOfJoining]],IF(AND(EmployeeData[[#This Row],[Attrition]]="Yes",EmployeeData[[#This Row],[LastWorkingDate]]&lt;&gt;""),EmployeeData[[#This Row],[LastWorkingDate]],TODAY()),"Y")</f>
        <v>12</v>
      </c>
      <c r="AA511" t="str">
        <f>IF(EmployeeData[[#This Row],[MonthlyIncome]]&lt;30000,"Low",IF(EmployeeData[[#This Row],[MonthlyIncome]]&lt;=60000,"Medium",IF(EmployeeData[[#This Row],[MonthlyIncome]]&lt;=100000,"High","Very High")))</f>
        <v>High</v>
      </c>
      <c r="AB511">
        <f>IF(EmployeeData[[#This Row],[Attrition]]="Yes",1,0)</f>
        <v>0</v>
      </c>
      <c r="AC511" t="str">
        <f ca="1">IF(EmployeeData[[#This Row],[Tenure Years]]&lt;1,"Less than 1 Year",IF(EmployeeData[[#This Row],[Tenure Years]]&lt;=3,"1-3 Years",IF(EmployeeData[[#This Row],[Tenure Years]]&lt;=5,"4-5 Years",IF(EmployeeData[[#This Row],[Tenure Years]]&lt;=10,"6-10 Years","More than 10 Years"))))</f>
        <v>More than 10 Years</v>
      </c>
      <c r="AD511">
        <f>ROUND(AVERAGE(EmployeeData[[#This Row],[JobSatisfaction]],EmployeeData[[#This Row],[EnvironmentSatisfaction]],EmployeeData[[#This Row],[WorkLifeBalance]]),2)</f>
        <v>2.67</v>
      </c>
      <c r="AE511" t="str">
        <f>IF(EmployeeData[[#This Row],[Satisfaction Score]]&lt;2,"Low",IF(EmployeeData[[#This Row],[Satisfaction Score]]&lt;3,"Medium","High"))</f>
        <v>Medium</v>
      </c>
    </row>
    <row r="512" spans="1:31" x14ac:dyDescent="0.25">
      <c r="A512" t="s">
        <v>2463</v>
      </c>
      <c r="B512" t="s">
        <v>2464</v>
      </c>
      <c r="C512" t="s">
        <v>5459</v>
      </c>
      <c r="D512">
        <v>41</v>
      </c>
      <c r="E512" t="s">
        <v>94</v>
      </c>
      <c r="F512" t="s">
        <v>266</v>
      </c>
      <c r="G512" s="1">
        <v>44795</v>
      </c>
      <c r="H512">
        <v>52615</v>
      </c>
      <c r="I512" t="s">
        <v>30</v>
      </c>
      <c r="J512" t="s">
        <v>61</v>
      </c>
      <c r="K512" t="s">
        <v>98</v>
      </c>
      <c r="L512" t="s">
        <v>62</v>
      </c>
      <c r="M512">
        <v>40</v>
      </c>
      <c r="N512" t="s">
        <v>45</v>
      </c>
      <c r="O512">
        <v>1</v>
      </c>
      <c r="P512">
        <v>3</v>
      </c>
      <c r="Q512">
        <v>2</v>
      </c>
      <c r="R512">
        <v>5</v>
      </c>
      <c r="S512">
        <v>4</v>
      </c>
      <c r="T512">
        <v>3</v>
      </c>
      <c r="U512">
        <v>13</v>
      </c>
      <c r="V512" t="s">
        <v>2466</v>
      </c>
      <c r="W512" t="s">
        <v>45</v>
      </c>
      <c r="X512" s="1">
        <v>46051</v>
      </c>
      <c r="Y512" s="2" t="str">
        <f>IF(EmployeeData[[#This Row],[Age]]&lt;25,"Under 25",IF(EmployeeData[[#This Row],[Age]]&lt;=34,"25-34",IF(EmployeeData[[#This Row],[Age]]&lt;=44,"35-44",IF(EmployeeData[[#This Row],[Age]]&lt;=54,"45-54","55+"))))</f>
        <v>35-44</v>
      </c>
      <c r="Z512">
        <f ca="1">DATEDIF(EmployeeData[[#This Row],[DateOfJoining]],IF(AND(EmployeeData[[#This Row],[Attrition]]="Yes",EmployeeData[[#This Row],[LastWorkingDate]]&lt;&gt;""),EmployeeData[[#This Row],[LastWorkingDate]],TODAY()),"Y")</f>
        <v>3</v>
      </c>
      <c r="AA512" t="str">
        <f>IF(EmployeeData[[#This Row],[MonthlyIncome]]&lt;30000,"Low",IF(EmployeeData[[#This Row],[MonthlyIncome]]&lt;=60000,"Medium",IF(EmployeeData[[#This Row],[MonthlyIncome]]&lt;=100000,"High","Very High")))</f>
        <v>Medium</v>
      </c>
      <c r="AB512">
        <f>IF(EmployeeData[[#This Row],[Attrition]]="Yes",1,0)</f>
        <v>1</v>
      </c>
      <c r="AC512" t="str">
        <f ca="1">IF(EmployeeData[[#This Row],[Tenure Years]]&lt;1,"Less than 1 Year",IF(EmployeeData[[#This Row],[Tenure Years]]&lt;=3,"1-3 Years",IF(EmployeeData[[#This Row],[Tenure Years]]&lt;=5,"4-5 Years",IF(EmployeeData[[#This Row],[Tenure Years]]&lt;=10,"6-10 Years","More than 10 Years"))))</f>
        <v>1-3 Years</v>
      </c>
      <c r="AD512">
        <f>ROUND(AVERAGE(EmployeeData[[#This Row],[JobSatisfaction]],EmployeeData[[#This Row],[EnvironmentSatisfaction]],EmployeeData[[#This Row],[WorkLifeBalance]]),2)</f>
        <v>2</v>
      </c>
      <c r="AE512" t="str">
        <f>IF(EmployeeData[[#This Row],[Satisfaction Score]]&lt;2,"Low",IF(EmployeeData[[#This Row],[Satisfaction Score]]&lt;3,"Medium","High"))</f>
        <v>Medium</v>
      </c>
    </row>
    <row r="513" spans="1:31" x14ac:dyDescent="0.25">
      <c r="A513" t="s">
        <v>2468</v>
      </c>
      <c r="B513" t="s">
        <v>2469</v>
      </c>
      <c r="C513" t="s">
        <v>58</v>
      </c>
      <c r="D513">
        <v>25</v>
      </c>
      <c r="E513" t="s">
        <v>412</v>
      </c>
      <c r="F513" t="s">
        <v>828</v>
      </c>
      <c r="G513" s="1">
        <v>44104</v>
      </c>
      <c r="H513">
        <v>95237</v>
      </c>
      <c r="I513" t="s">
        <v>52</v>
      </c>
      <c r="J513" t="s">
        <v>61</v>
      </c>
      <c r="K513" t="s">
        <v>131</v>
      </c>
      <c r="L513" t="s">
        <v>43</v>
      </c>
      <c r="M513">
        <v>28</v>
      </c>
      <c r="N513" t="s">
        <v>34</v>
      </c>
      <c r="O513">
        <v>1</v>
      </c>
      <c r="P513">
        <v>3</v>
      </c>
      <c r="Q513">
        <v>2</v>
      </c>
      <c r="R513">
        <v>4</v>
      </c>
      <c r="S513">
        <v>0</v>
      </c>
      <c r="T513">
        <v>8</v>
      </c>
      <c r="U513">
        <v>18</v>
      </c>
      <c r="V513" t="s">
        <v>2472</v>
      </c>
      <c r="W513" t="s">
        <v>34</v>
      </c>
      <c r="Y513" s="2" t="str">
        <f>IF(EmployeeData[[#This Row],[Age]]&lt;25,"Under 25",IF(EmployeeData[[#This Row],[Age]]&lt;=34,"25-34",IF(EmployeeData[[#This Row],[Age]]&lt;=44,"35-44",IF(EmployeeData[[#This Row],[Age]]&lt;=54,"45-54","55+"))))</f>
        <v>25-34</v>
      </c>
      <c r="Z513">
        <f ca="1">DATEDIF(EmployeeData[[#This Row],[DateOfJoining]],IF(AND(EmployeeData[[#This Row],[Attrition]]="Yes",EmployeeData[[#This Row],[LastWorkingDate]]&lt;&gt;""),EmployeeData[[#This Row],[LastWorkingDate]],TODAY()),"Y")</f>
        <v>5</v>
      </c>
      <c r="AA513" t="str">
        <f>IF(EmployeeData[[#This Row],[MonthlyIncome]]&lt;30000,"Low",IF(EmployeeData[[#This Row],[MonthlyIncome]]&lt;=60000,"Medium",IF(EmployeeData[[#This Row],[MonthlyIncome]]&lt;=100000,"High","Very High")))</f>
        <v>High</v>
      </c>
      <c r="AB513">
        <f>IF(EmployeeData[[#This Row],[Attrition]]="Yes",1,0)</f>
        <v>0</v>
      </c>
      <c r="AC513" t="str">
        <f ca="1">IF(EmployeeData[[#This Row],[Tenure Years]]&lt;1,"Less than 1 Year",IF(EmployeeData[[#This Row],[Tenure Years]]&lt;=3,"1-3 Years",IF(EmployeeData[[#This Row],[Tenure Years]]&lt;=5,"4-5 Years",IF(EmployeeData[[#This Row],[Tenure Years]]&lt;=10,"6-10 Years","More than 10 Years"))))</f>
        <v>4-5 Years</v>
      </c>
      <c r="AD513">
        <f>ROUND(AVERAGE(EmployeeData[[#This Row],[JobSatisfaction]],EmployeeData[[#This Row],[EnvironmentSatisfaction]],EmployeeData[[#This Row],[WorkLifeBalance]]),2)</f>
        <v>2</v>
      </c>
      <c r="AE513" t="str">
        <f>IF(EmployeeData[[#This Row],[Satisfaction Score]]&lt;2,"Low",IF(EmployeeData[[#This Row],[Satisfaction Score]]&lt;3,"Medium","High"))</f>
        <v>Medium</v>
      </c>
    </row>
    <row r="514" spans="1:31" x14ac:dyDescent="0.25">
      <c r="A514" t="s">
        <v>2473</v>
      </c>
      <c r="B514" t="s">
        <v>2474</v>
      </c>
      <c r="C514" t="s">
        <v>49</v>
      </c>
      <c r="D514">
        <v>40</v>
      </c>
      <c r="E514" t="s">
        <v>94</v>
      </c>
      <c r="F514" t="s">
        <v>356</v>
      </c>
      <c r="G514" s="1">
        <v>43001</v>
      </c>
      <c r="H514">
        <v>54711</v>
      </c>
      <c r="I514" t="s">
        <v>5459</v>
      </c>
      <c r="J514" t="s">
        <v>61</v>
      </c>
      <c r="K514" t="s">
        <v>200</v>
      </c>
      <c r="L514" t="s">
        <v>33</v>
      </c>
      <c r="M514">
        <v>30</v>
      </c>
      <c r="N514" t="s">
        <v>34</v>
      </c>
      <c r="O514">
        <v>2</v>
      </c>
      <c r="P514">
        <v>4</v>
      </c>
      <c r="Q514">
        <v>1</v>
      </c>
      <c r="R514">
        <v>1</v>
      </c>
      <c r="S514">
        <v>3</v>
      </c>
      <c r="T514">
        <v>4</v>
      </c>
      <c r="U514">
        <v>25</v>
      </c>
      <c r="V514" t="s">
        <v>2476</v>
      </c>
      <c r="W514" t="s">
        <v>34</v>
      </c>
      <c r="Y514" s="2" t="str">
        <f>IF(EmployeeData[[#This Row],[Age]]&lt;25,"Under 25",IF(EmployeeData[[#This Row],[Age]]&lt;=34,"25-34",IF(EmployeeData[[#This Row],[Age]]&lt;=44,"35-44",IF(EmployeeData[[#This Row],[Age]]&lt;=54,"45-54","55+"))))</f>
        <v>35-44</v>
      </c>
      <c r="Z514">
        <f ca="1">DATEDIF(EmployeeData[[#This Row],[DateOfJoining]],IF(AND(EmployeeData[[#This Row],[Attrition]]="Yes",EmployeeData[[#This Row],[LastWorkingDate]]&lt;&gt;""),EmployeeData[[#This Row],[LastWorkingDate]],TODAY()),"Y")</f>
        <v>8</v>
      </c>
      <c r="AA514" t="str">
        <f>IF(EmployeeData[[#This Row],[MonthlyIncome]]&lt;30000,"Low",IF(EmployeeData[[#This Row],[MonthlyIncome]]&lt;=60000,"Medium",IF(EmployeeData[[#This Row],[MonthlyIncome]]&lt;=100000,"High","Very High")))</f>
        <v>Medium</v>
      </c>
      <c r="AB514">
        <f>IF(EmployeeData[[#This Row],[Attrition]]="Yes",1,0)</f>
        <v>0</v>
      </c>
      <c r="AC514" t="str">
        <f ca="1">IF(EmployeeData[[#This Row],[Tenure Years]]&lt;1,"Less than 1 Year",IF(EmployeeData[[#This Row],[Tenure Years]]&lt;=3,"1-3 Years",IF(EmployeeData[[#This Row],[Tenure Years]]&lt;=5,"4-5 Years",IF(EmployeeData[[#This Row],[Tenure Years]]&lt;=10,"6-10 Years","More than 10 Years"))))</f>
        <v>6-10 Years</v>
      </c>
      <c r="AD514">
        <f>ROUND(AVERAGE(EmployeeData[[#This Row],[JobSatisfaction]],EmployeeData[[#This Row],[EnvironmentSatisfaction]],EmployeeData[[#This Row],[WorkLifeBalance]]),2)</f>
        <v>2.33</v>
      </c>
      <c r="AE514" t="str">
        <f>IF(EmployeeData[[#This Row],[Satisfaction Score]]&lt;2,"Low",IF(EmployeeData[[#This Row],[Satisfaction Score]]&lt;3,"Medium","High"))</f>
        <v>Medium</v>
      </c>
    </row>
    <row r="515" spans="1:31" x14ac:dyDescent="0.25">
      <c r="A515" t="s">
        <v>2477</v>
      </c>
      <c r="B515" t="s">
        <v>2478</v>
      </c>
      <c r="C515" t="s">
        <v>5459</v>
      </c>
      <c r="D515">
        <v>30</v>
      </c>
      <c r="E515" t="s">
        <v>5461</v>
      </c>
      <c r="F515" t="s">
        <v>5463</v>
      </c>
      <c r="G515" s="1">
        <v>45501</v>
      </c>
      <c r="H515">
        <v>112767</v>
      </c>
      <c r="I515" t="s">
        <v>5459</v>
      </c>
      <c r="J515" t="s">
        <v>31</v>
      </c>
      <c r="K515" t="s">
        <v>167</v>
      </c>
      <c r="L515" t="s">
        <v>43</v>
      </c>
      <c r="M515">
        <v>13</v>
      </c>
      <c r="N515" t="s">
        <v>34</v>
      </c>
      <c r="O515">
        <v>4</v>
      </c>
      <c r="P515">
        <v>2</v>
      </c>
      <c r="Q515">
        <v>3</v>
      </c>
      <c r="R515">
        <v>3</v>
      </c>
      <c r="S515">
        <v>3</v>
      </c>
      <c r="T515">
        <v>8</v>
      </c>
      <c r="U515">
        <v>25</v>
      </c>
      <c r="V515" t="s">
        <v>2480</v>
      </c>
      <c r="W515" t="s">
        <v>34</v>
      </c>
      <c r="Y515" s="2" t="str">
        <f>IF(EmployeeData[[#This Row],[Age]]&lt;25,"Under 25",IF(EmployeeData[[#This Row],[Age]]&lt;=34,"25-34",IF(EmployeeData[[#This Row],[Age]]&lt;=44,"35-44",IF(EmployeeData[[#This Row],[Age]]&lt;=54,"45-54","55+"))))</f>
        <v>25-34</v>
      </c>
      <c r="Z515">
        <f ca="1">DATEDIF(EmployeeData[[#This Row],[DateOfJoining]],IF(AND(EmployeeData[[#This Row],[Attrition]]="Yes",EmployeeData[[#This Row],[LastWorkingDate]]&lt;&gt;""),EmployeeData[[#This Row],[LastWorkingDate]],TODAY()),"Y")</f>
        <v>2</v>
      </c>
      <c r="AA515" t="str">
        <f>IF(EmployeeData[[#This Row],[MonthlyIncome]]&lt;30000,"Low",IF(EmployeeData[[#This Row],[MonthlyIncome]]&lt;=60000,"Medium",IF(EmployeeData[[#This Row],[MonthlyIncome]]&lt;=100000,"High","Very High")))</f>
        <v>Very High</v>
      </c>
      <c r="AB515">
        <f>IF(EmployeeData[[#This Row],[Attrition]]="Yes",1,0)</f>
        <v>0</v>
      </c>
      <c r="AC515" t="str">
        <f ca="1">IF(EmployeeData[[#This Row],[Tenure Years]]&lt;1,"Less than 1 Year",IF(EmployeeData[[#This Row],[Tenure Years]]&lt;=3,"1-3 Years",IF(EmployeeData[[#This Row],[Tenure Years]]&lt;=5,"4-5 Years",IF(EmployeeData[[#This Row],[Tenure Years]]&lt;=10,"6-10 Years","More than 10 Years"))))</f>
        <v>1-3 Years</v>
      </c>
      <c r="AD515">
        <f>ROUND(AVERAGE(EmployeeData[[#This Row],[JobSatisfaction]],EmployeeData[[#This Row],[EnvironmentSatisfaction]],EmployeeData[[#This Row],[WorkLifeBalance]]),2)</f>
        <v>3</v>
      </c>
      <c r="AE515" t="str">
        <f>IF(EmployeeData[[#This Row],[Satisfaction Score]]&lt;2,"Low",IF(EmployeeData[[#This Row],[Satisfaction Score]]&lt;3,"Medium","High"))</f>
        <v>High</v>
      </c>
    </row>
    <row r="516" spans="1:31" x14ac:dyDescent="0.25">
      <c r="A516" t="s">
        <v>2481</v>
      </c>
      <c r="B516" t="s">
        <v>1960</v>
      </c>
      <c r="C516" t="s">
        <v>49</v>
      </c>
      <c r="D516">
        <v>35</v>
      </c>
      <c r="E516" t="s">
        <v>128</v>
      </c>
      <c r="F516" t="s">
        <v>226</v>
      </c>
      <c r="G516" s="1">
        <v>42888</v>
      </c>
      <c r="H516">
        <v>76383</v>
      </c>
      <c r="I516" t="s">
        <v>30</v>
      </c>
      <c r="J516" t="s">
        <v>53</v>
      </c>
      <c r="K516" t="s">
        <v>167</v>
      </c>
      <c r="L516" t="s">
        <v>43</v>
      </c>
      <c r="M516">
        <v>16</v>
      </c>
      <c r="N516" t="s">
        <v>34</v>
      </c>
      <c r="O516">
        <v>3</v>
      </c>
      <c r="P516">
        <v>1</v>
      </c>
      <c r="Q516">
        <v>3</v>
      </c>
      <c r="R516">
        <v>4</v>
      </c>
      <c r="S516">
        <v>6</v>
      </c>
      <c r="T516">
        <v>0</v>
      </c>
      <c r="U516">
        <v>19</v>
      </c>
      <c r="V516" t="s">
        <v>2484</v>
      </c>
      <c r="W516" t="s">
        <v>34</v>
      </c>
      <c r="Y516" s="2" t="str">
        <f>IF(EmployeeData[[#This Row],[Age]]&lt;25,"Under 25",IF(EmployeeData[[#This Row],[Age]]&lt;=34,"25-34",IF(EmployeeData[[#This Row],[Age]]&lt;=44,"35-44",IF(EmployeeData[[#This Row],[Age]]&lt;=54,"45-54","55+"))))</f>
        <v>35-44</v>
      </c>
      <c r="Z516">
        <f ca="1">DATEDIF(EmployeeData[[#This Row],[DateOfJoining]],IF(AND(EmployeeData[[#This Row],[Attrition]]="Yes",EmployeeData[[#This Row],[LastWorkingDate]]&lt;&gt;""),EmployeeData[[#This Row],[LastWorkingDate]],TODAY()),"Y")</f>
        <v>9</v>
      </c>
      <c r="AA516" t="str">
        <f>IF(EmployeeData[[#This Row],[MonthlyIncome]]&lt;30000,"Low",IF(EmployeeData[[#This Row],[MonthlyIncome]]&lt;=60000,"Medium",IF(EmployeeData[[#This Row],[MonthlyIncome]]&lt;=100000,"High","Very High")))</f>
        <v>High</v>
      </c>
      <c r="AB516">
        <f>IF(EmployeeData[[#This Row],[Attrition]]="Yes",1,0)</f>
        <v>0</v>
      </c>
      <c r="AC516" t="str">
        <f ca="1">IF(EmployeeData[[#This Row],[Tenure Years]]&lt;1,"Less than 1 Year",IF(EmployeeData[[#This Row],[Tenure Years]]&lt;=3,"1-3 Years",IF(EmployeeData[[#This Row],[Tenure Years]]&lt;=5,"4-5 Years",IF(EmployeeData[[#This Row],[Tenure Years]]&lt;=10,"6-10 Years","More than 10 Years"))))</f>
        <v>6-10 Years</v>
      </c>
      <c r="AD516">
        <f>ROUND(AVERAGE(EmployeeData[[#This Row],[JobSatisfaction]],EmployeeData[[#This Row],[EnvironmentSatisfaction]],EmployeeData[[#This Row],[WorkLifeBalance]]),2)</f>
        <v>2.33</v>
      </c>
      <c r="AE516" t="str">
        <f>IF(EmployeeData[[#This Row],[Satisfaction Score]]&lt;2,"Low",IF(EmployeeData[[#This Row],[Satisfaction Score]]&lt;3,"Medium","High"))</f>
        <v>Medium</v>
      </c>
    </row>
    <row r="517" spans="1:31" x14ac:dyDescent="0.25">
      <c r="A517" t="s">
        <v>2485</v>
      </c>
      <c r="B517" t="s">
        <v>2486</v>
      </c>
      <c r="C517" t="s">
        <v>58</v>
      </c>
      <c r="D517">
        <v>29</v>
      </c>
      <c r="E517" t="s">
        <v>128</v>
      </c>
      <c r="F517" t="s">
        <v>123</v>
      </c>
      <c r="G517" s="1">
        <v>44922</v>
      </c>
      <c r="H517">
        <v>92806</v>
      </c>
      <c r="I517" t="s">
        <v>52</v>
      </c>
      <c r="J517" t="s">
        <v>61</v>
      </c>
      <c r="K517" t="s">
        <v>98</v>
      </c>
      <c r="L517" t="s">
        <v>33</v>
      </c>
      <c r="M517">
        <v>45</v>
      </c>
      <c r="N517" t="s">
        <v>34</v>
      </c>
      <c r="O517">
        <v>4</v>
      </c>
      <c r="P517">
        <v>3</v>
      </c>
      <c r="Q517">
        <v>2</v>
      </c>
      <c r="R517">
        <v>3</v>
      </c>
      <c r="S517">
        <v>3</v>
      </c>
      <c r="T517">
        <v>3</v>
      </c>
      <c r="U517">
        <v>17</v>
      </c>
      <c r="V517" t="s">
        <v>2488</v>
      </c>
      <c r="W517" t="s">
        <v>34</v>
      </c>
      <c r="Y517" s="2" t="str">
        <f>IF(EmployeeData[[#This Row],[Age]]&lt;25,"Under 25",IF(EmployeeData[[#This Row],[Age]]&lt;=34,"25-34",IF(EmployeeData[[#This Row],[Age]]&lt;=44,"35-44",IF(EmployeeData[[#This Row],[Age]]&lt;=54,"45-54","55+"))))</f>
        <v>25-34</v>
      </c>
      <c r="Z517">
        <f ca="1">DATEDIF(EmployeeData[[#This Row],[DateOfJoining]],IF(AND(EmployeeData[[#This Row],[Attrition]]="Yes",EmployeeData[[#This Row],[LastWorkingDate]]&lt;&gt;""),EmployeeData[[#This Row],[LastWorkingDate]],TODAY()),"Y")</f>
        <v>3</v>
      </c>
      <c r="AA517" t="str">
        <f>IF(EmployeeData[[#This Row],[MonthlyIncome]]&lt;30000,"Low",IF(EmployeeData[[#This Row],[MonthlyIncome]]&lt;=60000,"Medium",IF(EmployeeData[[#This Row],[MonthlyIncome]]&lt;=100000,"High","Very High")))</f>
        <v>High</v>
      </c>
      <c r="AB517">
        <f>IF(EmployeeData[[#This Row],[Attrition]]="Yes",1,0)</f>
        <v>0</v>
      </c>
      <c r="AC517" t="str">
        <f ca="1">IF(EmployeeData[[#This Row],[Tenure Years]]&lt;1,"Less than 1 Year",IF(EmployeeData[[#This Row],[Tenure Years]]&lt;=3,"1-3 Years",IF(EmployeeData[[#This Row],[Tenure Years]]&lt;=5,"4-5 Years",IF(EmployeeData[[#This Row],[Tenure Years]]&lt;=10,"6-10 Years","More than 10 Years"))))</f>
        <v>1-3 Years</v>
      </c>
      <c r="AD517">
        <f>ROUND(AVERAGE(EmployeeData[[#This Row],[JobSatisfaction]],EmployeeData[[#This Row],[EnvironmentSatisfaction]],EmployeeData[[#This Row],[WorkLifeBalance]]),2)</f>
        <v>3</v>
      </c>
      <c r="AE517" t="str">
        <f>IF(EmployeeData[[#This Row],[Satisfaction Score]]&lt;2,"Low",IF(EmployeeData[[#This Row],[Satisfaction Score]]&lt;3,"Medium","High"))</f>
        <v>High</v>
      </c>
    </row>
    <row r="518" spans="1:31" x14ac:dyDescent="0.25">
      <c r="A518" t="s">
        <v>2489</v>
      </c>
      <c r="B518" t="s">
        <v>2490</v>
      </c>
      <c r="C518" t="s">
        <v>49</v>
      </c>
      <c r="D518">
        <v>29</v>
      </c>
      <c r="E518" t="s">
        <v>94</v>
      </c>
      <c r="F518" t="s">
        <v>356</v>
      </c>
      <c r="G518" s="1">
        <v>42268</v>
      </c>
      <c r="H518">
        <v>118998</v>
      </c>
      <c r="I518" t="s">
        <v>30</v>
      </c>
      <c r="J518" t="s">
        <v>143</v>
      </c>
      <c r="K518" t="s">
        <v>200</v>
      </c>
      <c r="L518" t="s">
        <v>33</v>
      </c>
      <c r="M518">
        <v>45</v>
      </c>
      <c r="N518" t="s">
        <v>34</v>
      </c>
      <c r="O518">
        <v>2</v>
      </c>
      <c r="P518">
        <v>3</v>
      </c>
      <c r="Q518">
        <v>2</v>
      </c>
      <c r="R518">
        <v>3</v>
      </c>
      <c r="S518">
        <v>6</v>
      </c>
      <c r="T518">
        <v>0</v>
      </c>
      <c r="U518">
        <v>12</v>
      </c>
      <c r="V518" t="s">
        <v>2493</v>
      </c>
      <c r="W518" t="s">
        <v>34</v>
      </c>
      <c r="Y518" s="2" t="str">
        <f>IF(EmployeeData[[#This Row],[Age]]&lt;25,"Under 25",IF(EmployeeData[[#This Row],[Age]]&lt;=34,"25-34",IF(EmployeeData[[#This Row],[Age]]&lt;=44,"35-44",IF(EmployeeData[[#This Row],[Age]]&lt;=54,"45-54","55+"))))</f>
        <v>25-34</v>
      </c>
      <c r="Z518">
        <f ca="1">DATEDIF(EmployeeData[[#This Row],[DateOfJoining]],IF(AND(EmployeeData[[#This Row],[Attrition]]="Yes",EmployeeData[[#This Row],[LastWorkingDate]]&lt;&gt;""),EmployeeData[[#This Row],[LastWorkingDate]],TODAY()),"Y")</f>
        <v>10</v>
      </c>
      <c r="AA518" t="str">
        <f>IF(EmployeeData[[#This Row],[MonthlyIncome]]&lt;30000,"Low",IF(EmployeeData[[#This Row],[MonthlyIncome]]&lt;=60000,"Medium",IF(EmployeeData[[#This Row],[MonthlyIncome]]&lt;=100000,"High","Very High")))</f>
        <v>Very High</v>
      </c>
      <c r="AB518">
        <f>IF(EmployeeData[[#This Row],[Attrition]]="Yes",1,0)</f>
        <v>0</v>
      </c>
      <c r="AC518" t="str">
        <f ca="1">IF(EmployeeData[[#This Row],[Tenure Years]]&lt;1,"Less than 1 Year",IF(EmployeeData[[#This Row],[Tenure Years]]&lt;=3,"1-3 Years",IF(EmployeeData[[#This Row],[Tenure Years]]&lt;=5,"4-5 Years",IF(EmployeeData[[#This Row],[Tenure Years]]&lt;=10,"6-10 Years","More than 10 Years"))))</f>
        <v>6-10 Years</v>
      </c>
      <c r="AD518">
        <f>ROUND(AVERAGE(EmployeeData[[#This Row],[JobSatisfaction]],EmployeeData[[#This Row],[EnvironmentSatisfaction]],EmployeeData[[#This Row],[WorkLifeBalance]]),2)</f>
        <v>2.33</v>
      </c>
      <c r="AE518" t="str">
        <f>IF(EmployeeData[[#This Row],[Satisfaction Score]]&lt;2,"Low",IF(EmployeeData[[#This Row],[Satisfaction Score]]&lt;3,"Medium","High"))</f>
        <v>Medium</v>
      </c>
    </row>
    <row r="519" spans="1:31" x14ac:dyDescent="0.25">
      <c r="A519" t="s">
        <v>2494</v>
      </c>
      <c r="B519" t="s">
        <v>2495</v>
      </c>
      <c r="C519" t="s">
        <v>49</v>
      </c>
      <c r="D519">
        <v>32</v>
      </c>
      <c r="E519" t="s">
        <v>27</v>
      </c>
      <c r="F519" t="s">
        <v>59</v>
      </c>
      <c r="G519" s="1">
        <v>45916</v>
      </c>
      <c r="H519">
        <v>56415</v>
      </c>
      <c r="I519" t="s">
        <v>52</v>
      </c>
      <c r="J519" t="s">
        <v>143</v>
      </c>
      <c r="K519" t="s">
        <v>106</v>
      </c>
      <c r="L519" t="s">
        <v>62</v>
      </c>
      <c r="M519">
        <v>44</v>
      </c>
      <c r="N519" t="s">
        <v>45</v>
      </c>
      <c r="O519">
        <v>1</v>
      </c>
      <c r="P519">
        <v>2</v>
      </c>
      <c r="Q519">
        <v>4</v>
      </c>
      <c r="R519">
        <v>1</v>
      </c>
      <c r="S519">
        <v>3</v>
      </c>
      <c r="T519">
        <v>6</v>
      </c>
      <c r="U519">
        <v>22</v>
      </c>
      <c r="V519" t="s">
        <v>2497</v>
      </c>
      <c r="W519" t="s">
        <v>45</v>
      </c>
      <c r="X519" s="1">
        <v>46150</v>
      </c>
      <c r="Y519" s="2" t="str">
        <f>IF(EmployeeData[[#This Row],[Age]]&lt;25,"Under 25",IF(EmployeeData[[#This Row],[Age]]&lt;=34,"25-34",IF(EmployeeData[[#This Row],[Age]]&lt;=44,"35-44",IF(EmployeeData[[#This Row],[Age]]&lt;=54,"45-54","55+"))))</f>
        <v>25-34</v>
      </c>
      <c r="Z519">
        <f ca="1">DATEDIF(EmployeeData[[#This Row],[DateOfJoining]],IF(AND(EmployeeData[[#This Row],[Attrition]]="Yes",EmployeeData[[#This Row],[LastWorkingDate]]&lt;&gt;""),EmployeeData[[#This Row],[LastWorkingDate]],TODAY()),"Y")</f>
        <v>0</v>
      </c>
      <c r="AA519" t="str">
        <f>IF(EmployeeData[[#This Row],[MonthlyIncome]]&lt;30000,"Low",IF(EmployeeData[[#This Row],[MonthlyIncome]]&lt;=60000,"Medium",IF(EmployeeData[[#This Row],[MonthlyIncome]]&lt;=100000,"High","Very High")))</f>
        <v>Medium</v>
      </c>
      <c r="AB519">
        <f>IF(EmployeeData[[#This Row],[Attrition]]="Yes",1,0)</f>
        <v>1</v>
      </c>
      <c r="AC519" t="str">
        <f ca="1">IF(EmployeeData[[#This Row],[Tenure Years]]&lt;1,"Less than 1 Year",IF(EmployeeData[[#This Row],[Tenure Years]]&lt;=3,"1-3 Years",IF(EmployeeData[[#This Row],[Tenure Years]]&lt;=5,"4-5 Years",IF(EmployeeData[[#This Row],[Tenure Years]]&lt;=10,"6-10 Years","More than 10 Years"))))</f>
        <v>Less than 1 Year</v>
      </c>
      <c r="AD519">
        <f>ROUND(AVERAGE(EmployeeData[[#This Row],[JobSatisfaction]],EmployeeData[[#This Row],[EnvironmentSatisfaction]],EmployeeData[[#This Row],[WorkLifeBalance]]),2)</f>
        <v>2.33</v>
      </c>
      <c r="AE519" t="str">
        <f>IF(EmployeeData[[#This Row],[Satisfaction Score]]&lt;2,"Low",IF(EmployeeData[[#This Row],[Satisfaction Score]]&lt;3,"Medium","High"))</f>
        <v>Medium</v>
      </c>
    </row>
    <row r="520" spans="1:31" x14ac:dyDescent="0.25">
      <c r="A520" t="s">
        <v>2499</v>
      </c>
      <c r="B520" t="s">
        <v>2500</v>
      </c>
      <c r="C520" t="s">
        <v>58</v>
      </c>
      <c r="D520">
        <v>29</v>
      </c>
      <c r="E520" t="s">
        <v>5461</v>
      </c>
      <c r="F520" t="s">
        <v>5464</v>
      </c>
      <c r="G520" s="1">
        <v>42740</v>
      </c>
      <c r="H520">
        <v>108533</v>
      </c>
      <c r="I520" t="s">
        <v>52</v>
      </c>
      <c r="J520" t="s">
        <v>61</v>
      </c>
      <c r="K520" t="s">
        <v>106</v>
      </c>
      <c r="L520" t="s">
        <v>62</v>
      </c>
      <c r="M520">
        <v>37</v>
      </c>
      <c r="N520" t="s">
        <v>34</v>
      </c>
      <c r="O520">
        <v>3</v>
      </c>
      <c r="P520">
        <v>1</v>
      </c>
      <c r="Q520">
        <v>3</v>
      </c>
      <c r="R520">
        <v>3</v>
      </c>
      <c r="S520">
        <v>5</v>
      </c>
      <c r="T520">
        <v>1</v>
      </c>
      <c r="U520">
        <v>17</v>
      </c>
      <c r="V520" t="s">
        <v>2502</v>
      </c>
      <c r="W520" t="s">
        <v>34</v>
      </c>
      <c r="Y520" s="2" t="str">
        <f>IF(EmployeeData[[#This Row],[Age]]&lt;25,"Under 25",IF(EmployeeData[[#This Row],[Age]]&lt;=34,"25-34",IF(EmployeeData[[#This Row],[Age]]&lt;=44,"35-44",IF(EmployeeData[[#This Row],[Age]]&lt;=54,"45-54","55+"))))</f>
        <v>25-34</v>
      </c>
      <c r="Z520">
        <f ca="1">DATEDIF(EmployeeData[[#This Row],[DateOfJoining]],IF(AND(EmployeeData[[#This Row],[Attrition]]="Yes",EmployeeData[[#This Row],[LastWorkingDate]]&lt;&gt;""),EmployeeData[[#This Row],[LastWorkingDate]],TODAY()),"Y")</f>
        <v>9</v>
      </c>
      <c r="AA520" t="str">
        <f>IF(EmployeeData[[#This Row],[MonthlyIncome]]&lt;30000,"Low",IF(EmployeeData[[#This Row],[MonthlyIncome]]&lt;=60000,"Medium",IF(EmployeeData[[#This Row],[MonthlyIncome]]&lt;=100000,"High","Very High")))</f>
        <v>Very High</v>
      </c>
      <c r="AB520">
        <f>IF(EmployeeData[[#This Row],[Attrition]]="Yes",1,0)</f>
        <v>0</v>
      </c>
      <c r="AC520" t="str">
        <f ca="1">IF(EmployeeData[[#This Row],[Tenure Years]]&lt;1,"Less than 1 Year",IF(EmployeeData[[#This Row],[Tenure Years]]&lt;=3,"1-3 Years",IF(EmployeeData[[#This Row],[Tenure Years]]&lt;=5,"4-5 Years",IF(EmployeeData[[#This Row],[Tenure Years]]&lt;=10,"6-10 Years","More than 10 Years"))))</f>
        <v>6-10 Years</v>
      </c>
      <c r="AD520">
        <f>ROUND(AVERAGE(EmployeeData[[#This Row],[JobSatisfaction]],EmployeeData[[#This Row],[EnvironmentSatisfaction]],EmployeeData[[#This Row],[WorkLifeBalance]]),2)</f>
        <v>2.33</v>
      </c>
      <c r="AE520" t="str">
        <f>IF(EmployeeData[[#This Row],[Satisfaction Score]]&lt;2,"Low",IF(EmployeeData[[#This Row],[Satisfaction Score]]&lt;3,"Medium","High"))</f>
        <v>Medium</v>
      </c>
    </row>
    <row r="521" spans="1:31" x14ac:dyDescent="0.25">
      <c r="A521" t="s">
        <v>2503</v>
      </c>
      <c r="B521" t="s">
        <v>2504</v>
      </c>
      <c r="C521" t="s">
        <v>58</v>
      </c>
      <c r="D521">
        <v>33</v>
      </c>
      <c r="E521" t="s">
        <v>128</v>
      </c>
      <c r="F521" t="s">
        <v>123</v>
      </c>
      <c r="G521" s="1">
        <v>43315</v>
      </c>
      <c r="H521">
        <v>92517</v>
      </c>
      <c r="I521" t="s">
        <v>30</v>
      </c>
      <c r="J521" t="s">
        <v>97</v>
      </c>
      <c r="K521" t="s">
        <v>200</v>
      </c>
      <c r="L521" t="s">
        <v>43</v>
      </c>
      <c r="M521">
        <v>36</v>
      </c>
      <c r="N521" t="s">
        <v>34</v>
      </c>
      <c r="O521">
        <v>2</v>
      </c>
      <c r="P521">
        <v>2</v>
      </c>
      <c r="Q521">
        <v>2</v>
      </c>
      <c r="R521">
        <v>4</v>
      </c>
      <c r="S521">
        <v>5</v>
      </c>
      <c r="T521">
        <v>2</v>
      </c>
      <c r="U521">
        <v>23</v>
      </c>
      <c r="V521" t="s">
        <v>2507</v>
      </c>
      <c r="W521" t="s">
        <v>45</v>
      </c>
      <c r="X521" s="1">
        <v>45183</v>
      </c>
      <c r="Y521" s="2" t="str">
        <f>IF(EmployeeData[[#This Row],[Age]]&lt;25,"Under 25",IF(EmployeeData[[#This Row],[Age]]&lt;=34,"25-34",IF(EmployeeData[[#This Row],[Age]]&lt;=44,"35-44",IF(EmployeeData[[#This Row],[Age]]&lt;=54,"45-54","55+"))))</f>
        <v>25-34</v>
      </c>
      <c r="Z521">
        <f ca="1">DATEDIF(EmployeeData[[#This Row],[DateOfJoining]],IF(AND(EmployeeData[[#This Row],[Attrition]]="Yes",EmployeeData[[#This Row],[LastWorkingDate]]&lt;&gt;""),EmployeeData[[#This Row],[LastWorkingDate]],TODAY()),"Y")</f>
        <v>5</v>
      </c>
      <c r="AA521" t="str">
        <f>IF(EmployeeData[[#This Row],[MonthlyIncome]]&lt;30000,"Low",IF(EmployeeData[[#This Row],[MonthlyIncome]]&lt;=60000,"Medium",IF(EmployeeData[[#This Row],[MonthlyIncome]]&lt;=100000,"High","Very High")))</f>
        <v>High</v>
      </c>
      <c r="AB521">
        <f>IF(EmployeeData[[#This Row],[Attrition]]="Yes",1,0)</f>
        <v>1</v>
      </c>
      <c r="AC521" t="str">
        <f ca="1">IF(EmployeeData[[#This Row],[Tenure Years]]&lt;1,"Less than 1 Year",IF(EmployeeData[[#This Row],[Tenure Years]]&lt;=3,"1-3 Years",IF(EmployeeData[[#This Row],[Tenure Years]]&lt;=5,"4-5 Years",IF(EmployeeData[[#This Row],[Tenure Years]]&lt;=10,"6-10 Years","More than 10 Years"))))</f>
        <v>4-5 Years</v>
      </c>
      <c r="AD521">
        <f>ROUND(AVERAGE(EmployeeData[[#This Row],[JobSatisfaction]],EmployeeData[[#This Row],[EnvironmentSatisfaction]],EmployeeData[[#This Row],[WorkLifeBalance]]),2)</f>
        <v>2</v>
      </c>
      <c r="AE521" t="str">
        <f>IF(EmployeeData[[#This Row],[Satisfaction Score]]&lt;2,"Low",IF(EmployeeData[[#This Row],[Satisfaction Score]]&lt;3,"Medium","High"))</f>
        <v>Medium</v>
      </c>
    </row>
    <row r="522" spans="1:31" x14ac:dyDescent="0.25">
      <c r="A522" t="s">
        <v>2509</v>
      </c>
      <c r="B522" t="s">
        <v>2510</v>
      </c>
      <c r="C522" t="s">
        <v>58</v>
      </c>
      <c r="D522">
        <v>50</v>
      </c>
      <c r="E522" t="s">
        <v>27</v>
      </c>
      <c r="F522" t="s">
        <v>50</v>
      </c>
      <c r="G522" s="1">
        <v>45772</v>
      </c>
      <c r="H522">
        <v>102577</v>
      </c>
      <c r="I522" t="s">
        <v>52</v>
      </c>
      <c r="J522" t="s">
        <v>53</v>
      </c>
      <c r="K522" t="s">
        <v>77</v>
      </c>
      <c r="L522" t="s">
        <v>33</v>
      </c>
      <c r="M522">
        <v>15</v>
      </c>
      <c r="N522" t="s">
        <v>34</v>
      </c>
      <c r="O522">
        <v>2</v>
      </c>
      <c r="P522">
        <v>1</v>
      </c>
      <c r="Q522">
        <v>1</v>
      </c>
      <c r="R522">
        <v>3</v>
      </c>
      <c r="S522">
        <v>3</v>
      </c>
      <c r="T522">
        <v>8</v>
      </c>
      <c r="U522">
        <v>22</v>
      </c>
      <c r="V522" t="s">
        <v>2512</v>
      </c>
      <c r="W522" t="s">
        <v>45</v>
      </c>
      <c r="X522" s="1">
        <v>46044</v>
      </c>
      <c r="Y522" s="2" t="str">
        <f>IF(EmployeeData[[#This Row],[Age]]&lt;25,"Under 25",IF(EmployeeData[[#This Row],[Age]]&lt;=34,"25-34",IF(EmployeeData[[#This Row],[Age]]&lt;=44,"35-44",IF(EmployeeData[[#This Row],[Age]]&lt;=54,"45-54","55+"))))</f>
        <v>45-54</v>
      </c>
      <c r="Z522">
        <f ca="1">DATEDIF(EmployeeData[[#This Row],[DateOfJoining]],IF(AND(EmployeeData[[#This Row],[Attrition]]="Yes",EmployeeData[[#This Row],[LastWorkingDate]]&lt;&gt;""),EmployeeData[[#This Row],[LastWorkingDate]],TODAY()),"Y")</f>
        <v>0</v>
      </c>
      <c r="AA522" t="str">
        <f>IF(EmployeeData[[#This Row],[MonthlyIncome]]&lt;30000,"Low",IF(EmployeeData[[#This Row],[MonthlyIncome]]&lt;=60000,"Medium",IF(EmployeeData[[#This Row],[MonthlyIncome]]&lt;=100000,"High","Very High")))</f>
        <v>Very High</v>
      </c>
      <c r="AB522">
        <f>IF(EmployeeData[[#This Row],[Attrition]]="Yes",1,0)</f>
        <v>1</v>
      </c>
      <c r="AC522" t="str">
        <f ca="1">IF(EmployeeData[[#This Row],[Tenure Years]]&lt;1,"Less than 1 Year",IF(EmployeeData[[#This Row],[Tenure Years]]&lt;=3,"1-3 Years",IF(EmployeeData[[#This Row],[Tenure Years]]&lt;=5,"4-5 Years",IF(EmployeeData[[#This Row],[Tenure Years]]&lt;=10,"6-10 Years","More than 10 Years"))))</f>
        <v>Less than 1 Year</v>
      </c>
      <c r="AD522">
        <f>ROUND(AVERAGE(EmployeeData[[#This Row],[JobSatisfaction]],EmployeeData[[#This Row],[EnvironmentSatisfaction]],EmployeeData[[#This Row],[WorkLifeBalance]]),2)</f>
        <v>1.33</v>
      </c>
      <c r="AE522" t="str">
        <f>IF(EmployeeData[[#This Row],[Satisfaction Score]]&lt;2,"Low",IF(EmployeeData[[#This Row],[Satisfaction Score]]&lt;3,"Medium","High"))</f>
        <v>Low</v>
      </c>
    </row>
    <row r="523" spans="1:31" x14ac:dyDescent="0.25">
      <c r="A523" t="s">
        <v>2514</v>
      </c>
      <c r="B523" t="s">
        <v>2515</v>
      </c>
      <c r="C523" t="s">
        <v>58</v>
      </c>
      <c r="D523">
        <v>31</v>
      </c>
      <c r="E523" t="s">
        <v>197</v>
      </c>
      <c r="F523" t="s">
        <v>323</v>
      </c>
      <c r="G523" s="1">
        <v>44580</v>
      </c>
      <c r="H523">
        <v>85818</v>
      </c>
      <c r="I523" t="s">
        <v>30</v>
      </c>
      <c r="J523" t="s">
        <v>61</v>
      </c>
      <c r="K523" t="s">
        <v>106</v>
      </c>
      <c r="L523" t="s">
        <v>33</v>
      </c>
      <c r="M523">
        <v>14</v>
      </c>
      <c r="N523" t="s">
        <v>34</v>
      </c>
      <c r="O523">
        <v>2</v>
      </c>
      <c r="P523">
        <v>2</v>
      </c>
      <c r="Q523">
        <v>3</v>
      </c>
      <c r="R523">
        <v>5</v>
      </c>
      <c r="S523">
        <v>0</v>
      </c>
      <c r="T523">
        <v>8</v>
      </c>
      <c r="U523">
        <v>23</v>
      </c>
      <c r="V523" t="s">
        <v>2517</v>
      </c>
      <c r="W523" t="s">
        <v>34</v>
      </c>
      <c r="Y523" s="2" t="str">
        <f>IF(EmployeeData[[#This Row],[Age]]&lt;25,"Under 25",IF(EmployeeData[[#This Row],[Age]]&lt;=34,"25-34",IF(EmployeeData[[#This Row],[Age]]&lt;=44,"35-44",IF(EmployeeData[[#This Row],[Age]]&lt;=54,"45-54","55+"))))</f>
        <v>25-34</v>
      </c>
      <c r="Z523">
        <f ca="1">DATEDIF(EmployeeData[[#This Row],[DateOfJoining]],IF(AND(EmployeeData[[#This Row],[Attrition]]="Yes",EmployeeData[[#This Row],[LastWorkingDate]]&lt;&gt;""),EmployeeData[[#This Row],[LastWorkingDate]],TODAY()),"Y")</f>
        <v>4</v>
      </c>
      <c r="AA523" t="str">
        <f>IF(EmployeeData[[#This Row],[MonthlyIncome]]&lt;30000,"Low",IF(EmployeeData[[#This Row],[MonthlyIncome]]&lt;=60000,"Medium",IF(EmployeeData[[#This Row],[MonthlyIncome]]&lt;=100000,"High","Very High")))</f>
        <v>High</v>
      </c>
      <c r="AB523">
        <f>IF(EmployeeData[[#This Row],[Attrition]]="Yes",1,0)</f>
        <v>0</v>
      </c>
      <c r="AC523" t="str">
        <f ca="1">IF(EmployeeData[[#This Row],[Tenure Years]]&lt;1,"Less than 1 Year",IF(EmployeeData[[#This Row],[Tenure Years]]&lt;=3,"1-3 Years",IF(EmployeeData[[#This Row],[Tenure Years]]&lt;=5,"4-5 Years",IF(EmployeeData[[#This Row],[Tenure Years]]&lt;=10,"6-10 Years","More than 10 Years"))))</f>
        <v>4-5 Years</v>
      </c>
      <c r="AD523">
        <f>ROUND(AVERAGE(EmployeeData[[#This Row],[JobSatisfaction]],EmployeeData[[#This Row],[EnvironmentSatisfaction]],EmployeeData[[#This Row],[WorkLifeBalance]]),2)</f>
        <v>2.33</v>
      </c>
      <c r="AE523" t="str">
        <f>IF(EmployeeData[[#This Row],[Satisfaction Score]]&lt;2,"Low",IF(EmployeeData[[#This Row],[Satisfaction Score]]&lt;3,"Medium","High"))</f>
        <v>Medium</v>
      </c>
    </row>
    <row r="524" spans="1:31" x14ac:dyDescent="0.25">
      <c r="A524" t="s">
        <v>2518</v>
      </c>
      <c r="B524" t="s">
        <v>2519</v>
      </c>
      <c r="C524" t="s">
        <v>49</v>
      </c>
      <c r="D524">
        <v>46</v>
      </c>
      <c r="E524" t="s">
        <v>128</v>
      </c>
      <c r="F524" t="s">
        <v>226</v>
      </c>
      <c r="G524" s="1">
        <v>42074</v>
      </c>
      <c r="H524">
        <v>67646</v>
      </c>
      <c r="I524" t="s">
        <v>52</v>
      </c>
      <c r="J524" t="s">
        <v>31</v>
      </c>
      <c r="K524" t="s">
        <v>54</v>
      </c>
      <c r="L524" t="s">
        <v>43</v>
      </c>
      <c r="M524">
        <v>39</v>
      </c>
      <c r="N524" t="s">
        <v>34</v>
      </c>
      <c r="O524">
        <v>2</v>
      </c>
      <c r="P524">
        <v>2</v>
      </c>
      <c r="Q524">
        <v>4</v>
      </c>
      <c r="R524">
        <v>4</v>
      </c>
      <c r="S524">
        <v>2</v>
      </c>
      <c r="T524">
        <v>4</v>
      </c>
      <c r="U524">
        <v>18</v>
      </c>
      <c r="V524" t="s">
        <v>2521</v>
      </c>
      <c r="W524" t="s">
        <v>34</v>
      </c>
      <c r="Y524" s="2" t="str">
        <f>IF(EmployeeData[[#This Row],[Age]]&lt;25,"Under 25",IF(EmployeeData[[#This Row],[Age]]&lt;=34,"25-34",IF(EmployeeData[[#This Row],[Age]]&lt;=44,"35-44",IF(EmployeeData[[#This Row],[Age]]&lt;=54,"45-54","55+"))))</f>
        <v>45-54</v>
      </c>
      <c r="Z524">
        <f ca="1">DATEDIF(EmployeeData[[#This Row],[DateOfJoining]],IF(AND(EmployeeData[[#This Row],[Attrition]]="Yes",EmployeeData[[#This Row],[LastWorkingDate]]&lt;&gt;""),EmployeeData[[#This Row],[LastWorkingDate]],TODAY()),"Y")</f>
        <v>11</v>
      </c>
      <c r="AA524" t="str">
        <f>IF(EmployeeData[[#This Row],[MonthlyIncome]]&lt;30000,"Low",IF(EmployeeData[[#This Row],[MonthlyIncome]]&lt;=60000,"Medium",IF(EmployeeData[[#This Row],[MonthlyIncome]]&lt;=100000,"High","Very High")))</f>
        <v>High</v>
      </c>
      <c r="AB524">
        <f>IF(EmployeeData[[#This Row],[Attrition]]="Yes",1,0)</f>
        <v>0</v>
      </c>
      <c r="AC524" t="str">
        <f ca="1">IF(EmployeeData[[#This Row],[Tenure Years]]&lt;1,"Less than 1 Year",IF(EmployeeData[[#This Row],[Tenure Years]]&lt;=3,"1-3 Years",IF(EmployeeData[[#This Row],[Tenure Years]]&lt;=5,"4-5 Years",IF(EmployeeData[[#This Row],[Tenure Years]]&lt;=10,"6-10 Years","More than 10 Years"))))</f>
        <v>More than 10 Years</v>
      </c>
      <c r="AD524">
        <f>ROUND(AVERAGE(EmployeeData[[#This Row],[JobSatisfaction]],EmployeeData[[#This Row],[EnvironmentSatisfaction]],EmployeeData[[#This Row],[WorkLifeBalance]]),2)</f>
        <v>2.67</v>
      </c>
      <c r="AE524" t="str">
        <f>IF(EmployeeData[[#This Row],[Satisfaction Score]]&lt;2,"Low",IF(EmployeeData[[#This Row],[Satisfaction Score]]&lt;3,"Medium","High"))</f>
        <v>Medium</v>
      </c>
    </row>
    <row r="525" spans="1:31" x14ac:dyDescent="0.25">
      <c r="A525" t="s">
        <v>2522</v>
      </c>
      <c r="B525" t="s">
        <v>2523</v>
      </c>
      <c r="C525" t="s">
        <v>5459</v>
      </c>
      <c r="D525">
        <v>22</v>
      </c>
      <c r="E525" t="s">
        <v>94</v>
      </c>
      <c r="F525" t="s">
        <v>266</v>
      </c>
      <c r="G525" s="1">
        <v>42878</v>
      </c>
      <c r="H525">
        <v>81747</v>
      </c>
      <c r="I525" t="s">
        <v>42</v>
      </c>
      <c r="J525" t="s">
        <v>97</v>
      </c>
      <c r="K525" t="s">
        <v>113</v>
      </c>
      <c r="L525" t="s">
        <v>62</v>
      </c>
      <c r="M525">
        <v>11</v>
      </c>
      <c r="N525" t="s">
        <v>34</v>
      </c>
      <c r="O525">
        <v>2</v>
      </c>
      <c r="P525">
        <v>4</v>
      </c>
      <c r="Q525">
        <v>2</v>
      </c>
      <c r="R525">
        <v>3</v>
      </c>
      <c r="S525">
        <v>0</v>
      </c>
      <c r="T525">
        <v>6</v>
      </c>
      <c r="U525">
        <v>25</v>
      </c>
      <c r="V525" t="s">
        <v>2525</v>
      </c>
      <c r="W525" t="s">
        <v>45</v>
      </c>
      <c r="X525" s="1">
        <v>45882</v>
      </c>
      <c r="Y525" s="2" t="str">
        <f>IF(EmployeeData[[#This Row],[Age]]&lt;25,"Under 25",IF(EmployeeData[[#This Row],[Age]]&lt;=34,"25-34",IF(EmployeeData[[#This Row],[Age]]&lt;=44,"35-44",IF(EmployeeData[[#This Row],[Age]]&lt;=54,"45-54","55+"))))</f>
        <v>Under 25</v>
      </c>
      <c r="Z525">
        <f ca="1">DATEDIF(EmployeeData[[#This Row],[DateOfJoining]],IF(AND(EmployeeData[[#This Row],[Attrition]]="Yes",EmployeeData[[#This Row],[LastWorkingDate]]&lt;&gt;""),EmployeeData[[#This Row],[LastWorkingDate]],TODAY()),"Y")</f>
        <v>8</v>
      </c>
      <c r="AA525" t="str">
        <f>IF(EmployeeData[[#This Row],[MonthlyIncome]]&lt;30000,"Low",IF(EmployeeData[[#This Row],[MonthlyIncome]]&lt;=60000,"Medium",IF(EmployeeData[[#This Row],[MonthlyIncome]]&lt;=100000,"High","Very High")))</f>
        <v>High</v>
      </c>
      <c r="AB525">
        <f>IF(EmployeeData[[#This Row],[Attrition]]="Yes",1,0)</f>
        <v>1</v>
      </c>
      <c r="AC525" t="str">
        <f ca="1">IF(EmployeeData[[#This Row],[Tenure Years]]&lt;1,"Less than 1 Year",IF(EmployeeData[[#This Row],[Tenure Years]]&lt;=3,"1-3 Years",IF(EmployeeData[[#This Row],[Tenure Years]]&lt;=5,"4-5 Years",IF(EmployeeData[[#This Row],[Tenure Years]]&lt;=10,"6-10 Years","More than 10 Years"))))</f>
        <v>6-10 Years</v>
      </c>
      <c r="AD525">
        <f>ROUND(AVERAGE(EmployeeData[[#This Row],[JobSatisfaction]],EmployeeData[[#This Row],[EnvironmentSatisfaction]],EmployeeData[[#This Row],[WorkLifeBalance]]),2)</f>
        <v>2.67</v>
      </c>
      <c r="AE525" t="str">
        <f>IF(EmployeeData[[#This Row],[Satisfaction Score]]&lt;2,"Low",IF(EmployeeData[[#This Row],[Satisfaction Score]]&lt;3,"Medium","High"))</f>
        <v>Medium</v>
      </c>
    </row>
    <row r="526" spans="1:31" x14ac:dyDescent="0.25">
      <c r="A526" t="s">
        <v>2527</v>
      </c>
      <c r="B526" t="s">
        <v>2528</v>
      </c>
      <c r="C526" t="s">
        <v>49</v>
      </c>
      <c r="D526">
        <v>41</v>
      </c>
      <c r="E526" t="s">
        <v>5461</v>
      </c>
      <c r="F526" t="s">
        <v>261</v>
      </c>
      <c r="G526" s="1">
        <v>43321</v>
      </c>
      <c r="H526">
        <v>63047</v>
      </c>
      <c r="I526" t="s">
        <v>52</v>
      </c>
      <c r="J526" t="s">
        <v>61</v>
      </c>
      <c r="K526" t="s">
        <v>54</v>
      </c>
      <c r="L526" t="s">
        <v>43</v>
      </c>
      <c r="M526">
        <v>32</v>
      </c>
      <c r="N526" t="s">
        <v>34</v>
      </c>
      <c r="O526">
        <v>1</v>
      </c>
      <c r="P526">
        <v>3</v>
      </c>
      <c r="Q526">
        <v>1</v>
      </c>
      <c r="R526">
        <v>4</v>
      </c>
      <c r="S526">
        <v>1</v>
      </c>
      <c r="T526">
        <v>5</v>
      </c>
      <c r="U526">
        <v>20</v>
      </c>
      <c r="V526" t="s">
        <v>2530</v>
      </c>
      <c r="W526" t="s">
        <v>45</v>
      </c>
      <c r="X526" s="1">
        <v>44003</v>
      </c>
      <c r="Y526" s="2" t="str">
        <f>IF(EmployeeData[[#This Row],[Age]]&lt;25,"Under 25",IF(EmployeeData[[#This Row],[Age]]&lt;=34,"25-34",IF(EmployeeData[[#This Row],[Age]]&lt;=44,"35-44",IF(EmployeeData[[#This Row],[Age]]&lt;=54,"45-54","55+"))))</f>
        <v>35-44</v>
      </c>
      <c r="Z526">
        <f ca="1">DATEDIF(EmployeeData[[#This Row],[DateOfJoining]],IF(AND(EmployeeData[[#This Row],[Attrition]]="Yes",EmployeeData[[#This Row],[LastWorkingDate]]&lt;&gt;""),EmployeeData[[#This Row],[LastWorkingDate]],TODAY()),"Y")</f>
        <v>1</v>
      </c>
      <c r="AA526" t="str">
        <f>IF(EmployeeData[[#This Row],[MonthlyIncome]]&lt;30000,"Low",IF(EmployeeData[[#This Row],[MonthlyIncome]]&lt;=60000,"Medium",IF(EmployeeData[[#This Row],[MonthlyIncome]]&lt;=100000,"High","Very High")))</f>
        <v>High</v>
      </c>
      <c r="AB526">
        <f>IF(EmployeeData[[#This Row],[Attrition]]="Yes",1,0)</f>
        <v>1</v>
      </c>
      <c r="AC526" t="str">
        <f ca="1">IF(EmployeeData[[#This Row],[Tenure Years]]&lt;1,"Less than 1 Year",IF(EmployeeData[[#This Row],[Tenure Years]]&lt;=3,"1-3 Years",IF(EmployeeData[[#This Row],[Tenure Years]]&lt;=5,"4-5 Years",IF(EmployeeData[[#This Row],[Tenure Years]]&lt;=10,"6-10 Years","More than 10 Years"))))</f>
        <v>1-3 Years</v>
      </c>
      <c r="AD526">
        <f>ROUND(AVERAGE(EmployeeData[[#This Row],[JobSatisfaction]],EmployeeData[[#This Row],[EnvironmentSatisfaction]],EmployeeData[[#This Row],[WorkLifeBalance]]),2)</f>
        <v>1.67</v>
      </c>
      <c r="AE526" t="str">
        <f>IF(EmployeeData[[#This Row],[Satisfaction Score]]&lt;2,"Low",IF(EmployeeData[[#This Row],[Satisfaction Score]]&lt;3,"Medium","High"))</f>
        <v>Low</v>
      </c>
    </row>
    <row r="527" spans="1:31" x14ac:dyDescent="0.25">
      <c r="A527" t="s">
        <v>2532</v>
      </c>
      <c r="B527" t="s">
        <v>2533</v>
      </c>
      <c r="C527" t="s">
        <v>49</v>
      </c>
      <c r="D527">
        <v>37</v>
      </c>
      <c r="E527" t="s">
        <v>197</v>
      </c>
      <c r="F527" t="s">
        <v>235</v>
      </c>
      <c r="G527" s="1">
        <v>45080</v>
      </c>
      <c r="H527">
        <v>108153</v>
      </c>
      <c r="I527" t="s">
        <v>52</v>
      </c>
      <c r="J527" t="s">
        <v>31</v>
      </c>
      <c r="K527" t="s">
        <v>77</v>
      </c>
      <c r="L527" t="s">
        <v>43</v>
      </c>
      <c r="M527">
        <v>15</v>
      </c>
      <c r="N527" t="s">
        <v>34</v>
      </c>
      <c r="O527">
        <v>1</v>
      </c>
      <c r="P527">
        <v>4</v>
      </c>
      <c r="Q527">
        <v>1</v>
      </c>
      <c r="R527">
        <v>3</v>
      </c>
      <c r="S527">
        <v>1</v>
      </c>
      <c r="T527">
        <v>6</v>
      </c>
      <c r="U527">
        <v>16</v>
      </c>
      <c r="V527" t="s">
        <v>2535</v>
      </c>
      <c r="W527" t="s">
        <v>34</v>
      </c>
      <c r="Y527" s="2" t="str">
        <f>IF(EmployeeData[[#This Row],[Age]]&lt;25,"Under 25",IF(EmployeeData[[#This Row],[Age]]&lt;=34,"25-34",IF(EmployeeData[[#This Row],[Age]]&lt;=44,"35-44",IF(EmployeeData[[#This Row],[Age]]&lt;=54,"45-54","55+"))))</f>
        <v>35-44</v>
      </c>
      <c r="Z527">
        <f ca="1">DATEDIF(EmployeeData[[#This Row],[DateOfJoining]],IF(AND(EmployeeData[[#This Row],[Attrition]]="Yes",EmployeeData[[#This Row],[LastWorkingDate]]&lt;&gt;""),EmployeeData[[#This Row],[LastWorkingDate]],TODAY()),"Y")</f>
        <v>3</v>
      </c>
      <c r="AA527" t="str">
        <f>IF(EmployeeData[[#This Row],[MonthlyIncome]]&lt;30000,"Low",IF(EmployeeData[[#This Row],[MonthlyIncome]]&lt;=60000,"Medium",IF(EmployeeData[[#This Row],[MonthlyIncome]]&lt;=100000,"High","Very High")))</f>
        <v>Very High</v>
      </c>
      <c r="AB527">
        <f>IF(EmployeeData[[#This Row],[Attrition]]="Yes",1,0)</f>
        <v>0</v>
      </c>
      <c r="AC527" t="str">
        <f ca="1">IF(EmployeeData[[#This Row],[Tenure Years]]&lt;1,"Less than 1 Year",IF(EmployeeData[[#This Row],[Tenure Years]]&lt;=3,"1-3 Years",IF(EmployeeData[[#This Row],[Tenure Years]]&lt;=5,"4-5 Years",IF(EmployeeData[[#This Row],[Tenure Years]]&lt;=10,"6-10 Years","More than 10 Years"))))</f>
        <v>1-3 Years</v>
      </c>
      <c r="AD527">
        <f>ROUND(AVERAGE(EmployeeData[[#This Row],[JobSatisfaction]],EmployeeData[[#This Row],[EnvironmentSatisfaction]],EmployeeData[[#This Row],[WorkLifeBalance]]),2)</f>
        <v>2</v>
      </c>
      <c r="AE527" t="str">
        <f>IF(EmployeeData[[#This Row],[Satisfaction Score]]&lt;2,"Low",IF(EmployeeData[[#This Row],[Satisfaction Score]]&lt;3,"Medium","High"))</f>
        <v>Medium</v>
      </c>
    </row>
    <row r="528" spans="1:31" x14ac:dyDescent="0.25">
      <c r="A528" t="s">
        <v>2536</v>
      </c>
      <c r="B528" t="s">
        <v>1960</v>
      </c>
      <c r="C528" t="s">
        <v>49</v>
      </c>
      <c r="D528">
        <v>50</v>
      </c>
      <c r="E528" t="s">
        <v>27</v>
      </c>
      <c r="F528" t="s">
        <v>50</v>
      </c>
      <c r="G528" s="1">
        <v>42465</v>
      </c>
      <c r="H528">
        <v>67151</v>
      </c>
      <c r="I528" t="s">
        <v>30</v>
      </c>
      <c r="J528" t="s">
        <v>31</v>
      </c>
      <c r="K528" t="s">
        <v>113</v>
      </c>
      <c r="L528" t="s">
        <v>33</v>
      </c>
      <c r="M528">
        <v>33</v>
      </c>
      <c r="N528" t="s">
        <v>34</v>
      </c>
      <c r="O528">
        <v>3</v>
      </c>
      <c r="P528">
        <v>1</v>
      </c>
      <c r="Q528">
        <v>4</v>
      </c>
      <c r="R528">
        <v>4</v>
      </c>
      <c r="S528">
        <v>2</v>
      </c>
      <c r="T528">
        <v>1</v>
      </c>
      <c r="U528">
        <v>23</v>
      </c>
      <c r="V528" t="s">
        <v>2538</v>
      </c>
      <c r="W528" t="s">
        <v>34</v>
      </c>
      <c r="Y528" s="2" t="str">
        <f>IF(EmployeeData[[#This Row],[Age]]&lt;25,"Under 25",IF(EmployeeData[[#This Row],[Age]]&lt;=34,"25-34",IF(EmployeeData[[#This Row],[Age]]&lt;=44,"35-44",IF(EmployeeData[[#This Row],[Age]]&lt;=54,"45-54","55+"))))</f>
        <v>45-54</v>
      </c>
      <c r="Z528">
        <f ca="1">DATEDIF(EmployeeData[[#This Row],[DateOfJoining]],IF(AND(EmployeeData[[#This Row],[Attrition]]="Yes",EmployeeData[[#This Row],[LastWorkingDate]]&lt;&gt;""),EmployeeData[[#This Row],[LastWorkingDate]],TODAY()),"Y")</f>
        <v>10</v>
      </c>
      <c r="AA528" t="str">
        <f>IF(EmployeeData[[#This Row],[MonthlyIncome]]&lt;30000,"Low",IF(EmployeeData[[#This Row],[MonthlyIncome]]&lt;=60000,"Medium",IF(EmployeeData[[#This Row],[MonthlyIncome]]&lt;=100000,"High","Very High")))</f>
        <v>High</v>
      </c>
      <c r="AB528">
        <f>IF(EmployeeData[[#This Row],[Attrition]]="Yes",1,0)</f>
        <v>0</v>
      </c>
      <c r="AC528" t="str">
        <f ca="1">IF(EmployeeData[[#This Row],[Tenure Years]]&lt;1,"Less than 1 Year",IF(EmployeeData[[#This Row],[Tenure Years]]&lt;=3,"1-3 Years",IF(EmployeeData[[#This Row],[Tenure Years]]&lt;=5,"4-5 Years",IF(EmployeeData[[#This Row],[Tenure Years]]&lt;=10,"6-10 Years","More than 10 Years"))))</f>
        <v>6-10 Years</v>
      </c>
      <c r="AD528">
        <f>ROUND(AVERAGE(EmployeeData[[#This Row],[JobSatisfaction]],EmployeeData[[#This Row],[EnvironmentSatisfaction]],EmployeeData[[#This Row],[WorkLifeBalance]]),2)</f>
        <v>2.67</v>
      </c>
      <c r="AE528" t="str">
        <f>IF(EmployeeData[[#This Row],[Satisfaction Score]]&lt;2,"Low",IF(EmployeeData[[#This Row],[Satisfaction Score]]&lt;3,"Medium","High"))</f>
        <v>Medium</v>
      </c>
    </row>
    <row r="529" spans="1:31" x14ac:dyDescent="0.25">
      <c r="A529" t="s">
        <v>2539</v>
      </c>
      <c r="B529" t="s">
        <v>2540</v>
      </c>
      <c r="C529" t="s">
        <v>58</v>
      </c>
      <c r="D529">
        <v>47</v>
      </c>
      <c r="E529" t="s">
        <v>94</v>
      </c>
      <c r="F529" t="s">
        <v>306</v>
      </c>
      <c r="G529" s="1">
        <v>44604</v>
      </c>
      <c r="H529">
        <v>132775</v>
      </c>
      <c r="I529" t="s">
        <v>30</v>
      </c>
      <c r="J529" t="s">
        <v>61</v>
      </c>
      <c r="K529" t="s">
        <v>113</v>
      </c>
      <c r="L529" t="s">
        <v>33</v>
      </c>
      <c r="M529">
        <v>2</v>
      </c>
      <c r="N529" t="s">
        <v>34</v>
      </c>
      <c r="O529">
        <v>3</v>
      </c>
      <c r="P529">
        <v>2</v>
      </c>
      <c r="Q529">
        <v>2</v>
      </c>
      <c r="R529">
        <v>4</v>
      </c>
      <c r="S529">
        <v>2</v>
      </c>
      <c r="T529">
        <v>7</v>
      </c>
      <c r="U529">
        <v>22</v>
      </c>
      <c r="V529" t="s">
        <v>2543</v>
      </c>
      <c r="W529" t="s">
        <v>34</v>
      </c>
      <c r="Y529" s="2" t="str">
        <f>IF(EmployeeData[[#This Row],[Age]]&lt;25,"Under 25",IF(EmployeeData[[#This Row],[Age]]&lt;=34,"25-34",IF(EmployeeData[[#This Row],[Age]]&lt;=44,"35-44",IF(EmployeeData[[#This Row],[Age]]&lt;=54,"45-54","55+"))))</f>
        <v>45-54</v>
      </c>
      <c r="Z529">
        <f ca="1">DATEDIF(EmployeeData[[#This Row],[DateOfJoining]],IF(AND(EmployeeData[[#This Row],[Attrition]]="Yes",EmployeeData[[#This Row],[LastWorkingDate]]&lt;&gt;""),EmployeeData[[#This Row],[LastWorkingDate]],TODAY()),"Y")</f>
        <v>4</v>
      </c>
      <c r="AA529" t="str">
        <f>IF(EmployeeData[[#This Row],[MonthlyIncome]]&lt;30000,"Low",IF(EmployeeData[[#This Row],[MonthlyIncome]]&lt;=60000,"Medium",IF(EmployeeData[[#This Row],[MonthlyIncome]]&lt;=100000,"High","Very High")))</f>
        <v>Very High</v>
      </c>
      <c r="AB529">
        <f>IF(EmployeeData[[#This Row],[Attrition]]="Yes",1,0)</f>
        <v>0</v>
      </c>
      <c r="AC529" t="str">
        <f ca="1">IF(EmployeeData[[#This Row],[Tenure Years]]&lt;1,"Less than 1 Year",IF(EmployeeData[[#This Row],[Tenure Years]]&lt;=3,"1-3 Years",IF(EmployeeData[[#This Row],[Tenure Years]]&lt;=5,"4-5 Years",IF(EmployeeData[[#This Row],[Tenure Years]]&lt;=10,"6-10 Years","More than 10 Years"))))</f>
        <v>4-5 Years</v>
      </c>
      <c r="AD529">
        <f>ROUND(AVERAGE(EmployeeData[[#This Row],[JobSatisfaction]],EmployeeData[[#This Row],[EnvironmentSatisfaction]],EmployeeData[[#This Row],[WorkLifeBalance]]),2)</f>
        <v>2.33</v>
      </c>
      <c r="AE529" t="str">
        <f>IF(EmployeeData[[#This Row],[Satisfaction Score]]&lt;2,"Low",IF(EmployeeData[[#This Row],[Satisfaction Score]]&lt;3,"Medium","High"))</f>
        <v>Medium</v>
      </c>
    </row>
    <row r="530" spans="1:31" x14ac:dyDescent="0.25">
      <c r="A530" t="s">
        <v>2544</v>
      </c>
      <c r="B530" t="s">
        <v>2545</v>
      </c>
      <c r="C530" t="s">
        <v>49</v>
      </c>
      <c r="D530">
        <v>32</v>
      </c>
      <c r="E530" t="s">
        <v>5461</v>
      </c>
      <c r="F530" t="s">
        <v>5464</v>
      </c>
      <c r="G530" s="1">
        <v>43640</v>
      </c>
      <c r="H530">
        <v>100527</v>
      </c>
      <c r="I530" t="s">
        <v>42</v>
      </c>
      <c r="J530" t="s">
        <v>61</v>
      </c>
      <c r="K530" t="s">
        <v>200</v>
      </c>
      <c r="L530" t="s">
        <v>43</v>
      </c>
      <c r="M530">
        <v>22</v>
      </c>
      <c r="N530" t="s">
        <v>45</v>
      </c>
      <c r="O530">
        <v>2</v>
      </c>
      <c r="P530">
        <v>1</v>
      </c>
      <c r="Q530">
        <v>4</v>
      </c>
      <c r="R530">
        <v>3</v>
      </c>
      <c r="S530">
        <v>0</v>
      </c>
      <c r="T530">
        <v>6</v>
      </c>
      <c r="U530">
        <v>22</v>
      </c>
      <c r="V530" t="s">
        <v>2547</v>
      </c>
      <c r="W530" t="s">
        <v>45</v>
      </c>
      <c r="X530" s="1">
        <v>44648</v>
      </c>
      <c r="Y530" s="2" t="str">
        <f>IF(EmployeeData[[#This Row],[Age]]&lt;25,"Under 25",IF(EmployeeData[[#This Row],[Age]]&lt;=34,"25-34",IF(EmployeeData[[#This Row],[Age]]&lt;=44,"35-44",IF(EmployeeData[[#This Row],[Age]]&lt;=54,"45-54","55+"))))</f>
        <v>25-34</v>
      </c>
      <c r="Z530">
        <f ca="1">DATEDIF(EmployeeData[[#This Row],[DateOfJoining]],IF(AND(EmployeeData[[#This Row],[Attrition]]="Yes",EmployeeData[[#This Row],[LastWorkingDate]]&lt;&gt;""),EmployeeData[[#This Row],[LastWorkingDate]],TODAY()),"Y")</f>
        <v>2</v>
      </c>
      <c r="AA530" t="str">
        <f>IF(EmployeeData[[#This Row],[MonthlyIncome]]&lt;30000,"Low",IF(EmployeeData[[#This Row],[MonthlyIncome]]&lt;=60000,"Medium",IF(EmployeeData[[#This Row],[MonthlyIncome]]&lt;=100000,"High","Very High")))</f>
        <v>Very High</v>
      </c>
      <c r="AB530">
        <f>IF(EmployeeData[[#This Row],[Attrition]]="Yes",1,0)</f>
        <v>1</v>
      </c>
      <c r="AC530" t="str">
        <f ca="1">IF(EmployeeData[[#This Row],[Tenure Years]]&lt;1,"Less than 1 Year",IF(EmployeeData[[#This Row],[Tenure Years]]&lt;=3,"1-3 Years",IF(EmployeeData[[#This Row],[Tenure Years]]&lt;=5,"4-5 Years",IF(EmployeeData[[#This Row],[Tenure Years]]&lt;=10,"6-10 Years","More than 10 Years"))))</f>
        <v>1-3 Years</v>
      </c>
      <c r="AD530">
        <f>ROUND(AVERAGE(EmployeeData[[#This Row],[JobSatisfaction]],EmployeeData[[#This Row],[EnvironmentSatisfaction]],EmployeeData[[#This Row],[WorkLifeBalance]]),2)</f>
        <v>2.33</v>
      </c>
      <c r="AE530" t="str">
        <f>IF(EmployeeData[[#This Row],[Satisfaction Score]]&lt;2,"Low",IF(EmployeeData[[#This Row],[Satisfaction Score]]&lt;3,"Medium","High"))</f>
        <v>Medium</v>
      </c>
    </row>
    <row r="531" spans="1:31" x14ac:dyDescent="0.25">
      <c r="A531" t="s">
        <v>2549</v>
      </c>
      <c r="B531" t="s">
        <v>2550</v>
      </c>
      <c r="C531" t="s">
        <v>58</v>
      </c>
      <c r="D531">
        <v>41</v>
      </c>
      <c r="E531" t="s">
        <v>5461</v>
      </c>
      <c r="F531" t="s">
        <v>5463</v>
      </c>
      <c r="G531" s="1">
        <v>41749</v>
      </c>
      <c r="H531">
        <v>94704</v>
      </c>
      <c r="I531" t="s">
        <v>5459</v>
      </c>
      <c r="J531" t="s">
        <v>31</v>
      </c>
      <c r="K531" t="s">
        <v>167</v>
      </c>
      <c r="L531" t="s">
        <v>43</v>
      </c>
      <c r="M531">
        <v>3</v>
      </c>
      <c r="N531" t="s">
        <v>45</v>
      </c>
      <c r="O531">
        <v>3</v>
      </c>
      <c r="P531">
        <v>3</v>
      </c>
      <c r="Q531">
        <v>1</v>
      </c>
      <c r="R531">
        <v>3</v>
      </c>
      <c r="S531">
        <v>0</v>
      </c>
      <c r="T531">
        <v>4</v>
      </c>
      <c r="U531">
        <v>22</v>
      </c>
      <c r="V531" t="s">
        <v>2552</v>
      </c>
      <c r="W531" t="s">
        <v>45</v>
      </c>
      <c r="X531" s="1">
        <v>46136</v>
      </c>
      <c r="Y531" s="2" t="str">
        <f>IF(EmployeeData[[#This Row],[Age]]&lt;25,"Under 25",IF(EmployeeData[[#This Row],[Age]]&lt;=34,"25-34",IF(EmployeeData[[#This Row],[Age]]&lt;=44,"35-44",IF(EmployeeData[[#This Row],[Age]]&lt;=54,"45-54","55+"))))</f>
        <v>35-44</v>
      </c>
      <c r="Z531">
        <f ca="1">DATEDIF(EmployeeData[[#This Row],[DateOfJoining]],IF(AND(EmployeeData[[#This Row],[Attrition]]="Yes",EmployeeData[[#This Row],[LastWorkingDate]]&lt;&gt;""),EmployeeData[[#This Row],[LastWorkingDate]],TODAY()),"Y")</f>
        <v>12</v>
      </c>
      <c r="AA531" t="str">
        <f>IF(EmployeeData[[#This Row],[MonthlyIncome]]&lt;30000,"Low",IF(EmployeeData[[#This Row],[MonthlyIncome]]&lt;=60000,"Medium",IF(EmployeeData[[#This Row],[MonthlyIncome]]&lt;=100000,"High","Very High")))</f>
        <v>High</v>
      </c>
      <c r="AB531">
        <f>IF(EmployeeData[[#This Row],[Attrition]]="Yes",1,0)</f>
        <v>1</v>
      </c>
      <c r="AC531" t="str">
        <f ca="1">IF(EmployeeData[[#This Row],[Tenure Years]]&lt;1,"Less than 1 Year",IF(EmployeeData[[#This Row],[Tenure Years]]&lt;=3,"1-3 Years",IF(EmployeeData[[#This Row],[Tenure Years]]&lt;=5,"4-5 Years",IF(EmployeeData[[#This Row],[Tenure Years]]&lt;=10,"6-10 Years","More than 10 Years"))))</f>
        <v>More than 10 Years</v>
      </c>
      <c r="AD531">
        <f>ROUND(AVERAGE(EmployeeData[[#This Row],[JobSatisfaction]],EmployeeData[[#This Row],[EnvironmentSatisfaction]],EmployeeData[[#This Row],[WorkLifeBalance]]),2)</f>
        <v>2.33</v>
      </c>
      <c r="AE531" t="str">
        <f>IF(EmployeeData[[#This Row],[Satisfaction Score]]&lt;2,"Low",IF(EmployeeData[[#This Row],[Satisfaction Score]]&lt;3,"Medium","High"))</f>
        <v>Medium</v>
      </c>
    </row>
    <row r="532" spans="1:31" x14ac:dyDescent="0.25">
      <c r="A532" t="s">
        <v>2554</v>
      </c>
      <c r="B532" t="s">
        <v>2555</v>
      </c>
      <c r="C532" t="s">
        <v>58</v>
      </c>
      <c r="D532">
        <v>39</v>
      </c>
      <c r="E532" t="s">
        <v>94</v>
      </c>
      <c r="F532" t="s">
        <v>5459</v>
      </c>
      <c r="G532" s="1">
        <v>44087</v>
      </c>
      <c r="H532">
        <v>84461</v>
      </c>
      <c r="I532" t="s">
        <v>52</v>
      </c>
      <c r="J532" t="s">
        <v>31</v>
      </c>
      <c r="K532" t="s">
        <v>106</v>
      </c>
      <c r="L532" t="s">
        <v>62</v>
      </c>
      <c r="M532">
        <v>26</v>
      </c>
      <c r="N532" t="s">
        <v>34</v>
      </c>
      <c r="O532">
        <v>3</v>
      </c>
      <c r="P532">
        <v>1</v>
      </c>
      <c r="Q532">
        <v>1</v>
      </c>
      <c r="R532">
        <v>4</v>
      </c>
      <c r="S532">
        <v>0</v>
      </c>
      <c r="T532">
        <v>3</v>
      </c>
      <c r="U532">
        <v>11</v>
      </c>
      <c r="V532" t="s">
        <v>2557</v>
      </c>
      <c r="W532" t="s">
        <v>34</v>
      </c>
      <c r="Y532" s="2" t="str">
        <f>IF(EmployeeData[[#This Row],[Age]]&lt;25,"Under 25",IF(EmployeeData[[#This Row],[Age]]&lt;=34,"25-34",IF(EmployeeData[[#This Row],[Age]]&lt;=44,"35-44",IF(EmployeeData[[#This Row],[Age]]&lt;=54,"45-54","55+"))))</f>
        <v>35-44</v>
      </c>
      <c r="Z532">
        <f ca="1">DATEDIF(EmployeeData[[#This Row],[DateOfJoining]],IF(AND(EmployeeData[[#This Row],[Attrition]]="Yes",EmployeeData[[#This Row],[LastWorkingDate]]&lt;&gt;""),EmployeeData[[#This Row],[LastWorkingDate]],TODAY()),"Y")</f>
        <v>5</v>
      </c>
      <c r="AA532" t="str">
        <f>IF(EmployeeData[[#This Row],[MonthlyIncome]]&lt;30000,"Low",IF(EmployeeData[[#This Row],[MonthlyIncome]]&lt;=60000,"Medium",IF(EmployeeData[[#This Row],[MonthlyIncome]]&lt;=100000,"High","Very High")))</f>
        <v>High</v>
      </c>
      <c r="AB532">
        <f>IF(EmployeeData[[#This Row],[Attrition]]="Yes",1,0)</f>
        <v>0</v>
      </c>
      <c r="AC532" t="str">
        <f ca="1">IF(EmployeeData[[#This Row],[Tenure Years]]&lt;1,"Less than 1 Year",IF(EmployeeData[[#This Row],[Tenure Years]]&lt;=3,"1-3 Years",IF(EmployeeData[[#This Row],[Tenure Years]]&lt;=5,"4-5 Years",IF(EmployeeData[[#This Row],[Tenure Years]]&lt;=10,"6-10 Years","More than 10 Years"))))</f>
        <v>4-5 Years</v>
      </c>
      <c r="AD532">
        <f>ROUND(AVERAGE(EmployeeData[[#This Row],[JobSatisfaction]],EmployeeData[[#This Row],[EnvironmentSatisfaction]],EmployeeData[[#This Row],[WorkLifeBalance]]),2)</f>
        <v>1.67</v>
      </c>
      <c r="AE532" t="str">
        <f>IF(EmployeeData[[#This Row],[Satisfaction Score]]&lt;2,"Low",IF(EmployeeData[[#This Row],[Satisfaction Score]]&lt;3,"Medium","High"))</f>
        <v>Low</v>
      </c>
    </row>
    <row r="533" spans="1:31" x14ac:dyDescent="0.25">
      <c r="A533" t="s">
        <v>2558</v>
      </c>
      <c r="B533" t="s">
        <v>2559</v>
      </c>
      <c r="C533" t="s">
        <v>49</v>
      </c>
      <c r="D533">
        <v>23</v>
      </c>
      <c r="E533" t="s">
        <v>128</v>
      </c>
      <c r="F533" t="s">
        <v>271</v>
      </c>
      <c r="G533" s="1">
        <v>42066</v>
      </c>
      <c r="H533">
        <v>93382</v>
      </c>
      <c r="I533" t="s">
        <v>30</v>
      </c>
      <c r="J533" t="s">
        <v>31</v>
      </c>
      <c r="K533" t="s">
        <v>167</v>
      </c>
      <c r="L533" t="s">
        <v>33</v>
      </c>
      <c r="M533">
        <v>32</v>
      </c>
      <c r="N533" t="s">
        <v>34</v>
      </c>
      <c r="O533">
        <v>4</v>
      </c>
      <c r="P533">
        <v>4</v>
      </c>
      <c r="Q533">
        <v>3</v>
      </c>
      <c r="R533">
        <v>4</v>
      </c>
      <c r="S533">
        <v>5</v>
      </c>
      <c r="T533">
        <v>4</v>
      </c>
      <c r="U533">
        <v>22</v>
      </c>
      <c r="V533" t="s">
        <v>2561</v>
      </c>
      <c r="W533" t="s">
        <v>34</v>
      </c>
      <c r="Y533" s="2" t="str">
        <f>IF(EmployeeData[[#This Row],[Age]]&lt;25,"Under 25",IF(EmployeeData[[#This Row],[Age]]&lt;=34,"25-34",IF(EmployeeData[[#This Row],[Age]]&lt;=44,"35-44",IF(EmployeeData[[#This Row],[Age]]&lt;=54,"45-54","55+"))))</f>
        <v>Under 25</v>
      </c>
      <c r="Z533">
        <f ca="1">DATEDIF(EmployeeData[[#This Row],[DateOfJoining]],IF(AND(EmployeeData[[#This Row],[Attrition]]="Yes",EmployeeData[[#This Row],[LastWorkingDate]]&lt;&gt;""),EmployeeData[[#This Row],[LastWorkingDate]],TODAY()),"Y")</f>
        <v>11</v>
      </c>
      <c r="AA533" t="str">
        <f>IF(EmployeeData[[#This Row],[MonthlyIncome]]&lt;30000,"Low",IF(EmployeeData[[#This Row],[MonthlyIncome]]&lt;=60000,"Medium",IF(EmployeeData[[#This Row],[MonthlyIncome]]&lt;=100000,"High","Very High")))</f>
        <v>High</v>
      </c>
      <c r="AB533">
        <f>IF(EmployeeData[[#This Row],[Attrition]]="Yes",1,0)</f>
        <v>0</v>
      </c>
      <c r="AC533" t="str">
        <f ca="1">IF(EmployeeData[[#This Row],[Tenure Years]]&lt;1,"Less than 1 Year",IF(EmployeeData[[#This Row],[Tenure Years]]&lt;=3,"1-3 Years",IF(EmployeeData[[#This Row],[Tenure Years]]&lt;=5,"4-5 Years",IF(EmployeeData[[#This Row],[Tenure Years]]&lt;=10,"6-10 Years","More than 10 Years"))))</f>
        <v>More than 10 Years</v>
      </c>
      <c r="AD533">
        <f>ROUND(AVERAGE(EmployeeData[[#This Row],[JobSatisfaction]],EmployeeData[[#This Row],[EnvironmentSatisfaction]],EmployeeData[[#This Row],[WorkLifeBalance]]),2)</f>
        <v>3.67</v>
      </c>
      <c r="AE533" t="str">
        <f>IF(EmployeeData[[#This Row],[Satisfaction Score]]&lt;2,"Low",IF(EmployeeData[[#This Row],[Satisfaction Score]]&lt;3,"Medium","High"))</f>
        <v>High</v>
      </c>
    </row>
    <row r="534" spans="1:31" x14ac:dyDescent="0.25">
      <c r="A534" t="s">
        <v>2562</v>
      </c>
      <c r="B534" t="s">
        <v>2563</v>
      </c>
      <c r="C534" t="s">
        <v>58</v>
      </c>
      <c r="D534">
        <v>39</v>
      </c>
      <c r="E534" t="s">
        <v>5461</v>
      </c>
      <c r="F534" t="s">
        <v>483</v>
      </c>
      <c r="G534" s="1">
        <v>45121</v>
      </c>
      <c r="H534">
        <v>55131</v>
      </c>
      <c r="I534" t="s">
        <v>42</v>
      </c>
      <c r="J534" t="s">
        <v>143</v>
      </c>
      <c r="K534" t="s">
        <v>83</v>
      </c>
      <c r="L534" t="s">
        <v>43</v>
      </c>
      <c r="M534">
        <v>19</v>
      </c>
      <c r="N534" t="s">
        <v>45</v>
      </c>
      <c r="O534">
        <v>4</v>
      </c>
      <c r="P534">
        <v>2</v>
      </c>
      <c r="Q534">
        <v>1</v>
      </c>
      <c r="R534">
        <v>3</v>
      </c>
      <c r="S534">
        <v>2</v>
      </c>
      <c r="T534">
        <v>3</v>
      </c>
      <c r="U534">
        <v>23</v>
      </c>
      <c r="V534" t="s">
        <v>2565</v>
      </c>
      <c r="W534" t="s">
        <v>34</v>
      </c>
      <c r="Y534" s="2" t="str">
        <f>IF(EmployeeData[[#This Row],[Age]]&lt;25,"Under 25",IF(EmployeeData[[#This Row],[Age]]&lt;=34,"25-34",IF(EmployeeData[[#This Row],[Age]]&lt;=44,"35-44",IF(EmployeeData[[#This Row],[Age]]&lt;=54,"45-54","55+"))))</f>
        <v>35-44</v>
      </c>
      <c r="Z534">
        <f ca="1">DATEDIF(EmployeeData[[#This Row],[DateOfJoining]],IF(AND(EmployeeData[[#This Row],[Attrition]]="Yes",EmployeeData[[#This Row],[LastWorkingDate]]&lt;&gt;""),EmployeeData[[#This Row],[LastWorkingDate]],TODAY()),"Y")</f>
        <v>3</v>
      </c>
      <c r="AA534" t="str">
        <f>IF(EmployeeData[[#This Row],[MonthlyIncome]]&lt;30000,"Low",IF(EmployeeData[[#This Row],[MonthlyIncome]]&lt;=60000,"Medium",IF(EmployeeData[[#This Row],[MonthlyIncome]]&lt;=100000,"High","Very High")))</f>
        <v>Medium</v>
      </c>
      <c r="AB534">
        <f>IF(EmployeeData[[#This Row],[Attrition]]="Yes",1,0)</f>
        <v>0</v>
      </c>
      <c r="AC534" t="str">
        <f ca="1">IF(EmployeeData[[#This Row],[Tenure Years]]&lt;1,"Less than 1 Year",IF(EmployeeData[[#This Row],[Tenure Years]]&lt;=3,"1-3 Years",IF(EmployeeData[[#This Row],[Tenure Years]]&lt;=5,"4-5 Years",IF(EmployeeData[[#This Row],[Tenure Years]]&lt;=10,"6-10 Years","More than 10 Years"))))</f>
        <v>1-3 Years</v>
      </c>
      <c r="AD534">
        <f>ROUND(AVERAGE(EmployeeData[[#This Row],[JobSatisfaction]],EmployeeData[[#This Row],[EnvironmentSatisfaction]],EmployeeData[[#This Row],[WorkLifeBalance]]),2)</f>
        <v>2.33</v>
      </c>
      <c r="AE534" t="str">
        <f>IF(EmployeeData[[#This Row],[Satisfaction Score]]&lt;2,"Low",IF(EmployeeData[[#This Row],[Satisfaction Score]]&lt;3,"Medium","High"))</f>
        <v>Medium</v>
      </c>
    </row>
    <row r="535" spans="1:31" x14ac:dyDescent="0.25">
      <c r="A535" t="s">
        <v>2566</v>
      </c>
      <c r="B535" t="s">
        <v>2567</v>
      </c>
      <c r="C535" t="s">
        <v>49</v>
      </c>
      <c r="D535">
        <v>33</v>
      </c>
      <c r="E535" t="s">
        <v>94</v>
      </c>
      <c r="F535" t="s">
        <v>639</v>
      </c>
      <c r="G535" s="1">
        <v>44821</v>
      </c>
      <c r="H535">
        <v>78658</v>
      </c>
      <c r="I535" t="s">
        <v>52</v>
      </c>
      <c r="J535" t="s">
        <v>31</v>
      </c>
      <c r="K535" t="s">
        <v>200</v>
      </c>
      <c r="L535" t="s">
        <v>33</v>
      </c>
      <c r="M535">
        <v>36</v>
      </c>
      <c r="N535" t="s">
        <v>34</v>
      </c>
      <c r="O535">
        <v>1</v>
      </c>
      <c r="P535">
        <v>3</v>
      </c>
      <c r="Q535">
        <v>2</v>
      </c>
      <c r="R535">
        <v>2</v>
      </c>
      <c r="S535">
        <v>4</v>
      </c>
      <c r="T535">
        <v>8</v>
      </c>
      <c r="U535">
        <v>23</v>
      </c>
      <c r="V535" t="s">
        <v>2570</v>
      </c>
      <c r="W535" t="s">
        <v>45</v>
      </c>
      <c r="X535" s="1">
        <v>46174</v>
      </c>
      <c r="Y535" s="2" t="str">
        <f>IF(EmployeeData[[#This Row],[Age]]&lt;25,"Under 25",IF(EmployeeData[[#This Row],[Age]]&lt;=34,"25-34",IF(EmployeeData[[#This Row],[Age]]&lt;=44,"35-44",IF(EmployeeData[[#This Row],[Age]]&lt;=54,"45-54","55+"))))</f>
        <v>25-34</v>
      </c>
      <c r="Z535">
        <f ca="1">DATEDIF(EmployeeData[[#This Row],[DateOfJoining]],IF(AND(EmployeeData[[#This Row],[Attrition]]="Yes",EmployeeData[[#This Row],[LastWorkingDate]]&lt;&gt;""),EmployeeData[[#This Row],[LastWorkingDate]],TODAY()),"Y")</f>
        <v>3</v>
      </c>
      <c r="AA535" t="str">
        <f>IF(EmployeeData[[#This Row],[MonthlyIncome]]&lt;30000,"Low",IF(EmployeeData[[#This Row],[MonthlyIncome]]&lt;=60000,"Medium",IF(EmployeeData[[#This Row],[MonthlyIncome]]&lt;=100000,"High","Very High")))</f>
        <v>High</v>
      </c>
      <c r="AB535">
        <f>IF(EmployeeData[[#This Row],[Attrition]]="Yes",1,0)</f>
        <v>1</v>
      </c>
      <c r="AC535" t="str">
        <f ca="1">IF(EmployeeData[[#This Row],[Tenure Years]]&lt;1,"Less than 1 Year",IF(EmployeeData[[#This Row],[Tenure Years]]&lt;=3,"1-3 Years",IF(EmployeeData[[#This Row],[Tenure Years]]&lt;=5,"4-5 Years",IF(EmployeeData[[#This Row],[Tenure Years]]&lt;=10,"6-10 Years","More than 10 Years"))))</f>
        <v>1-3 Years</v>
      </c>
      <c r="AD535">
        <f>ROUND(AVERAGE(EmployeeData[[#This Row],[JobSatisfaction]],EmployeeData[[#This Row],[EnvironmentSatisfaction]],EmployeeData[[#This Row],[WorkLifeBalance]]),2)</f>
        <v>2</v>
      </c>
      <c r="AE535" t="str">
        <f>IF(EmployeeData[[#This Row],[Satisfaction Score]]&lt;2,"Low",IF(EmployeeData[[#This Row],[Satisfaction Score]]&lt;3,"Medium","High"))</f>
        <v>Medium</v>
      </c>
    </row>
    <row r="536" spans="1:31" x14ac:dyDescent="0.25">
      <c r="A536" t="s">
        <v>2572</v>
      </c>
      <c r="B536" t="s">
        <v>2573</v>
      </c>
      <c r="C536" t="s">
        <v>58</v>
      </c>
      <c r="D536">
        <v>48</v>
      </c>
      <c r="E536" t="s">
        <v>5461</v>
      </c>
      <c r="F536" t="s">
        <v>483</v>
      </c>
      <c r="G536" s="1">
        <v>41765</v>
      </c>
      <c r="H536">
        <v>109922</v>
      </c>
      <c r="I536" t="s">
        <v>42</v>
      </c>
      <c r="J536" t="s">
        <v>31</v>
      </c>
      <c r="K536" t="s">
        <v>54</v>
      </c>
      <c r="L536" t="s">
        <v>33</v>
      </c>
      <c r="M536">
        <v>37</v>
      </c>
      <c r="N536" t="s">
        <v>34</v>
      </c>
      <c r="O536">
        <v>2</v>
      </c>
      <c r="P536">
        <v>3</v>
      </c>
      <c r="Q536">
        <v>1</v>
      </c>
      <c r="R536">
        <v>5</v>
      </c>
      <c r="S536">
        <v>0</v>
      </c>
      <c r="T536">
        <v>6</v>
      </c>
      <c r="U536">
        <v>12</v>
      </c>
      <c r="V536" t="s">
        <v>2575</v>
      </c>
      <c r="W536" t="s">
        <v>34</v>
      </c>
      <c r="Y536" s="2" t="str">
        <f>IF(EmployeeData[[#This Row],[Age]]&lt;25,"Under 25",IF(EmployeeData[[#This Row],[Age]]&lt;=34,"25-34",IF(EmployeeData[[#This Row],[Age]]&lt;=44,"35-44",IF(EmployeeData[[#This Row],[Age]]&lt;=54,"45-54","55+"))))</f>
        <v>45-54</v>
      </c>
      <c r="Z536">
        <f ca="1">DATEDIF(EmployeeData[[#This Row],[DateOfJoining]],IF(AND(EmployeeData[[#This Row],[Attrition]]="Yes",EmployeeData[[#This Row],[LastWorkingDate]]&lt;&gt;""),EmployeeData[[#This Row],[LastWorkingDate]],TODAY()),"Y")</f>
        <v>12</v>
      </c>
      <c r="AA536" t="str">
        <f>IF(EmployeeData[[#This Row],[MonthlyIncome]]&lt;30000,"Low",IF(EmployeeData[[#This Row],[MonthlyIncome]]&lt;=60000,"Medium",IF(EmployeeData[[#This Row],[MonthlyIncome]]&lt;=100000,"High","Very High")))</f>
        <v>Very High</v>
      </c>
      <c r="AB536">
        <f>IF(EmployeeData[[#This Row],[Attrition]]="Yes",1,0)</f>
        <v>0</v>
      </c>
      <c r="AC536" t="str">
        <f ca="1">IF(EmployeeData[[#This Row],[Tenure Years]]&lt;1,"Less than 1 Year",IF(EmployeeData[[#This Row],[Tenure Years]]&lt;=3,"1-3 Years",IF(EmployeeData[[#This Row],[Tenure Years]]&lt;=5,"4-5 Years",IF(EmployeeData[[#This Row],[Tenure Years]]&lt;=10,"6-10 Years","More than 10 Years"))))</f>
        <v>More than 10 Years</v>
      </c>
      <c r="AD536">
        <f>ROUND(AVERAGE(EmployeeData[[#This Row],[JobSatisfaction]],EmployeeData[[#This Row],[EnvironmentSatisfaction]],EmployeeData[[#This Row],[WorkLifeBalance]]),2)</f>
        <v>2</v>
      </c>
      <c r="AE536" t="str">
        <f>IF(EmployeeData[[#This Row],[Satisfaction Score]]&lt;2,"Low",IF(EmployeeData[[#This Row],[Satisfaction Score]]&lt;3,"Medium","High"))</f>
        <v>Medium</v>
      </c>
    </row>
    <row r="537" spans="1:31" x14ac:dyDescent="0.25">
      <c r="A537" t="s">
        <v>2576</v>
      </c>
      <c r="B537" t="s">
        <v>2577</v>
      </c>
      <c r="C537" t="s">
        <v>58</v>
      </c>
      <c r="D537">
        <v>37</v>
      </c>
      <c r="E537" t="s">
        <v>27</v>
      </c>
      <c r="F537" t="s">
        <v>75</v>
      </c>
      <c r="G537" s="1">
        <v>41172</v>
      </c>
      <c r="H537">
        <v>76954</v>
      </c>
      <c r="I537" t="s">
        <v>30</v>
      </c>
      <c r="J537" t="s">
        <v>143</v>
      </c>
      <c r="K537" t="s">
        <v>106</v>
      </c>
      <c r="L537" t="s">
        <v>33</v>
      </c>
      <c r="M537">
        <v>15</v>
      </c>
      <c r="N537" t="s">
        <v>34</v>
      </c>
      <c r="O537">
        <v>3</v>
      </c>
      <c r="P537">
        <v>2</v>
      </c>
      <c r="Q537">
        <v>4</v>
      </c>
      <c r="R537">
        <v>4</v>
      </c>
      <c r="S537">
        <v>6</v>
      </c>
      <c r="T537">
        <v>6</v>
      </c>
      <c r="U537">
        <v>17</v>
      </c>
      <c r="V537" t="s">
        <v>2580</v>
      </c>
      <c r="W537" t="s">
        <v>34</v>
      </c>
      <c r="Y537" s="2" t="str">
        <f>IF(EmployeeData[[#This Row],[Age]]&lt;25,"Under 25",IF(EmployeeData[[#This Row],[Age]]&lt;=34,"25-34",IF(EmployeeData[[#This Row],[Age]]&lt;=44,"35-44",IF(EmployeeData[[#This Row],[Age]]&lt;=54,"45-54","55+"))))</f>
        <v>35-44</v>
      </c>
      <c r="Z537">
        <f ca="1">DATEDIF(EmployeeData[[#This Row],[DateOfJoining]],IF(AND(EmployeeData[[#This Row],[Attrition]]="Yes",EmployeeData[[#This Row],[LastWorkingDate]]&lt;&gt;""),EmployeeData[[#This Row],[LastWorkingDate]],TODAY()),"Y")</f>
        <v>13</v>
      </c>
      <c r="AA537" t="str">
        <f>IF(EmployeeData[[#This Row],[MonthlyIncome]]&lt;30000,"Low",IF(EmployeeData[[#This Row],[MonthlyIncome]]&lt;=60000,"Medium",IF(EmployeeData[[#This Row],[MonthlyIncome]]&lt;=100000,"High","Very High")))</f>
        <v>High</v>
      </c>
      <c r="AB537">
        <f>IF(EmployeeData[[#This Row],[Attrition]]="Yes",1,0)</f>
        <v>0</v>
      </c>
      <c r="AC537" t="str">
        <f ca="1">IF(EmployeeData[[#This Row],[Tenure Years]]&lt;1,"Less than 1 Year",IF(EmployeeData[[#This Row],[Tenure Years]]&lt;=3,"1-3 Years",IF(EmployeeData[[#This Row],[Tenure Years]]&lt;=5,"4-5 Years",IF(EmployeeData[[#This Row],[Tenure Years]]&lt;=10,"6-10 Years","More than 10 Years"))))</f>
        <v>More than 10 Years</v>
      </c>
      <c r="AD537">
        <f>ROUND(AVERAGE(EmployeeData[[#This Row],[JobSatisfaction]],EmployeeData[[#This Row],[EnvironmentSatisfaction]],EmployeeData[[#This Row],[WorkLifeBalance]]),2)</f>
        <v>3</v>
      </c>
      <c r="AE537" t="str">
        <f>IF(EmployeeData[[#This Row],[Satisfaction Score]]&lt;2,"Low",IF(EmployeeData[[#This Row],[Satisfaction Score]]&lt;3,"Medium","High"))</f>
        <v>High</v>
      </c>
    </row>
    <row r="538" spans="1:31" x14ac:dyDescent="0.25">
      <c r="A538" t="s">
        <v>2581</v>
      </c>
      <c r="B538" t="s">
        <v>2582</v>
      </c>
      <c r="C538" t="s">
        <v>49</v>
      </c>
      <c r="D538">
        <v>28</v>
      </c>
      <c r="E538" t="s">
        <v>94</v>
      </c>
      <c r="F538" t="s">
        <v>356</v>
      </c>
      <c r="G538" s="1">
        <v>45127</v>
      </c>
      <c r="H538">
        <v>82457</v>
      </c>
      <c r="I538" t="s">
        <v>52</v>
      </c>
      <c r="J538" t="s">
        <v>61</v>
      </c>
      <c r="K538" t="s">
        <v>200</v>
      </c>
      <c r="L538" t="s">
        <v>43</v>
      </c>
      <c r="M538">
        <v>37</v>
      </c>
      <c r="N538" t="s">
        <v>34</v>
      </c>
      <c r="O538">
        <v>4</v>
      </c>
      <c r="P538">
        <v>4</v>
      </c>
      <c r="Q538">
        <v>4</v>
      </c>
      <c r="R538">
        <v>4</v>
      </c>
      <c r="S538">
        <v>4</v>
      </c>
      <c r="T538">
        <v>6</v>
      </c>
      <c r="U538">
        <v>22</v>
      </c>
      <c r="V538" t="s">
        <v>2584</v>
      </c>
      <c r="W538" t="s">
        <v>34</v>
      </c>
      <c r="Y538" s="2" t="str">
        <f>IF(EmployeeData[[#This Row],[Age]]&lt;25,"Under 25",IF(EmployeeData[[#This Row],[Age]]&lt;=34,"25-34",IF(EmployeeData[[#This Row],[Age]]&lt;=44,"35-44",IF(EmployeeData[[#This Row],[Age]]&lt;=54,"45-54","55+"))))</f>
        <v>25-34</v>
      </c>
      <c r="Z538">
        <f ca="1">DATEDIF(EmployeeData[[#This Row],[DateOfJoining]],IF(AND(EmployeeData[[#This Row],[Attrition]]="Yes",EmployeeData[[#This Row],[LastWorkingDate]]&lt;&gt;""),EmployeeData[[#This Row],[LastWorkingDate]],TODAY()),"Y")</f>
        <v>3</v>
      </c>
      <c r="AA538" t="str">
        <f>IF(EmployeeData[[#This Row],[MonthlyIncome]]&lt;30000,"Low",IF(EmployeeData[[#This Row],[MonthlyIncome]]&lt;=60000,"Medium",IF(EmployeeData[[#This Row],[MonthlyIncome]]&lt;=100000,"High","Very High")))</f>
        <v>High</v>
      </c>
      <c r="AB538">
        <f>IF(EmployeeData[[#This Row],[Attrition]]="Yes",1,0)</f>
        <v>0</v>
      </c>
      <c r="AC538" t="str">
        <f ca="1">IF(EmployeeData[[#This Row],[Tenure Years]]&lt;1,"Less than 1 Year",IF(EmployeeData[[#This Row],[Tenure Years]]&lt;=3,"1-3 Years",IF(EmployeeData[[#This Row],[Tenure Years]]&lt;=5,"4-5 Years",IF(EmployeeData[[#This Row],[Tenure Years]]&lt;=10,"6-10 Years","More than 10 Years"))))</f>
        <v>1-3 Years</v>
      </c>
      <c r="AD538">
        <f>ROUND(AVERAGE(EmployeeData[[#This Row],[JobSatisfaction]],EmployeeData[[#This Row],[EnvironmentSatisfaction]],EmployeeData[[#This Row],[WorkLifeBalance]]),2)</f>
        <v>4</v>
      </c>
      <c r="AE538" t="str">
        <f>IF(EmployeeData[[#This Row],[Satisfaction Score]]&lt;2,"Low",IF(EmployeeData[[#This Row],[Satisfaction Score]]&lt;3,"Medium","High"))</f>
        <v>High</v>
      </c>
    </row>
    <row r="539" spans="1:31" x14ac:dyDescent="0.25">
      <c r="A539" t="s">
        <v>2585</v>
      </c>
      <c r="B539" t="s">
        <v>2586</v>
      </c>
      <c r="C539" t="s">
        <v>49</v>
      </c>
      <c r="D539">
        <v>35</v>
      </c>
      <c r="E539" t="s">
        <v>5461</v>
      </c>
      <c r="F539" t="s">
        <v>5464</v>
      </c>
      <c r="G539" s="1">
        <v>45090</v>
      </c>
      <c r="H539">
        <v>113790</v>
      </c>
      <c r="I539" t="s">
        <v>42</v>
      </c>
      <c r="J539" t="s">
        <v>31</v>
      </c>
      <c r="K539" t="s">
        <v>32</v>
      </c>
      <c r="L539" t="s">
        <v>62</v>
      </c>
      <c r="M539">
        <v>6</v>
      </c>
      <c r="N539" t="s">
        <v>34</v>
      </c>
      <c r="O539">
        <v>4</v>
      </c>
      <c r="P539">
        <v>3</v>
      </c>
      <c r="Q539">
        <v>4</v>
      </c>
      <c r="R539">
        <v>3</v>
      </c>
      <c r="S539">
        <v>6</v>
      </c>
      <c r="T539">
        <v>4</v>
      </c>
      <c r="U539">
        <v>19</v>
      </c>
      <c r="V539" t="s">
        <v>2588</v>
      </c>
      <c r="W539" t="s">
        <v>34</v>
      </c>
      <c r="Y539" s="2" t="str">
        <f>IF(EmployeeData[[#This Row],[Age]]&lt;25,"Under 25",IF(EmployeeData[[#This Row],[Age]]&lt;=34,"25-34",IF(EmployeeData[[#This Row],[Age]]&lt;=44,"35-44",IF(EmployeeData[[#This Row],[Age]]&lt;=54,"45-54","55+"))))</f>
        <v>35-44</v>
      </c>
      <c r="Z539">
        <f ca="1">DATEDIF(EmployeeData[[#This Row],[DateOfJoining]],IF(AND(EmployeeData[[#This Row],[Attrition]]="Yes",EmployeeData[[#This Row],[LastWorkingDate]]&lt;&gt;""),EmployeeData[[#This Row],[LastWorkingDate]],TODAY()),"Y")</f>
        <v>3</v>
      </c>
      <c r="AA539" t="str">
        <f>IF(EmployeeData[[#This Row],[MonthlyIncome]]&lt;30000,"Low",IF(EmployeeData[[#This Row],[MonthlyIncome]]&lt;=60000,"Medium",IF(EmployeeData[[#This Row],[MonthlyIncome]]&lt;=100000,"High","Very High")))</f>
        <v>Very High</v>
      </c>
      <c r="AB539">
        <f>IF(EmployeeData[[#This Row],[Attrition]]="Yes",1,0)</f>
        <v>0</v>
      </c>
      <c r="AC539" t="str">
        <f ca="1">IF(EmployeeData[[#This Row],[Tenure Years]]&lt;1,"Less than 1 Year",IF(EmployeeData[[#This Row],[Tenure Years]]&lt;=3,"1-3 Years",IF(EmployeeData[[#This Row],[Tenure Years]]&lt;=5,"4-5 Years",IF(EmployeeData[[#This Row],[Tenure Years]]&lt;=10,"6-10 Years","More than 10 Years"))))</f>
        <v>1-3 Years</v>
      </c>
      <c r="AD539">
        <f>ROUND(AVERAGE(EmployeeData[[#This Row],[JobSatisfaction]],EmployeeData[[#This Row],[EnvironmentSatisfaction]],EmployeeData[[#This Row],[WorkLifeBalance]]),2)</f>
        <v>3.67</v>
      </c>
      <c r="AE539" t="str">
        <f>IF(EmployeeData[[#This Row],[Satisfaction Score]]&lt;2,"Low",IF(EmployeeData[[#This Row],[Satisfaction Score]]&lt;3,"Medium","High"))</f>
        <v>High</v>
      </c>
    </row>
    <row r="540" spans="1:31" x14ac:dyDescent="0.25">
      <c r="A540" t="s">
        <v>2589</v>
      </c>
      <c r="B540" t="s">
        <v>2590</v>
      </c>
      <c r="C540" t="s">
        <v>49</v>
      </c>
      <c r="D540">
        <v>23</v>
      </c>
      <c r="E540" t="s">
        <v>94</v>
      </c>
      <c r="F540" t="s">
        <v>639</v>
      </c>
      <c r="G540" s="1">
        <v>45239</v>
      </c>
      <c r="H540">
        <v>83027</v>
      </c>
      <c r="I540" t="s">
        <v>42</v>
      </c>
      <c r="J540" t="s">
        <v>31</v>
      </c>
      <c r="K540" t="s">
        <v>54</v>
      </c>
      <c r="L540" t="s">
        <v>33</v>
      </c>
      <c r="M540">
        <v>36</v>
      </c>
      <c r="N540" t="s">
        <v>34</v>
      </c>
      <c r="O540">
        <v>2</v>
      </c>
      <c r="P540">
        <v>4</v>
      </c>
      <c r="Q540">
        <v>1</v>
      </c>
      <c r="R540">
        <v>4</v>
      </c>
      <c r="S540">
        <v>3</v>
      </c>
      <c r="T540">
        <v>2</v>
      </c>
      <c r="U540">
        <v>12</v>
      </c>
      <c r="V540" t="s">
        <v>2592</v>
      </c>
      <c r="W540" t="s">
        <v>34</v>
      </c>
      <c r="Y540" s="2" t="str">
        <f>IF(EmployeeData[[#This Row],[Age]]&lt;25,"Under 25",IF(EmployeeData[[#This Row],[Age]]&lt;=34,"25-34",IF(EmployeeData[[#This Row],[Age]]&lt;=44,"35-44",IF(EmployeeData[[#This Row],[Age]]&lt;=54,"45-54","55+"))))</f>
        <v>Under 25</v>
      </c>
      <c r="Z540">
        <f ca="1">DATEDIF(EmployeeData[[#This Row],[DateOfJoining]],IF(AND(EmployeeData[[#This Row],[Attrition]]="Yes",EmployeeData[[#This Row],[LastWorkingDate]]&lt;&gt;""),EmployeeData[[#This Row],[LastWorkingDate]],TODAY()),"Y")</f>
        <v>2</v>
      </c>
      <c r="AA540" t="str">
        <f>IF(EmployeeData[[#This Row],[MonthlyIncome]]&lt;30000,"Low",IF(EmployeeData[[#This Row],[MonthlyIncome]]&lt;=60000,"Medium",IF(EmployeeData[[#This Row],[MonthlyIncome]]&lt;=100000,"High","Very High")))</f>
        <v>High</v>
      </c>
      <c r="AB540">
        <f>IF(EmployeeData[[#This Row],[Attrition]]="Yes",1,0)</f>
        <v>0</v>
      </c>
      <c r="AC540" t="str">
        <f ca="1">IF(EmployeeData[[#This Row],[Tenure Years]]&lt;1,"Less than 1 Year",IF(EmployeeData[[#This Row],[Tenure Years]]&lt;=3,"1-3 Years",IF(EmployeeData[[#This Row],[Tenure Years]]&lt;=5,"4-5 Years",IF(EmployeeData[[#This Row],[Tenure Years]]&lt;=10,"6-10 Years","More than 10 Years"))))</f>
        <v>1-3 Years</v>
      </c>
      <c r="AD540">
        <f>ROUND(AVERAGE(EmployeeData[[#This Row],[JobSatisfaction]],EmployeeData[[#This Row],[EnvironmentSatisfaction]],EmployeeData[[#This Row],[WorkLifeBalance]]),2)</f>
        <v>2.33</v>
      </c>
      <c r="AE540" t="str">
        <f>IF(EmployeeData[[#This Row],[Satisfaction Score]]&lt;2,"Low",IF(EmployeeData[[#This Row],[Satisfaction Score]]&lt;3,"Medium","High"))</f>
        <v>Medium</v>
      </c>
    </row>
    <row r="541" spans="1:31" x14ac:dyDescent="0.25">
      <c r="A541" t="s">
        <v>2593</v>
      </c>
      <c r="B541" t="s">
        <v>2594</v>
      </c>
      <c r="C541" t="s">
        <v>58</v>
      </c>
      <c r="D541">
        <v>19</v>
      </c>
      <c r="E541" t="s">
        <v>197</v>
      </c>
      <c r="F541" t="s">
        <v>323</v>
      </c>
      <c r="G541" s="1">
        <v>43401</v>
      </c>
      <c r="H541">
        <v>102550</v>
      </c>
      <c r="I541" t="s">
        <v>30</v>
      </c>
      <c r="J541" t="s">
        <v>61</v>
      </c>
      <c r="K541" t="s">
        <v>167</v>
      </c>
      <c r="L541" t="s">
        <v>62</v>
      </c>
      <c r="M541">
        <v>14</v>
      </c>
      <c r="N541" t="s">
        <v>34</v>
      </c>
      <c r="O541">
        <v>1</v>
      </c>
      <c r="P541">
        <v>3</v>
      </c>
      <c r="Q541">
        <v>4</v>
      </c>
      <c r="R541">
        <v>2</v>
      </c>
      <c r="S541">
        <v>3</v>
      </c>
      <c r="T541">
        <v>3</v>
      </c>
      <c r="U541">
        <v>19</v>
      </c>
      <c r="V541" t="s">
        <v>2596</v>
      </c>
      <c r="W541" t="s">
        <v>34</v>
      </c>
      <c r="Y541" s="2" t="str">
        <f>IF(EmployeeData[[#This Row],[Age]]&lt;25,"Under 25",IF(EmployeeData[[#This Row],[Age]]&lt;=34,"25-34",IF(EmployeeData[[#This Row],[Age]]&lt;=44,"35-44",IF(EmployeeData[[#This Row],[Age]]&lt;=54,"45-54","55+"))))</f>
        <v>Under 25</v>
      </c>
      <c r="Z541">
        <f ca="1">DATEDIF(EmployeeData[[#This Row],[DateOfJoining]],IF(AND(EmployeeData[[#This Row],[Attrition]]="Yes",EmployeeData[[#This Row],[LastWorkingDate]]&lt;&gt;""),EmployeeData[[#This Row],[LastWorkingDate]],TODAY()),"Y")</f>
        <v>7</v>
      </c>
      <c r="AA541" t="str">
        <f>IF(EmployeeData[[#This Row],[MonthlyIncome]]&lt;30000,"Low",IF(EmployeeData[[#This Row],[MonthlyIncome]]&lt;=60000,"Medium",IF(EmployeeData[[#This Row],[MonthlyIncome]]&lt;=100000,"High","Very High")))</f>
        <v>Very High</v>
      </c>
      <c r="AB541">
        <f>IF(EmployeeData[[#This Row],[Attrition]]="Yes",1,0)</f>
        <v>0</v>
      </c>
      <c r="AC541" t="str">
        <f ca="1">IF(EmployeeData[[#This Row],[Tenure Years]]&lt;1,"Less than 1 Year",IF(EmployeeData[[#This Row],[Tenure Years]]&lt;=3,"1-3 Years",IF(EmployeeData[[#This Row],[Tenure Years]]&lt;=5,"4-5 Years",IF(EmployeeData[[#This Row],[Tenure Years]]&lt;=10,"6-10 Years","More than 10 Years"))))</f>
        <v>6-10 Years</v>
      </c>
      <c r="AD541">
        <f>ROUND(AVERAGE(EmployeeData[[#This Row],[JobSatisfaction]],EmployeeData[[#This Row],[EnvironmentSatisfaction]],EmployeeData[[#This Row],[WorkLifeBalance]]),2)</f>
        <v>2.67</v>
      </c>
      <c r="AE541" t="str">
        <f>IF(EmployeeData[[#This Row],[Satisfaction Score]]&lt;2,"Low",IF(EmployeeData[[#This Row],[Satisfaction Score]]&lt;3,"Medium","High"))</f>
        <v>Medium</v>
      </c>
    </row>
    <row r="542" spans="1:31" x14ac:dyDescent="0.25">
      <c r="A542" t="s">
        <v>2597</v>
      </c>
      <c r="B542" t="s">
        <v>2598</v>
      </c>
      <c r="C542" t="s">
        <v>49</v>
      </c>
      <c r="D542">
        <v>39</v>
      </c>
      <c r="E542" t="s">
        <v>27</v>
      </c>
      <c r="F542" t="s">
        <v>59</v>
      </c>
      <c r="G542" s="1">
        <v>45065</v>
      </c>
      <c r="H542">
        <v>62523</v>
      </c>
      <c r="I542" t="s">
        <v>42</v>
      </c>
      <c r="J542" t="s">
        <v>61</v>
      </c>
      <c r="K542" t="s">
        <v>106</v>
      </c>
      <c r="L542" t="s">
        <v>33</v>
      </c>
      <c r="M542">
        <v>34</v>
      </c>
      <c r="N542" t="s">
        <v>34</v>
      </c>
      <c r="O542">
        <v>2</v>
      </c>
      <c r="P542">
        <v>3</v>
      </c>
      <c r="Q542">
        <v>3</v>
      </c>
      <c r="R542">
        <v>2</v>
      </c>
      <c r="S542">
        <v>1</v>
      </c>
      <c r="T542">
        <v>6</v>
      </c>
      <c r="U542">
        <v>24</v>
      </c>
      <c r="V542" t="s">
        <v>2600</v>
      </c>
      <c r="W542" t="s">
        <v>34</v>
      </c>
      <c r="Y542" s="2" t="str">
        <f>IF(EmployeeData[[#This Row],[Age]]&lt;25,"Under 25",IF(EmployeeData[[#This Row],[Age]]&lt;=34,"25-34",IF(EmployeeData[[#This Row],[Age]]&lt;=44,"35-44",IF(EmployeeData[[#This Row],[Age]]&lt;=54,"45-54","55+"))))</f>
        <v>35-44</v>
      </c>
      <c r="Z542">
        <f ca="1">DATEDIF(EmployeeData[[#This Row],[DateOfJoining]],IF(AND(EmployeeData[[#This Row],[Attrition]]="Yes",EmployeeData[[#This Row],[LastWorkingDate]]&lt;&gt;""),EmployeeData[[#This Row],[LastWorkingDate]],TODAY()),"Y")</f>
        <v>3</v>
      </c>
      <c r="AA542" t="str">
        <f>IF(EmployeeData[[#This Row],[MonthlyIncome]]&lt;30000,"Low",IF(EmployeeData[[#This Row],[MonthlyIncome]]&lt;=60000,"Medium",IF(EmployeeData[[#This Row],[MonthlyIncome]]&lt;=100000,"High","Very High")))</f>
        <v>High</v>
      </c>
      <c r="AB542">
        <f>IF(EmployeeData[[#This Row],[Attrition]]="Yes",1,0)</f>
        <v>0</v>
      </c>
      <c r="AC542" t="str">
        <f ca="1">IF(EmployeeData[[#This Row],[Tenure Years]]&lt;1,"Less than 1 Year",IF(EmployeeData[[#This Row],[Tenure Years]]&lt;=3,"1-3 Years",IF(EmployeeData[[#This Row],[Tenure Years]]&lt;=5,"4-5 Years",IF(EmployeeData[[#This Row],[Tenure Years]]&lt;=10,"6-10 Years","More than 10 Years"))))</f>
        <v>1-3 Years</v>
      </c>
      <c r="AD542">
        <f>ROUND(AVERAGE(EmployeeData[[#This Row],[JobSatisfaction]],EmployeeData[[#This Row],[EnvironmentSatisfaction]],EmployeeData[[#This Row],[WorkLifeBalance]]),2)</f>
        <v>2.67</v>
      </c>
      <c r="AE542" t="str">
        <f>IF(EmployeeData[[#This Row],[Satisfaction Score]]&lt;2,"Low",IF(EmployeeData[[#This Row],[Satisfaction Score]]&lt;3,"Medium","High"))</f>
        <v>Medium</v>
      </c>
    </row>
    <row r="543" spans="1:31" x14ac:dyDescent="0.25">
      <c r="A543" t="s">
        <v>2601</v>
      </c>
      <c r="B543" t="s">
        <v>2602</v>
      </c>
      <c r="C543" t="s">
        <v>49</v>
      </c>
      <c r="D543">
        <v>39</v>
      </c>
      <c r="E543" t="s">
        <v>5461</v>
      </c>
      <c r="F543" t="s">
        <v>261</v>
      </c>
      <c r="G543" s="1">
        <v>41452</v>
      </c>
      <c r="H543">
        <v>75569</v>
      </c>
      <c r="I543" t="s">
        <v>42</v>
      </c>
      <c r="J543" t="s">
        <v>61</v>
      </c>
      <c r="K543" t="s">
        <v>98</v>
      </c>
      <c r="L543" t="s">
        <v>62</v>
      </c>
      <c r="M543">
        <v>29</v>
      </c>
      <c r="N543" t="s">
        <v>45</v>
      </c>
      <c r="O543">
        <v>2</v>
      </c>
      <c r="P543">
        <v>4</v>
      </c>
      <c r="Q543">
        <v>3</v>
      </c>
      <c r="R543">
        <v>3</v>
      </c>
      <c r="S543">
        <v>1</v>
      </c>
      <c r="T543">
        <v>0</v>
      </c>
      <c r="U543">
        <v>14</v>
      </c>
      <c r="V543" t="s">
        <v>2605</v>
      </c>
      <c r="W543" t="s">
        <v>45</v>
      </c>
      <c r="X543" s="1">
        <v>43130</v>
      </c>
      <c r="Y543" s="2" t="str">
        <f>IF(EmployeeData[[#This Row],[Age]]&lt;25,"Under 25",IF(EmployeeData[[#This Row],[Age]]&lt;=34,"25-34",IF(EmployeeData[[#This Row],[Age]]&lt;=44,"35-44",IF(EmployeeData[[#This Row],[Age]]&lt;=54,"45-54","55+"))))</f>
        <v>35-44</v>
      </c>
      <c r="Z543">
        <f ca="1">DATEDIF(EmployeeData[[#This Row],[DateOfJoining]],IF(AND(EmployeeData[[#This Row],[Attrition]]="Yes",EmployeeData[[#This Row],[LastWorkingDate]]&lt;&gt;""),EmployeeData[[#This Row],[LastWorkingDate]],TODAY()),"Y")</f>
        <v>4</v>
      </c>
      <c r="AA543" t="str">
        <f>IF(EmployeeData[[#This Row],[MonthlyIncome]]&lt;30000,"Low",IF(EmployeeData[[#This Row],[MonthlyIncome]]&lt;=60000,"Medium",IF(EmployeeData[[#This Row],[MonthlyIncome]]&lt;=100000,"High","Very High")))</f>
        <v>High</v>
      </c>
      <c r="AB543">
        <f>IF(EmployeeData[[#This Row],[Attrition]]="Yes",1,0)</f>
        <v>1</v>
      </c>
      <c r="AC543" t="str">
        <f ca="1">IF(EmployeeData[[#This Row],[Tenure Years]]&lt;1,"Less than 1 Year",IF(EmployeeData[[#This Row],[Tenure Years]]&lt;=3,"1-3 Years",IF(EmployeeData[[#This Row],[Tenure Years]]&lt;=5,"4-5 Years",IF(EmployeeData[[#This Row],[Tenure Years]]&lt;=10,"6-10 Years","More than 10 Years"))))</f>
        <v>4-5 Years</v>
      </c>
      <c r="AD543">
        <f>ROUND(AVERAGE(EmployeeData[[#This Row],[JobSatisfaction]],EmployeeData[[#This Row],[EnvironmentSatisfaction]],EmployeeData[[#This Row],[WorkLifeBalance]]),2)</f>
        <v>3</v>
      </c>
      <c r="AE543" t="str">
        <f>IF(EmployeeData[[#This Row],[Satisfaction Score]]&lt;2,"Low",IF(EmployeeData[[#This Row],[Satisfaction Score]]&lt;3,"Medium","High"))</f>
        <v>High</v>
      </c>
    </row>
    <row r="544" spans="1:31" x14ac:dyDescent="0.25">
      <c r="A544" t="s">
        <v>2607</v>
      </c>
      <c r="B544" t="s">
        <v>2608</v>
      </c>
      <c r="C544" t="s">
        <v>58</v>
      </c>
      <c r="D544">
        <v>38</v>
      </c>
      <c r="E544" t="s">
        <v>94</v>
      </c>
      <c r="F544" t="s">
        <v>639</v>
      </c>
      <c r="G544" s="1">
        <v>44092</v>
      </c>
      <c r="H544">
        <v>122369</v>
      </c>
      <c r="I544" t="s">
        <v>52</v>
      </c>
      <c r="J544" t="s">
        <v>61</v>
      </c>
      <c r="K544" t="s">
        <v>98</v>
      </c>
      <c r="L544" t="s">
        <v>43</v>
      </c>
      <c r="M544">
        <v>43</v>
      </c>
      <c r="N544" t="s">
        <v>45</v>
      </c>
      <c r="O544">
        <v>3</v>
      </c>
      <c r="P544">
        <v>3</v>
      </c>
      <c r="Q544">
        <v>2</v>
      </c>
      <c r="R544">
        <v>2</v>
      </c>
      <c r="S544">
        <v>5</v>
      </c>
      <c r="T544">
        <v>3</v>
      </c>
      <c r="U544">
        <v>18</v>
      </c>
      <c r="V544" t="s">
        <v>2610</v>
      </c>
      <c r="W544" t="s">
        <v>45</v>
      </c>
      <c r="X544" s="1">
        <v>44961</v>
      </c>
      <c r="Y544" s="2" t="str">
        <f>IF(EmployeeData[[#This Row],[Age]]&lt;25,"Under 25",IF(EmployeeData[[#This Row],[Age]]&lt;=34,"25-34",IF(EmployeeData[[#This Row],[Age]]&lt;=44,"35-44",IF(EmployeeData[[#This Row],[Age]]&lt;=54,"45-54","55+"))))</f>
        <v>35-44</v>
      </c>
      <c r="Z544">
        <f ca="1">DATEDIF(EmployeeData[[#This Row],[DateOfJoining]],IF(AND(EmployeeData[[#This Row],[Attrition]]="Yes",EmployeeData[[#This Row],[LastWorkingDate]]&lt;&gt;""),EmployeeData[[#This Row],[LastWorkingDate]],TODAY()),"Y")</f>
        <v>2</v>
      </c>
      <c r="AA544" t="str">
        <f>IF(EmployeeData[[#This Row],[MonthlyIncome]]&lt;30000,"Low",IF(EmployeeData[[#This Row],[MonthlyIncome]]&lt;=60000,"Medium",IF(EmployeeData[[#This Row],[MonthlyIncome]]&lt;=100000,"High","Very High")))</f>
        <v>Very High</v>
      </c>
      <c r="AB544">
        <f>IF(EmployeeData[[#This Row],[Attrition]]="Yes",1,0)</f>
        <v>1</v>
      </c>
      <c r="AC544" t="str">
        <f ca="1">IF(EmployeeData[[#This Row],[Tenure Years]]&lt;1,"Less than 1 Year",IF(EmployeeData[[#This Row],[Tenure Years]]&lt;=3,"1-3 Years",IF(EmployeeData[[#This Row],[Tenure Years]]&lt;=5,"4-5 Years",IF(EmployeeData[[#This Row],[Tenure Years]]&lt;=10,"6-10 Years","More than 10 Years"))))</f>
        <v>1-3 Years</v>
      </c>
      <c r="AD544">
        <f>ROUND(AVERAGE(EmployeeData[[#This Row],[JobSatisfaction]],EmployeeData[[#This Row],[EnvironmentSatisfaction]],EmployeeData[[#This Row],[WorkLifeBalance]]),2)</f>
        <v>2.67</v>
      </c>
      <c r="AE544" t="str">
        <f>IF(EmployeeData[[#This Row],[Satisfaction Score]]&lt;2,"Low",IF(EmployeeData[[#This Row],[Satisfaction Score]]&lt;3,"Medium","High"))</f>
        <v>Medium</v>
      </c>
    </row>
    <row r="545" spans="1:31" x14ac:dyDescent="0.25">
      <c r="A545" t="s">
        <v>2612</v>
      </c>
      <c r="B545" t="s">
        <v>2613</v>
      </c>
      <c r="C545" t="s">
        <v>58</v>
      </c>
      <c r="D545">
        <v>35</v>
      </c>
      <c r="E545" t="s">
        <v>27</v>
      </c>
      <c r="F545" t="s">
        <v>188</v>
      </c>
      <c r="G545" s="1">
        <v>43457</v>
      </c>
      <c r="H545">
        <v>50738</v>
      </c>
      <c r="I545" t="s">
        <v>42</v>
      </c>
      <c r="J545" t="s">
        <v>5459</v>
      </c>
      <c r="K545" t="s">
        <v>77</v>
      </c>
      <c r="L545" t="s">
        <v>43</v>
      </c>
      <c r="M545">
        <v>38</v>
      </c>
      <c r="N545" t="s">
        <v>34</v>
      </c>
      <c r="O545">
        <v>4</v>
      </c>
      <c r="P545">
        <v>3</v>
      </c>
      <c r="Q545">
        <v>1</v>
      </c>
      <c r="R545">
        <v>4</v>
      </c>
      <c r="S545">
        <v>6</v>
      </c>
      <c r="T545">
        <v>2</v>
      </c>
      <c r="U545">
        <v>24</v>
      </c>
      <c r="V545" t="s">
        <v>2616</v>
      </c>
      <c r="W545" t="s">
        <v>34</v>
      </c>
      <c r="Y545" s="2" t="str">
        <f>IF(EmployeeData[[#This Row],[Age]]&lt;25,"Under 25",IF(EmployeeData[[#This Row],[Age]]&lt;=34,"25-34",IF(EmployeeData[[#This Row],[Age]]&lt;=44,"35-44",IF(EmployeeData[[#This Row],[Age]]&lt;=54,"45-54","55+"))))</f>
        <v>35-44</v>
      </c>
      <c r="Z545">
        <f ca="1">DATEDIF(EmployeeData[[#This Row],[DateOfJoining]],IF(AND(EmployeeData[[#This Row],[Attrition]]="Yes",EmployeeData[[#This Row],[LastWorkingDate]]&lt;&gt;""),EmployeeData[[#This Row],[LastWorkingDate]],TODAY()),"Y")</f>
        <v>7</v>
      </c>
      <c r="AA545" t="str">
        <f>IF(EmployeeData[[#This Row],[MonthlyIncome]]&lt;30000,"Low",IF(EmployeeData[[#This Row],[MonthlyIncome]]&lt;=60000,"Medium",IF(EmployeeData[[#This Row],[MonthlyIncome]]&lt;=100000,"High","Very High")))</f>
        <v>Medium</v>
      </c>
      <c r="AB545">
        <f>IF(EmployeeData[[#This Row],[Attrition]]="Yes",1,0)</f>
        <v>0</v>
      </c>
      <c r="AC545" t="str">
        <f ca="1">IF(EmployeeData[[#This Row],[Tenure Years]]&lt;1,"Less than 1 Year",IF(EmployeeData[[#This Row],[Tenure Years]]&lt;=3,"1-3 Years",IF(EmployeeData[[#This Row],[Tenure Years]]&lt;=5,"4-5 Years",IF(EmployeeData[[#This Row],[Tenure Years]]&lt;=10,"6-10 Years","More than 10 Years"))))</f>
        <v>6-10 Years</v>
      </c>
      <c r="AD545">
        <f>ROUND(AVERAGE(EmployeeData[[#This Row],[JobSatisfaction]],EmployeeData[[#This Row],[EnvironmentSatisfaction]],EmployeeData[[#This Row],[WorkLifeBalance]]),2)</f>
        <v>2.67</v>
      </c>
      <c r="AE545" t="str">
        <f>IF(EmployeeData[[#This Row],[Satisfaction Score]]&lt;2,"Low",IF(EmployeeData[[#This Row],[Satisfaction Score]]&lt;3,"Medium","High"))</f>
        <v>Medium</v>
      </c>
    </row>
    <row r="546" spans="1:31" x14ac:dyDescent="0.25">
      <c r="A546" t="s">
        <v>2617</v>
      </c>
      <c r="B546" t="s">
        <v>2618</v>
      </c>
      <c r="C546" t="s">
        <v>49</v>
      </c>
      <c r="D546">
        <v>25</v>
      </c>
      <c r="E546" t="s">
        <v>128</v>
      </c>
      <c r="F546" t="s">
        <v>255</v>
      </c>
      <c r="G546" s="1">
        <v>44706</v>
      </c>
      <c r="H546">
        <v>81552</v>
      </c>
      <c r="I546" t="s">
        <v>30</v>
      </c>
      <c r="J546" t="s">
        <v>61</v>
      </c>
      <c r="K546" t="s">
        <v>54</v>
      </c>
      <c r="L546" t="s">
        <v>43</v>
      </c>
      <c r="M546">
        <v>33</v>
      </c>
      <c r="N546" t="s">
        <v>34</v>
      </c>
      <c r="O546">
        <v>3</v>
      </c>
      <c r="P546">
        <v>4</v>
      </c>
      <c r="Q546">
        <v>3</v>
      </c>
      <c r="R546">
        <v>3</v>
      </c>
      <c r="S546">
        <v>1</v>
      </c>
      <c r="T546">
        <v>7</v>
      </c>
      <c r="U546">
        <v>21</v>
      </c>
      <c r="V546" t="s">
        <v>2621</v>
      </c>
      <c r="W546" t="s">
        <v>34</v>
      </c>
      <c r="Y546" s="2" t="str">
        <f>IF(EmployeeData[[#This Row],[Age]]&lt;25,"Under 25",IF(EmployeeData[[#This Row],[Age]]&lt;=34,"25-34",IF(EmployeeData[[#This Row],[Age]]&lt;=44,"35-44",IF(EmployeeData[[#This Row],[Age]]&lt;=54,"45-54","55+"))))</f>
        <v>25-34</v>
      </c>
      <c r="Z546">
        <f ca="1">DATEDIF(EmployeeData[[#This Row],[DateOfJoining]],IF(AND(EmployeeData[[#This Row],[Attrition]]="Yes",EmployeeData[[#This Row],[LastWorkingDate]]&lt;&gt;""),EmployeeData[[#This Row],[LastWorkingDate]],TODAY()),"Y")</f>
        <v>4</v>
      </c>
      <c r="AA546" t="str">
        <f>IF(EmployeeData[[#This Row],[MonthlyIncome]]&lt;30000,"Low",IF(EmployeeData[[#This Row],[MonthlyIncome]]&lt;=60000,"Medium",IF(EmployeeData[[#This Row],[MonthlyIncome]]&lt;=100000,"High","Very High")))</f>
        <v>High</v>
      </c>
      <c r="AB546">
        <f>IF(EmployeeData[[#This Row],[Attrition]]="Yes",1,0)</f>
        <v>0</v>
      </c>
      <c r="AC546" t="str">
        <f ca="1">IF(EmployeeData[[#This Row],[Tenure Years]]&lt;1,"Less than 1 Year",IF(EmployeeData[[#This Row],[Tenure Years]]&lt;=3,"1-3 Years",IF(EmployeeData[[#This Row],[Tenure Years]]&lt;=5,"4-5 Years",IF(EmployeeData[[#This Row],[Tenure Years]]&lt;=10,"6-10 Years","More than 10 Years"))))</f>
        <v>4-5 Years</v>
      </c>
      <c r="AD546">
        <f>ROUND(AVERAGE(EmployeeData[[#This Row],[JobSatisfaction]],EmployeeData[[#This Row],[EnvironmentSatisfaction]],EmployeeData[[#This Row],[WorkLifeBalance]]),2)</f>
        <v>3.33</v>
      </c>
      <c r="AE546" t="str">
        <f>IF(EmployeeData[[#This Row],[Satisfaction Score]]&lt;2,"Low",IF(EmployeeData[[#This Row],[Satisfaction Score]]&lt;3,"Medium","High"))</f>
        <v>High</v>
      </c>
    </row>
    <row r="547" spans="1:31" x14ac:dyDescent="0.25">
      <c r="A547" t="s">
        <v>2622</v>
      </c>
      <c r="B547" t="s">
        <v>2623</v>
      </c>
      <c r="C547" t="s">
        <v>49</v>
      </c>
      <c r="D547">
        <v>44</v>
      </c>
      <c r="E547" t="s">
        <v>128</v>
      </c>
      <c r="F547" t="s">
        <v>226</v>
      </c>
      <c r="G547" s="1">
        <v>43342</v>
      </c>
      <c r="H547">
        <v>68035</v>
      </c>
      <c r="I547" t="s">
        <v>30</v>
      </c>
      <c r="J547" t="s">
        <v>143</v>
      </c>
      <c r="K547" t="s">
        <v>54</v>
      </c>
      <c r="L547" t="s">
        <v>43</v>
      </c>
      <c r="M547">
        <v>37</v>
      </c>
      <c r="N547" t="s">
        <v>34</v>
      </c>
      <c r="O547">
        <v>4</v>
      </c>
      <c r="P547">
        <v>1</v>
      </c>
      <c r="Q547">
        <v>1</v>
      </c>
      <c r="R547">
        <v>5</v>
      </c>
      <c r="S547">
        <v>5</v>
      </c>
      <c r="T547">
        <v>5</v>
      </c>
      <c r="U547">
        <v>18</v>
      </c>
      <c r="V547" t="s">
        <v>2625</v>
      </c>
      <c r="W547" t="s">
        <v>34</v>
      </c>
      <c r="Y547" s="2" t="str">
        <f>IF(EmployeeData[[#This Row],[Age]]&lt;25,"Under 25",IF(EmployeeData[[#This Row],[Age]]&lt;=34,"25-34",IF(EmployeeData[[#This Row],[Age]]&lt;=44,"35-44",IF(EmployeeData[[#This Row],[Age]]&lt;=54,"45-54","55+"))))</f>
        <v>35-44</v>
      </c>
      <c r="Z547">
        <f ca="1">DATEDIF(EmployeeData[[#This Row],[DateOfJoining]],IF(AND(EmployeeData[[#This Row],[Attrition]]="Yes",EmployeeData[[#This Row],[LastWorkingDate]]&lt;&gt;""),EmployeeData[[#This Row],[LastWorkingDate]],TODAY()),"Y")</f>
        <v>8</v>
      </c>
      <c r="AA547" t="str">
        <f>IF(EmployeeData[[#This Row],[MonthlyIncome]]&lt;30000,"Low",IF(EmployeeData[[#This Row],[MonthlyIncome]]&lt;=60000,"Medium",IF(EmployeeData[[#This Row],[MonthlyIncome]]&lt;=100000,"High","Very High")))</f>
        <v>High</v>
      </c>
      <c r="AB547">
        <f>IF(EmployeeData[[#This Row],[Attrition]]="Yes",1,0)</f>
        <v>0</v>
      </c>
      <c r="AC547" t="str">
        <f ca="1">IF(EmployeeData[[#This Row],[Tenure Years]]&lt;1,"Less than 1 Year",IF(EmployeeData[[#This Row],[Tenure Years]]&lt;=3,"1-3 Years",IF(EmployeeData[[#This Row],[Tenure Years]]&lt;=5,"4-5 Years",IF(EmployeeData[[#This Row],[Tenure Years]]&lt;=10,"6-10 Years","More than 10 Years"))))</f>
        <v>6-10 Years</v>
      </c>
      <c r="AD547">
        <f>ROUND(AVERAGE(EmployeeData[[#This Row],[JobSatisfaction]],EmployeeData[[#This Row],[EnvironmentSatisfaction]],EmployeeData[[#This Row],[WorkLifeBalance]]),2)</f>
        <v>2</v>
      </c>
      <c r="AE547" t="str">
        <f>IF(EmployeeData[[#This Row],[Satisfaction Score]]&lt;2,"Low",IF(EmployeeData[[#This Row],[Satisfaction Score]]&lt;3,"Medium","High"))</f>
        <v>Medium</v>
      </c>
    </row>
    <row r="548" spans="1:31" x14ac:dyDescent="0.25">
      <c r="A548" t="s">
        <v>2626</v>
      </c>
      <c r="B548" t="s">
        <v>2627</v>
      </c>
      <c r="C548" t="s">
        <v>49</v>
      </c>
      <c r="D548">
        <v>34</v>
      </c>
      <c r="E548" t="s">
        <v>197</v>
      </c>
      <c r="F548" t="s">
        <v>573</v>
      </c>
      <c r="G548" s="1">
        <v>42681</v>
      </c>
      <c r="H548">
        <v>77630</v>
      </c>
      <c r="I548" t="s">
        <v>52</v>
      </c>
      <c r="J548" t="s">
        <v>31</v>
      </c>
      <c r="K548" t="s">
        <v>131</v>
      </c>
      <c r="L548" t="s">
        <v>33</v>
      </c>
      <c r="M548">
        <v>27</v>
      </c>
      <c r="N548" t="s">
        <v>34</v>
      </c>
      <c r="O548">
        <v>1</v>
      </c>
      <c r="P548">
        <v>3</v>
      </c>
      <c r="Q548">
        <v>3</v>
      </c>
      <c r="R548">
        <v>3</v>
      </c>
      <c r="S548">
        <v>0</v>
      </c>
      <c r="T548">
        <v>4</v>
      </c>
      <c r="U548">
        <v>16</v>
      </c>
      <c r="V548" t="s">
        <v>2629</v>
      </c>
      <c r="W548" t="s">
        <v>34</v>
      </c>
      <c r="Y548" s="2" t="str">
        <f>IF(EmployeeData[[#This Row],[Age]]&lt;25,"Under 25",IF(EmployeeData[[#This Row],[Age]]&lt;=34,"25-34",IF(EmployeeData[[#This Row],[Age]]&lt;=44,"35-44",IF(EmployeeData[[#This Row],[Age]]&lt;=54,"45-54","55+"))))</f>
        <v>25-34</v>
      </c>
      <c r="Z548">
        <f ca="1">DATEDIF(EmployeeData[[#This Row],[DateOfJoining]],IF(AND(EmployeeData[[#This Row],[Attrition]]="Yes",EmployeeData[[#This Row],[LastWorkingDate]]&lt;&gt;""),EmployeeData[[#This Row],[LastWorkingDate]],TODAY()),"Y")</f>
        <v>9</v>
      </c>
      <c r="AA548" t="str">
        <f>IF(EmployeeData[[#This Row],[MonthlyIncome]]&lt;30000,"Low",IF(EmployeeData[[#This Row],[MonthlyIncome]]&lt;=60000,"Medium",IF(EmployeeData[[#This Row],[MonthlyIncome]]&lt;=100000,"High","Very High")))</f>
        <v>High</v>
      </c>
      <c r="AB548">
        <f>IF(EmployeeData[[#This Row],[Attrition]]="Yes",1,0)</f>
        <v>0</v>
      </c>
      <c r="AC548" t="str">
        <f ca="1">IF(EmployeeData[[#This Row],[Tenure Years]]&lt;1,"Less than 1 Year",IF(EmployeeData[[#This Row],[Tenure Years]]&lt;=3,"1-3 Years",IF(EmployeeData[[#This Row],[Tenure Years]]&lt;=5,"4-5 Years",IF(EmployeeData[[#This Row],[Tenure Years]]&lt;=10,"6-10 Years","More than 10 Years"))))</f>
        <v>6-10 Years</v>
      </c>
      <c r="AD548">
        <f>ROUND(AVERAGE(EmployeeData[[#This Row],[JobSatisfaction]],EmployeeData[[#This Row],[EnvironmentSatisfaction]],EmployeeData[[#This Row],[WorkLifeBalance]]),2)</f>
        <v>2.33</v>
      </c>
      <c r="AE548" t="str">
        <f>IF(EmployeeData[[#This Row],[Satisfaction Score]]&lt;2,"Low",IF(EmployeeData[[#This Row],[Satisfaction Score]]&lt;3,"Medium","High"))</f>
        <v>Medium</v>
      </c>
    </row>
    <row r="549" spans="1:31" x14ac:dyDescent="0.25">
      <c r="A549" t="s">
        <v>2630</v>
      </c>
      <c r="B549" t="s">
        <v>2631</v>
      </c>
      <c r="C549" t="s">
        <v>58</v>
      </c>
      <c r="D549">
        <v>39</v>
      </c>
      <c r="E549" t="s">
        <v>27</v>
      </c>
      <c r="F549" t="s">
        <v>188</v>
      </c>
      <c r="G549" s="1">
        <v>44917</v>
      </c>
      <c r="H549">
        <v>83638</v>
      </c>
      <c r="I549" t="s">
        <v>30</v>
      </c>
      <c r="J549" t="s">
        <v>31</v>
      </c>
      <c r="K549" t="s">
        <v>83</v>
      </c>
      <c r="L549" t="s">
        <v>43</v>
      </c>
      <c r="M549">
        <v>4</v>
      </c>
      <c r="N549" t="s">
        <v>45</v>
      </c>
      <c r="O549">
        <v>1</v>
      </c>
      <c r="P549">
        <v>1</v>
      </c>
      <c r="Q549">
        <v>1</v>
      </c>
      <c r="R549">
        <v>3</v>
      </c>
      <c r="S549">
        <v>3</v>
      </c>
      <c r="T549">
        <v>6</v>
      </c>
      <c r="U549">
        <v>16</v>
      </c>
      <c r="V549" t="s">
        <v>2634</v>
      </c>
      <c r="W549" t="s">
        <v>45</v>
      </c>
      <c r="X549" s="1">
        <v>45847</v>
      </c>
      <c r="Y549" s="2" t="str">
        <f>IF(EmployeeData[[#This Row],[Age]]&lt;25,"Under 25",IF(EmployeeData[[#This Row],[Age]]&lt;=34,"25-34",IF(EmployeeData[[#This Row],[Age]]&lt;=44,"35-44",IF(EmployeeData[[#This Row],[Age]]&lt;=54,"45-54","55+"))))</f>
        <v>35-44</v>
      </c>
      <c r="Z549">
        <f ca="1">DATEDIF(EmployeeData[[#This Row],[DateOfJoining]],IF(AND(EmployeeData[[#This Row],[Attrition]]="Yes",EmployeeData[[#This Row],[LastWorkingDate]]&lt;&gt;""),EmployeeData[[#This Row],[LastWorkingDate]],TODAY()),"Y")</f>
        <v>2</v>
      </c>
      <c r="AA549" t="str">
        <f>IF(EmployeeData[[#This Row],[MonthlyIncome]]&lt;30000,"Low",IF(EmployeeData[[#This Row],[MonthlyIncome]]&lt;=60000,"Medium",IF(EmployeeData[[#This Row],[MonthlyIncome]]&lt;=100000,"High","Very High")))</f>
        <v>High</v>
      </c>
      <c r="AB549">
        <f>IF(EmployeeData[[#This Row],[Attrition]]="Yes",1,0)</f>
        <v>1</v>
      </c>
      <c r="AC549" t="str">
        <f ca="1">IF(EmployeeData[[#This Row],[Tenure Years]]&lt;1,"Less than 1 Year",IF(EmployeeData[[#This Row],[Tenure Years]]&lt;=3,"1-3 Years",IF(EmployeeData[[#This Row],[Tenure Years]]&lt;=5,"4-5 Years",IF(EmployeeData[[#This Row],[Tenure Years]]&lt;=10,"6-10 Years","More than 10 Years"))))</f>
        <v>1-3 Years</v>
      </c>
      <c r="AD549">
        <f>ROUND(AVERAGE(EmployeeData[[#This Row],[JobSatisfaction]],EmployeeData[[#This Row],[EnvironmentSatisfaction]],EmployeeData[[#This Row],[WorkLifeBalance]]),2)</f>
        <v>1</v>
      </c>
      <c r="AE549" t="str">
        <f>IF(EmployeeData[[#This Row],[Satisfaction Score]]&lt;2,"Low",IF(EmployeeData[[#This Row],[Satisfaction Score]]&lt;3,"Medium","High"))</f>
        <v>Low</v>
      </c>
    </row>
    <row r="550" spans="1:31" x14ac:dyDescent="0.25">
      <c r="A550" t="s">
        <v>2636</v>
      </c>
      <c r="B550" t="s">
        <v>2637</v>
      </c>
      <c r="C550" t="s">
        <v>58</v>
      </c>
      <c r="D550">
        <v>40</v>
      </c>
      <c r="E550" t="s">
        <v>94</v>
      </c>
      <c r="F550" t="s">
        <v>639</v>
      </c>
      <c r="G550" s="1">
        <v>44766</v>
      </c>
      <c r="H550">
        <v>69957</v>
      </c>
      <c r="I550" t="s">
        <v>52</v>
      </c>
      <c r="J550" t="s">
        <v>143</v>
      </c>
      <c r="K550" t="s">
        <v>167</v>
      </c>
      <c r="L550" t="s">
        <v>43</v>
      </c>
      <c r="M550">
        <v>8</v>
      </c>
      <c r="N550" t="s">
        <v>34</v>
      </c>
      <c r="O550">
        <v>2</v>
      </c>
      <c r="P550">
        <v>3</v>
      </c>
      <c r="Q550">
        <v>2</v>
      </c>
      <c r="R550">
        <v>5</v>
      </c>
      <c r="S550">
        <v>2</v>
      </c>
      <c r="T550">
        <v>3</v>
      </c>
      <c r="U550">
        <v>11</v>
      </c>
      <c r="V550" t="s">
        <v>2639</v>
      </c>
      <c r="W550" t="s">
        <v>34</v>
      </c>
      <c r="Y550" s="2" t="str">
        <f>IF(EmployeeData[[#This Row],[Age]]&lt;25,"Under 25",IF(EmployeeData[[#This Row],[Age]]&lt;=34,"25-34",IF(EmployeeData[[#This Row],[Age]]&lt;=44,"35-44",IF(EmployeeData[[#This Row],[Age]]&lt;=54,"45-54","55+"))))</f>
        <v>35-44</v>
      </c>
      <c r="Z550">
        <f ca="1">DATEDIF(EmployeeData[[#This Row],[DateOfJoining]],IF(AND(EmployeeData[[#This Row],[Attrition]]="Yes",EmployeeData[[#This Row],[LastWorkingDate]]&lt;&gt;""),EmployeeData[[#This Row],[LastWorkingDate]],TODAY()),"Y")</f>
        <v>4</v>
      </c>
      <c r="AA550" t="str">
        <f>IF(EmployeeData[[#This Row],[MonthlyIncome]]&lt;30000,"Low",IF(EmployeeData[[#This Row],[MonthlyIncome]]&lt;=60000,"Medium",IF(EmployeeData[[#This Row],[MonthlyIncome]]&lt;=100000,"High","Very High")))</f>
        <v>High</v>
      </c>
      <c r="AB550">
        <f>IF(EmployeeData[[#This Row],[Attrition]]="Yes",1,0)</f>
        <v>0</v>
      </c>
      <c r="AC550" t="str">
        <f ca="1">IF(EmployeeData[[#This Row],[Tenure Years]]&lt;1,"Less than 1 Year",IF(EmployeeData[[#This Row],[Tenure Years]]&lt;=3,"1-3 Years",IF(EmployeeData[[#This Row],[Tenure Years]]&lt;=5,"4-5 Years",IF(EmployeeData[[#This Row],[Tenure Years]]&lt;=10,"6-10 Years","More than 10 Years"))))</f>
        <v>4-5 Years</v>
      </c>
      <c r="AD550">
        <f>ROUND(AVERAGE(EmployeeData[[#This Row],[JobSatisfaction]],EmployeeData[[#This Row],[EnvironmentSatisfaction]],EmployeeData[[#This Row],[WorkLifeBalance]]),2)</f>
        <v>2.33</v>
      </c>
      <c r="AE550" t="str">
        <f>IF(EmployeeData[[#This Row],[Satisfaction Score]]&lt;2,"Low",IF(EmployeeData[[#This Row],[Satisfaction Score]]&lt;3,"Medium","High"))</f>
        <v>Medium</v>
      </c>
    </row>
    <row r="551" spans="1:31" x14ac:dyDescent="0.25">
      <c r="A551" t="s">
        <v>2640</v>
      </c>
      <c r="B551" t="s">
        <v>2641</v>
      </c>
      <c r="C551" t="s">
        <v>58</v>
      </c>
      <c r="D551">
        <v>46</v>
      </c>
      <c r="E551" t="s">
        <v>197</v>
      </c>
      <c r="F551" t="s">
        <v>573</v>
      </c>
      <c r="G551" s="1">
        <v>44067</v>
      </c>
      <c r="H551">
        <v>94053</v>
      </c>
      <c r="I551" t="s">
        <v>42</v>
      </c>
      <c r="J551" t="s">
        <v>97</v>
      </c>
      <c r="K551" t="s">
        <v>98</v>
      </c>
      <c r="L551" t="s">
        <v>62</v>
      </c>
      <c r="M551">
        <v>37</v>
      </c>
      <c r="N551" t="s">
        <v>34</v>
      </c>
      <c r="O551">
        <v>3</v>
      </c>
      <c r="P551">
        <v>4</v>
      </c>
      <c r="Q551">
        <v>1</v>
      </c>
      <c r="R551">
        <v>2</v>
      </c>
      <c r="S551">
        <v>6</v>
      </c>
      <c r="T551">
        <v>2</v>
      </c>
      <c r="U551">
        <v>13</v>
      </c>
      <c r="V551" t="s">
        <v>2642</v>
      </c>
      <c r="W551" t="s">
        <v>34</v>
      </c>
      <c r="Y551" s="2" t="str">
        <f>IF(EmployeeData[[#This Row],[Age]]&lt;25,"Under 25",IF(EmployeeData[[#This Row],[Age]]&lt;=34,"25-34",IF(EmployeeData[[#This Row],[Age]]&lt;=44,"35-44",IF(EmployeeData[[#This Row],[Age]]&lt;=54,"45-54","55+"))))</f>
        <v>45-54</v>
      </c>
      <c r="Z551">
        <f ca="1">DATEDIF(EmployeeData[[#This Row],[DateOfJoining]],IF(AND(EmployeeData[[#This Row],[Attrition]]="Yes",EmployeeData[[#This Row],[LastWorkingDate]]&lt;&gt;""),EmployeeData[[#This Row],[LastWorkingDate]],TODAY()),"Y")</f>
        <v>6</v>
      </c>
      <c r="AA551" t="str">
        <f>IF(EmployeeData[[#This Row],[MonthlyIncome]]&lt;30000,"Low",IF(EmployeeData[[#This Row],[MonthlyIncome]]&lt;=60000,"Medium",IF(EmployeeData[[#This Row],[MonthlyIncome]]&lt;=100000,"High","Very High")))</f>
        <v>High</v>
      </c>
      <c r="AB551">
        <f>IF(EmployeeData[[#This Row],[Attrition]]="Yes",1,0)</f>
        <v>0</v>
      </c>
      <c r="AC551" t="str">
        <f ca="1">IF(EmployeeData[[#This Row],[Tenure Years]]&lt;1,"Less than 1 Year",IF(EmployeeData[[#This Row],[Tenure Years]]&lt;=3,"1-3 Years",IF(EmployeeData[[#This Row],[Tenure Years]]&lt;=5,"4-5 Years",IF(EmployeeData[[#This Row],[Tenure Years]]&lt;=10,"6-10 Years","More than 10 Years"))))</f>
        <v>6-10 Years</v>
      </c>
      <c r="AD551">
        <f>ROUND(AVERAGE(EmployeeData[[#This Row],[JobSatisfaction]],EmployeeData[[#This Row],[EnvironmentSatisfaction]],EmployeeData[[#This Row],[WorkLifeBalance]]),2)</f>
        <v>2.67</v>
      </c>
      <c r="AE551" t="str">
        <f>IF(EmployeeData[[#This Row],[Satisfaction Score]]&lt;2,"Low",IF(EmployeeData[[#This Row],[Satisfaction Score]]&lt;3,"Medium","High"))</f>
        <v>Medium</v>
      </c>
    </row>
    <row r="552" spans="1:31" x14ac:dyDescent="0.25">
      <c r="A552" t="s">
        <v>2643</v>
      </c>
      <c r="B552" t="s">
        <v>2644</v>
      </c>
      <c r="C552" t="s">
        <v>49</v>
      </c>
      <c r="D552">
        <v>43</v>
      </c>
      <c r="E552" t="s">
        <v>38</v>
      </c>
      <c r="F552" t="s">
        <v>5462</v>
      </c>
      <c r="G552" s="1">
        <v>45635</v>
      </c>
      <c r="H552">
        <v>70929</v>
      </c>
      <c r="I552" t="s">
        <v>52</v>
      </c>
      <c r="J552" t="s">
        <v>97</v>
      </c>
      <c r="K552" t="s">
        <v>113</v>
      </c>
      <c r="L552" t="s">
        <v>62</v>
      </c>
      <c r="M552">
        <v>35</v>
      </c>
      <c r="N552" t="s">
        <v>34</v>
      </c>
      <c r="O552">
        <v>3</v>
      </c>
      <c r="P552">
        <v>1</v>
      </c>
      <c r="Q552">
        <v>3</v>
      </c>
      <c r="R552">
        <v>3</v>
      </c>
      <c r="S552">
        <v>0</v>
      </c>
      <c r="T552">
        <v>6</v>
      </c>
      <c r="U552">
        <v>24</v>
      </c>
      <c r="V552" t="s">
        <v>2646</v>
      </c>
      <c r="W552" t="s">
        <v>34</v>
      </c>
      <c r="Y552" s="2" t="str">
        <f>IF(EmployeeData[[#This Row],[Age]]&lt;25,"Under 25",IF(EmployeeData[[#This Row],[Age]]&lt;=34,"25-34",IF(EmployeeData[[#This Row],[Age]]&lt;=44,"35-44",IF(EmployeeData[[#This Row],[Age]]&lt;=54,"45-54","55+"))))</f>
        <v>35-44</v>
      </c>
      <c r="Z552">
        <f ca="1">DATEDIF(EmployeeData[[#This Row],[DateOfJoining]],IF(AND(EmployeeData[[#This Row],[Attrition]]="Yes",EmployeeData[[#This Row],[LastWorkingDate]]&lt;&gt;""),EmployeeData[[#This Row],[LastWorkingDate]],TODAY()),"Y")</f>
        <v>1</v>
      </c>
      <c r="AA552" t="str">
        <f>IF(EmployeeData[[#This Row],[MonthlyIncome]]&lt;30000,"Low",IF(EmployeeData[[#This Row],[MonthlyIncome]]&lt;=60000,"Medium",IF(EmployeeData[[#This Row],[MonthlyIncome]]&lt;=100000,"High","Very High")))</f>
        <v>High</v>
      </c>
      <c r="AB552">
        <f>IF(EmployeeData[[#This Row],[Attrition]]="Yes",1,0)</f>
        <v>0</v>
      </c>
      <c r="AC552" t="str">
        <f ca="1">IF(EmployeeData[[#This Row],[Tenure Years]]&lt;1,"Less than 1 Year",IF(EmployeeData[[#This Row],[Tenure Years]]&lt;=3,"1-3 Years",IF(EmployeeData[[#This Row],[Tenure Years]]&lt;=5,"4-5 Years",IF(EmployeeData[[#This Row],[Tenure Years]]&lt;=10,"6-10 Years","More than 10 Years"))))</f>
        <v>1-3 Years</v>
      </c>
      <c r="AD552">
        <f>ROUND(AVERAGE(EmployeeData[[#This Row],[JobSatisfaction]],EmployeeData[[#This Row],[EnvironmentSatisfaction]],EmployeeData[[#This Row],[WorkLifeBalance]]),2)</f>
        <v>2.33</v>
      </c>
      <c r="AE552" t="str">
        <f>IF(EmployeeData[[#This Row],[Satisfaction Score]]&lt;2,"Low",IF(EmployeeData[[#This Row],[Satisfaction Score]]&lt;3,"Medium","High"))</f>
        <v>Medium</v>
      </c>
    </row>
    <row r="553" spans="1:31" x14ac:dyDescent="0.25">
      <c r="A553" t="s">
        <v>2647</v>
      </c>
      <c r="B553" t="s">
        <v>2648</v>
      </c>
      <c r="C553" t="s">
        <v>49</v>
      </c>
      <c r="D553">
        <v>48</v>
      </c>
      <c r="E553" t="s">
        <v>94</v>
      </c>
      <c r="F553" t="s">
        <v>356</v>
      </c>
      <c r="G553" s="1">
        <v>41773</v>
      </c>
      <c r="H553">
        <v>54758</v>
      </c>
      <c r="I553" t="s">
        <v>42</v>
      </c>
      <c r="J553" t="s">
        <v>61</v>
      </c>
      <c r="K553" t="s">
        <v>200</v>
      </c>
      <c r="L553" t="s">
        <v>43</v>
      </c>
      <c r="M553">
        <v>44</v>
      </c>
      <c r="N553" t="s">
        <v>34</v>
      </c>
      <c r="O553">
        <v>3</v>
      </c>
      <c r="P553">
        <v>2</v>
      </c>
      <c r="Q553">
        <v>1</v>
      </c>
      <c r="R553">
        <v>4</v>
      </c>
      <c r="S553">
        <v>3</v>
      </c>
      <c r="T553">
        <v>7</v>
      </c>
      <c r="U553">
        <v>25</v>
      </c>
      <c r="V553" t="s">
        <v>2650</v>
      </c>
      <c r="W553" t="s">
        <v>34</v>
      </c>
      <c r="Y553" s="2" t="str">
        <f>IF(EmployeeData[[#This Row],[Age]]&lt;25,"Under 25",IF(EmployeeData[[#This Row],[Age]]&lt;=34,"25-34",IF(EmployeeData[[#This Row],[Age]]&lt;=44,"35-44",IF(EmployeeData[[#This Row],[Age]]&lt;=54,"45-54","55+"))))</f>
        <v>45-54</v>
      </c>
      <c r="Z553">
        <f ca="1">DATEDIF(EmployeeData[[#This Row],[DateOfJoining]],IF(AND(EmployeeData[[#This Row],[Attrition]]="Yes",EmployeeData[[#This Row],[LastWorkingDate]]&lt;&gt;""),EmployeeData[[#This Row],[LastWorkingDate]],TODAY()),"Y")</f>
        <v>12</v>
      </c>
      <c r="AA553" t="str">
        <f>IF(EmployeeData[[#This Row],[MonthlyIncome]]&lt;30000,"Low",IF(EmployeeData[[#This Row],[MonthlyIncome]]&lt;=60000,"Medium",IF(EmployeeData[[#This Row],[MonthlyIncome]]&lt;=100000,"High","Very High")))</f>
        <v>Medium</v>
      </c>
      <c r="AB553">
        <f>IF(EmployeeData[[#This Row],[Attrition]]="Yes",1,0)</f>
        <v>0</v>
      </c>
      <c r="AC553" t="str">
        <f ca="1">IF(EmployeeData[[#This Row],[Tenure Years]]&lt;1,"Less than 1 Year",IF(EmployeeData[[#This Row],[Tenure Years]]&lt;=3,"1-3 Years",IF(EmployeeData[[#This Row],[Tenure Years]]&lt;=5,"4-5 Years",IF(EmployeeData[[#This Row],[Tenure Years]]&lt;=10,"6-10 Years","More than 10 Years"))))</f>
        <v>More than 10 Years</v>
      </c>
      <c r="AD553">
        <f>ROUND(AVERAGE(EmployeeData[[#This Row],[JobSatisfaction]],EmployeeData[[#This Row],[EnvironmentSatisfaction]],EmployeeData[[#This Row],[WorkLifeBalance]]),2)</f>
        <v>2</v>
      </c>
      <c r="AE553" t="str">
        <f>IF(EmployeeData[[#This Row],[Satisfaction Score]]&lt;2,"Low",IF(EmployeeData[[#This Row],[Satisfaction Score]]&lt;3,"Medium","High"))</f>
        <v>Medium</v>
      </c>
    </row>
    <row r="554" spans="1:31" x14ac:dyDescent="0.25">
      <c r="A554" t="s">
        <v>2651</v>
      </c>
      <c r="B554" t="s">
        <v>2652</v>
      </c>
      <c r="C554" t="s">
        <v>58</v>
      </c>
      <c r="D554">
        <v>26</v>
      </c>
      <c r="E554" t="s">
        <v>27</v>
      </c>
      <c r="F554" t="s">
        <v>75</v>
      </c>
      <c r="G554" s="1">
        <v>41987</v>
      </c>
      <c r="H554">
        <v>128143</v>
      </c>
      <c r="I554" t="s">
        <v>30</v>
      </c>
      <c r="J554" t="s">
        <v>61</v>
      </c>
      <c r="K554" t="s">
        <v>32</v>
      </c>
      <c r="L554" t="s">
        <v>62</v>
      </c>
      <c r="M554">
        <v>3</v>
      </c>
      <c r="N554" t="s">
        <v>34</v>
      </c>
      <c r="O554">
        <v>1</v>
      </c>
      <c r="P554">
        <v>2</v>
      </c>
      <c r="Q554">
        <v>3</v>
      </c>
      <c r="R554">
        <v>3</v>
      </c>
      <c r="S554">
        <v>6</v>
      </c>
      <c r="T554">
        <v>7</v>
      </c>
      <c r="U554">
        <v>20</v>
      </c>
      <c r="V554" t="s">
        <v>2654</v>
      </c>
      <c r="W554" t="s">
        <v>34</v>
      </c>
      <c r="Y554" s="2" t="str">
        <f>IF(EmployeeData[[#This Row],[Age]]&lt;25,"Under 25",IF(EmployeeData[[#This Row],[Age]]&lt;=34,"25-34",IF(EmployeeData[[#This Row],[Age]]&lt;=44,"35-44",IF(EmployeeData[[#This Row],[Age]]&lt;=54,"45-54","55+"))))</f>
        <v>25-34</v>
      </c>
      <c r="Z554">
        <f ca="1">DATEDIF(EmployeeData[[#This Row],[DateOfJoining]],IF(AND(EmployeeData[[#This Row],[Attrition]]="Yes",EmployeeData[[#This Row],[LastWorkingDate]]&lt;&gt;""),EmployeeData[[#This Row],[LastWorkingDate]],TODAY()),"Y")</f>
        <v>11</v>
      </c>
      <c r="AA554" t="str">
        <f>IF(EmployeeData[[#This Row],[MonthlyIncome]]&lt;30000,"Low",IF(EmployeeData[[#This Row],[MonthlyIncome]]&lt;=60000,"Medium",IF(EmployeeData[[#This Row],[MonthlyIncome]]&lt;=100000,"High","Very High")))</f>
        <v>Very High</v>
      </c>
      <c r="AB554">
        <f>IF(EmployeeData[[#This Row],[Attrition]]="Yes",1,0)</f>
        <v>0</v>
      </c>
      <c r="AC554" t="str">
        <f ca="1">IF(EmployeeData[[#This Row],[Tenure Years]]&lt;1,"Less than 1 Year",IF(EmployeeData[[#This Row],[Tenure Years]]&lt;=3,"1-3 Years",IF(EmployeeData[[#This Row],[Tenure Years]]&lt;=5,"4-5 Years",IF(EmployeeData[[#This Row],[Tenure Years]]&lt;=10,"6-10 Years","More than 10 Years"))))</f>
        <v>More than 10 Years</v>
      </c>
      <c r="AD554">
        <f>ROUND(AVERAGE(EmployeeData[[#This Row],[JobSatisfaction]],EmployeeData[[#This Row],[EnvironmentSatisfaction]],EmployeeData[[#This Row],[WorkLifeBalance]]),2)</f>
        <v>2</v>
      </c>
      <c r="AE554" t="str">
        <f>IF(EmployeeData[[#This Row],[Satisfaction Score]]&lt;2,"Low",IF(EmployeeData[[#This Row],[Satisfaction Score]]&lt;3,"Medium","High"))</f>
        <v>Medium</v>
      </c>
    </row>
    <row r="555" spans="1:31" x14ac:dyDescent="0.25">
      <c r="A555" t="s">
        <v>2655</v>
      </c>
      <c r="B555" t="s">
        <v>2656</v>
      </c>
      <c r="C555" t="s">
        <v>49</v>
      </c>
      <c r="D555">
        <v>56</v>
      </c>
      <c r="E555" t="s">
        <v>128</v>
      </c>
      <c r="F555" t="s">
        <v>271</v>
      </c>
      <c r="G555" s="1">
        <v>45124</v>
      </c>
      <c r="H555">
        <v>94434</v>
      </c>
      <c r="I555" t="s">
        <v>42</v>
      </c>
      <c r="J555" t="s">
        <v>97</v>
      </c>
      <c r="K555" t="s">
        <v>167</v>
      </c>
      <c r="L555" t="s">
        <v>62</v>
      </c>
      <c r="M555">
        <v>33</v>
      </c>
      <c r="N555" t="s">
        <v>34</v>
      </c>
      <c r="O555">
        <v>2</v>
      </c>
      <c r="P555">
        <v>2</v>
      </c>
      <c r="Q555">
        <v>2</v>
      </c>
      <c r="R555">
        <v>5</v>
      </c>
      <c r="S555">
        <v>2</v>
      </c>
      <c r="T555">
        <v>3</v>
      </c>
      <c r="U555">
        <v>21</v>
      </c>
      <c r="V555" t="s">
        <v>2659</v>
      </c>
      <c r="W555" t="s">
        <v>45</v>
      </c>
      <c r="X555" s="1">
        <v>45931</v>
      </c>
      <c r="Y555" s="2" t="str">
        <f>IF(EmployeeData[[#This Row],[Age]]&lt;25,"Under 25",IF(EmployeeData[[#This Row],[Age]]&lt;=34,"25-34",IF(EmployeeData[[#This Row],[Age]]&lt;=44,"35-44",IF(EmployeeData[[#This Row],[Age]]&lt;=54,"45-54","55+"))))</f>
        <v>55+</v>
      </c>
      <c r="Z555">
        <f ca="1">DATEDIF(EmployeeData[[#This Row],[DateOfJoining]],IF(AND(EmployeeData[[#This Row],[Attrition]]="Yes",EmployeeData[[#This Row],[LastWorkingDate]]&lt;&gt;""),EmployeeData[[#This Row],[LastWorkingDate]],TODAY()),"Y")</f>
        <v>2</v>
      </c>
      <c r="AA555" t="str">
        <f>IF(EmployeeData[[#This Row],[MonthlyIncome]]&lt;30000,"Low",IF(EmployeeData[[#This Row],[MonthlyIncome]]&lt;=60000,"Medium",IF(EmployeeData[[#This Row],[MonthlyIncome]]&lt;=100000,"High","Very High")))</f>
        <v>High</v>
      </c>
      <c r="AB555">
        <f>IF(EmployeeData[[#This Row],[Attrition]]="Yes",1,0)</f>
        <v>1</v>
      </c>
      <c r="AC555" t="str">
        <f ca="1">IF(EmployeeData[[#This Row],[Tenure Years]]&lt;1,"Less than 1 Year",IF(EmployeeData[[#This Row],[Tenure Years]]&lt;=3,"1-3 Years",IF(EmployeeData[[#This Row],[Tenure Years]]&lt;=5,"4-5 Years",IF(EmployeeData[[#This Row],[Tenure Years]]&lt;=10,"6-10 Years","More than 10 Years"))))</f>
        <v>1-3 Years</v>
      </c>
      <c r="AD555">
        <f>ROUND(AVERAGE(EmployeeData[[#This Row],[JobSatisfaction]],EmployeeData[[#This Row],[EnvironmentSatisfaction]],EmployeeData[[#This Row],[WorkLifeBalance]]),2)</f>
        <v>2</v>
      </c>
      <c r="AE555" t="str">
        <f>IF(EmployeeData[[#This Row],[Satisfaction Score]]&lt;2,"Low",IF(EmployeeData[[#This Row],[Satisfaction Score]]&lt;3,"Medium","High"))</f>
        <v>Medium</v>
      </c>
    </row>
    <row r="556" spans="1:31" x14ac:dyDescent="0.25">
      <c r="A556" t="s">
        <v>2661</v>
      </c>
      <c r="B556" t="s">
        <v>2662</v>
      </c>
      <c r="C556" t="s">
        <v>49</v>
      </c>
      <c r="D556">
        <v>44</v>
      </c>
      <c r="E556" t="s">
        <v>94</v>
      </c>
      <c r="F556" t="s">
        <v>266</v>
      </c>
      <c r="G556" s="1">
        <v>41247</v>
      </c>
      <c r="H556">
        <v>138196</v>
      </c>
      <c r="I556" t="s">
        <v>42</v>
      </c>
      <c r="J556" t="s">
        <v>143</v>
      </c>
      <c r="K556" t="s">
        <v>131</v>
      </c>
      <c r="L556" t="s">
        <v>43</v>
      </c>
      <c r="M556">
        <v>44</v>
      </c>
      <c r="N556" t="s">
        <v>45</v>
      </c>
      <c r="O556">
        <v>4</v>
      </c>
      <c r="P556">
        <v>1</v>
      </c>
      <c r="Q556">
        <v>2</v>
      </c>
      <c r="R556">
        <v>5</v>
      </c>
      <c r="S556">
        <v>3</v>
      </c>
      <c r="T556">
        <v>6</v>
      </c>
      <c r="U556">
        <v>18</v>
      </c>
      <c r="V556" t="s">
        <v>2664</v>
      </c>
      <c r="W556" t="s">
        <v>34</v>
      </c>
      <c r="Y556" s="2" t="str">
        <f>IF(EmployeeData[[#This Row],[Age]]&lt;25,"Under 25",IF(EmployeeData[[#This Row],[Age]]&lt;=34,"25-34",IF(EmployeeData[[#This Row],[Age]]&lt;=44,"35-44",IF(EmployeeData[[#This Row],[Age]]&lt;=54,"45-54","55+"))))</f>
        <v>35-44</v>
      </c>
      <c r="Z556">
        <f ca="1">DATEDIF(EmployeeData[[#This Row],[DateOfJoining]],IF(AND(EmployeeData[[#This Row],[Attrition]]="Yes",EmployeeData[[#This Row],[LastWorkingDate]]&lt;&gt;""),EmployeeData[[#This Row],[LastWorkingDate]],TODAY()),"Y")</f>
        <v>13</v>
      </c>
      <c r="AA556" t="str">
        <f>IF(EmployeeData[[#This Row],[MonthlyIncome]]&lt;30000,"Low",IF(EmployeeData[[#This Row],[MonthlyIncome]]&lt;=60000,"Medium",IF(EmployeeData[[#This Row],[MonthlyIncome]]&lt;=100000,"High","Very High")))</f>
        <v>Very High</v>
      </c>
      <c r="AB556">
        <f>IF(EmployeeData[[#This Row],[Attrition]]="Yes",1,0)</f>
        <v>0</v>
      </c>
      <c r="AC556" t="str">
        <f ca="1">IF(EmployeeData[[#This Row],[Tenure Years]]&lt;1,"Less than 1 Year",IF(EmployeeData[[#This Row],[Tenure Years]]&lt;=3,"1-3 Years",IF(EmployeeData[[#This Row],[Tenure Years]]&lt;=5,"4-5 Years",IF(EmployeeData[[#This Row],[Tenure Years]]&lt;=10,"6-10 Years","More than 10 Years"))))</f>
        <v>More than 10 Years</v>
      </c>
      <c r="AD556">
        <f>ROUND(AVERAGE(EmployeeData[[#This Row],[JobSatisfaction]],EmployeeData[[#This Row],[EnvironmentSatisfaction]],EmployeeData[[#This Row],[WorkLifeBalance]]),2)</f>
        <v>2.33</v>
      </c>
      <c r="AE556" t="str">
        <f>IF(EmployeeData[[#This Row],[Satisfaction Score]]&lt;2,"Low",IF(EmployeeData[[#This Row],[Satisfaction Score]]&lt;3,"Medium","High"))</f>
        <v>Medium</v>
      </c>
    </row>
    <row r="557" spans="1:31" x14ac:dyDescent="0.25">
      <c r="A557" t="s">
        <v>2665</v>
      </c>
      <c r="B557" t="s">
        <v>2666</v>
      </c>
      <c r="C557" t="s">
        <v>49</v>
      </c>
      <c r="D557">
        <v>39</v>
      </c>
      <c r="E557" t="s">
        <v>94</v>
      </c>
      <c r="F557" t="s">
        <v>639</v>
      </c>
      <c r="G557" s="1">
        <v>44009</v>
      </c>
      <c r="H557">
        <v>113349</v>
      </c>
      <c r="I557" t="s">
        <v>42</v>
      </c>
      <c r="J557" t="s">
        <v>61</v>
      </c>
      <c r="K557" t="s">
        <v>54</v>
      </c>
      <c r="L557" t="s">
        <v>43</v>
      </c>
      <c r="M557">
        <v>12</v>
      </c>
      <c r="N557" t="s">
        <v>34</v>
      </c>
      <c r="O557">
        <v>4</v>
      </c>
      <c r="P557">
        <v>3</v>
      </c>
      <c r="Q557">
        <v>4</v>
      </c>
      <c r="R557">
        <v>4</v>
      </c>
      <c r="S557">
        <v>1</v>
      </c>
      <c r="T557">
        <v>7</v>
      </c>
      <c r="U557">
        <v>16</v>
      </c>
      <c r="V557" t="s">
        <v>2668</v>
      </c>
      <c r="W557" t="s">
        <v>34</v>
      </c>
      <c r="Y557" s="2" t="str">
        <f>IF(EmployeeData[[#This Row],[Age]]&lt;25,"Under 25",IF(EmployeeData[[#This Row],[Age]]&lt;=34,"25-34",IF(EmployeeData[[#This Row],[Age]]&lt;=44,"35-44",IF(EmployeeData[[#This Row],[Age]]&lt;=54,"45-54","55+"))))</f>
        <v>35-44</v>
      </c>
      <c r="Z557">
        <f ca="1">DATEDIF(EmployeeData[[#This Row],[DateOfJoining]],IF(AND(EmployeeData[[#This Row],[Attrition]]="Yes",EmployeeData[[#This Row],[LastWorkingDate]]&lt;&gt;""),EmployeeData[[#This Row],[LastWorkingDate]],TODAY()),"Y")</f>
        <v>6</v>
      </c>
      <c r="AA557" t="str">
        <f>IF(EmployeeData[[#This Row],[MonthlyIncome]]&lt;30000,"Low",IF(EmployeeData[[#This Row],[MonthlyIncome]]&lt;=60000,"Medium",IF(EmployeeData[[#This Row],[MonthlyIncome]]&lt;=100000,"High","Very High")))</f>
        <v>Very High</v>
      </c>
      <c r="AB557">
        <f>IF(EmployeeData[[#This Row],[Attrition]]="Yes",1,0)</f>
        <v>0</v>
      </c>
      <c r="AC557" t="str">
        <f ca="1">IF(EmployeeData[[#This Row],[Tenure Years]]&lt;1,"Less than 1 Year",IF(EmployeeData[[#This Row],[Tenure Years]]&lt;=3,"1-3 Years",IF(EmployeeData[[#This Row],[Tenure Years]]&lt;=5,"4-5 Years",IF(EmployeeData[[#This Row],[Tenure Years]]&lt;=10,"6-10 Years","More than 10 Years"))))</f>
        <v>6-10 Years</v>
      </c>
      <c r="AD557">
        <f>ROUND(AVERAGE(EmployeeData[[#This Row],[JobSatisfaction]],EmployeeData[[#This Row],[EnvironmentSatisfaction]],EmployeeData[[#This Row],[WorkLifeBalance]]),2)</f>
        <v>3.67</v>
      </c>
      <c r="AE557" t="str">
        <f>IF(EmployeeData[[#This Row],[Satisfaction Score]]&lt;2,"Low",IF(EmployeeData[[#This Row],[Satisfaction Score]]&lt;3,"Medium","High"))</f>
        <v>High</v>
      </c>
    </row>
    <row r="558" spans="1:31" x14ac:dyDescent="0.25">
      <c r="A558" t="s">
        <v>2669</v>
      </c>
      <c r="B558" t="s">
        <v>2670</v>
      </c>
      <c r="C558" t="s">
        <v>58</v>
      </c>
      <c r="D558">
        <v>45</v>
      </c>
      <c r="E558" t="s">
        <v>5461</v>
      </c>
      <c r="F558" t="s">
        <v>89</v>
      </c>
      <c r="G558" s="1">
        <v>46171</v>
      </c>
      <c r="H558">
        <v>89123</v>
      </c>
      <c r="I558" t="s">
        <v>52</v>
      </c>
      <c r="J558" t="s">
        <v>61</v>
      </c>
      <c r="K558" t="s">
        <v>77</v>
      </c>
      <c r="L558" t="s">
        <v>5459</v>
      </c>
      <c r="M558">
        <v>38</v>
      </c>
      <c r="N558" t="s">
        <v>45</v>
      </c>
      <c r="O558">
        <v>3</v>
      </c>
      <c r="P558">
        <v>2</v>
      </c>
      <c r="Q558">
        <v>4</v>
      </c>
      <c r="R558">
        <v>3</v>
      </c>
      <c r="S558">
        <v>6</v>
      </c>
      <c r="T558">
        <v>5</v>
      </c>
      <c r="U558">
        <v>12</v>
      </c>
      <c r="V558" t="s">
        <v>2672</v>
      </c>
      <c r="W558" t="s">
        <v>45</v>
      </c>
      <c r="X558" s="1">
        <v>46211</v>
      </c>
      <c r="Y558" s="2" t="str">
        <f>IF(EmployeeData[[#This Row],[Age]]&lt;25,"Under 25",IF(EmployeeData[[#This Row],[Age]]&lt;=34,"25-34",IF(EmployeeData[[#This Row],[Age]]&lt;=44,"35-44",IF(EmployeeData[[#This Row],[Age]]&lt;=54,"45-54","55+"))))</f>
        <v>45-54</v>
      </c>
      <c r="Z558">
        <f ca="1">DATEDIF(EmployeeData[[#This Row],[DateOfJoining]],IF(AND(EmployeeData[[#This Row],[Attrition]]="Yes",EmployeeData[[#This Row],[LastWorkingDate]]&lt;&gt;""),EmployeeData[[#This Row],[LastWorkingDate]],TODAY()),"Y")</f>
        <v>0</v>
      </c>
      <c r="AA558" t="str">
        <f>IF(EmployeeData[[#This Row],[MonthlyIncome]]&lt;30000,"Low",IF(EmployeeData[[#This Row],[MonthlyIncome]]&lt;=60000,"Medium",IF(EmployeeData[[#This Row],[MonthlyIncome]]&lt;=100000,"High","Very High")))</f>
        <v>High</v>
      </c>
      <c r="AB558">
        <f>IF(EmployeeData[[#This Row],[Attrition]]="Yes",1,0)</f>
        <v>1</v>
      </c>
      <c r="AC558" t="str">
        <f ca="1">IF(EmployeeData[[#This Row],[Tenure Years]]&lt;1,"Less than 1 Year",IF(EmployeeData[[#This Row],[Tenure Years]]&lt;=3,"1-3 Years",IF(EmployeeData[[#This Row],[Tenure Years]]&lt;=5,"4-5 Years",IF(EmployeeData[[#This Row],[Tenure Years]]&lt;=10,"6-10 Years","More than 10 Years"))))</f>
        <v>Less than 1 Year</v>
      </c>
      <c r="AD558">
        <f>ROUND(AVERAGE(EmployeeData[[#This Row],[JobSatisfaction]],EmployeeData[[#This Row],[EnvironmentSatisfaction]],EmployeeData[[#This Row],[WorkLifeBalance]]),2)</f>
        <v>3</v>
      </c>
      <c r="AE558" t="str">
        <f>IF(EmployeeData[[#This Row],[Satisfaction Score]]&lt;2,"Low",IF(EmployeeData[[#This Row],[Satisfaction Score]]&lt;3,"Medium","High"))</f>
        <v>High</v>
      </c>
    </row>
    <row r="559" spans="1:31" x14ac:dyDescent="0.25">
      <c r="A559" t="s">
        <v>2674</v>
      </c>
      <c r="B559" t="s">
        <v>2675</v>
      </c>
      <c r="C559" t="s">
        <v>58</v>
      </c>
      <c r="D559">
        <v>40</v>
      </c>
      <c r="E559" t="s">
        <v>128</v>
      </c>
      <c r="F559" t="s">
        <v>226</v>
      </c>
      <c r="G559" s="1">
        <v>44825</v>
      </c>
      <c r="H559">
        <v>51721</v>
      </c>
      <c r="I559" t="s">
        <v>30</v>
      </c>
      <c r="J559" t="s">
        <v>61</v>
      </c>
      <c r="K559" t="s">
        <v>167</v>
      </c>
      <c r="L559" t="s">
        <v>33</v>
      </c>
      <c r="M559">
        <v>24</v>
      </c>
      <c r="N559" t="s">
        <v>45</v>
      </c>
      <c r="O559">
        <v>4</v>
      </c>
      <c r="P559">
        <v>2</v>
      </c>
      <c r="Q559">
        <v>2</v>
      </c>
      <c r="R559">
        <v>5</v>
      </c>
      <c r="S559">
        <v>1</v>
      </c>
      <c r="T559">
        <v>8</v>
      </c>
      <c r="U559">
        <v>21</v>
      </c>
      <c r="V559" t="s">
        <v>2678</v>
      </c>
      <c r="W559" t="s">
        <v>34</v>
      </c>
      <c r="Y559" s="2" t="str">
        <f>IF(EmployeeData[[#This Row],[Age]]&lt;25,"Under 25",IF(EmployeeData[[#This Row],[Age]]&lt;=34,"25-34",IF(EmployeeData[[#This Row],[Age]]&lt;=44,"35-44",IF(EmployeeData[[#This Row],[Age]]&lt;=54,"45-54","55+"))))</f>
        <v>35-44</v>
      </c>
      <c r="Z559">
        <f ca="1">DATEDIF(EmployeeData[[#This Row],[DateOfJoining]],IF(AND(EmployeeData[[#This Row],[Attrition]]="Yes",EmployeeData[[#This Row],[LastWorkingDate]]&lt;&gt;""),EmployeeData[[#This Row],[LastWorkingDate]],TODAY()),"Y")</f>
        <v>3</v>
      </c>
      <c r="AA559" t="str">
        <f>IF(EmployeeData[[#This Row],[MonthlyIncome]]&lt;30000,"Low",IF(EmployeeData[[#This Row],[MonthlyIncome]]&lt;=60000,"Medium",IF(EmployeeData[[#This Row],[MonthlyIncome]]&lt;=100000,"High","Very High")))</f>
        <v>Medium</v>
      </c>
      <c r="AB559">
        <f>IF(EmployeeData[[#This Row],[Attrition]]="Yes",1,0)</f>
        <v>0</v>
      </c>
      <c r="AC559" t="str">
        <f ca="1">IF(EmployeeData[[#This Row],[Tenure Years]]&lt;1,"Less than 1 Year",IF(EmployeeData[[#This Row],[Tenure Years]]&lt;=3,"1-3 Years",IF(EmployeeData[[#This Row],[Tenure Years]]&lt;=5,"4-5 Years",IF(EmployeeData[[#This Row],[Tenure Years]]&lt;=10,"6-10 Years","More than 10 Years"))))</f>
        <v>1-3 Years</v>
      </c>
      <c r="AD559">
        <f>ROUND(AVERAGE(EmployeeData[[#This Row],[JobSatisfaction]],EmployeeData[[#This Row],[EnvironmentSatisfaction]],EmployeeData[[#This Row],[WorkLifeBalance]]),2)</f>
        <v>2.67</v>
      </c>
      <c r="AE559" t="str">
        <f>IF(EmployeeData[[#This Row],[Satisfaction Score]]&lt;2,"Low",IF(EmployeeData[[#This Row],[Satisfaction Score]]&lt;3,"Medium","High"))</f>
        <v>Medium</v>
      </c>
    </row>
    <row r="560" spans="1:31" x14ac:dyDescent="0.25">
      <c r="A560" t="s">
        <v>2679</v>
      </c>
      <c r="B560" t="s">
        <v>2680</v>
      </c>
      <c r="C560" t="s">
        <v>58</v>
      </c>
      <c r="D560">
        <v>43</v>
      </c>
      <c r="E560" t="s">
        <v>128</v>
      </c>
      <c r="F560" t="s">
        <v>271</v>
      </c>
      <c r="G560" s="1">
        <v>45716</v>
      </c>
      <c r="H560">
        <v>71864</v>
      </c>
      <c r="I560" t="s">
        <v>30</v>
      </c>
      <c r="J560" t="s">
        <v>31</v>
      </c>
      <c r="K560" t="s">
        <v>106</v>
      </c>
      <c r="L560" t="s">
        <v>62</v>
      </c>
      <c r="M560">
        <v>36</v>
      </c>
      <c r="N560" t="s">
        <v>34</v>
      </c>
      <c r="O560">
        <v>2</v>
      </c>
      <c r="P560">
        <v>2</v>
      </c>
      <c r="Q560">
        <v>2</v>
      </c>
      <c r="R560">
        <v>5</v>
      </c>
      <c r="S560">
        <v>6</v>
      </c>
      <c r="T560">
        <v>6</v>
      </c>
      <c r="U560">
        <v>21</v>
      </c>
      <c r="V560" t="s">
        <v>2682</v>
      </c>
      <c r="W560" t="s">
        <v>45</v>
      </c>
      <c r="X560" s="1">
        <v>46036</v>
      </c>
      <c r="Y560" s="2" t="str">
        <f>IF(EmployeeData[[#This Row],[Age]]&lt;25,"Under 25",IF(EmployeeData[[#This Row],[Age]]&lt;=34,"25-34",IF(EmployeeData[[#This Row],[Age]]&lt;=44,"35-44",IF(EmployeeData[[#This Row],[Age]]&lt;=54,"45-54","55+"))))</f>
        <v>35-44</v>
      </c>
      <c r="Z560">
        <f ca="1">DATEDIF(EmployeeData[[#This Row],[DateOfJoining]],IF(AND(EmployeeData[[#This Row],[Attrition]]="Yes",EmployeeData[[#This Row],[LastWorkingDate]]&lt;&gt;""),EmployeeData[[#This Row],[LastWorkingDate]],TODAY()),"Y")</f>
        <v>0</v>
      </c>
      <c r="AA560" t="str">
        <f>IF(EmployeeData[[#This Row],[MonthlyIncome]]&lt;30000,"Low",IF(EmployeeData[[#This Row],[MonthlyIncome]]&lt;=60000,"Medium",IF(EmployeeData[[#This Row],[MonthlyIncome]]&lt;=100000,"High","Very High")))</f>
        <v>High</v>
      </c>
      <c r="AB560">
        <f>IF(EmployeeData[[#This Row],[Attrition]]="Yes",1,0)</f>
        <v>1</v>
      </c>
      <c r="AC560" t="str">
        <f ca="1">IF(EmployeeData[[#This Row],[Tenure Years]]&lt;1,"Less than 1 Year",IF(EmployeeData[[#This Row],[Tenure Years]]&lt;=3,"1-3 Years",IF(EmployeeData[[#This Row],[Tenure Years]]&lt;=5,"4-5 Years",IF(EmployeeData[[#This Row],[Tenure Years]]&lt;=10,"6-10 Years","More than 10 Years"))))</f>
        <v>Less than 1 Year</v>
      </c>
      <c r="AD560">
        <f>ROUND(AVERAGE(EmployeeData[[#This Row],[JobSatisfaction]],EmployeeData[[#This Row],[EnvironmentSatisfaction]],EmployeeData[[#This Row],[WorkLifeBalance]]),2)</f>
        <v>2</v>
      </c>
      <c r="AE560" t="str">
        <f>IF(EmployeeData[[#This Row],[Satisfaction Score]]&lt;2,"Low",IF(EmployeeData[[#This Row],[Satisfaction Score]]&lt;3,"Medium","High"))</f>
        <v>Medium</v>
      </c>
    </row>
    <row r="561" spans="1:31" x14ac:dyDescent="0.25">
      <c r="A561" t="s">
        <v>2684</v>
      </c>
      <c r="B561" t="s">
        <v>2685</v>
      </c>
      <c r="C561" t="s">
        <v>49</v>
      </c>
      <c r="D561">
        <v>31</v>
      </c>
      <c r="E561" t="s">
        <v>27</v>
      </c>
      <c r="F561" t="s">
        <v>50</v>
      </c>
      <c r="G561" s="1">
        <v>45126</v>
      </c>
      <c r="H561">
        <v>121597</v>
      </c>
      <c r="I561" t="s">
        <v>52</v>
      </c>
      <c r="J561" t="s">
        <v>143</v>
      </c>
      <c r="K561" t="s">
        <v>32</v>
      </c>
      <c r="L561" t="s">
        <v>62</v>
      </c>
      <c r="M561">
        <v>23</v>
      </c>
      <c r="N561" t="s">
        <v>45</v>
      </c>
      <c r="O561">
        <v>2</v>
      </c>
      <c r="P561">
        <v>2</v>
      </c>
      <c r="Q561">
        <v>2</v>
      </c>
      <c r="R561">
        <v>3</v>
      </c>
      <c r="S561">
        <v>3</v>
      </c>
      <c r="T561">
        <v>0</v>
      </c>
      <c r="U561">
        <v>12</v>
      </c>
      <c r="V561" t="s">
        <v>5459</v>
      </c>
      <c r="W561" t="s">
        <v>45</v>
      </c>
      <c r="X561" s="1">
        <v>45800</v>
      </c>
      <c r="Y561" s="2" t="str">
        <f>IF(EmployeeData[[#This Row],[Age]]&lt;25,"Under 25",IF(EmployeeData[[#This Row],[Age]]&lt;=34,"25-34",IF(EmployeeData[[#This Row],[Age]]&lt;=44,"35-44",IF(EmployeeData[[#This Row],[Age]]&lt;=54,"45-54","55+"))))</f>
        <v>25-34</v>
      </c>
      <c r="Z561">
        <f ca="1">DATEDIF(EmployeeData[[#This Row],[DateOfJoining]],IF(AND(EmployeeData[[#This Row],[Attrition]]="Yes",EmployeeData[[#This Row],[LastWorkingDate]]&lt;&gt;""),EmployeeData[[#This Row],[LastWorkingDate]],TODAY()),"Y")</f>
        <v>1</v>
      </c>
      <c r="AA561" t="str">
        <f>IF(EmployeeData[[#This Row],[MonthlyIncome]]&lt;30000,"Low",IF(EmployeeData[[#This Row],[MonthlyIncome]]&lt;=60000,"Medium",IF(EmployeeData[[#This Row],[MonthlyIncome]]&lt;=100000,"High","Very High")))</f>
        <v>Very High</v>
      </c>
      <c r="AB561">
        <f>IF(EmployeeData[[#This Row],[Attrition]]="Yes",1,0)</f>
        <v>1</v>
      </c>
      <c r="AC561" t="str">
        <f ca="1">IF(EmployeeData[[#This Row],[Tenure Years]]&lt;1,"Less than 1 Year",IF(EmployeeData[[#This Row],[Tenure Years]]&lt;=3,"1-3 Years",IF(EmployeeData[[#This Row],[Tenure Years]]&lt;=5,"4-5 Years",IF(EmployeeData[[#This Row],[Tenure Years]]&lt;=10,"6-10 Years","More than 10 Years"))))</f>
        <v>1-3 Years</v>
      </c>
      <c r="AD561">
        <f>ROUND(AVERAGE(EmployeeData[[#This Row],[JobSatisfaction]],EmployeeData[[#This Row],[EnvironmentSatisfaction]],EmployeeData[[#This Row],[WorkLifeBalance]]),2)</f>
        <v>2</v>
      </c>
      <c r="AE561" t="str">
        <f>IF(EmployeeData[[#This Row],[Satisfaction Score]]&lt;2,"Low",IF(EmployeeData[[#This Row],[Satisfaction Score]]&lt;3,"Medium","High"))</f>
        <v>Medium</v>
      </c>
    </row>
    <row r="562" spans="1:31" x14ac:dyDescent="0.25">
      <c r="A562" t="s">
        <v>2688</v>
      </c>
      <c r="B562" t="s">
        <v>2689</v>
      </c>
      <c r="C562" t="s">
        <v>49</v>
      </c>
      <c r="D562">
        <v>42</v>
      </c>
      <c r="E562" t="s">
        <v>128</v>
      </c>
      <c r="F562" t="s">
        <v>123</v>
      </c>
      <c r="G562" s="1">
        <v>43083</v>
      </c>
      <c r="H562">
        <v>86166</v>
      </c>
      <c r="I562" t="s">
        <v>52</v>
      </c>
      <c r="J562" t="s">
        <v>61</v>
      </c>
      <c r="K562" t="s">
        <v>54</v>
      </c>
      <c r="L562" t="s">
        <v>43</v>
      </c>
      <c r="M562">
        <v>4</v>
      </c>
      <c r="N562" t="s">
        <v>34</v>
      </c>
      <c r="O562">
        <v>3</v>
      </c>
      <c r="P562">
        <v>4</v>
      </c>
      <c r="Q562">
        <v>1</v>
      </c>
      <c r="R562">
        <v>3</v>
      </c>
      <c r="S562">
        <v>4</v>
      </c>
      <c r="T562">
        <v>1</v>
      </c>
      <c r="U562">
        <v>13</v>
      </c>
      <c r="V562" t="s">
        <v>2692</v>
      </c>
      <c r="W562" t="s">
        <v>34</v>
      </c>
      <c r="Y562" s="2" t="str">
        <f>IF(EmployeeData[[#This Row],[Age]]&lt;25,"Under 25",IF(EmployeeData[[#This Row],[Age]]&lt;=34,"25-34",IF(EmployeeData[[#This Row],[Age]]&lt;=44,"35-44",IF(EmployeeData[[#This Row],[Age]]&lt;=54,"45-54","55+"))))</f>
        <v>35-44</v>
      </c>
      <c r="Z562">
        <f ca="1">DATEDIF(EmployeeData[[#This Row],[DateOfJoining]],IF(AND(EmployeeData[[#This Row],[Attrition]]="Yes",EmployeeData[[#This Row],[LastWorkingDate]]&lt;&gt;""),EmployeeData[[#This Row],[LastWorkingDate]],TODAY()),"Y")</f>
        <v>8</v>
      </c>
      <c r="AA562" t="str">
        <f>IF(EmployeeData[[#This Row],[MonthlyIncome]]&lt;30000,"Low",IF(EmployeeData[[#This Row],[MonthlyIncome]]&lt;=60000,"Medium",IF(EmployeeData[[#This Row],[MonthlyIncome]]&lt;=100000,"High","Very High")))</f>
        <v>High</v>
      </c>
      <c r="AB562">
        <f>IF(EmployeeData[[#This Row],[Attrition]]="Yes",1,0)</f>
        <v>0</v>
      </c>
      <c r="AC562" t="str">
        <f ca="1">IF(EmployeeData[[#This Row],[Tenure Years]]&lt;1,"Less than 1 Year",IF(EmployeeData[[#This Row],[Tenure Years]]&lt;=3,"1-3 Years",IF(EmployeeData[[#This Row],[Tenure Years]]&lt;=5,"4-5 Years",IF(EmployeeData[[#This Row],[Tenure Years]]&lt;=10,"6-10 Years","More than 10 Years"))))</f>
        <v>6-10 Years</v>
      </c>
      <c r="AD562">
        <f>ROUND(AVERAGE(EmployeeData[[#This Row],[JobSatisfaction]],EmployeeData[[#This Row],[EnvironmentSatisfaction]],EmployeeData[[#This Row],[WorkLifeBalance]]),2)</f>
        <v>2.67</v>
      </c>
      <c r="AE562" t="str">
        <f>IF(EmployeeData[[#This Row],[Satisfaction Score]]&lt;2,"Low",IF(EmployeeData[[#This Row],[Satisfaction Score]]&lt;3,"Medium","High"))</f>
        <v>Medium</v>
      </c>
    </row>
    <row r="563" spans="1:31" x14ac:dyDescent="0.25">
      <c r="A563" t="s">
        <v>2693</v>
      </c>
      <c r="B563" t="s">
        <v>2694</v>
      </c>
      <c r="C563" t="s">
        <v>58</v>
      </c>
      <c r="D563">
        <v>36</v>
      </c>
      <c r="E563" t="s">
        <v>5461</v>
      </c>
      <c r="F563" t="s">
        <v>261</v>
      </c>
      <c r="G563" s="1">
        <v>40795</v>
      </c>
      <c r="H563">
        <v>75544</v>
      </c>
      <c r="I563" t="s">
        <v>42</v>
      </c>
      <c r="J563" t="s">
        <v>31</v>
      </c>
      <c r="K563" t="s">
        <v>54</v>
      </c>
      <c r="L563" t="s">
        <v>33</v>
      </c>
      <c r="M563">
        <v>36</v>
      </c>
      <c r="N563" t="s">
        <v>34</v>
      </c>
      <c r="O563">
        <v>4</v>
      </c>
      <c r="P563">
        <v>4</v>
      </c>
      <c r="Q563">
        <v>2</v>
      </c>
      <c r="R563">
        <v>5</v>
      </c>
      <c r="S563">
        <v>4</v>
      </c>
      <c r="T563">
        <v>1</v>
      </c>
      <c r="U563">
        <v>21</v>
      </c>
      <c r="V563" t="s">
        <v>2696</v>
      </c>
      <c r="W563" t="s">
        <v>34</v>
      </c>
      <c r="Y563" s="2" t="str">
        <f>IF(EmployeeData[[#This Row],[Age]]&lt;25,"Under 25",IF(EmployeeData[[#This Row],[Age]]&lt;=34,"25-34",IF(EmployeeData[[#This Row],[Age]]&lt;=44,"35-44",IF(EmployeeData[[#This Row],[Age]]&lt;=54,"45-54","55+"))))</f>
        <v>35-44</v>
      </c>
      <c r="Z563">
        <f ca="1">DATEDIF(EmployeeData[[#This Row],[DateOfJoining]],IF(AND(EmployeeData[[#This Row],[Attrition]]="Yes",EmployeeData[[#This Row],[LastWorkingDate]]&lt;&gt;""),EmployeeData[[#This Row],[LastWorkingDate]],TODAY()),"Y")</f>
        <v>14</v>
      </c>
      <c r="AA563" t="str">
        <f>IF(EmployeeData[[#This Row],[MonthlyIncome]]&lt;30000,"Low",IF(EmployeeData[[#This Row],[MonthlyIncome]]&lt;=60000,"Medium",IF(EmployeeData[[#This Row],[MonthlyIncome]]&lt;=100000,"High","Very High")))</f>
        <v>High</v>
      </c>
      <c r="AB563">
        <f>IF(EmployeeData[[#This Row],[Attrition]]="Yes",1,0)</f>
        <v>0</v>
      </c>
      <c r="AC563" t="str">
        <f ca="1">IF(EmployeeData[[#This Row],[Tenure Years]]&lt;1,"Less than 1 Year",IF(EmployeeData[[#This Row],[Tenure Years]]&lt;=3,"1-3 Years",IF(EmployeeData[[#This Row],[Tenure Years]]&lt;=5,"4-5 Years",IF(EmployeeData[[#This Row],[Tenure Years]]&lt;=10,"6-10 Years","More than 10 Years"))))</f>
        <v>More than 10 Years</v>
      </c>
      <c r="AD563">
        <f>ROUND(AVERAGE(EmployeeData[[#This Row],[JobSatisfaction]],EmployeeData[[#This Row],[EnvironmentSatisfaction]],EmployeeData[[#This Row],[WorkLifeBalance]]),2)</f>
        <v>3.33</v>
      </c>
      <c r="AE563" t="str">
        <f>IF(EmployeeData[[#This Row],[Satisfaction Score]]&lt;2,"Low",IF(EmployeeData[[#This Row],[Satisfaction Score]]&lt;3,"Medium","High"))</f>
        <v>High</v>
      </c>
    </row>
    <row r="564" spans="1:31" x14ac:dyDescent="0.25">
      <c r="A564" t="s">
        <v>2697</v>
      </c>
      <c r="B564" t="s">
        <v>2698</v>
      </c>
      <c r="C564" t="s">
        <v>58</v>
      </c>
      <c r="D564">
        <v>34</v>
      </c>
      <c r="E564" t="s">
        <v>94</v>
      </c>
      <c r="F564" t="s">
        <v>639</v>
      </c>
      <c r="G564" s="1">
        <v>43844</v>
      </c>
      <c r="H564">
        <v>63079</v>
      </c>
      <c r="I564" t="s">
        <v>30</v>
      </c>
      <c r="J564" t="s">
        <v>61</v>
      </c>
      <c r="K564" t="s">
        <v>77</v>
      </c>
      <c r="L564" t="s">
        <v>62</v>
      </c>
      <c r="M564">
        <v>4</v>
      </c>
      <c r="N564" t="s">
        <v>34</v>
      </c>
      <c r="O564">
        <v>3</v>
      </c>
      <c r="P564">
        <v>2</v>
      </c>
      <c r="Q564">
        <v>3</v>
      </c>
      <c r="R564">
        <v>3</v>
      </c>
      <c r="S564">
        <v>4</v>
      </c>
      <c r="T564">
        <v>7</v>
      </c>
      <c r="U564">
        <v>13</v>
      </c>
      <c r="V564" t="s">
        <v>2700</v>
      </c>
      <c r="W564" t="s">
        <v>34</v>
      </c>
      <c r="Y564" s="2" t="str">
        <f>IF(EmployeeData[[#This Row],[Age]]&lt;25,"Under 25",IF(EmployeeData[[#This Row],[Age]]&lt;=34,"25-34",IF(EmployeeData[[#This Row],[Age]]&lt;=44,"35-44",IF(EmployeeData[[#This Row],[Age]]&lt;=54,"45-54","55+"))))</f>
        <v>25-34</v>
      </c>
      <c r="Z564">
        <f ca="1">DATEDIF(EmployeeData[[#This Row],[DateOfJoining]],IF(AND(EmployeeData[[#This Row],[Attrition]]="Yes",EmployeeData[[#This Row],[LastWorkingDate]]&lt;&gt;""),EmployeeData[[#This Row],[LastWorkingDate]],TODAY()),"Y")</f>
        <v>6</v>
      </c>
      <c r="AA564" t="str">
        <f>IF(EmployeeData[[#This Row],[MonthlyIncome]]&lt;30000,"Low",IF(EmployeeData[[#This Row],[MonthlyIncome]]&lt;=60000,"Medium",IF(EmployeeData[[#This Row],[MonthlyIncome]]&lt;=100000,"High","Very High")))</f>
        <v>High</v>
      </c>
      <c r="AB564">
        <f>IF(EmployeeData[[#This Row],[Attrition]]="Yes",1,0)</f>
        <v>0</v>
      </c>
      <c r="AC564" t="str">
        <f ca="1">IF(EmployeeData[[#This Row],[Tenure Years]]&lt;1,"Less than 1 Year",IF(EmployeeData[[#This Row],[Tenure Years]]&lt;=3,"1-3 Years",IF(EmployeeData[[#This Row],[Tenure Years]]&lt;=5,"4-5 Years",IF(EmployeeData[[#This Row],[Tenure Years]]&lt;=10,"6-10 Years","More than 10 Years"))))</f>
        <v>6-10 Years</v>
      </c>
      <c r="AD564">
        <f>ROUND(AVERAGE(EmployeeData[[#This Row],[JobSatisfaction]],EmployeeData[[#This Row],[EnvironmentSatisfaction]],EmployeeData[[#This Row],[WorkLifeBalance]]),2)</f>
        <v>2.67</v>
      </c>
      <c r="AE564" t="str">
        <f>IF(EmployeeData[[#This Row],[Satisfaction Score]]&lt;2,"Low",IF(EmployeeData[[#This Row],[Satisfaction Score]]&lt;3,"Medium","High"))</f>
        <v>Medium</v>
      </c>
    </row>
    <row r="565" spans="1:31" x14ac:dyDescent="0.25">
      <c r="A565" t="s">
        <v>2701</v>
      </c>
      <c r="B565" t="s">
        <v>2702</v>
      </c>
      <c r="C565" t="s">
        <v>58</v>
      </c>
      <c r="D565">
        <v>30</v>
      </c>
      <c r="E565" t="s">
        <v>38</v>
      </c>
      <c r="F565" t="s">
        <v>5465</v>
      </c>
      <c r="G565" s="1">
        <v>42624</v>
      </c>
      <c r="H565">
        <v>66302</v>
      </c>
      <c r="I565" t="s">
        <v>42</v>
      </c>
      <c r="J565" t="s">
        <v>61</v>
      </c>
      <c r="K565" t="s">
        <v>131</v>
      </c>
      <c r="L565" t="s">
        <v>62</v>
      </c>
      <c r="M565">
        <v>4</v>
      </c>
      <c r="N565" t="s">
        <v>45</v>
      </c>
      <c r="O565">
        <v>3</v>
      </c>
      <c r="P565">
        <v>3</v>
      </c>
      <c r="Q565">
        <v>4</v>
      </c>
      <c r="R565">
        <v>2</v>
      </c>
      <c r="S565">
        <v>1</v>
      </c>
      <c r="T565">
        <v>3</v>
      </c>
      <c r="U565">
        <v>25</v>
      </c>
      <c r="V565" t="s">
        <v>2705</v>
      </c>
      <c r="W565" t="s">
        <v>34</v>
      </c>
      <c r="Y565" s="2" t="str">
        <f>IF(EmployeeData[[#This Row],[Age]]&lt;25,"Under 25",IF(EmployeeData[[#This Row],[Age]]&lt;=34,"25-34",IF(EmployeeData[[#This Row],[Age]]&lt;=44,"35-44",IF(EmployeeData[[#This Row],[Age]]&lt;=54,"45-54","55+"))))</f>
        <v>25-34</v>
      </c>
      <c r="Z565">
        <f ca="1">DATEDIF(EmployeeData[[#This Row],[DateOfJoining]],IF(AND(EmployeeData[[#This Row],[Attrition]]="Yes",EmployeeData[[#This Row],[LastWorkingDate]]&lt;&gt;""),EmployeeData[[#This Row],[LastWorkingDate]],TODAY()),"Y")</f>
        <v>9</v>
      </c>
      <c r="AA565" t="str">
        <f>IF(EmployeeData[[#This Row],[MonthlyIncome]]&lt;30000,"Low",IF(EmployeeData[[#This Row],[MonthlyIncome]]&lt;=60000,"Medium",IF(EmployeeData[[#This Row],[MonthlyIncome]]&lt;=100000,"High","Very High")))</f>
        <v>High</v>
      </c>
      <c r="AB565">
        <f>IF(EmployeeData[[#This Row],[Attrition]]="Yes",1,0)</f>
        <v>0</v>
      </c>
      <c r="AC565" t="str">
        <f ca="1">IF(EmployeeData[[#This Row],[Tenure Years]]&lt;1,"Less than 1 Year",IF(EmployeeData[[#This Row],[Tenure Years]]&lt;=3,"1-3 Years",IF(EmployeeData[[#This Row],[Tenure Years]]&lt;=5,"4-5 Years",IF(EmployeeData[[#This Row],[Tenure Years]]&lt;=10,"6-10 Years","More than 10 Years"))))</f>
        <v>6-10 Years</v>
      </c>
      <c r="AD565">
        <f>ROUND(AVERAGE(EmployeeData[[#This Row],[JobSatisfaction]],EmployeeData[[#This Row],[EnvironmentSatisfaction]],EmployeeData[[#This Row],[WorkLifeBalance]]),2)</f>
        <v>3.33</v>
      </c>
      <c r="AE565" t="str">
        <f>IF(EmployeeData[[#This Row],[Satisfaction Score]]&lt;2,"Low",IF(EmployeeData[[#This Row],[Satisfaction Score]]&lt;3,"Medium","High"))</f>
        <v>High</v>
      </c>
    </row>
    <row r="566" spans="1:31" x14ac:dyDescent="0.25">
      <c r="A566" t="s">
        <v>2706</v>
      </c>
      <c r="B566" t="s">
        <v>2707</v>
      </c>
      <c r="C566" t="s">
        <v>58</v>
      </c>
      <c r="D566">
        <v>37</v>
      </c>
      <c r="E566" t="s">
        <v>27</v>
      </c>
      <c r="F566" t="s">
        <v>75</v>
      </c>
      <c r="G566" s="1">
        <v>42152</v>
      </c>
      <c r="H566">
        <v>77677</v>
      </c>
      <c r="I566" t="s">
        <v>52</v>
      </c>
      <c r="J566" t="s">
        <v>61</v>
      </c>
      <c r="K566" t="s">
        <v>83</v>
      </c>
      <c r="L566" t="s">
        <v>33</v>
      </c>
      <c r="M566">
        <v>17</v>
      </c>
      <c r="N566" t="s">
        <v>34</v>
      </c>
      <c r="O566">
        <v>3</v>
      </c>
      <c r="P566">
        <v>1</v>
      </c>
      <c r="Q566">
        <v>3</v>
      </c>
      <c r="R566">
        <v>4</v>
      </c>
      <c r="S566">
        <v>0</v>
      </c>
      <c r="T566">
        <v>0</v>
      </c>
      <c r="U566">
        <v>14</v>
      </c>
      <c r="V566" t="s">
        <v>2709</v>
      </c>
      <c r="W566" t="s">
        <v>34</v>
      </c>
      <c r="Y566" s="2" t="str">
        <f>IF(EmployeeData[[#This Row],[Age]]&lt;25,"Under 25",IF(EmployeeData[[#This Row],[Age]]&lt;=34,"25-34",IF(EmployeeData[[#This Row],[Age]]&lt;=44,"35-44",IF(EmployeeData[[#This Row],[Age]]&lt;=54,"45-54","55+"))))</f>
        <v>35-44</v>
      </c>
      <c r="Z566">
        <f ca="1">DATEDIF(EmployeeData[[#This Row],[DateOfJoining]],IF(AND(EmployeeData[[#This Row],[Attrition]]="Yes",EmployeeData[[#This Row],[LastWorkingDate]]&lt;&gt;""),EmployeeData[[#This Row],[LastWorkingDate]],TODAY()),"Y")</f>
        <v>11</v>
      </c>
      <c r="AA566" t="str">
        <f>IF(EmployeeData[[#This Row],[MonthlyIncome]]&lt;30000,"Low",IF(EmployeeData[[#This Row],[MonthlyIncome]]&lt;=60000,"Medium",IF(EmployeeData[[#This Row],[MonthlyIncome]]&lt;=100000,"High","Very High")))</f>
        <v>High</v>
      </c>
      <c r="AB566">
        <f>IF(EmployeeData[[#This Row],[Attrition]]="Yes",1,0)</f>
        <v>0</v>
      </c>
      <c r="AC566" t="str">
        <f ca="1">IF(EmployeeData[[#This Row],[Tenure Years]]&lt;1,"Less than 1 Year",IF(EmployeeData[[#This Row],[Tenure Years]]&lt;=3,"1-3 Years",IF(EmployeeData[[#This Row],[Tenure Years]]&lt;=5,"4-5 Years",IF(EmployeeData[[#This Row],[Tenure Years]]&lt;=10,"6-10 Years","More than 10 Years"))))</f>
        <v>More than 10 Years</v>
      </c>
      <c r="AD566">
        <f>ROUND(AVERAGE(EmployeeData[[#This Row],[JobSatisfaction]],EmployeeData[[#This Row],[EnvironmentSatisfaction]],EmployeeData[[#This Row],[WorkLifeBalance]]),2)</f>
        <v>2.33</v>
      </c>
      <c r="AE566" t="str">
        <f>IF(EmployeeData[[#This Row],[Satisfaction Score]]&lt;2,"Low",IF(EmployeeData[[#This Row],[Satisfaction Score]]&lt;3,"Medium","High"))</f>
        <v>Medium</v>
      </c>
    </row>
    <row r="567" spans="1:31" x14ac:dyDescent="0.25">
      <c r="A567" t="s">
        <v>2710</v>
      </c>
      <c r="B567" t="s">
        <v>2711</v>
      </c>
      <c r="C567" t="s">
        <v>49</v>
      </c>
      <c r="D567">
        <v>38</v>
      </c>
      <c r="E567" t="s">
        <v>94</v>
      </c>
      <c r="F567" t="s">
        <v>356</v>
      </c>
      <c r="G567" s="1">
        <v>44891</v>
      </c>
      <c r="H567">
        <v>53440</v>
      </c>
      <c r="I567" t="s">
        <v>42</v>
      </c>
      <c r="J567" t="s">
        <v>61</v>
      </c>
      <c r="K567" t="s">
        <v>131</v>
      </c>
      <c r="L567" t="s">
        <v>43</v>
      </c>
      <c r="M567">
        <v>44</v>
      </c>
      <c r="N567" t="s">
        <v>34</v>
      </c>
      <c r="O567">
        <v>4</v>
      </c>
      <c r="P567">
        <v>3</v>
      </c>
      <c r="Q567">
        <v>3</v>
      </c>
      <c r="R567">
        <v>3</v>
      </c>
      <c r="S567">
        <v>0</v>
      </c>
      <c r="T567">
        <v>2</v>
      </c>
      <c r="U567">
        <v>16</v>
      </c>
      <c r="V567" t="s">
        <v>2713</v>
      </c>
      <c r="W567" t="s">
        <v>34</v>
      </c>
      <c r="Y567" s="2" t="str">
        <f>IF(EmployeeData[[#This Row],[Age]]&lt;25,"Under 25",IF(EmployeeData[[#This Row],[Age]]&lt;=34,"25-34",IF(EmployeeData[[#This Row],[Age]]&lt;=44,"35-44",IF(EmployeeData[[#This Row],[Age]]&lt;=54,"45-54","55+"))))</f>
        <v>35-44</v>
      </c>
      <c r="Z567">
        <f ca="1">DATEDIF(EmployeeData[[#This Row],[DateOfJoining]],IF(AND(EmployeeData[[#This Row],[Attrition]]="Yes",EmployeeData[[#This Row],[LastWorkingDate]]&lt;&gt;""),EmployeeData[[#This Row],[LastWorkingDate]],TODAY()),"Y")</f>
        <v>3</v>
      </c>
      <c r="AA567" t="str">
        <f>IF(EmployeeData[[#This Row],[MonthlyIncome]]&lt;30000,"Low",IF(EmployeeData[[#This Row],[MonthlyIncome]]&lt;=60000,"Medium",IF(EmployeeData[[#This Row],[MonthlyIncome]]&lt;=100000,"High","Very High")))</f>
        <v>Medium</v>
      </c>
      <c r="AB567">
        <f>IF(EmployeeData[[#This Row],[Attrition]]="Yes",1,0)</f>
        <v>0</v>
      </c>
      <c r="AC567" t="str">
        <f ca="1">IF(EmployeeData[[#This Row],[Tenure Years]]&lt;1,"Less than 1 Year",IF(EmployeeData[[#This Row],[Tenure Years]]&lt;=3,"1-3 Years",IF(EmployeeData[[#This Row],[Tenure Years]]&lt;=5,"4-5 Years",IF(EmployeeData[[#This Row],[Tenure Years]]&lt;=10,"6-10 Years","More than 10 Years"))))</f>
        <v>1-3 Years</v>
      </c>
      <c r="AD567">
        <f>ROUND(AVERAGE(EmployeeData[[#This Row],[JobSatisfaction]],EmployeeData[[#This Row],[EnvironmentSatisfaction]],EmployeeData[[#This Row],[WorkLifeBalance]]),2)</f>
        <v>3.33</v>
      </c>
      <c r="AE567" t="str">
        <f>IF(EmployeeData[[#This Row],[Satisfaction Score]]&lt;2,"Low",IF(EmployeeData[[#This Row],[Satisfaction Score]]&lt;3,"Medium","High"))</f>
        <v>High</v>
      </c>
    </row>
    <row r="568" spans="1:31" x14ac:dyDescent="0.25">
      <c r="A568" t="s">
        <v>2714</v>
      </c>
      <c r="B568" t="s">
        <v>2715</v>
      </c>
      <c r="C568" t="s">
        <v>49</v>
      </c>
      <c r="D568">
        <v>43</v>
      </c>
      <c r="E568" t="s">
        <v>412</v>
      </c>
      <c r="F568" t="s">
        <v>828</v>
      </c>
      <c r="G568" s="1">
        <v>41857</v>
      </c>
      <c r="H568">
        <v>68911</v>
      </c>
      <c r="I568" t="s">
        <v>30</v>
      </c>
      <c r="J568" t="s">
        <v>61</v>
      </c>
      <c r="K568" t="s">
        <v>54</v>
      </c>
      <c r="L568" t="s">
        <v>33</v>
      </c>
      <c r="M568">
        <v>32</v>
      </c>
      <c r="N568" t="s">
        <v>45</v>
      </c>
      <c r="O568">
        <v>1</v>
      </c>
      <c r="P568">
        <v>2</v>
      </c>
      <c r="Q568">
        <v>3</v>
      </c>
      <c r="R568">
        <v>3</v>
      </c>
      <c r="S568">
        <v>3</v>
      </c>
      <c r="T568">
        <v>6</v>
      </c>
      <c r="U568">
        <v>23</v>
      </c>
      <c r="V568" t="s">
        <v>2717</v>
      </c>
      <c r="W568" t="s">
        <v>45</v>
      </c>
      <c r="X568" s="1">
        <v>43308</v>
      </c>
      <c r="Y568" s="2" t="str">
        <f>IF(EmployeeData[[#This Row],[Age]]&lt;25,"Under 25",IF(EmployeeData[[#This Row],[Age]]&lt;=34,"25-34",IF(EmployeeData[[#This Row],[Age]]&lt;=44,"35-44",IF(EmployeeData[[#This Row],[Age]]&lt;=54,"45-54","55+"))))</f>
        <v>35-44</v>
      </c>
      <c r="Z568">
        <f ca="1">DATEDIF(EmployeeData[[#This Row],[DateOfJoining]],IF(AND(EmployeeData[[#This Row],[Attrition]]="Yes",EmployeeData[[#This Row],[LastWorkingDate]]&lt;&gt;""),EmployeeData[[#This Row],[LastWorkingDate]],TODAY()),"Y")</f>
        <v>3</v>
      </c>
      <c r="AA568" t="str">
        <f>IF(EmployeeData[[#This Row],[MonthlyIncome]]&lt;30000,"Low",IF(EmployeeData[[#This Row],[MonthlyIncome]]&lt;=60000,"Medium",IF(EmployeeData[[#This Row],[MonthlyIncome]]&lt;=100000,"High","Very High")))</f>
        <v>High</v>
      </c>
      <c r="AB568">
        <f>IF(EmployeeData[[#This Row],[Attrition]]="Yes",1,0)</f>
        <v>1</v>
      </c>
      <c r="AC568" t="str">
        <f ca="1">IF(EmployeeData[[#This Row],[Tenure Years]]&lt;1,"Less than 1 Year",IF(EmployeeData[[#This Row],[Tenure Years]]&lt;=3,"1-3 Years",IF(EmployeeData[[#This Row],[Tenure Years]]&lt;=5,"4-5 Years",IF(EmployeeData[[#This Row],[Tenure Years]]&lt;=10,"6-10 Years","More than 10 Years"))))</f>
        <v>1-3 Years</v>
      </c>
      <c r="AD568">
        <f>ROUND(AVERAGE(EmployeeData[[#This Row],[JobSatisfaction]],EmployeeData[[#This Row],[EnvironmentSatisfaction]],EmployeeData[[#This Row],[WorkLifeBalance]]),2)</f>
        <v>2</v>
      </c>
      <c r="AE568" t="str">
        <f>IF(EmployeeData[[#This Row],[Satisfaction Score]]&lt;2,"Low",IF(EmployeeData[[#This Row],[Satisfaction Score]]&lt;3,"Medium","High"))</f>
        <v>Medium</v>
      </c>
    </row>
    <row r="569" spans="1:31" x14ac:dyDescent="0.25">
      <c r="A569" t="s">
        <v>2719</v>
      </c>
      <c r="B569" t="s">
        <v>2720</v>
      </c>
      <c r="C569" t="s">
        <v>49</v>
      </c>
      <c r="D569">
        <v>48</v>
      </c>
      <c r="E569" t="s">
        <v>128</v>
      </c>
      <c r="F569" t="s">
        <v>226</v>
      </c>
      <c r="G569" s="1">
        <v>45012</v>
      </c>
      <c r="H569">
        <v>56823</v>
      </c>
      <c r="I569" t="s">
        <v>52</v>
      </c>
      <c r="J569" t="s">
        <v>61</v>
      </c>
      <c r="K569" t="s">
        <v>77</v>
      </c>
      <c r="L569" t="s">
        <v>62</v>
      </c>
      <c r="M569">
        <v>29</v>
      </c>
      <c r="N569" t="s">
        <v>34</v>
      </c>
      <c r="O569">
        <v>3</v>
      </c>
      <c r="P569">
        <v>3</v>
      </c>
      <c r="Q569">
        <v>1</v>
      </c>
      <c r="R569">
        <v>3</v>
      </c>
      <c r="S569">
        <v>2</v>
      </c>
      <c r="T569">
        <v>1</v>
      </c>
      <c r="U569">
        <v>16</v>
      </c>
      <c r="V569" t="s">
        <v>2722</v>
      </c>
      <c r="W569" t="s">
        <v>34</v>
      </c>
      <c r="Y569" s="2" t="str">
        <f>IF(EmployeeData[[#This Row],[Age]]&lt;25,"Under 25",IF(EmployeeData[[#This Row],[Age]]&lt;=34,"25-34",IF(EmployeeData[[#This Row],[Age]]&lt;=44,"35-44",IF(EmployeeData[[#This Row],[Age]]&lt;=54,"45-54","55+"))))</f>
        <v>45-54</v>
      </c>
      <c r="Z569">
        <f ca="1">DATEDIF(EmployeeData[[#This Row],[DateOfJoining]],IF(AND(EmployeeData[[#This Row],[Attrition]]="Yes",EmployeeData[[#This Row],[LastWorkingDate]]&lt;&gt;""),EmployeeData[[#This Row],[LastWorkingDate]],TODAY()),"Y")</f>
        <v>3</v>
      </c>
      <c r="AA569" t="str">
        <f>IF(EmployeeData[[#This Row],[MonthlyIncome]]&lt;30000,"Low",IF(EmployeeData[[#This Row],[MonthlyIncome]]&lt;=60000,"Medium",IF(EmployeeData[[#This Row],[MonthlyIncome]]&lt;=100000,"High","Very High")))</f>
        <v>Medium</v>
      </c>
      <c r="AB569">
        <f>IF(EmployeeData[[#This Row],[Attrition]]="Yes",1,0)</f>
        <v>0</v>
      </c>
      <c r="AC569" t="str">
        <f ca="1">IF(EmployeeData[[#This Row],[Tenure Years]]&lt;1,"Less than 1 Year",IF(EmployeeData[[#This Row],[Tenure Years]]&lt;=3,"1-3 Years",IF(EmployeeData[[#This Row],[Tenure Years]]&lt;=5,"4-5 Years",IF(EmployeeData[[#This Row],[Tenure Years]]&lt;=10,"6-10 Years","More than 10 Years"))))</f>
        <v>1-3 Years</v>
      </c>
      <c r="AD569">
        <f>ROUND(AVERAGE(EmployeeData[[#This Row],[JobSatisfaction]],EmployeeData[[#This Row],[EnvironmentSatisfaction]],EmployeeData[[#This Row],[WorkLifeBalance]]),2)</f>
        <v>2.33</v>
      </c>
      <c r="AE569" t="str">
        <f>IF(EmployeeData[[#This Row],[Satisfaction Score]]&lt;2,"Low",IF(EmployeeData[[#This Row],[Satisfaction Score]]&lt;3,"Medium","High"))</f>
        <v>Medium</v>
      </c>
    </row>
    <row r="570" spans="1:31" x14ac:dyDescent="0.25">
      <c r="A570" t="s">
        <v>2723</v>
      </c>
      <c r="B570" t="s">
        <v>2724</v>
      </c>
      <c r="C570" t="s">
        <v>49</v>
      </c>
      <c r="D570">
        <v>46</v>
      </c>
      <c r="E570" t="s">
        <v>27</v>
      </c>
      <c r="F570" t="s">
        <v>75</v>
      </c>
      <c r="G570" s="1">
        <v>41830</v>
      </c>
      <c r="H570">
        <v>66171</v>
      </c>
      <c r="I570" t="s">
        <v>52</v>
      </c>
      <c r="J570" t="s">
        <v>31</v>
      </c>
      <c r="K570" t="s">
        <v>54</v>
      </c>
      <c r="L570" t="s">
        <v>33</v>
      </c>
      <c r="M570">
        <v>1</v>
      </c>
      <c r="N570" t="s">
        <v>34</v>
      </c>
      <c r="O570">
        <v>2</v>
      </c>
      <c r="P570">
        <v>1</v>
      </c>
      <c r="Q570">
        <v>3</v>
      </c>
      <c r="R570">
        <v>4</v>
      </c>
      <c r="S570">
        <v>3</v>
      </c>
      <c r="T570">
        <v>0</v>
      </c>
      <c r="U570">
        <v>20</v>
      </c>
      <c r="V570" t="s">
        <v>2726</v>
      </c>
      <c r="W570" t="s">
        <v>34</v>
      </c>
      <c r="Y570" s="2" t="str">
        <f>IF(EmployeeData[[#This Row],[Age]]&lt;25,"Under 25",IF(EmployeeData[[#This Row],[Age]]&lt;=34,"25-34",IF(EmployeeData[[#This Row],[Age]]&lt;=44,"35-44",IF(EmployeeData[[#This Row],[Age]]&lt;=54,"45-54","55+"))))</f>
        <v>45-54</v>
      </c>
      <c r="Z570">
        <f ca="1">DATEDIF(EmployeeData[[#This Row],[DateOfJoining]],IF(AND(EmployeeData[[#This Row],[Attrition]]="Yes",EmployeeData[[#This Row],[LastWorkingDate]]&lt;&gt;""),EmployeeData[[#This Row],[LastWorkingDate]],TODAY()),"Y")</f>
        <v>12</v>
      </c>
      <c r="AA570" t="str">
        <f>IF(EmployeeData[[#This Row],[MonthlyIncome]]&lt;30000,"Low",IF(EmployeeData[[#This Row],[MonthlyIncome]]&lt;=60000,"Medium",IF(EmployeeData[[#This Row],[MonthlyIncome]]&lt;=100000,"High","Very High")))</f>
        <v>High</v>
      </c>
      <c r="AB570">
        <f>IF(EmployeeData[[#This Row],[Attrition]]="Yes",1,0)</f>
        <v>0</v>
      </c>
      <c r="AC570" t="str">
        <f ca="1">IF(EmployeeData[[#This Row],[Tenure Years]]&lt;1,"Less than 1 Year",IF(EmployeeData[[#This Row],[Tenure Years]]&lt;=3,"1-3 Years",IF(EmployeeData[[#This Row],[Tenure Years]]&lt;=5,"4-5 Years",IF(EmployeeData[[#This Row],[Tenure Years]]&lt;=10,"6-10 Years","More than 10 Years"))))</f>
        <v>More than 10 Years</v>
      </c>
      <c r="AD570">
        <f>ROUND(AVERAGE(EmployeeData[[#This Row],[JobSatisfaction]],EmployeeData[[#This Row],[EnvironmentSatisfaction]],EmployeeData[[#This Row],[WorkLifeBalance]]),2)</f>
        <v>2</v>
      </c>
      <c r="AE570" t="str">
        <f>IF(EmployeeData[[#This Row],[Satisfaction Score]]&lt;2,"Low",IF(EmployeeData[[#This Row],[Satisfaction Score]]&lt;3,"Medium","High"))</f>
        <v>Medium</v>
      </c>
    </row>
    <row r="571" spans="1:31" x14ac:dyDescent="0.25">
      <c r="A571" t="s">
        <v>2727</v>
      </c>
      <c r="B571" t="s">
        <v>2728</v>
      </c>
      <c r="C571" t="s">
        <v>58</v>
      </c>
      <c r="D571">
        <v>58</v>
      </c>
      <c r="E571" t="s">
        <v>94</v>
      </c>
      <c r="F571" t="s">
        <v>306</v>
      </c>
      <c r="G571" s="1">
        <v>45001</v>
      </c>
      <c r="H571">
        <v>74850</v>
      </c>
      <c r="I571" t="s">
        <v>52</v>
      </c>
      <c r="J571" t="s">
        <v>61</v>
      </c>
      <c r="K571" t="s">
        <v>200</v>
      </c>
      <c r="L571" t="s">
        <v>62</v>
      </c>
      <c r="M571">
        <v>28</v>
      </c>
      <c r="N571" t="s">
        <v>45</v>
      </c>
      <c r="O571">
        <v>2</v>
      </c>
      <c r="P571">
        <v>3</v>
      </c>
      <c r="Q571">
        <v>4</v>
      </c>
      <c r="R571">
        <v>4</v>
      </c>
      <c r="S571">
        <v>4</v>
      </c>
      <c r="T571">
        <v>2</v>
      </c>
      <c r="U571">
        <v>25</v>
      </c>
      <c r="V571" t="s">
        <v>2730</v>
      </c>
      <c r="W571" t="s">
        <v>45</v>
      </c>
      <c r="X571" s="1">
        <v>45038</v>
      </c>
      <c r="Y571" s="2" t="str">
        <f>IF(EmployeeData[[#This Row],[Age]]&lt;25,"Under 25",IF(EmployeeData[[#This Row],[Age]]&lt;=34,"25-34",IF(EmployeeData[[#This Row],[Age]]&lt;=44,"35-44",IF(EmployeeData[[#This Row],[Age]]&lt;=54,"45-54","55+"))))</f>
        <v>55+</v>
      </c>
      <c r="Z571">
        <f ca="1">DATEDIF(EmployeeData[[#This Row],[DateOfJoining]],IF(AND(EmployeeData[[#This Row],[Attrition]]="Yes",EmployeeData[[#This Row],[LastWorkingDate]]&lt;&gt;""),EmployeeData[[#This Row],[LastWorkingDate]],TODAY()),"Y")</f>
        <v>0</v>
      </c>
      <c r="AA571" t="str">
        <f>IF(EmployeeData[[#This Row],[MonthlyIncome]]&lt;30000,"Low",IF(EmployeeData[[#This Row],[MonthlyIncome]]&lt;=60000,"Medium",IF(EmployeeData[[#This Row],[MonthlyIncome]]&lt;=100000,"High","Very High")))</f>
        <v>High</v>
      </c>
      <c r="AB571">
        <f>IF(EmployeeData[[#This Row],[Attrition]]="Yes",1,0)</f>
        <v>1</v>
      </c>
      <c r="AC571" t="str">
        <f ca="1">IF(EmployeeData[[#This Row],[Tenure Years]]&lt;1,"Less than 1 Year",IF(EmployeeData[[#This Row],[Tenure Years]]&lt;=3,"1-3 Years",IF(EmployeeData[[#This Row],[Tenure Years]]&lt;=5,"4-5 Years",IF(EmployeeData[[#This Row],[Tenure Years]]&lt;=10,"6-10 Years","More than 10 Years"))))</f>
        <v>Less than 1 Year</v>
      </c>
      <c r="AD571">
        <f>ROUND(AVERAGE(EmployeeData[[#This Row],[JobSatisfaction]],EmployeeData[[#This Row],[EnvironmentSatisfaction]],EmployeeData[[#This Row],[WorkLifeBalance]]),2)</f>
        <v>3</v>
      </c>
      <c r="AE571" t="str">
        <f>IF(EmployeeData[[#This Row],[Satisfaction Score]]&lt;2,"Low",IF(EmployeeData[[#This Row],[Satisfaction Score]]&lt;3,"Medium","High"))</f>
        <v>High</v>
      </c>
    </row>
    <row r="572" spans="1:31" x14ac:dyDescent="0.25">
      <c r="A572" t="s">
        <v>2732</v>
      </c>
      <c r="B572" t="s">
        <v>2733</v>
      </c>
      <c r="C572" t="s">
        <v>58</v>
      </c>
      <c r="D572">
        <v>19</v>
      </c>
      <c r="E572" t="s">
        <v>27</v>
      </c>
      <c r="F572" t="s">
        <v>50</v>
      </c>
      <c r="G572" s="1">
        <v>44181</v>
      </c>
      <c r="H572">
        <v>123041</v>
      </c>
      <c r="I572" t="s">
        <v>52</v>
      </c>
      <c r="J572" t="s">
        <v>61</v>
      </c>
      <c r="K572" t="s">
        <v>200</v>
      </c>
      <c r="L572" t="s">
        <v>33</v>
      </c>
      <c r="M572">
        <v>45</v>
      </c>
      <c r="N572" t="s">
        <v>45</v>
      </c>
      <c r="O572">
        <v>3</v>
      </c>
      <c r="P572">
        <v>4</v>
      </c>
      <c r="Q572">
        <v>1</v>
      </c>
      <c r="R572">
        <v>2</v>
      </c>
      <c r="S572">
        <v>5</v>
      </c>
      <c r="T572">
        <v>2</v>
      </c>
      <c r="U572">
        <v>23</v>
      </c>
      <c r="V572" t="s">
        <v>2736</v>
      </c>
      <c r="W572" t="s">
        <v>45</v>
      </c>
      <c r="X572" s="1">
        <v>45270</v>
      </c>
      <c r="Y572" s="2" t="str">
        <f>IF(EmployeeData[[#This Row],[Age]]&lt;25,"Under 25",IF(EmployeeData[[#This Row],[Age]]&lt;=34,"25-34",IF(EmployeeData[[#This Row],[Age]]&lt;=44,"35-44",IF(EmployeeData[[#This Row],[Age]]&lt;=54,"45-54","55+"))))</f>
        <v>Under 25</v>
      </c>
      <c r="Z572">
        <f ca="1">DATEDIF(EmployeeData[[#This Row],[DateOfJoining]],IF(AND(EmployeeData[[#This Row],[Attrition]]="Yes",EmployeeData[[#This Row],[LastWorkingDate]]&lt;&gt;""),EmployeeData[[#This Row],[LastWorkingDate]],TODAY()),"Y")</f>
        <v>2</v>
      </c>
      <c r="AA572" t="str">
        <f>IF(EmployeeData[[#This Row],[MonthlyIncome]]&lt;30000,"Low",IF(EmployeeData[[#This Row],[MonthlyIncome]]&lt;=60000,"Medium",IF(EmployeeData[[#This Row],[MonthlyIncome]]&lt;=100000,"High","Very High")))</f>
        <v>Very High</v>
      </c>
      <c r="AB572">
        <f>IF(EmployeeData[[#This Row],[Attrition]]="Yes",1,0)</f>
        <v>1</v>
      </c>
      <c r="AC572" t="str">
        <f ca="1">IF(EmployeeData[[#This Row],[Tenure Years]]&lt;1,"Less than 1 Year",IF(EmployeeData[[#This Row],[Tenure Years]]&lt;=3,"1-3 Years",IF(EmployeeData[[#This Row],[Tenure Years]]&lt;=5,"4-5 Years",IF(EmployeeData[[#This Row],[Tenure Years]]&lt;=10,"6-10 Years","More than 10 Years"))))</f>
        <v>1-3 Years</v>
      </c>
      <c r="AD572">
        <f>ROUND(AVERAGE(EmployeeData[[#This Row],[JobSatisfaction]],EmployeeData[[#This Row],[EnvironmentSatisfaction]],EmployeeData[[#This Row],[WorkLifeBalance]]),2)</f>
        <v>2.67</v>
      </c>
      <c r="AE572" t="str">
        <f>IF(EmployeeData[[#This Row],[Satisfaction Score]]&lt;2,"Low",IF(EmployeeData[[#This Row],[Satisfaction Score]]&lt;3,"Medium","High"))</f>
        <v>Medium</v>
      </c>
    </row>
    <row r="573" spans="1:31" x14ac:dyDescent="0.25">
      <c r="A573" t="s">
        <v>2738</v>
      </c>
      <c r="B573" t="s">
        <v>2739</v>
      </c>
      <c r="C573" t="s">
        <v>49</v>
      </c>
      <c r="D573">
        <v>36</v>
      </c>
      <c r="E573" t="s">
        <v>128</v>
      </c>
      <c r="F573" t="s">
        <v>255</v>
      </c>
      <c r="G573" s="1">
        <v>42199</v>
      </c>
      <c r="H573">
        <v>73964</v>
      </c>
      <c r="I573" t="s">
        <v>52</v>
      </c>
      <c r="J573" t="s">
        <v>61</v>
      </c>
      <c r="K573" t="s">
        <v>32</v>
      </c>
      <c r="L573" t="s">
        <v>33</v>
      </c>
      <c r="M573">
        <v>25</v>
      </c>
      <c r="N573" t="s">
        <v>34</v>
      </c>
      <c r="O573">
        <v>4</v>
      </c>
      <c r="P573">
        <v>3</v>
      </c>
      <c r="Q573">
        <v>4</v>
      </c>
      <c r="R573">
        <v>4</v>
      </c>
      <c r="S573">
        <v>3</v>
      </c>
      <c r="T573">
        <v>0</v>
      </c>
      <c r="U573">
        <v>15</v>
      </c>
      <c r="V573" t="s">
        <v>5459</v>
      </c>
      <c r="W573" t="s">
        <v>34</v>
      </c>
      <c r="Y573" s="2" t="str">
        <f>IF(EmployeeData[[#This Row],[Age]]&lt;25,"Under 25",IF(EmployeeData[[#This Row],[Age]]&lt;=34,"25-34",IF(EmployeeData[[#This Row],[Age]]&lt;=44,"35-44",IF(EmployeeData[[#This Row],[Age]]&lt;=54,"45-54","55+"))))</f>
        <v>35-44</v>
      </c>
      <c r="Z573">
        <f ca="1">DATEDIF(EmployeeData[[#This Row],[DateOfJoining]],IF(AND(EmployeeData[[#This Row],[Attrition]]="Yes",EmployeeData[[#This Row],[LastWorkingDate]]&lt;&gt;""),EmployeeData[[#This Row],[LastWorkingDate]],TODAY()),"Y")</f>
        <v>11</v>
      </c>
      <c r="AA573" t="str">
        <f>IF(EmployeeData[[#This Row],[MonthlyIncome]]&lt;30000,"Low",IF(EmployeeData[[#This Row],[MonthlyIncome]]&lt;=60000,"Medium",IF(EmployeeData[[#This Row],[MonthlyIncome]]&lt;=100000,"High","Very High")))</f>
        <v>High</v>
      </c>
      <c r="AB573">
        <f>IF(EmployeeData[[#This Row],[Attrition]]="Yes",1,0)</f>
        <v>0</v>
      </c>
      <c r="AC573" t="str">
        <f ca="1">IF(EmployeeData[[#This Row],[Tenure Years]]&lt;1,"Less than 1 Year",IF(EmployeeData[[#This Row],[Tenure Years]]&lt;=3,"1-3 Years",IF(EmployeeData[[#This Row],[Tenure Years]]&lt;=5,"4-5 Years",IF(EmployeeData[[#This Row],[Tenure Years]]&lt;=10,"6-10 Years","More than 10 Years"))))</f>
        <v>More than 10 Years</v>
      </c>
      <c r="AD573">
        <f>ROUND(AVERAGE(EmployeeData[[#This Row],[JobSatisfaction]],EmployeeData[[#This Row],[EnvironmentSatisfaction]],EmployeeData[[#This Row],[WorkLifeBalance]]),2)</f>
        <v>3.67</v>
      </c>
      <c r="AE573" t="str">
        <f>IF(EmployeeData[[#This Row],[Satisfaction Score]]&lt;2,"Low",IF(EmployeeData[[#This Row],[Satisfaction Score]]&lt;3,"Medium","High"))</f>
        <v>High</v>
      </c>
    </row>
    <row r="574" spans="1:31" x14ac:dyDescent="0.25">
      <c r="A574" t="s">
        <v>2741</v>
      </c>
      <c r="B574" t="s">
        <v>2742</v>
      </c>
      <c r="C574" t="s">
        <v>49</v>
      </c>
      <c r="D574">
        <v>44</v>
      </c>
      <c r="E574" t="s">
        <v>128</v>
      </c>
      <c r="F574" t="s">
        <v>226</v>
      </c>
      <c r="G574" s="1">
        <v>40958</v>
      </c>
      <c r="H574">
        <v>53602</v>
      </c>
      <c r="I574" t="s">
        <v>52</v>
      </c>
      <c r="J574" t="s">
        <v>31</v>
      </c>
      <c r="K574" t="s">
        <v>167</v>
      </c>
      <c r="L574" t="s">
        <v>43</v>
      </c>
      <c r="M574">
        <v>37</v>
      </c>
      <c r="N574" t="s">
        <v>34</v>
      </c>
      <c r="O574">
        <v>2</v>
      </c>
      <c r="P574">
        <v>3</v>
      </c>
      <c r="Q574">
        <v>2</v>
      </c>
      <c r="R574">
        <v>3</v>
      </c>
      <c r="S574">
        <v>1</v>
      </c>
      <c r="T574">
        <v>1</v>
      </c>
      <c r="U574">
        <v>14</v>
      </c>
      <c r="V574" t="s">
        <v>2744</v>
      </c>
      <c r="W574" t="s">
        <v>34</v>
      </c>
      <c r="Y574" s="2" t="str">
        <f>IF(EmployeeData[[#This Row],[Age]]&lt;25,"Under 25",IF(EmployeeData[[#This Row],[Age]]&lt;=34,"25-34",IF(EmployeeData[[#This Row],[Age]]&lt;=44,"35-44",IF(EmployeeData[[#This Row],[Age]]&lt;=54,"45-54","55+"))))</f>
        <v>35-44</v>
      </c>
      <c r="Z574">
        <f ca="1">DATEDIF(EmployeeData[[#This Row],[DateOfJoining]],IF(AND(EmployeeData[[#This Row],[Attrition]]="Yes",EmployeeData[[#This Row],[LastWorkingDate]]&lt;&gt;""),EmployeeData[[#This Row],[LastWorkingDate]],TODAY()),"Y")</f>
        <v>14</v>
      </c>
      <c r="AA574" t="str">
        <f>IF(EmployeeData[[#This Row],[MonthlyIncome]]&lt;30000,"Low",IF(EmployeeData[[#This Row],[MonthlyIncome]]&lt;=60000,"Medium",IF(EmployeeData[[#This Row],[MonthlyIncome]]&lt;=100000,"High","Very High")))</f>
        <v>Medium</v>
      </c>
      <c r="AB574">
        <f>IF(EmployeeData[[#This Row],[Attrition]]="Yes",1,0)</f>
        <v>0</v>
      </c>
      <c r="AC574" t="str">
        <f ca="1">IF(EmployeeData[[#This Row],[Tenure Years]]&lt;1,"Less than 1 Year",IF(EmployeeData[[#This Row],[Tenure Years]]&lt;=3,"1-3 Years",IF(EmployeeData[[#This Row],[Tenure Years]]&lt;=5,"4-5 Years",IF(EmployeeData[[#This Row],[Tenure Years]]&lt;=10,"6-10 Years","More than 10 Years"))))</f>
        <v>More than 10 Years</v>
      </c>
      <c r="AD574">
        <f>ROUND(AVERAGE(EmployeeData[[#This Row],[JobSatisfaction]],EmployeeData[[#This Row],[EnvironmentSatisfaction]],EmployeeData[[#This Row],[WorkLifeBalance]]),2)</f>
        <v>2.33</v>
      </c>
      <c r="AE574" t="str">
        <f>IF(EmployeeData[[#This Row],[Satisfaction Score]]&lt;2,"Low",IF(EmployeeData[[#This Row],[Satisfaction Score]]&lt;3,"Medium","High"))</f>
        <v>Medium</v>
      </c>
    </row>
    <row r="575" spans="1:31" x14ac:dyDescent="0.25">
      <c r="A575" t="s">
        <v>2745</v>
      </c>
      <c r="B575" t="s">
        <v>2746</v>
      </c>
      <c r="C575" t="s">
        <v>49</v>
      </c>
      <c r="D575">
        <v>45</v>
      </c>
      <c r="E575" t="s">
        <v>197</v>
      </c>
      <c r="F575" t="s">
        <v>323</v>
      </c>
      <c r="G575" s="1">
        <v>45483</v>
      </c>
      <c r="H575">
        <v>66310</v>
      </c>
      <c r="I575" t="s">
        <v>42</v>
      </c>
      <c r="J575" t="s">
        <v>61</v>
      </c>
      <c r="K575" t="s">
        <v>131</v>
      </c>
      <c r="L575" t="s">
        <v>33</v>
      </c>
      <c r="M575">
        <v>24</v>
      </c>
      <c r="N575" t="s">
        <v>34</v>
      </c>
      <c r="O575">
        <v>1</v>
      </c>
      <c r="P575">
        <v>2</v>
      </c>
      <c r="Q575">
        <v>3</v>
      </c>
      <c r="R575">
        <v>3</v>
      </c>
      <c r="S575">
        <v>6</v>
      </c>
      <c r="T575">
        <v>0</v>
      </c>
      <c r="U575">
        <v>18</v>
      </c>
      <c r="V575" t="s">
        <v>2748</v>
      </c>
      <c r="W575" t="s">
        <v>34</v>
      </c>
      <c r="Y575" s="2" t="str">
        <f>IF(EmployeeData[[#This Row],[Age]]&lt;25,"Under 25",IF(EmployeeData[[#This Row],[Age]]&lt;=34,"25-34",IF(EmployeeData[[#This Row],[Age]]&lt;=44,"35-44",IF(EmployeeData[[#This Row],[Age]]&lt;=54,"45-54","55+"))))</f>
        <v>45-54</v>
      </c>
      <c r="Z575">
        <f ca="1">DATEDIF(EmployeeData[[#This Row],[DateOfJoining]],IF(AND(EmployeeData[[#This Row],[Attrition]]="Yes",EmployeeData[[#This Row],[LastWorkingDate]]&lt;&gt;""),EmployeeData[[#This Row],[LastWorkingDate]],TODAY()),"Y")</f>
        <v>2</v>
      </c>
      <c r="AA575" t="str">
        <f>IF(EmployeeData[[#This Row],[MonthlyIncome]]&lt;30000,"Low",IF(EmployeeData[[#This Row],[MonthlyIncome]]&lt;=60000,"Medium",IF(EmployeeData[[#This Row],[MonthlyIncome]]&lt;=100000,"High","Very High")))</f>
        <v>High</v>
      </c>
      <c r="AB575">
        <f>IF(EmployeeData[[#This Row],[Attrition]]="Yes",1,0)</f>
        <v>0</v>
      </c>
      <c r="AC575" t="str">
        <f ca="1">IF(EmployeeData[[#This Row],[Tenure Years]]&lt;1,"Less than 1 Year",IF(EmployeeData[[#This Row],[Tenure Years]]&lt;=3,"1-3 Years",IF(EmployeeData[[#This Row],[Tenure Years]]&lt;=5,"4-5 Years",IF(EmployeeData[[#This Row],[Tenure Years]]&lt;=10,"6-10 Years","More than 10 Years"))))</f>
        <v>1-3 Years</v>
      </c>
      <c r="AD575">
        <f>ROUND(AVERAGE(EmployeeData[[#This Row],[JobSatisfaction]],EmployeeData[[#This Row],[EnvironmentSatisfaction]],EmployeeData[[#This Row],[WorkLifeBalance]]),2)</f>
        <v>2</v>
      </c>
      <c r="AE575" t="str">
        <f>IF(EmployeeData[[#This Row],[Satisfaction Score]]&lt;2,"Low",IF(EmployeeData[[#This Row],[Satisfaction Score]]&lt;3,"Medium","High"))</f>
        <v>Medium</v>
      </c>
    </row>
    <row r="576" spans="1:31" x14ac:dyDescent="0.25">
      <c r="A576" t="s">
        <v>2749</v>
      </c>
      <c r="B576" t="s">
        <v>2750</v>
      </c>
      <c r="C576" t="s">
        <v>49</v>
      </c>
      <c r="D576">
        <v>19</v>
      </c>
      <c r="E576" t="s">
        <v>27</v>
      </c>
      <c r="F576" t="s">
        <v>50</v>
      </c>
      <c r="G576" s="1">
        <v>44517</v>
      </c>
      <c r="H576">
        <v>53825</v>
      </c>
      <c r="I576" t="s">
        <v>42</v>
      </c>
      <c r="J576" t="s">
        <v>31</v>
      </c>
      <c r="K576" t="s">
        <v>32</v>
      </c>
      <c r="L576" t="s">
        <v>62</v>
      </c>
      <c r="M576">
        <v>34</v>
      </c>
      <c r="N576" t="s">
        <v>34</v>
      </c>
      <c r="O576">
        <v>3</v>
      </c>
      <c r="P576">
        <v>4</v>
      </c>
      <c r="Q576">
        <v>4</v>
      </c>
      <c r="R576">
        <v>5</v>
      </c>
      <c r="S576">
        <v>3</v>
      </c>
      <c r="T576">
        <v>1</v>
      </c>
      <c r="U576">
        <v>18</v>
      </c>
      <c r="V576" t="s">
        <v>2753</v>
      </c>
      <c r="W576" t="s">
        <v>34</v>
      </c>
      <c r="Y576" s="2" t="str">
        <f>IF(EmployeeData[[#This Row],[Age]]&lt;25,"Under 25",IF(EmployeeData[[#This Row],[Age]]&lt;=34,"25-34",IF(EmployeeData[[#This Row],[Age]]&lt;=44,"35-44",IF(EmployeeData[[#This Row],[Age]]&lt;=54,"45-54","55+"))))</f>
        <v>Under 25</v>
      </c>
      <c r="Z576">
        <f ca="1">DATEDIF(EmployeeData[[#This Row],[DateOfJoining]],IF(AND(EmployeeData[[#This Row],[Attrition]]="Yes",EmployeeData[[#This Row],[LastWorkingDate]]&lt;&gt;""),EmployeeData[[#This Row],[LastWorkingDate]],TODAY()),"Y")</f>
        <v>4</v>
      </c>
      <c r="AA576" t="str">
        <f>IF(EmployeeData[[#This Row],[MonthlyIncome]]&lt;30000,"Low",IF(EmployeeData[[#This Row],[MonthlyIncome]]&lt;=60000,"Medium",IF(EmployeeData[[#This Row],[MonthlyIncome]]&lt;=100000,"High","Very High")))</f>
        <v>Medium</v>
      </c>
      <c r="AB576">
        <f>IF(EmployeeData[[#This Row],[Attrition]]="Yes",1,0)</f>
        <v>0</v>
      </c>
      <c r="AC576" t="str">
        <f ca="1">IF(EmployeeData[[#This Row],[Tenure Years]]&lt;1,"Less than 1 Year",IF(EmployeeData[[#This Row],[Tenure Years]]&lt;=3,"1-3 Years",IF(EmployeeData[[#This Row],[Tenure Years]]&lt;=5,"4-5 Years",IF(EmployeeData[[#This Row],[Tenure Years]]&lt;=10,"6-10 Years","More than 10 Years"))))</f>
        <v>4-5 Years</v>
      </c>
      <c r="AD576">
        <f>ROUND(AVERAGE(EmployeeData[[#This Row],[JobSatisfaction]],EmployeeData[[#This Row],[EnvironmentSatisfaction]],EmployeeData[[#This Row],[WorkLifeBalance]]),2)</f>
        <v>3.67</v>
      </c>
      <c r="AE576" t="str">
        <f>IF(EmployeeData[[#This Row],[Satisfaction Score]]&lt;2,"Low",IF(EmployeeData[[#This Row],[Satisfaction Score]]&lt;3,"Medium","High"))</f>
        <v>High</v>
      </c>
    </row>
    <row r="577" spans="1:31" x14ac:dyDescent="0.25">
      <c r="A577" t="s">
        <v>2754</v>
      </c>
      <c r="B577" t="s">
        <v>2755</v>
      </c>
      <c r="C577" t="s">
        <v>49</v>
      </c>
      <c r="D577">
        <v>23</v>
      </c>
      <c r="E577" t="s">
        <v>412</v>
      </c>
      <c r="F577" t="s">
        <v>828</v>
      </c>
      <c r="G577" s="1">
        <v>43162</v>
      </c>
      <c r="H577">
        <v>56461</v>
      </c>
      <c r="I577" t="s">
        <v>52</v>
      </c>
      <c r="J577" t="s">
        <v>31</v>
      </c>
      <c r="K577" t="s">
        <v>98</v>
      </c>
      <c r="L577" t="s">
        <v>62</v>
      </c>
      <c r="M577">
        <v>45</v>
      </c>
      <c r="N577" t="s">
        <v>45</v>
      </c>
      <c r="O577">
        <v>3</v>
      </c>
      <c r="P577">
        <v>3</v>
      </c>
      <c r="Q577">
        <v>4</v>
      </c>
      <c r="R577">
        <v>5</v>
      </c>
      <c r="S577">
        <v>1</v>
      </c>
      <c r="T577">
        <v>0</v>
      </c>
      <c r="U577">
        <v>16</v>
      </c>
      <c r="V577" t="s">
        <v>2757</v>
      </c>
      <c r="W577" t="s">
        <v>34</v>
      </c>
      <c r="Y577" s="2" t="str">
        <f>IF(EmployeeData[[#This Row],[Age]]&lt;25,"Under 25",IF(EmployeeData[[#This Row],[Age]]&lt;=34,"25-34",IF(EmployeeData[[#This Row],[Age]]&lt;=44,"35-44",IF(EmployeeData[[#This Row],[Age]]&lt;=54,"45-54","55+"))))</f>
        <v>Under 25</v>
      </c>
      <c r="Z577">
        <f ca="1">DATEDIF(EmployeeData[[#This Row],[DateOfJoining]],IF(AND(EmployeeData[[#This Row],[Attrition]]="Yes",EmployeeData[[#This Row],[LastWorkingDate]]&lt;&gt;""),EmployeeData[[#This Row],[LastWorkingDate]],TODAY()),"Y")</f>
        <v>8</v>
      </c>
      <c r="AA577" t="str">
        <f>IF(EmployeeData[[#This Row],[MonthlyIncome]]&lt;30000,"Low",IF(EmployeeData[[#This Row],[MonthlyIncome]]&lt;=60000,"Medium",IF(EmployeeData[[#This Row],[MonthlyIncome]]&lt;=100000,"High","Very High")))</f>
        <v>Medium</v>
      </c>
      <c r="AB577">
        <f>IF(EmployeeData[[#This Row],[Attrition]]="Yes",1,0)</f>
        <v>0</v>
      </c>
      <c r="AC577" t="str">
        <f ca="1">IF(EmployeeData[[#This Row],[Tenure Years]]&lt;1,"Less than 1 Year",IF(EmployeeData[[#This Row],[Tenure Years]]&lt;=3,"1-3 Years",IF(EmployeeData[[#This Row],[Tenure Years]]&lt;=5,"4-5 Years",IF(EmployeeData[[#This Row],[Tenure Years]]&lt;=10,"6-10 Years","More than 10 Years"))))</f>
        <v>6-10 Years</v>
      </c>
      <c r="AD577">
        <f>ROUND(AVERAGE(EmployeeData[[#This Row],[JobSatisfaction]],EmployeeData[[#This Row],[EnvironmentSatisfaction]],EmployeeData[[#This Row],[WorkLifeBalance]]),2)</f>
        <v>3.33</v>
      </c>
      <c r="AE577" t="str">
        <f>IF(EmployeeData[[#This Row],[Satisfaction Score]]&lt;2,"Low",IF(EmployeeData[[#This Row],[Satisfaction Score]]&lt;3,"Medium","High"))</f>
        <v>High</v>
      </c>
    </row>
    <row r="578" spans="1:31" x14ac:dyDescent="0.25">
      <c r="A578" t="s">
        <v>2758</v>
      </c>
      <c r="B578" t="s">
        <v>2759</v>
      </c>
      <c r="C578" t="s">
        <v>58</v>
      </c>
      <c r="D578">
        <v>30</v>
      </c>
      <c r="E578" t="s">
        <v>128</v>
      </c>
      <c r="F578" t="s">
        <v>123</v>
      </c>
      <c r="G578" s="1">
        <v>43012</v>
      </c>
      <c r="H578">
        <v>47255</v>
      </c>
      <c r="I578" t="s">
        <v>52</v>
      </c>
      <c r="J578" t="s">
        <v>61</v>
      </c>
      <c r="K578" t="s">
        <v>200</v>
      </c>
      <c r="L578" t="s">
        <v>33</v>
      </c>
      <c r="M578">
        <v>25</v>
      </c>
      <c r="N578" t="s">
        <v>45</v>
      </c>
      <c r="O578">
        <v>4</v>
      </c>
      <c r="P578">
        <v>2</v>
      </c>
      <c r="Q578">
        <v>3</v>
      </c>
      <c r="R578">
        <v>3</v>
      </c>
      <c r="S578">
        <v>3</v>
      </c>
      <c r="T578">
        <v>3</v>
      </c>
      <c r="U578">
        <v>17</v>
      </c>
      <c r="V578" t="s">
        <v>2761</v>
      </c>
      <c r="W578" t="s">
        <v>34</v>
      </c>
      <c r="Y578" s="2" t="str">
        <f>IF(EmployeeData[[#This Row],[Age]]&lt;25,"Under 25",IF(EmployeeData[[#This Row],[Age]]&lt;=34,"25-34",IF(EmployeeData[[#This Row],[Age]]&lt;=44,"35-44",IF(EmployeeData[[#This Row],[Age]]&lt;=54,"45-54","55+"))))</f>
        <v>25-34</v>
      </c>
      <c r="Z578">
        <f ca="1">DATEDIF(EmployeeData[[#This Row],[DateOfJoining]],IF(AND(EmployeeData[[#This Row],[Attrition]]="Yes",EmployeeData[[#This Row],[LastWorkingDate]]&lt;&gt;""),EmployeeData[[#This Row],[LastWorkingDate]],TODAY()),"Y")</f>
        <v>8</v>
      </c>
      <c r="AA578" t="str">
        <f>IF(EmployeeData[[#This Row],[MonthlyIncome]]&lt;30000,"Low",IF(EmployeeData[[#This Row],[MonthlyIncome]]&lt;=60000,"Medium",IF(EmployeeData[[#This Row],[MonthlyIncome]]&lt;=100000,"High","Very High")))</f>
        <v>Medium</v>
      </c>
      <c r="AB578">
        <f>IF(EmployeeData[[#This Row],[Attrition]]="Yes",1,0)</f>
        <v>0</v>
      </c>
      <c r="AC578" t="str">
        <f ca="1">IF(EmployeeData[[#This Row],[Tenure Years]]&lt;1,"Less than 1 Year",IF(EmployeeData[[#This Row],[Tenure Years]]&lt;=3,"1-3 Years",IF(EmployeeData[[#This Row],[Tenure Years]]&lt;=5,"4-5 Years",IF(EmployeeData[[#This Row],[Tenure Years]]&lt;=10,"6-10 Years","More than 10 Years"))))</f>
        <v>6-10 Years</v>
      </c>
      <c r="AD578">
        <f>ROUND(AVERAGE(EmployeeData[[#This Row],[JobSatisfaction]],EmployeeData[[#This Row],[EnvironmentSatisfaction]],EmployeeData[[#This Row],[WorkLifeBalance]]),2)</f>
        <v>3</v>
      </c>
      <c r="AE578" t="str">
        <f>IF(EmployeeData[[#This Row],[Satisfaction Score]]&lt;2,"Low",IF(EmployeeData[[#This Row],[Satisfaction Score]]&lt;3,"Medium","High"))</f>
        <v>High</v>
      </c>
    </row>
    <row r="579" spans="1:31" x14ac:dyDescent="0.25">
      <c r="A579" t="s">
        <v>2762</v>
      </c>
      <c r="B579" t="s">
        <v>2763</v>
      </c>
      <c r="C579" t="s">
        <v>49</v>
      </c>
      <c r="D579">
        <v>40</v>
      </c>
      <c r="E579" t="s">
        <v>5461</v>
      </c>
      <c r="F579" t="s">
        <v>89</v>
      </c>
      <c r="G579" s="1">
        <v>43776</v>
      </c>
      <c r="H579">
        <v>100840</v>
      </c>
      <c r="I579" t="s">
        <v>42</v>
      </c>
      <c r="J579" t="s">
        <v>143</v>
      </c>
      <c r="K579" t="s">
        <v>113</v>
      </c>
      <c r="L579" t="s">
        <v>43</v>
      </c>
      <c r="M579">
        <v>20</v>
      </c>
      <c r="N579" t="s">
        <v>34</v>
      </c>
      <c r="O579">
        <v>4</v>
      </c>
      <c r="P579">
        <v>4</v>
      </c>
      <c r="Q579">
        <v>2</v>
      </c>
      <c r="R579">
        <v>4</v>
      </c>
      <c r="S579">
        <v>5</v>
      </c>
      <c r="T579">
        <v>2</v>
      </c>
      <c r="U579">
        <v>19</v>
      </c>
      <c r="V579" t="s">
        <v>2765</v>
      </c>
      <c r="W579" t="s">
        <v>34</v>
      </c>
      <c r="Y579" s="2" t="str">
        <f>IF(EmployeeData[[#This Row],[Age]]&lt;25,"Under 25",IF(EmployeeData[[#This Row],[Age]]&lt;=34,"25-34",IF(EmployeeData[[#This Row],[Age]]&lt;=44,"35-44",IF(EmployeeData[[#This Row],[Age]]&lt;=54,"45-54","55+"))))</f>
        <v>35-44</v>
      </c>
      <c r="Z579">
        <f ca="1">DATEDIF(EmployeeData[[#This Row],[DateOfJoining]],IF(AND(EmployeeData[[#This Row],[Attrition]]="Yes",EmployeeData[[#This Row],[LastWorkingDate]]&lt;&gt;""),EmployeeData[[#This Row],[LastWorkingDate]],TODAY()),"Y")</f>
        <v>6</v>
      </c>
      <c r="AA579" t="str">
        <f>IF(EmployeeData[[#This Row],[MonthlyIncome]]&lt;30000,"Low",IF(EmployeeData[[#This Row],[MonthlyIncome]]&lt;=60000,"Medium",IF(EmployeeData[[#This Row],[MonthlyIncome]]&lt;=100000,"High","Very High")))</f>
        <v>Very High</v>
      </c>
      <c r="AB579">
        <f>IF(EmployeeData[[#This Row],[Attrition]]="Yes",1,0)</f>
        <v>0</v>
      </c>
      <c r="AC579" t="str">
        <f ca="1">IF(EmployeeData[[#This Row],[Tenure Years]]&lt;1,"Less than 1 Year",IF(EmployeeData[[#This Row],[Tenure Years]]&lt;=3,"1-3 Years",IF(EmployeeData[[#This Row],[Tenure Years]]&lt;=5,"4-5 Years",IF(EmployeeData[[#This Row],[Tenure Years]]&lt;=10,"6-10 Years","More than 10 Years"))))</f>
        <v>6-10 Years</v>
      </c>
      <c r="AD579">
        <f>ROUND(AVERAGE(EmployeeData[[#This Row],[JobSatisfaction]],EmployeeData[[#This Row],[EnvironmentSatisfaction]],EmployeeData[[#This Row],[WorkLifeBalance]]),2)</f>
        <v>3.33</v>
      </c>
      <c r="AE579" t="str">
        <f>IF(EmployeeData[[#This Row],[Satisfaction Score]]&lt;2,"Low",IF(EmployeeData[[#This Row],[Satisfaction Score]]&lt;3,"Medium","High"))</f>
        <v>High</v>
      </c>
    </row>
    <row r="580" spans="1:31" x14ac:dyDescent="0.25">
      <c r="A580" t="s">
        <v>2766</v>
      </c>
      <c r="B580" t="s">
        <v>2767</v>
      </c>
      <c r="C580" t="s">
        <v>58</v>
      </c>
      <c r="D580">
        <v>29</v>
      </c>
      <c r="E580" t="s">
        <v>128</v>
      </c>
      <c r="F580" t="s">
        <v>255</v>
      </c>
      <c r="G580" s="1">
        <v>45371</v>
      </c>
      <c r="H580">
        <v>51584</v>
      </c>
      <c r="I580" t="s">
        <v>52</v>
      </c>
      <c r="J580" t="s">
        <v>5459</v>
      </c>
      <c r="K580" t="s">
        <v>98</v>
      </c>
      <c r="L580" t="s">
        <v>33</v>
      </c>
      <c r="M580">
        <v>11</v>
      </c>
      <c r="N580" t="s">
        <v>45</v>
      </c>
      <c r="O580">
        <v>3</v>
      </c>
      <c r="P580">
        <v>2</v>
      </c>
      <c r="Q580">
        <v>4</v>
      </c>
      <c r="R580">
        <v>4</v>
      </c>
      <c r="S580">
        <v>3</v>
      </c>
      <c r="T580">
        <v>8</v>
      </c>
      <c r="U580">
        <v>14</v>
      </c>
      <c r="V580" t="s">
        <v>2770</v>
      </c>
      <c r="W580" t="s">
        <v>34</v>
      </c>
      <c r="Y580" s="2" t="str">
        <f>IF(EmployeeData[[#This Row],[Age]]&lt;25,"Under 25",IF(EmployeeData[[#This Row],[Age]]&lt;=34,"25-34",IF(EmployeeData[[#This Row],[Age]]&lt;=44,"35-44",IF(EmployeeData[[#This Row],[Age]]&lt;=54,"45-54","55+"))))</f>
        <v>25-34</v>
      </c>
      <c r="Z580">
        <f ca="1">DATEDIF(EmployeeData[[#This Row],[DateOfJoining]],IF(AND(EmployeeData[[#This Row],[Attrition]]="Yes",EmployeeData[[#This Row],[LastWorkingDate]]&lt;&gt;""),EmployeeData[[#This Row],[LastWorkingDate]],TODAY()),"Y")</f>
        <v>2</v>
      </c>
      <c r="AA580" t="str">
        <f>IF(EmployeeData[[#This Row],[MonthlyIncome]]&lt;30000,"Low",IF(EmployeeData[[#This Row],[MonthlyIncome]]&lt;=60000,"Medium",IF(EmployeeData[[#This Row],[MonthlyIncome]]&lt;=100000,"High","Very High")))</f>
        <v>Medium</v>
      </c>
      <c r="AB580">
        <f>IF(EmployeeData[[#This Row],[Attrition]]="Yes",1,0)</f>
        <v>0</v>
      </c>
      <c r="AC580" t="str">
        <f ca="1">IF(EmployeeData[[#This Row],[Tenure Years]]&lt;1,"Less than 1 Year",IF(EmployeeData[[#This Row],[Tenure Years]]&lt;=3,"1-3 Years",IF(EmployeeData[[#This Row],[Tenure Years]]&lt;=5,"4-5 Years",IF(EmployeeData[[#This Row],[Tenure Years]]&lt;=10,"6-10 Years","More than 10 Years"))))</f>
        <v>1-3 Years</v>
      </c>
      <c r="AD580">
        <f>ROUND(AVERAGE(EmployeeData[[#This Row],[JobSatisfaction]],EmployeeData[[#This Row],[EnvironmentSatisfaction]],EmployeeData[[#This Row],[WorkLifeBalance]]),2)</f>
        <v>3</v>
      </c>
      <c r="AE580" t="str">
        <f>IF(EmployeeData[[#This Row],[Satisfaction Score]]&lt;2,"Low",IF(EmployeeData[[#This Row],[Satisfaction Score]]&lt;3,"Medium","High"))</f>
        <v>High</v>
      </c>
    </row>
    <row r="581" spans="1:31" x14ac:dyDescent="0.25">
      <c r="A581" t="s">
        <v>2771</v>
      </c>
      <c r="B581" t="s">
        <v>2772</v>
      </c>
      <c r="C581" t="s">
        <v>49</v>
      </c>
      <c r="D581">
        <v>50</v>
      </c>
      <c r="E581" t="s">
        <v>412</v>
      </c>
      <c r="F581" t="s">
        <v>1093</v>
      </c>
      <c r="G581" s="1">
        <v>42137</v>
      </c>
      <c r="H581">
        <v>47315</v>
      </c>
      <c r="I581" t="s">
        <v>52</v>
      </c>
      <c r="J581" t="s">
        <v>31</v>
      </c>
      <c r="K581" t="s">
        <v>167</v>
      </c>
      <c r="L581" t="s">
        <v>43</v>
      </c>
      <c r="M581">
        <v>13</v>
      </c>
      <c r="N581" t="s">
        <v>34</v>
      </c>
      <c r="O581">
        <v>3</v>
      </c>
      <c r="P581">
        <v>2</v>
      </c>
      <c r="Q581">
        <v>3</v>
      </c>
      <c r="R581">
        <v>2</v>
      </c>
      <c r="S581">
        <v>5</v>
      </c>
      <c r="T581">
        <v>0</v>
      </c>
      <c r="U581">
        <v>15</v>
      </c>
      <c r="V581" t="s">
        <v>2775</v>
      </c>
      <c r="W581" t="s">
        <v>34</v>
      </c>
      <c r="Y581" s="2" t="str">
        <f>IF(EmployeeData[[#This Row],[Age]]&lt;25,"Under 25",IF(EmployeeData[[#This Row],[Age]]&lt;=34,"25-34",IF(EmployeeData[[#This Row],[Age]]&lt;=44,"35-44",IF(EmployeeData[[#This Row],[Age]]&lt;=54,"45-54","55+"))))</f>
        <v>45-54</v>
      </c>
      <c r="Z581">
        <f ca="1">DATEDIF(EmployeeData[[#This Row],[DateOfJoining]],IF(AND(EmployeeData[[#This Row],[Attrition]]="Yes",EmployeeData[[#This Row],[LastWorkingDate]]&lt;&gt;""),EmployeeData[[#This Row],[LastWorkingDate]],TODAY()),"Y")</f>
        <v>11</v>
      </c>
      <c r="AA581" t="str">
        <f>IF(EmployeeData[[#This Row],[MonthlyIncome]]&lt;30000,"Low",IF(EmployeeData[[#This Row],[MonthlyIncome]]&lt;=60000,"Medium",IF(EmployeeData[[#This Row],[MonthlyIncome]]&lt;=100000,"High","Very High")))</f>
        <v>Medium</v>
      </c>
      <c r="AB581">
        <f>IF(EmployeeData[[#This Row],[Attrition]]="Yes",1,0)</f>
        <v>0</v>
      </c>
      <c r="AC581" t="str">
        <f ca="1">IF(EmployeeData[[#This Row],[Tenure Years]]&lt;1,"Less than 1 Year",IF(EmployeeData[[#This Row],[Tenure Years]]&lt;=3,"1-3 Years",IF(EmployeeData[[#This Row],[Tenure Years]]&lt;=5,"4-5 Years",IF(EmployeeData[[#This Row],[Tenure Years]]&lt;=10,"6-10 Years","More than 10 Years"))))</f>
        <v>More than 10 Years</v>
      </c>
      <c r="AD581">
        <f>ROUND(AVERAGE(EmployeeData[[#This Row],[JobSatisfaction]],EmployeeData[[#This Row],[EnvironmentSatisfaction]],EmployeeData[[#This Row],[WorkLifeBalance]]),2)</f>
        <v>2.67</v>
      </c>
      <c r="AE581" t="str">
        <f>IF(EmployeeData[[#This Row],[Satisfaction Score]]&lt;2,"Low",IF(EmployeeData[[#This Row],[Satisfaction Score]]&lt;3,"Medium","High"))</f>
        <v>Medium</v>
      </c>
    </row>
    <row r="582" spans="1:31" x14ac:dyDescent="0.25">
      <c r="A582" t="s">
        <v>2776</v>
      </c>
      <c r="B582" t="s">
        <v>2777</v>
      </c>
      <c r="C582" t="s">
        <v>58</v>
      </c>
      <c r="D582">
        <v>33</v>
      </c>
      <c r="E582" t="s">
        <v>128</v>
      </c>
      <c r="F582" t="s">
        <v>271</v>
      </c>
      <c r="G582" s="1">
        <v>42667</v>
      </c>
      <c r="H582">
        <v>71864</v>
      </c>
      <c r="I582" t="s">
        <v>42</v>
      </c>
      <c r="J582" t="s">
        <v>61</v>
      </c>
      <c r="K582" t="s">
        <v>98</v>
      </c>
      <c r="L582" t="s">
        <v>43</v>
      </c>
      <c r="M582">
        <v>5</v>
      </c>
      <c r="N582" t="s">
        <v>34</v>
      </c>
      <c r="O582">
        <v>2</v>
      </c>
      <c r="P582">
        <v>3</v>
      </c>
      <c r="Q582">
        <v>4</v>
      </c>
      <c r="R582">
        <v>3</v>
      </c>
      <c r="S582">
        <v>5</v>
      </c>
      <c r="T582">
        <v>2</v>
      </c>
      <c r="U582">
        <v>25</v>
      </c>
      <c r="V582" t="s">
        <v>2779</v>
      </c>
      <c r="W582" t="s">
        <v>34</v>
      </c>
      <c r="Y582" s="2" t="str">
        <f>IF(EmployeeData[[#This Row],[Age]]&lt;25,"Under 25",IF(EmployeeData[[#This Row],[Age]]&lt;=34,"25-34",IF(EmployeeData[[#This Row],[Age]]&lt;=44,"35-44",IF(EmployeeData[[#This Row],[Age]]&lt;=54,"45-54","55+"))))</f>
        <v>25-34</v>
      </c>
      <c r="Z582">
        <f ca="1">DATEDIF(EmployeeData[[#This Row],[DateOfJoining]],IF(AND(EmployeeData[[#This Row],[Attrition]]="Yes",EmployeeData[[#This Row],[LastWorkingDate]]&lt;&gt;""),EmployeeData[[#This Row],[LastWorkingDate]],TODAY()),"Y")</f>
        <v>9</v>
      </c>
      <c r="AA582" t="str">
        <f>IF(EmployeeData[[#This Row],[MonthlyIncome]]&lt;30000,"Low",IF(EmployeeData[[#This Row],[MonthlyIncome]]&lt;=60000,"Medium",IF(EmployeeData[[#This Row],[MonthlyIncome]]&lt;=100000,"High","Very High")))</f>
        <v>High</v>
      </c>
      <c r="AB582">
        <f>IF(EmployeeData[[#This Row],[Attrition]]="Yes",1,0)</f>
        <v>0</v>
      </c>
      <c r="AC582" t="str">
        <f ca="1">IF(EmployeeData[[#This Row],[Tenure Years]]&lt;1,"Less than 1 Year",IF(EmployeeData[[#This Row],[Tenure Years]]&lt;=3,"1-3 Years",IF(EmployeeData[[#This Row],[Tenure Years]]&lt;=5,"4-5 Years",IF(EmployeeData[[#This Row],[Tenure Years]]&lt;=10,"6-10 Years","More than 10 Years"))))</f>
        <v>6-10 Years</v>
      </c>
      <c r="AD582">
        <f>ROUND(AVERAGE(EmployeeData[[#This Row],[JobSatisfaction]],EmployeeData[[#This Row],[EnvironmentSatisfaction]],EmployeeData[[#This Row],[WorkLifeBalance]]),2)</f>
        <v>3</v>
      </c>
      <c r="AE582" t="str">
        <f>IF(EmployeeData[[#This Row],[Satisfaction Score]]&lt;2,"Low",IF(EmployeeData[[#This Row],[Satisfaction Score]]&lt;3,"Medium","High"))</f>
        <v>High</v>
      </c>
    </row>
    <row r="583" spans="1:31" x14ac:dyDescent="0.25">
      <c r="A583" t="s">
        <v>2780</v>
      </c>
      <c r="B583" t="s">
        <v>2781</v>
      </c>
      <c r="C583" t="s">
        <v>58</v>
      </c>
      <c r="D583">
        <v>19</v>
      </c>
      <c r="E583" t="s">
        <v>94</v>
      </c>
      <c r="F583" t="s">
        <v>306</v>
      </c>
      <c r="G583" s="1">
        <v>44050</v>
      </c>
      <c r="H583">
        <v>122377</v>
      </c>
      <c r="I583" t="s">
        <v>52</v>
      </c>
      <c r="J583" t="s">
        <v>31</v>
      </c>
      <c r="K583" t="s">
        <v>113</v>
      </c>
      <c r="L583" t="s">
        <v>43</v>
      </c>
      <c r="M583">
        <v>31</v>
      </c>
      <c r="N583" t="s">
        <v>34</v>
      </c>
      <c r="O583">
        <v>4</v>
      </c>
      <c r="P583">
        <v>2</v>
      </c>
      <c r="Q583">
        <v>2</v>
      </c>
      <c r="R583">
        <v>3</v>
      </c>
      <c r="S583">
        <v>6</v>
      </c>
      <c r="T583">
        <v>1</v>
      </c>
      <c r="U583">
        <v>25</v>
      </c>
      <c r="V583" t="s">
        <v>2783</v>
      </c>
      <c r="W583" t="s">
        <v>34</v>
      </c>
      <c r="Y583" s="2" t="str">
        <f>IF(EmployeeData[[#This Row],[Age]]&lt;25,"Under 25",IF(EmployeeData[[#This Row],[Age]]&lt;=34,"25-34",IF(EmployeeData[[#This Row],[Age]]&lt;=44,"35-44",IF(EmployeeData[[#This Row],[Age]]&lt;=54,"45-54","55+"))))</f>
        <v>Under 25</v>
      </c>
      <c r="Z583">
        <f ca="1">DATEDIF(EmployeeData[[#This Row],[DateOfJoining]],IF(AND(EmployeeData[[#This Row],[Attrition]]="Yes",EmployeeData[[#This Row],[LastWorkingDate]]&lt;&gt;""),EmployeeData[[#This Row],[LastWorkingDate]],TODAY()),"Y")</f>
        <v>6</v>
      </c>
      <c r="AA583" t="str">
        <f>IF(EmployeeData[[#This Row],[MonthlyIncome]]&lt;30000,"Low",IF(EmployeeData[[#This Row],[MonthlyIncome]]&lt;=60000,"Medium",IF(EmployeeData[[#This Row],[MonthlyIncome]]&lt;=100000,"High","Very High")))</f>
        <v>Very High</v>
      </c>
      <c r="AB583">
        <f>IF(EmployeeData[[#This Row],[Attrition]]="Yes",1,0)</f>
        <v>0</v>
      </c>
      <c r="AC583" t="str">
        <f ca="1">IF(EmployeeData[[#This Row],[Tenure Years]]&lt;1,"Less than 1 Year",IF(EmployeeData[[#This Row],[Tenure Years]]&lt;=3,"1-3 Years",IF(EmployeeData[[#This Row],[Tenure Years]]&lt;=5,"4-5 Years",IF(EmployeeData[[#This Row],[Tenure Years]]&lt;=10,"6-10 Years","More than 10 Years"))))</f>
        <v>6-10 Years</v>
      </c>
      <c r="AD583">
        <f>ROUND(AVERAGE(EmployeeData[[#This Row],[JobSatisfaction]],EmployeeData[[#This Row],[EnvironmentSatisfaction]],EmployeeData[[#This Row],[WorkLifeBalance]]),2)</f>
        <v>2.67</v>
      </c>
      <c r="AE583" t="str">
        <f>IF(EmployeeData[[#This Row],[Satisfaction Score]]&lt;2,"Low",IF(EmployeeData[[#This Row],[Satisfaction Score]]&lt;3,"Medium","High"))</f>
        <v>Medium</v>
      </c>
    </row>
    <row r="584" spans="1:31" x14ac:dyDescent="0.25">
      <c r="A584" t="s">
        <v>2784</v>
      </c>
      <c r="B584" t="s">
        <v>2785</v>
      </c>
      <c r="C584" t="s">
        <v>49</v>
      </c>
      <c r="D584">
        <v>35</v>
      </c>
      <c r="E584" t="s">
        <v>38</v>
      </c>
      <c r="F584" t="s">
        <v>792</v>
      </c>
      <c r="G584" s="1">
        <v>41663</v>
      </c>
      <c r="H584">
        <v>96029</v>
      </c>
      <c r="I584" t="s">
        <v>30</v>
      </c>
      <c r="J584" t="s">
        <v>143</v>
      </c>
      <c r="K584" t="s">
        <v>83</v>
      </c>
      <c r="L584" t="s">
        <v>43</v>
      </c>
      <c r="M584">
        <v>19</v>
      </c>
      <c r="N584" t="s">
        <v>34</v>
      </c>
      <c r="O584">
        <v>1</v>
      </c>
      <c r="P584">
        <v>1</v>
      </c>
      <c r="Q584">
        <v>1</v>
      </c>
      <c r="R584">
        <v>4</v>
      </c>
      <c r="S584">
        <v>1</v>
      </c>
      <c r="T584">
        <v>7</v>
      </c>
      <c r="U584">
        <v>14</v>
      </c>
      <c r="V584" t="s">
        <v>2788</v>
      </c>
      <c r="W584" t="s">
        <v>34</v>
      </c>
      <c r="Y584" s="2" t="str">
        <f>IF(EmployeeData[[#This Row],[Age]]&lt;25,"Under 25",IF(EmployeeData[[#This Row],[Age]]&lt;=34,"25-34",IF(EmployeeData[[#This Row],[Age]]&lt;=44,"35-44",IF(EmployeeData[[#This Row],[Age]]&lt;=54,"45-54","55+"))))</f>
        <v>35-44</v>
      </c>
      <c r="Z584">
        <f ca="1">DATEDIF(EmployeeData[[#This Row],[DateOfJoining]],IF(AND(EmployeeData[[#This Row],[Attrition]]="Yes",EmployeeData[[#This Row],[LastWorkingDate]]&lt;&gt;""),EmployeeData[[#This Row],[LastWorkingDate]],TODAY()),"Y")</f>
        <v>12</v>
      </c>
      <c r="AA584" t="str">
        <f>IF(EmployeeData[[#This Row],[MonthlyIncome]]&lt;30000,"Low",IF(EmployeeData[[#This Row],[MonthlyIncome]]&lt;=60000,"Medium",IF(EmployeeData[[#This Row],[MonthlyIncome]]&lt;=100000,"High","Very High")))</f>
        <v>High</v>
      </c>
      <c r="AB584">
        <f>IF(EmployeeData[[#This Row],[Attrition]]="Yes",1,0)</f>
        <v>0</v>
      </c>
      <c r="AC584" t="str">
        <f ca="1">IF(EmployeeData[[#This Row],[Tenure Years]]&lt;1,"Less than 1 Year",IF(EmployeeData[[#This Row],[Tenure Years]]&lt;=3,"1-3 Years",IF(EmployeeData[[#This Row],[Tenure Years]]&lt;=5,"4-5 Years",IF(EmployeeData[[#This Row],[Tenure Years]]&lt;=10,"6-10 Years","More than 10 Years"))))</f>
        <v>More than 10 Years</v>
      </c>
      <c r="AD584">
        <f>ROUND(AVERAGE(EmployeeData[[#This Row],[JobSatisfaction]],EmployeeData[[#This Row],[EnvironmentSatisfaction]],EmployeeData[[#This Row],[WorkLifeBalance]]),2)</f>
        <v>1</v>
      </c>
      <c r="AE584" t="str">
        <f>IF(EmployeeData[[#This Row],[Satisfaction Score]]&lt;2,"Low",IF(EmployeeData[[#This Row],[Satisfaction Score]]&lt;3,"Medium","High"))</f>
        <v>Low</v>
      </c>
    </row>
    <row r="585" spans="1:31" x14ac:dyDescent="0.25">
      <c r="A585" t="s">
        <v>2789</v>
      </c>
      <c r="B585" t="s">
        <v>2790</v>
      </c>
      <c r="C585" t="s">
        <v>5459</v>
      </c>
      <c r="D585">
        <v>35</v>
      </c>
      <c r="E585" t="s">
        <v>128</v>
      </c>
      <c r="F585" t="s">
        <v>271</v>
      </c>
      <c r="G585" s="1">
        <v>44741</v>
      </c>
      <c r="H585">
        <v>71526</v>
      </c>
      <c r="I585" t="s">
        <v>52</v>
      </c>
      <c r="J585" t="s">
        <v>143</v>
      </c>
      <c r="K585" t="s">
        <v>83</v>
      </c>
      <c r="L585" t="s">
        <v>43</v>
      </c>
      <c r="M585">
        <v>41</v>
      </c>
      <c r="N585" t="s">
        <v>34</v>
      </c>
      <c r="O585">
        <v>3</v>
      </c>
      <c r="P585">
        <v>2</v>
      </c>
      <c r="Q585">
        <v>4</v>
      </c>
      <c r="R585">
        <v>4</v>
      </c>
      <c r="S585">
        <v>3</v>
      </c>
      <c r="T585">
        <v>2</v>
      </c>
      <c r="U585">
        <v>23</v>
      </c>
      <c r="V585" t="s">
        <v>5459</v>
      </c>
      <c r="W585" t="s">
        <v>34</v>
      </c>
      <c r="Y585" s="2" t="str">
        <f>IF(EmployeeData[[#This Row],[Age]]&lt;25,"Under 25",IF(EmployeeData[[#This Row],[Age]]&lt;=34,"25-34",IF(EmployeeData[[#This Row],[Age]]&lt;=44,"35-44",IF(EmployeeData[[#This Row],[Age]]&lt;=54,"45-54","55+"))))</f>
        <v>35-44</v>
      </c>
      <c r="Z585">
        <f ca="1">DATEDIF(EmployeeData[[#This Row],[DateOfJoining]],IF(AND(EmployeeData[[#This Row],[Attrition]]="Yes",EmployeeData[[#This Row],[LastWorkingDate]]&lt;&gt;""),EmployeeData[[#This Row],[LastWorkingDate]],TODAY()),"Y")</f>
        <v>4</v>
      </c>
      <c r="AA585" t="str">
        <f>IF(EmployeeData[[#This Row],[MonthlyIncome]]&lt;30000,"Low",IF(EmployeeData[[#This Row],[MonthlyIncome]]&lt;=60000,"Medium",IF(EmployeeData[[#This Row],[MonthlyIncome]]&lt;=100000,"High","Very High")))</f>
        <v>High</v>
      </c>
      <c r="AB585">
        <f>IF(EmployeeData[[#This Row],[Attrition]]="Yes",1,0)</f>
        <v>0</v>
      </c>
      <c r="AC585" t="str">
        <f ca="1">IF(EmployeeData[[#This Row],[Tenure Years]]&lt;1,"Less than 1 Year",IF(EmployeeData[[#This Row],[Tenure Years]]&lt;=3,"1-3 Years",IF(EmployeeData[[#This Row],[Tenure Years]]&lt;=5,"4-5 Years",IF(EmployeeData[[#This Row],[Tenure Years]]&lt;=10,"6-10 Years","More than 10 Years"))))</f>
        <v>4-5 Years</v>
      </c>
      <c r="AD585">
        <f>ROUND(AVERAGE(EmployeeData[[#This Row],[JobSatisfaction]],EmployeeData[[#This Row],[EnvironmentSatisfaction]],EmployeeData[[#This Row],[WorkLifeBalance]]),2)</f>
        <v>3</v>
      </c>
      <c r="AE585" t="str">
        <f>IF(EmployeeData[[#This Row],[Satisfaction Score]]&lt;2,"Low",IF(EmployeeData[[#This Row],[Satisfaction Score]]&lt;3,"Medium","High"))</f>
        <v>High</v>
      </c>
    </row>
    <row r="586" spans="1:31" x14ac:dyDescent="0.25">
      <c r="A586" t="s">
        <v>2793</v>
      </c>
      <c r="B586" t="s">
        <v>2794</v>
      </c>
      <c r="C586" t="s">
        <v>58</v>
      </c>
      <c r="D586">
        <v>20</v>
      </c>
      <c r="E586" t="s">
        <v>412</v>
      </c>
      <c r="F586" t="s">
        <v>1093</v>
      </c>
      <c r="G586" s="1">
        <v>43403</v>
      </c>
      <c r="H586">
        <v>69244</v>
      </c>
      <c r="I586" t="s">
        <v>52</v>
      </c>
      <c r="J586" t="s">
        <v>61</v>
      </c>
      <c r="K586" t="s">
        <v>32</v>
      </c>
      <c r="L586" t="s">
        <v>62</v>
      </c>
      <c r="M586">
        <v>17</v>
      </c>
      <c r="N586" t="s">
        <v>34</v>
      </c>
      <c r="O586">
        <v>1</v>
      </c>
      <c r="P586">
        <v>2</v>
      </c>
      <c r="Q586">
        <v>1</v>
      </c>
      <c r="R586">
        <v>5</v>
      </c>
      <c r="S586">
        <v>2</v>
      </c>
      <c r="T586">
        <v>5</v>
      </c>
      <c r="U586">
        <v>17</v>
      </c>
      <c r="V586" t="s">
        <v>2797</v>
      </c>
      <c r="W586" t="s">
        <v>34</v>
      </c>
      <c r="Y586" s="2" t="str">
        <f>IF(EmployeeData[[#This Row],[Age]]&lt;25,"Under 25",IF(EmployeeData[[#This Row],[Age]]&lt;=34,"25-34",IF(EmployeeData[[#This Row],[Age]]&lt;=44,"35-44",IF(EmployeeData[[#This Row],[Age]]&lt;=54,"45-54","55+"))))</f>
        <v>Under 25</v>
      </c>
      <c r="Z586">
        <f ca="1">DATEDIF(EmployeeData[[#This Row],[DateOfJoining]],IF(AND(EmployeeData[[#This Row],[Attrition]]="Yes",EmployeeData[[#This Row],[LastWorkingDate]]&lt;&gt;""),EmployeeData[[#This Row],[LastWorkingDate]],TODAY()),"Y")</f>
        <v>7</v>
      </c>
      <c r="AA586" t="str">
        <f>IF(EmployeeData[[#This Row],[MonthlyIncome]]&lt;30000,"Low",IF(EmployeeData[[#This Row],[MonthlyIncome]]&lt;=60000,"Medium",IF(EmployeeData[[#This Row],[MonthlyIncome]]&lt;=100000,"High","Very High")))</f>
        <v>High</v>
      </c>
      <c r="AB586">
        <f>IF(EmployeeData[[#This Row],[Attrition]]="Yes",1,0)</f>
        <v>0</v>
      </c>
      <c r="AC586" t="str">
        <f ca="1">IF(EmployeeData[[#This Row],[Tenure Years]]&lt;1,"Less than 1 Year",IF(EmployeeData[[#This Row],[Tenure Years]]&lt;=3,"1-3 Years",IF(EmployeeData[[#This Row],[Tenure Years]]&lt;=5,"4-5 Years",IF(EmployeeData[[#This Row],[Tenure Years]]&lt;=10,"6-10 Years","More than 10 Years"))))</f>
        <v>6-10 Years</v>
      </c>
      <c r="AD586">
        <f>ROUND(AVERAGE(EmployeeData[[#This Row],[JobSatisfaction]],EmployeeData[[#This Row],[EnvironmentSatisfaction]],EmployeeData[[#This Row],[WorkLifeBalance]]),2)</f>
        <v>1.33</v>
      </c>
      <c r="AE586" t="str">
        <f>IF(EmployeeData[[#This Row],[Satisfaction Score]]&lt;2,"Low",IF(EmployeeData[[#This Row],[Satisfaction Score]]&lt;3,"Medium","High"))</f>
        <v>Low</v>
      </c>
    </row>
    <row r="587" spans="1:31" x14ac:dyDescent="0.25">
      <c r="A587" t="s">
        <v>2798</v>
      </c>
      <c r="B587" t="s">
        <v>2799</v>
      </c>
      <c r="C587" t="s">
        <v>58</v>
      </c>
      <c r="D587">
        <v>35</v>
      </c>
      <c r="E587" t="s">
        <v>27</v>
      </c>
      <c r="F587" t="s">
        <v>59</v>
      </c>
      <c r="G587" s="1">
        <v>46059</v>
      </c>
      <c r="H587">
        <v>106390</v>
      </c>
      <c r="I587" t="s">
        <v>42</v>
      </c>
      <c r="J587" t="s">
        <v>143</v>
      </c>
      <c r="K587" t="s">
        <v>200</v>
      </c>
      <c r="L587" t="s">
        <v>43</v>
      </c>
      <c r="M587">
        <v>42</v>
      </c>
      <c r="N587" t="s">
        <v>45</v>
      </c>
      <c r="O587">
        <v>2</v>
      </c>
      <c r="P587">
        <v>2</v>
      </c>
      <c r="Q587">
        <v>4</v>
      </c>
      <c r="R587">
        <v>1</v>
      </c>
      <c r="S587">
        <v>2</v>
      </c>
      <c r="T587">
        <v>6</v>
      </c>
      <c r="U587">
        <v>15</v>
      </c>
      <c r="V587" t="s">
        <v>2802</v>
      </c>
      <c r="W587" t="s">
        <v>45</v>
      </c>
      <c r="X587" s="1">
        <v>46173</v>
      </c>
      <c r="Y587" s="2" t="str">
        <f>IF(EmployeeData[[#This Row],[Age]]&lt;25,"Under 25",IF(EmployeeData[[#This Row],[Age]]&lt;=34,"25-34",IF(EmployeeData[[#This Row],[Age]]&lt;=44,"35-44",IF(EmployeeData[[#This Row],[Age]]&lt;=54,"45-54","55+"))))</f>
        <v>35-44</v>
      </c>
      <c r="Z587">
        <f ca="1">DATEDIF(EmployeeData[[#This Row],[DateOfJoining]],IF(AND(EmployeeData[[#This Row],[Attrition]]="Yes",EmployeeData[[#This Row],[LastWorkingDate]]&lt;&gt;""),EmployeeData[[#This Row],[LastWorkingDate]],TODAY()),"Y")</f>
        <v>0</v>
      </c>
      <c r="AA587" t="str">
        <f>IF(EmployeeData[[#This Row],[MonthlyIncome]]&lt;30000,"Low",IF(EmployeeData[[#This Row],[MonthlyIncome]]&lt;=60000,"Medium",IF(EmployeeData[[#This Row],[MonthlyIncome]]&lt;=100000,"High","Very High")))</f>
        <v>Very High</v>
      </c>
      <c r="AB587">
        <f>IF(EmployeeData[[#This Row],[Attrition]]="Yes",1,0)</f>
        <v>1</v>
      </c>
      <c r="AC587" t="str">
        <f ca="1">IF(EmployeeData[[#This Row],[Tenure Years]]&lt;1,"Less than 1 Year",IF(EmployeeData[[#This Row],[Tenure Years]]&lt;=3,"1-3 Years",IF(EmployeeData[[#This Row],[Tenure Years]]&lt;=5,"4-5 Years",IF(EmployeeData[[#This Row],[Tenure Years]]&lt;=10,"6-10 Years","More than 10 Years"))))</f>
        <v>Less than 1 Year</v>
      </c>
      <c r="AD587">
        <f>ROUND(AVERAGE(EmployeeData[[#This Row],[JobSatisfaction]],EmployeeData[[#This Row],[EnvironmentSatisfaction]],EmployeeData[[#This Row],[WorkLifeBalance]]),2)</f>
        <v>2.67</v>
      </c>
      <c r="AE587" t="str">
        <f>IF(EmployeeData[[#This Row],[Satisfaction Score]]&lt;2,"Low",IF(EmployeeData[[#This Row],[Satisfaction Score]]&lt;3,"Medium","High"))</f>
        <v>Medium</v>
      </c>
    </row>
    <row r="588" spans="1:31" x14ac:dyDescent="0.25">
      <c r="A588" t="s">
        <v>2804</v>
      </c>
      <c r="B588" t="s">
        <v>2805</v>
      </c>
      <c r="C588" t="s">
        <v>58</v>
      </c>
      <c r="D588">
        <v>32</v>
      </c>
      <c r="E588" t="s">
        <v>27</v>
      </c>
      <c r="F588" t="s">
        <v>188</v>
      </c>
      <c r="G588" s="1">
        <v>44883</v>
      </c>
      <c r="H588">
        <v>76116</v>
      </c>
      <c r="I588" t="s">
        <v>42</v>
      </c>
      <c r="J588" t="s">
        <v>53</v>
      </c>
      <c r="K588" t="s">
        <v>200</v>
      </c>
      <c r="L588" t="s">
        <v>33</v>
      </c>
      <c r="M588">
        <v>26</v>
      </c>
      <c r="N588" t="s">
        <v>45</v>
      </c>
      <c r="O588">
        <v>1</v>
      </c>
      <c r="P588">
        <v>1</v>
      </c>
      <c r="Q588">
        <v>3</v>
      </c>
      <c r="R588">
        <v>3</v>
      </c>
      <c r="S588">
        <v>3</v>
      </c>
      <c r="T588">
        <v>3</v>
      </c>
      <c r="U588">
        <v>17</v>
      </c>
      <c r="V588" t="s">
        <v>2807</v>
      </c>
      <c r="W588" t="s">
        <v>45</v>
      </c>
      <c r="X588" s="1">
        <v>45205</v>
      </c>
      <c r="Y588" s="2" t="str">
        <f>IF(EmployeeData[[#This Row],[Age]]&lt;25,"Under 25",IF(EmployeeData[[#This Row],[Age]]&lt;=34,"25-34",IF(EmployeeData[[#This Row],[Age]]&lt;=44,"35-44",IF(EmployeeData[[#This Row],[Age]]&lt;=54,"45-54","55+"))))</f>
        <v>25-34</v>
      </c>
      <c r="Z588">
        <f ca="1">DATEDIF(EmployeeData[[#This Row],[DateOfJoining]],IF(AND(EmployeeData[[#This Row],[Attrition]]="Yes",EmployeeData[[#This Row],[LastWorkingDate]]&lt;&gt;""),EmployeeData[[#This Row],[LastWorkingDate]],TODAY()),"Y")</f>
        <v>0</v>
      </c>
      <c r="AA588" t="str">
        <f>IF(EmployeeData[[#This Row],[MonthlyIncome]]&lt;30000,"Low",IF(EmployeeData[[#This Row],[MonthlyIncome]]&lt;=60000,"Medium",IF(EmployeeData[[#This Row],[MonthlyIncome]]&lt;=100000,"High","Very High")))</f>
        <v>High</v>
      </c>
      <c r="AB588">
        <f>IF(EmployeeData[[#This Row],[Attrition]]="Yes",1,0)</f>
        <v>1</v>
      </c>
      <c r="AC588" t="str">
        <f ca="1">IF(EmployeeData[[#This Row],[Tenure Years]]&lt;1,"Less than 1 Year",IF(EmployeeData[[#This Row],[Tenure Years]]&lt;=3,"1-3 Years",IF(EmployeeData[[#This Row],[Tenure Years]]&lt;=5,"4-5 Years",IF(EmployeeData[[#This Row],[Tenure Years]]&lt;=10,"6-10 Years","More than 10 Years"))))</f>
        <v>Less than 1 Year</v>
      </c>
      <c r="AD588">
        <f>ROUND(AVERAGE(EmployeeData[[#This Row],[JobSatisfaction]],EmployeeData[[#This Row],[EnvironmentSatisfaction]],EmployeeData[[#This Row],[WorkLifeBalance]]),2)</f>
        <v>1.67</v>
      </c>
      <c r="AE588" t="str">
        <f>IF(EmployeeData[[#This Row],[Satisfaction Score]]&lt;2,"Low",IF(EmployeeData[[#This Row],[Satisfaction Score]]&lt;3,"Medium","High"))</f>
        <v>Low</v>
      </c>
    </row>
    <row r="589" spans="1:31" x14ac:dyDescent="0.25">
      <c r="A589" t="s">
        <v>2809</v>
      </c>
      <c r="B589" t="s">
        <v>2810</v>
      </c>
      <c r="C589" t="s">
        <v>58</v>
      </c>
      <c r="D589">
        <v>22</v>
      </c>
      <c r="E589" t="s">
        <v>128</v>
      </c>
      <c r="F589" t="s">
        <v>271</v>
      </c>
      <c r="G589" s="1">
        <v>45552</v>
      </c>
      <c r="H589">
        <v>65676</v>
      </c>
      <c r="I589" t="s">
        <v>30</v>
      </c>
      <c r="J589" t="s">
        <v>53</v>
      </c>
      <c r="K589" t="s">
        <v>83</v>
      </c>
      <c r="L589" t="s">
        <v>62</v>
      </c>
      <c r="M589">
        <v>15</v>
      </c>
      <c r="N589" t="s">
        <v>45</v>
      </c>
      <c r="O589">
        <v>1</v>
      </c>
      <c r="P589">
        <v>2</v>
      </c>
      <c r="Q589">
        <v>3</v>
      </c>
      <c r="R589">
        <v>2</v>
      </c>
      <c r="S589">
        <v>3</v>
      </c>
      <c r="T589">
        <v>7</v>
      </c>
      <c r="U589">
        <v>22</v>
      </c>
      <c r="V589" t="s">
        <v>2813</v>
      </c>
      <c r="W589" t="s">
        <v>45</v>
      </c>
      <c r="X589" s="1">
        <v>45671</v>
      </c>
      <c r="Y589" s="2" t="str">
        <f>IF(EmployeeData[[#This Row],[Age]]&lt;25,"Under 25",IF(EmployeeData[[#This Row],[Age]]&lt;=34,"25-34",IF(EmployeeData[[#This Row],[Age]]&lt;=44,"35-44",IF(EmployeeData[[#This Row],[Age]]&lt;=54,"45-54","55+"))))</f>
        <v>Under 25</v>
      </c>
      <c r="Z589">
        <f ca="1">DATEDIF(EmployeeData[[#This Row],[DateOfJoining]],IF(AND(EmployeeData[[#This Row],[Attrition]]="Yes",EmployeeData[[#This Row],[LastWorkingDate]]&lt;&gt;""),EmployeeData[[#This Row],[LastWorkingDate]],TODAY()),"Y")</f>
        <v>0</v>
      </c>
      <c r="AA589" t="str">
        <f>IF(EmployeeData[[#This Row],[MonthlyIncome]]&lt;30000,"Low",IF(EmployeeData[[#This Row],[MonthlyIncome]]&lt;=60000,"Medium",IF(EmployeeData[[#This Row],[MonthlyIncome]]&lt;=100000,"High","Very High")))</f>
        <v>High</v>
      </c>
      <c r="AB589">
        <f>IF(EmployeeData[[#This Row],[Attrition]]="Yes",1,0)</f>
        <v>1</v>
      </c>
      <c r="AC589" t="str">
        <f ca="1">IF(EmployeeData[[#This Row],[Tenure Years]]&lt;1,"Less than 1 Year",IF(EmployeeData[[#This Row],[Tenure Years]]&lt;=3,"1-3 Years",IF(EmployeeData[[#This Row],[Tenure Years]]&lt;=5,"4-5 Years",IF(EmployeeData[[#This Row],[Tenure Years]]&lt;=10,"6-10 Years","More than 10 Years"))))</f>
        <v>Less than 1 Year</v>
      </c>
      <c r="AD589">
        <f>ROUND(AVERAGE(EmployeeData[[#This Row],[JobSatisfaction]],EmployeeData[[#This Row],[EnvironmentSatisfaction]],EmployeeData[[#This Row],[WorkLifeBalance]]),2)</f>
        <v>2</v>
      </c>
      <c r="AE589" t="str">
        <f>IF(EmployeeData[[#This Row],[Satisfaction Score]]&lt;2,"Low",IF(EmployeeData[[#This Row],[Satisfaction Score]]&lt;3,"Medium","High"))</f>
        <v>Medium</v>
      </c>
    </row>
    <row r="590" spans="1:31" x14ac:dyDescent="0.25">
      <c r="A590" t="s">
        <v>2815</v>
      </c>
      <c r="B590" t="s">
        <v>2816</v>
      </c>
      <c r="C590" t="s">
        <v>49</v>
      </c>
      <c r="D590">
        <v>33</v>
      </c>
      <c r="E590" t="s">
        <v>27</v>
      </c>
      <c r="F590" t="s">
        <v>188</v>
      </c>
      <c r="G590" s="1">
        <v>41872</v>
      </c>
      <c r="H590">
        <v>93042</v>
      </c>
      <c r="I590" t="s">
        <v>30</v>
      </c>
      <c r="J590" t="s">
        <v>61</v>
      </c>
      <c r="K590" t="s">
        <v>113</v>
      </c>
      <c r="L590" t="s">
        <v>43</v>
      </c>
      <c r="M590">
        <v>18</v>
      </c>
      <c r="N590" t="s">
        <v>34</v>
      </c>
      <c r="O590">
        <v>1</v>
      </c>
      <c r="P590">
        <v>3</v>
      </c>
      <c r="Q590">
        <v>2</v>
      </c>
      <c r="R590">
        <v>4</v>
      </c>
      <c r="S590">
        <v>2</v>
      </c>
      <c r="T590">
        <v>6</v>
      </c>
      <c r="U590">
        <v>11</v>
      </c>
      <c r="V590" t="s">
        <v>2818</v>
      </c>
      <c r="W590" t="s">
        <v>34</v>
      </c>
      <c r="Y590" s="2" t="str">
        <f>IF(EmployeeData[[#This Row],[Age]]&lt;25,"Under 25",IF(EmployeeData[[#This Row],[Age]]&lt;=34,"25-34",IF(EmployeeData[[#This Row],[Age]]&lt;=44,"35-44",IF(EmployeeData[[#This Row],[Age]]&lt;=54,"45-54","55+"))))</f>
        <v>25-34</v>
      </c>
      <c r="Z590">
        <f ca="1">DATEDIF(EmployeeData[[#This Row],[DateOfJoining]],IF(AND(EmployeeData[[#This Row],[Attrition]]="Yes",EmployeeData[[#This Row],[LastWorkingDate]]&lt;&gt;""),EmployeeData[[#This Row],[LastWorkingDate]],TODAY()),"Y")</f>
        <v>12</v>
      </c>
      <c r="AA590" t="str">
        <f>IF(EmployeeData[[#This Row],[MonthlyIncome]]&lt;30000,"Low",IF(EmployeeData[[#This Row],[MonthlyIncome]]&lt;=60000,"Medium",IF(EmployeeData[[#This Row],[MonthlyIncome]]&lt;=100000,"High","Very High")))</f>
        <v>High</v>
      </c>
      <c r="AB590">
        <f>IF(EmployeeData[[#This Row],[Attrition]]="Yes",1,0)</f>
        <v>0</v>
      </c>
      <c r="AC590" t="str">
        <f ca="1">IF(EmployeeData[[#This Row],[Tenure Years]]&lt;1,"Less than 1 Year",IF(EmployeeData[[#This Row],[Tenure Years]]&lt;=3,"1-3 Years",IF(EmployeeData[[#This Row],[Tenure Years]]&lt;=5,"4-5 Years",IF(EmployeeData[[#This Row],[Tenure Years]]&lt;=10,"6-10 Years","More than 10 Years"))))</f>
        <v>More than 10 Years</v>
      </c>
      <c r="AD590">
        <f>ROUND(AVERAGE(EmployeeData[[#This Row],[JobSatisfaction]],EmployeeData[[#This Row],[EnvironmentSatisfaction]],EmployeeData[[#This Row],[WorkLifeBalance]]),2)</f>
        <v>2</v>
      </c>
      <c r="AE590" t="str">
        <f>IF(EmployeeData[[#This Row],[Satisfaction Score]]&lt;2,"Low",IF(EmployeeData[[#This Row],[Satisfaction Score]]&lt;3,"Medium","High"))</f>
        <v>Medium</v>
      </c>
    </row>
    <row r="591" spans="1:31" x14ac:dyDescent="0.25">
      <c r="A591" t="s">
        <v>2819</v>
      </c>
      <c r="B591" t="s">
        <v>2820</v>
      </c>
      <c r="C591" t="s">
        <v>58</v>
      </c>
      <c r="D591">
        <v>30</v>
      </c>
      <c r="E591" t="s">
        <v>128</v>
      </c>
      <c r="F591" t="s">
        <v>271</v>
      </c>
      <c r="G591" s="1">
        <v>42951</v>
      </c>
      <c r="H591">
        <v>99555</v>
      </c>
      <c r="I591" t="s">
        <v>42</v>
      </c>
      <c r="J591" t="s">
        <v>97</v>
      </c>
      <c r="K591" t="s">
        <v>32</v>
      </c>
      <c r="L591" t="s">
        <v>33</v>
      </c>
      <c r="M591">
        <v>4</v>
      </c>
      <c r="N591" t="s">
        <v>34</v>
      </c>
      <c r="O591">
        <v>1</v>
      </c>
      <c r="P591">
        <v>2</v>
      </c>
      <c r="Q591">
        <v>3</v>
      </c>
      <c r="R591">
        <v>4</v>
      </c>
      <c r="S591">
        <v>0</v>
      </c>
      <c r="T591">
        <v>1</v>
      </c>
      <c r="U591">
        <v>17</v>
      </c>
      <c r="V591" t="s">
        <v>2823</v>
      </c>
      <c r="W591" t="s">
        <v>34</v>
      </c>
      <c r="Y591" s="2" t="str">
        <f>IF(EmployeeData[[#This Row],[Age]]&lt;25,"Under 25",IF(EmployeeData[[#This Row],[Age]]&lt;=34,"25-34",IF(EmployeeData[[#This Row],[Age]]&lt;=44,"35-44",IF(EmployeeData[[#This Row],[Age]]&lt;=54,"45-54","55+"))))</f>
        <v>25-34</v>
      </c>
      <c r="Z591">
        <f ca="1">DATEDIF(EmployeeData[[#This Row],[DateOfJoining]],IF(AND(EmployeeData[[#This Row],[Attrition]]="Yes",EmployeeData[[#This Row],[LastWorkingDate]]&lt;&gt;""),EmployeeData[[#This Row],[LastWorkingDate]],TODAY()),"Y")</f>
        <v>9</v>
      </c>
      <c r="AA591" t="str">
        <f>IF(EmployeeData[[#This Row],[MonthlyIncome]]&lt;30000,"Low",IF(EmployeeData[[#This Row],[MonthlyIncome]]&lt;=60000,"Medium",IF(EmployeeData[[#This Row],[MonthlyIncome]]&lt;=100000,"High","Very High")))</f>
        <v>High</v>
      </c>
      <c r="AB591">
        <f>IF(EmployeeData[[#This Row],[Attrition]]="Yes",1,0)</f>
        <v>0</v>
      </c>
      <c r="AC591" t="str">
        <f ca="1">IF(EmployeeData[[#This Row],[Tenure Years]]&lt;1,"Less than 1 Year",IF(EmployeeData[[#This Row],[Tenure Years]]&lt;=3,"1-3 Years",IF(EmployeeData[[#This Row],[Tenure Years]]&lt;=5,"4-5 Years",IF(EmployeeData[[#This Row],[Tenure Years]]&lt;=10,"6-10 Years","More than 10 Years"))))</f>
        <v>6-10 Years</v>
      </c>
      <c r="AD591">
        <f>ROUND(AVERAGE(EmployeeData[[#This Row],[JobSatisfaction]],EmployeeData[[#This Row],[EnvironmentSatisfaction]],EmployeeData[[#This Row],[WorkLifeBalance]]),2)</f>
        <v>2</v>
      </c>
      <c r="AE591" t="str">
        <f>IF(EmployeeData[[#This Row],[Satisfaction Score]]&lt;2,"Low",IF(EmployeeData[[#This Row],[Satisfaction Score]]&lt;3,"Medium","High"))</f>
        <v>Medium</v>
      </c>
    </row>
    <row r="592" spans="1:31" x14ac:dyDescent="0.25">
      <c r="A592" t="s">
        <v>2824</v>
      </c>
      <c r="B592" t="s">
        <v>2825</v>
      </c>
      <c r="C592" t="s">
        <v>49</v>
      </c>
      <c r="D592">
        <v>24</v>
      </c>
      <c r="E592" t="s">
        <v>197</v>
      </c>
      <c r="F592" t="s">
        <v>235</v>
      </c>
      <c r="G592" s="1">
        <v>43949</v>
      </c>
      <c r="H592">
        <v>69101</v>
      </c>
      <c r="I592" t="s">
        <v>30</v>
      </c>
      <c r="J592" t="s">
        <v>31</v>
      </c>
      <c r="K592" t="s">
        <v>32</v>
      </c>
      <c r="L592" t="s">
        <v>33</v>
      </c>
      <c r="M592">
        <v>6</v>
      </c>
      <c r="N592" t="s">
        <v>34</v>
      </c>
      <c r="O592">
        <v>3</v>
      </c>
      <c r="P592">
        <v>2</v>
      </c>
      <c r="Q592">
        <v>4</v>
      </c>
      <c r="R592">
        <v>2</v>
      </c>
      <c r="S592">
        <v>3</v>
      </c>
      <c r="T592">
        <v>4</v>
      </c>
      <c r="U592">
        <v>16</v>
      </c>
      <c r="V592" t="s">
        <v>5459</v>
      </c>
      <c r="W592" t="s">
        <v>34</v>
      </c>
      <c r="Y592" s="2" t="str">
        <f>IF(EmployeeData[[#This Row],[Age]]&lt;25,"Under 25",IF(EmployeeData[[#This Row],[Age]]&lt;=34,"25-34",IF(EmployeeData[[#This Row],[Age]]&lt;=44,"35-44",IF(EmployeeData[[#This Row],[Age]]&lt;=54,"45-54","55+"))))</f>
        <v>Under 25</v>
      </c>
      <c r="Z592">
        <f ca="1">DATEDIF(EmployeeData[[#This Row],[DateOfJoining]],IF(AND(EmployeeData[[#This Row],[Attrition]]="Yes",EmployeeData[[#This Row],[LastWorkingDate]]&lt;&gt;""),EmployeeData[[#This Row],[LastWorkingDate]],TODAY()),"Y")</f>
        <v>6</v>
      </c>
      <c r="AA592" t="str">
        <f>IF(EmployeeData[[#This Row],[MonthlyIncome]]&lt;30000,"Low",IF(EmployeeData[[#This Row],[MonthlyIncome]]&lt;=60000,"Medium",IF(EmployeeData[[#This Row],[MonthlyIncome]]&lt;=100000,"High","Very High")))</f>
        <v>High</v>
      </c>
      <c r="AB592">
        <f>IF(EmployeeData[[#This Row],[Attrition]]="Yes",1,0)</f>
        <v>0</v>
      </c>
      <c r="AC592" t="str">
        <f ca="1">IF(EmployeeData[[#This Row],[Tenure Years]]&lt;1,"Less than 1 Year",IF(EmployeeData[[#This Row],[Tenure Years]]&lt;=3,"1-3 Years",IF(EmployeeData[[#This Row],[Tenure Years]]&lt;=5,"4-5 Years",IF(EmployeeData[[#This Row],[Tenure Years]]&lt;=10,"6-10 Years","More than 10 Years"))))</f>
        <v>6-10 Years</v>
      </c>
      <c r="AD592">
        <f>ROUND(AVERAGE(EmployeeData[[#This Row],[JobSatisfaction]],EmployeeData[[#This Row],[EnvironmentSatisfaction]],EmployeeData[[#This Row],[WorkLifeBalance]]),2)</f>
        <v>3</v>
      </c>
      <c r="AE592" t="str">
        <f>IF(EmployeeData[[#This Row],[Satisfaction Score]]&lt;2,"Low",IF(EmployeeData[[#This Row],[Satisfaction Score]]&lt;3,"Medium","High"))</f>
        <v>High</v>
      </c>
    </row>
    <row r="593" spans="1:31" x14ac:dyDescent="0.25">
      <c r="A593" t="s">
        <v>2827</v>
      </c>
      <c r="B593" t="s">
        <v>2828</v>
      </c>
      <c r="C593" t="s">
        <v>49</v>
      </c>
      <c r="D593">
        <v>58</v>
      </c>
      <c r="E593" t="s">
        <v>5461</v>
      </c>
      <c r="F593" t="s">
        <v>5459</v>
      </c>
      <c r="G593" s="1">
        <v>44480</v>
      </c>
      <c r="H593">
        <v>71615</v>
      </c>
      <c r="I593" t="s">
        <v>42</v>
      </c>
      <c r="J593" t="s">
        <v>61</v>
      </c>
      <c r="K593" t="s">
        <v>200</v>
      </c>
      <c r="L593" t="s">
        <v>5459</v>
      </c>
      <c r="M593">
        <v>1</v>
      </c>
      <c r="N593" t="s">
        <v>45</v>
      </c>
      <c r="O593">
        <v>4</v>
      </c>
      <c r="P593">
        <v>4</v>
      </c>
      <c r="Q593">
        <v>3</v>
      </c>
      <c r="R593">
        <v>3</v>
      </c>
      <c r="S593">
        <v>2</v>
      </c>
      <c r="T593">
        <v>4</v>
      </c>
      <c r="U593">
        <v>25</v>
      </c>
      <c r="V593" t="s">
        <v>2831</v>
      </c>
      <c r="W593" t="s">
        <v>34</v>
      </c>
      <c r="Y593" s="2" t="str">
        <f>IF(EmployeeData[[#This Row],[Age]]&lt;25,"Under 25",IF(EmployeeData[[#This Row],[Age]]&lt;=34,"25-34",IF(EmployeeData[[#This Row],[Age]]&lt;=44,"35-44",IF(EmployeeData[[#This Row],[Age]]&lt;=54,"45-54","55+"))))</f>
        <v>55+</v>
      </c>
      <c r="Z593">
        <f ca="1">DATEDIF(EmployeeData[[#This Row],[DateOfJoining]],IF(AND(EmployeeData[[#This Row],[Attrition]]="Yes",EmployeeData[[#This Row],[LastWorkingDate]]&lt;&gt;""),EmployeeData[[#This Row],[LastWorkingDate]],TODAY()),"Y")</f>
        <v>4</v>
      </c>
      <c r="AA593" t="str">
        <f>IF(EmployeeData[[#This Row],[MonthlyIncome]]&lt;30000,"Low",IF(EmployeeData[[#This Row],[MonthlyIncome]]&lt;=60000,"Medium",IF(EmployeeData[[#This Row],[MonthlyIncome]]&lt;=100000,"High","Very High")))</f>
        <v>High</v>
      </c>
      <c r="AB593">
        <f>IF(EmployeeData[[#This Row],[Attrition]]="Yes",1,0)</f>
        <v>0</v>
      </c>
      <c r="AC593" t="str">
        <f ca="1">IF(EmployeeData[[#This Row],[Tenure Years]]&lt;1,"Less than 1 Year",IF(EmployeeData[[#This Row],[Tenure Years]]&lt;=3,"1-3 Years",IF(EmployeeData[[#This Row],[Tenure Years]]&lt;=5,"4-5 Years",IF(EmployeeData[[#This Row],[Tenure Years]]&lt;=10,"6-10 Years","More than 10 Years"))))</f>
        <v>4-5 Years</v>
      </c>
      <c r="AD593">
        <f>ROUND(AVERAGE(EmployeeData[[#This Row],[JobSatisfaction]],EmployeeData[[#This Row],[EnvironmentSatisfaction]],EmployeeData[[#This Row],[WorkLifeBalance]]),2)</f>
        <v>3.67</v>
      </c>
      <c r="AE593" t="str">
        <f>IF(EmployeeData[[#This Row],[Satisfaction Score]]&lt;2,"Low",IF(EmployeeData[[#This Row],[Satisfaction Score]]&lt;3,"Medium","High"))</f>
        <v>High</v>
      </c>
    </row>
    <row r="594" spans="1:31" x14ac:dyDescent="0.25">
      <c r="A594" t="s">
        <v>2832</v>
      </c>
      <c r="B594" t="s">
        <v>2833</v>
      </c>
      <c r="C594" t="s">
        <v>58</v>
      </c>
      <c r="D594">
        <v>38</v>
      </c>
      <c r="E594" t="s">
        <v>5459</v>
      </c>
      <c r="F594" t="s">
        <v>75</v>
      </c>
      <c r="G594" s="1">
        <v>45064</v>
      </c>
      <c r="H594">
        <v>50241</v>
      </c>
      <c r="I594" t="s">
        <v>52</v>
      </c>
      <c r="J594" t="s">
        <v>143</v>
      </c>
      <c r="K594" t="s">
        <v>113</v>
      </c>
      <c r="L594" t="s">
        <v>62</v>
      </c>
      <c r="M594">
        <v>42</v>
      </c>
      <c r="N594" t="s">
        <v>34</v>
      </c>
      <c r="O594">
        <v>1</v>
      </c>
      <c r="P594">
        <v>2</v>
      </c>
      <c r="Q594">
        <v>3</v>
      </c>
      <c r="R594">
        <v>3</v>
      </c>
      <c r="S594">
        <v>3</v>
      </c>
      <c r="T594">
        <v>6</v>
      </c>
      <c r="U594">
        <v>25</v>
      </c>
      <c r="V594" t="s">
        <v>2835</v>
      </c>
      <c r="W594" t="s">
        <v>34</v>
      </c>
      <c r="Y594" s="2" t="str">
        <f>IF(EmployeeData[[#This Row],[Age]]&lt;25,"Under 25",IF(EmployeeData[[#This Row],[Age]]&lt;=34,"25-34",IF(EmployeeData[[#This Row],[Age]]&lt;=44,"35-44",IF(EmployeeData[[#This Row],[Age]]&lt;=54,"45-54","55+"))))</f>
        <v>35-44</v>
      </c>
      <c r="Z594">
        <f ca="1">DATEDIF(EmployeeData[[#This Row],[DateOfJoining]],IF(AND(EmployeeData[[#This Row],[Attrition]]="Yes",EmployeeData[[#This Row],[LastWorkingDate]]&lt;&gt;""),EmployeeData[[#This Row],[LastWorkingDate]],TODAY()),"Y")</f>
        <v>3</v>
      </c>
      <c r="AA594" t="str">
        <f>IF(EmployeeData[[#This Row],[MonthlyIncome]]&lt;30000,"Low",IF(EmployeeData[[#This Row],[MonthlyIncome]]&lt;=60000,"Medium",IF(EmployeeData[[#This Row],[MonthlyIncome]]&lt;=100000,"High","Very High")))</f>
        <v>Medium</v>
      </c>
      <c r="AB594">
        <f>IF(EmployeeData[[#This Row],[Attrition]]="Yes",1,0)</f>
        <v>0</v>
      </c>
      <c r="AC594" t="str">
        <f ca="1">IF(EmployeeData[[#This Row],[Tenure Years]]&lt;1,"Less than 1 Year",IF(EmployeeData[[#This Row],[Tenure Years]]&lt;=3,"1-3 Years",IF(EmployeeData[[#This Row],[Tenure Years]]&lt;=5,"4-5 Years",IF(EmployeeData[[#This Row],[Tenure Years]]&lt;=10,"6-10 Years","More than 10 Years"))))</f>
        <v>1-3 Years</v>
      </c>
      <c r="AD594">
        <f>ROUND(AVERAGE(EmployeeData[[#This Row],[JobSatisfaction]],EmployeeData[[#This Row],[EnvironmentSatisfaction]],EmployeeData[[#This Row],[WorkLifeBalance]]),2)</f>
        <v>2</v>
      </c>
      <c r="AE594" t="str">
        <f>IF(EmployeeData[[#This Row],[Satisfaction Score]]&lt;2,"Low",IF(EmployeeData[[#This Row],[Satisfaction Score]]&lt;3,"Medium","High"))</f>
        <v>Medium</v>
      </c>
    </row>
    <row r="595" spans="1:31" x14ac:dyDescent="0.25">
      <c r="A595" t="s">
        <v>2836</v>
      </c>
      <c r="B595" t="s">
        <v>2837</v>
      </c>
      <c r="C595" t="s">
        <v>49</v>
      </c>
      <c r="D595">
        <v>23</v>
      </c>
      <c r="E595" t="s">
        <v>27</v>
      </c>
      <c r="F595" t="s">
        <v>59</v>
      </c>
      <c r="G595" s="1">
        <v>44480</v>
      </c>
      <c r="H595">
        <v>85245</v>
      </c>
      <c r="I595" t="s">
        <v>42</v>
      </c>
      <c r="J595" t="s">
        <v>61</v>
      </c>
      <c r="K595" t="s">
        <v>167</v>
      </c>
      <c r="L595" t="s">
        <v>33</v>
      </c>
      <c r="M595">
        <v>45</v>
      </c>
      <c r="N595" t="s">
        <v>45</v>
      </c>
      <c r="O595">
        <v>4</v>
      </c>
      <c r="P595">
        <v>4</v>
      </c>
      <c r="Q595">
        <v>4</v>
      </c>
      <c r="R595">
        <v>4</v>
      </c>
      <c r="S595">
        <v>1</v>
      </c>
      <c r="T595">
        <v>4</v>
      </c>
      <c r="U595">
        <v>23</v>
      </c>
      <c r="V595" t="s">
        <v>2839</v>
      </c>
      <c r="W595" t="s">
        <v>34</v>
      </c>
      <c r="Y595" s="2" t="str">
        <f>IF(EmployeeData[[#This Row],[Age]]&lt;25,"Under 25",IF(EmployeeData[[#This Row],[Age]]&lt;=34,"25-34",IF(EmployeeData[[#This Row],[Age]]&lt;=44,"35-44",IF(EmployeeData[[#This Row],[Age]]&lt;=54,"45-54","55+"))))</f>
        <v>Under 25</v>
      </c>
      <c r="Z595">
        <f ca="1">DATEDIF(EmployeeData[[#This Row],[DateOfJoining]],IF(AND(EmployeeData[[#This Row],[Attrition]]="Yes",EmployeeData[[#This Row],[LastWorkingDate]]&lt;&gt;""),EmployeeData[[#This Row],[LastWorkingDate]],TODAY()),"Y")</f>
        <v>4</v>
      </c>
      <c r="AA595" t="str">
        <f>IF(EmployeeData[[#This Row],[MonthlyIncome]]&lt;30000,"Low",IF(EmployeeData[[#This Row],[MonthlyIncome]]&lt;=60000,"Medium",IF(EmployeeData[[#This Row],[MonthlyIncome]]&lt;=100000,"High","Very High")))</f>
        <v>High</v>
      </c>
      <c r="AB595">
        <f>IF(EmployeeData[[#This Row],[Attrition]]="Yes",1,0)</f>
        <v>0</v>
      </c>
      <c r="AC595" t="str">
        <f ca="1">IF(EmployeeData[[#This Row],[Tenure Years]]&lt;1,"Less than 1 Year",IF(EmployeeData[[#This Row],[Tenure Years]]&lt;=3,"1-3 Years",IF(EmployeeData[[#This Row],[Tenure Years]]&lt;=5,"4-5 Years",IF(EmployeeData[[#This Row],[Tenure Years]]&lt;=10,"6-10 Years","More than 10 Years"))))</f>
        <v>4-5 Years</v>
      </c>
      <c r="AD595">
        <f>ROUND(AVERAGE(EmployeeData[[#This Row],[JobSatisfaction]],EmployeeData[[#This Row],[EnvironmentSatisfaction]],EmployeeData[[#This Row],[WorkLifeBalance]]),2)</f>
        <v>4</v>
      </c>
      <c r="AE595" t="str">
        <f>IF(EmployeeData[[#This Row],[Satisfaction Score]]&lt;2,"Low",IF(EmployeeData[[#This Row],[Satisfaction Score]]&lt;3,"Medium","High"))</f>
        <v>High</v>
      </c>
    </row>
    <row r="596" spans="1:31" x14ac:dyDescent="0.25">
      <c r="A596" t="s">
        <v>2840</v>
      </c>
      <c r="B596" t="s">
        <v>2841</v>
      </c>
      <c r="C596" t="s">
        <v>58</v>
      </c>
      <c r="D596">
        <v>36</v>
      </c>
      <c r="E596" t="s">
        <v>27</v>
      </c>
      <c r="F596" t="s">
        <v>75</v>
      </c>
      <c r="G596" s="1">
        <v>41945</v>
      </c>
      <c r="H596">
        <v>105560</v>
      </c>
      <c r="I596" t="s">
        <v>30</v>
      </c>
      <c r="J596" t="s">
        <v>61</v>
      </c>
      <c r="K596" t="s">
        <v>77</v>
      </c>
      <c r="L596" t="s">
        <v>43</v>
      </c>
      <c r="M596">
        <v>45</v>
      </c>
      <c r="N596" t="s">
        <v>34</v>
      </c>
      <c r="O596">
        <v>1</v>
      </c>
      <c r="P596">
        <v>1</v>
      </c>
      <c r="Q596">
        <v>4</v>
      </c>
      <c r="R596">
        <v>3</v>
      </c>
      <c r="S596">
        <v>2</v>
      </c>
      <c r="T596">
        <v>4</v>
      </c>
      <c r="U596">
        <v>17</v>
      </c>
      <c r="V596" t="s">
        <v>2843</v>
      </c>
      <c r="W596" t="s">
        <v>34</v>
      </c>
      <c r="Y596" s="2" t="str">
        <f>IF(EmployeeData[[#This Row],[Age]]&lt;25,"Under 25",IF(EmployeeData[[#This Row],[Age]]&lt;=34,"25-34",IF(EmployeeData[[#This Row],[Age]]&lt;=44,"35-44",IF(EmployeeData[[#This Row],[Age]]&lt;=54,"45-54","55+"))))</f>
        <v>35-44</v>
      </c>
      <c r="Z596">
        <f ca="1">DATEDIF(EmployeeData[[#This Row],[DateOfJoining]],IF(AND(EmployeeData[[#This Row],[Attrition]]="Yes",EmployeeData[[#This Row],[LastWorkingDate]]&lt;&gt;""),EmployeeData[[#This Row],[LastWorkingDate]],TODAY()),"Y")</f>
        <v>11</v>
      </c>
      <c r="AA596" t="str">
        <f>IF(EmployeeData[[#This Row],[MonthlyIncome]]&lt;30000,"Low",IF(EmployeeData[[#This Row],[MonthlyIncome]]&lt;=60000,"Medium",IF(EmployeeData[[#This Row],[MonthlyIncome]]&lt;=100000,"High","Very High")))</f>
        <v>Very High</v>
      </c>
      <c r="AB596">
        <f>IF(EmployeeData[[#This Row],[Attrition]]="Yes",1,0)</f>
        <v>0</v>
      </c>
      <c r="AC596" t="str">
        <f ca="1">IF(EmployeeData[[#This Row],[Tenure Years]]&lt;1,"Less than 1 Year",IF(EmployeeData[[#This Row],[Tenure Years]]&lt;=3,"1-3 Years",IF(EmployeeData[[#This Row],[Tenure Years]]&lt;=5,"4-5 Years",IF(EmployeeData[[#This Row],[Tenure Years]]&lt;=10,"6-10 Years","More than 10 Years"))))</f>
        <v>More than 10 Years</v>
      </c>
      <c r="AD596">
        <f>ROUND(AVERAGE(EmployeeData[[#This Row],[JobSatisfaction]],EmployeeData[[#This Row],[EnvironmentSatisfaction]],EmployeeData[[#This Row],[WorkLifeBalance]]),2)</f>
        <v>2</v>
      </c>
      <c r="AE596" t="str">
        <f>IF(EmployeeData[[#This Row],[Satisfaction Score]]&lt;2,"Low",IF(EmployeeData[[#This Row],[Satisfaction Score]]&lt;3,"Medium","High"))</f>
        <v>Medium</v>
      </c>
    </row>
    <row r="597" spans="1:31" x14ac:dyDescent="0.25">
      <c r="A597" t="s">
        <v>2844</v>
      </c>
      <c r="B597" t="s">
        <v>2845</v>
      </c>
      <c r="C597" t="s">
        <v>58</v>
      </c>
      <c r="D597">
        <v>45</v>
      </c>
      <c r="E597" t="s">
        <v>128</v>
      </c>
      <c r="F597" t="s">
        <v>271</v>
      </c>
      <c r="G597" s="1">
        <v>45170</v>
      </c>
      <c r="H597">
        <v>43332</v>
      </c>
      <c r="I597" t="s">
        <v>52</v>
      </c>
      <c r="J597" t="s">
        <v>61</v>
      </c>
      <c r="K597" t="s">
        <v>98</v>
      </c>
      <c r="L597" t="s">
        <v>62</v>
      </c>
      <c r="M597">
        <v>15</v>
      </c>
      <c r="N597" t="s">
        <v>45</v>
      </c>
      <c r="O597">
        <v>3</v>
      </c>
      <c r="P597">
        <v>3</v>
      </c>
      <c r="Q597">
        <v>4</v>
      </c>
      <c r="R597">
        <v>4</v>
      </c>
      <c r="S597">
        <v>2</v>
      </c>
      <c r="T597">
        <v>6</v>
      </c>
      <c r="U597">
        <v>25</v>
      </c>
      <c r="V597" t="s">
        <v>2847</v>
      </c>
      <c r="W597" t="s">
        <v>34</v>
      </c>
      <c r="Y597" s="2" t="str">
        <f>IF(EmployeeData[[#This Row],[Age]]&lt;25,"Under 25",IF(EmployeeData[[#This Row],[Age]]&lt;=34,"25-34",IF(EmployeeData[[#This Row],[Age]]&lt;=44,"35-44",IF(EmployeeData[[#This Row],[Age]]&lt;=54,"45-54","55+"))))</f>
        <v>45-54</v>
      </c>
      <c r="Z597">
        <f ca="1">DATEDIF(EmployeeData[[#This Row],[DateOfJoining]],IF(AND(EmployeeData[[#This Row],[Attrition]]="Yes",EmployeeData[[#This Row],[LastWorkingDate]]&lt;&gt;""),EmployeeData[[#This Row],[LastWorkingDate]],TODAY()),"Y")</f>
        <v>3</v>
      </c>
      <c r="AA597" t="str">
        <f>IF(EmployeeData[[#This Row],[MonthlyIncome]]&lt;30000,"Low",IF(EmployeeData[[#This Row],[MonthlyIncome]]&lt;=60000,"Medium",IF(EmployeeData[[#This Row],[MonthlyIncome]]&lt;=100000,"High","Very High")))</f>
        <v>Medium</v>
      </c>
      <c r="AB597">
        <f>IF(EmployeeData[[#This Row],[Attrition]]="Yes",1,0)</f>
        <v>0</v>
      </c>
      <c r="AC597" t="str">
        <f ca="1">IF(EmployeeData[[#This Row],[Tenure Years]]&lt;1,"Less than 1 Year",IF(EmployeeData[[#This Row],[Tenure Years]]&lt;=3,"1-3 Years",IF(EmployeeData[[#This Row],[Tenure Years]]&lt;=5,"4-5 Years",IF(EmployeeData[[#This Row],[Tenure Years]]&lt;=10,"6-10 Years","More than 10 Years"))))</f>
        <v>1-3 Years</v>
      </c>
      <c r="AD597">
        <f>ROUND(AVERAGE(EmployeeData[[#This Row],[JobSatisfaction]],EmployeeData[[#This Row],[EnvironmentSatisfaction]],EmployeeData[[#This Row],[WorkLifeBalance]]),2)</f>
        <v>3.33</v>
      </c>
      <c r="AE597" t="str">
        <f>IF(EmployeeData[[#This Row],[Satisfaction Score]]&lt;2,"Low",IF(EmployeeData[[#This Row],[Satisfaction Score]]&lt;3,"Medium","High"))</f>
        <v>High</v>
      </c>
    </row>
    <row r="598" spans="1:31" x14ac:dyDescent="0.25">
      <c r="A598" t="s">
        <v>2848</v>
      </c>
      <c r="B598" t="s">
        <v>2849</v>
      </c>
      <c r="C598" t="s">
        <v>49</v>
      </c>
      <c r="D598">
        <v>48</v>
      </c>
      <c r="E598" t="s">
        <v>27</v>
      </c>
      <c r="F598" t="s">
        <v>75</v>
      </c>
      <c r="G598" s="1">
        <v>44472</v>
      </c>
      <c r="H598">
        <v>55078</v>
      </c>
      <c r="I598" t="s">
        <v>30</v>
      </c>
      <c r="J598" t="s">
        <v>53</v>
      </c>
      <c r="K598" t="s">
        <v>83</v>
      </c>
      <c r="L598" t="s">
        <v>43</v>
      </c>
      <c r="M598">
        <v>6</v>
      </c>
      <c r="N598" t="s">
        <v>34</v>
      </c>
      <c r="O598">
        <v>1</v>
      </c>
      <c r="P598">
        <v>3</v>
      </c>
      <c r="Q598">
        <v>2</v>
      </c>
      <c r="R598">
        <v>3</v>
      </c>
      <c r="S598">
        <v>2</v>
      </c>
      <c r="T598">
        <v>5</v>
      </c>
      <c r="U598">
        <v>18</v>
      </c>
      <c r="V598" t="s">
        <v>2851</v>
      </c>
      <c r="W598" t="s">
        <v>34</v>
      </c>
      <c r="Y598" s="2" t="str">
        <f>IF(EmployeeData[[#This Row],[Age]]&lt;25,"Under 25",IF(EmployeeData[[#This Row],[Age]]&lt;=34,"25-34",IF(EmployeeData[[#This Row],[Age]]&lt;=44,"35-44",IF(EmployeeData[[#This Row],[Age]]&lt;=54,"45-54","55+"))))</f>
        <v>45-54</v>
      </c>
      <c r="Z598">
        <f ca="1">DATEDIF(EmployeeData[[#This Row],[DateOfJoining]],IF(AND(EmployeeData[[#This Row],[Attrition]]="Yes",EmployeeData[[#This Row],[LastWorkingDate]]&lt;&gt;""),EmployeeData[[#This Row],[LastWorkingDate]],TODAY()),"Y")</f>
        <v>4</v>
      </c>
      <c r="AA598" t="str">
        <f>IF(EmployeeData[[#This Row],[MonthlyIncome]]&lt;30000,"Low",IF(EmployeeData[[#This Row],[MonthlyIncome]]&lt;=60000,"Medium",IF(EmployeeData[[#This Row],[MonthlyIncome]]&lt;=100000,"High","Very High")))</f>
        <v>Medium</v>
      </c>
      <c r="AB598">
        <f>IF(EmployeeData[[#This Row],[Attrition]]="Yes",1,0)</f>
        <v>0</v>
      </c>
      <c r="AC598" t="str">
        <f ca="1">IF(EmployeeData[[#This Row],[Tenure Years]]&lt;1,"Less than 1 Year",IF(EmployeeData[[#This Row],[Tenure Years]]&lt;=3,"1-3 Years",IF(EmployeeData[[#This Row],[Tenure Years]]&lt;=5,"4-5 Years",IF(EmployeeData[[#This Row],[Tenure Years]]&lt;=10,"6-10 Years","More than 10 Years"))))</f>
        <v>4-5 Years</v>
      </c>
      <c r="AD598">
        <f>ROUND(AVERAGE(EmployeeData[[#This Row],[JobSatisfaction]],EmployeeData[[#This Row],[EnvironmentSatisfaction]],EmployeeData[[#This Row],[WorkLifeBalance]]),2)</f>
        <v>2</v>
      </c>
      <c r="AE598" t="str">
        <f>IF(EmployeeData[[#This Row],[Satisfaction Score]]&lt;2,"Low",IF(EmployeeData[[#This Row],[Satisfaction Score]]&lt;3,"Medium","High"))</f>
        <v>Medium</v>
      </c>
    </row>
    <row r="599" spans="1:31" x14ac:dyDescent="0.25">
      <c r="A599" t="s">
        <v>2852</v>
      </c>
      <c r="B599" t="s">
        <v>2853</v>
      </c>
      <c r="C599" t="s">
        <v>58</v>
      </c>
      <c r="D599">
        <v>21</v>
      </c>
      <c r="E599" t="s">
        <v>27</v>
      </c>
      <c r="F599" t="s">
        <v>188</v>
      </c>
      <c r="G599" s="1">
        <v>44348</v>
      </c>
      <c r="H599">
        <v>117728</v>
      </c>
      <c r="I599" t="s">
        <v>42</v>
      </c>
      <c r="J599" t="s">
        <v>61</v>
      </c>
      <c r="K599" t="s">
        <v>83</v>
      </c>
      <c r="L599" t="s">
        <v>33</v>
      </c>
      <c r="M599">
        <v>13</v>
      </c>
      <c r="N599" t="s">
        <v>34</v>
      </c>
      <c r="O599">
        <v>4</v>
      </c>
      <c r="P599">
        <v>4</v>
      </c>
      <c r="Q599">
        <v>1</v>
      </c>
      <c r="R599">
        <v>3</v>
      </c>
      <c r="S599">
        <v>2</v>
      </c>
      <c r="T599">
        <v>5</v>
      </c>
      <c r="U599">
        <v>13</v>
      </c>
      <c r="V599" t="s">
        <v>2398</v>
      </c>
      <c r="W599" t="s">
        <v>34</v>
      </c>
      <c r="Y599" s="2" t="str">
        <f>IF(EmployeeData[[#This Row],[Age]]&lt;25,"Under 25",IF(EmployeeData[[#This Row],[Age]]&lt;=34,"25-34",IF(EmployeeData[[#This Row],[Age]]&lt;=44,"35-44",IF(EmployeeData[[#This Row],[Age]]&lt;=54,"45-54","55+"))))</f>
        <v>Under 25</v>
      </c>
      <c r="Z599">
        <f ca="1">DATEDIF(EmployeeData[[#This Row],[DateOfJoining]],IF(AND(EmployeeData[[#This Row],[Attrition]]="Yes",EmployeeData[[#This Row],[LastWorkingDate]]&lt;&gt;""),EmployeeData[[#This Row],[LastWorkingDate]],TODAY()),"Y")</f>
        <v>5</v>
      </c>
      <c r="AA599" t="str">
        <f>IF(EmployeeData[[#This Row],[MonthlyIncome]]&lt;30000,"Low",IF(EmployeeData[[#This Row],[MonthlyIncome]]&lt;=60000,"Medium",IF(EmployeeData[[#This Row],[MonthlyIncome]]&lt;=100000,"High","Very High")))</f>
        <v>Very High</v>
      </c>
      <c r="AB599">
        <f>IF(EmployeeData[[#This Row],[Attrition]]="Yes",1,0)</f>
        <v>0</v>
      </c>
      <c r="AC599" t="str">
        <f ca="1">IF(EmployeeData[[#This Row],[Tenure Years]]&lt;1,"Less than 1 Year",IF(EmployeeData[[#This Row],[Tenure Years]]&lt;=3,"1-3 Years",IF(EmployeeData[[#This Row],[Tenure Years]]&lt;=5,"4-5 Years",IF(EmployeeData[[#This Row],[Tenure Years]]&lt;=10,"6-10 Years","More than 10 Years"))))</f>
        <v>4-5 Years</v>
      </c>
      <c r="AD599">
        <f>ROUND(AVERAGE(EmployeeData[[#This Row],[JobSatisfaction]],EmployeeData[[#This Row],[EnvironmentSatisfaction]],EmployeeData[[#This Row],[WorkLifeBalance]]),2)</f>
        <v>3</v>
      </c>
      <c r="AE599" t="str">
        <f>IF(EmployeeData[[#This Row],[Satisfaction Score]]&lt;2,"Low",IF(EmployeeData[[#This Row],[Satisfaction Score]]&lt;3,"Medium","High"))</f>
        <v>High</v>
      </c>
    </row>
    <row r="600" spans="1:31" x14ac:dyDescent="0.25">
      <c r="A600" t="s">
        <v>2855</v>
      </c>
      <c r="B600" t="s">
        <v>2856</v>
      </c>
      <c r="C600" t="s">
        <v>49</v>
      </c>
      <c r="D600">
        <v>29</v>
      </c>
      <c r="E600" t="s">
        <v>128</v>
      </c>
      <c r="F600" t="s">
        <v>123</v>
      </c>
      <c r="G600" s="1">
        <v>42913</v>
      </c>
      <c r="H600">
        <v>46925</v>
      </c>
      <c r="I600" t="s">
        <v>52</v>
      </c>
      <c r="J600" t="s">
        <v>31</v>
      </c>
      <c r="K600" t="s">
        <v>167</v>
      </c>
      <c r="L600" t="s">
        <v>33</v>
      </c>
      <c r="M600">
        <v>6</v>
      </c>
      <c r="N600" t="s">
        <v>34</v>
      </c>
      <c r="O600">
        <v>3</v>
      </c>
      <c r="P600">
        <v>2</v>
      </c>
      <c r="Q600">
        <v>4</v>
      </c>
      <c r="R600">
        <v>4</v>
      </c>
      <c r="S600">
        <v>0</v>
      </c>
      <c r="T600">
        <v>7</v>
      </c>
      <c r="U600">
        <v>24</v>
      </c>
      <c r="V600" t="s">
        <v>2858</v>
      </c>
      <c r="W600" t="s">
        <v>34</v>
      </c>
      <c r="Y600" s="2" t="str">
        <f>IF(EmployeeData[[#This Row],[Age]]&lt;25,"Under 25",IF(EmployeeData[[#This Row],[Age]]&lt;=34,"25-34",IF(EmployeeData[[#This Row],[Age]]&lt;=44,"35-44",IF(EmployeeData[[#This Row],[Age]]&lt;=54,"45-54","55+"))))</f>
        <v>25-34</v>
      </c>
      <c r="Z600">
        <f ca="1">DATEDIF(EmployeeData[[#This Row],[DateOfJoining]],IF(AND(EmployeeData[[#This Row],[Attrition]]="Yes",EmployeeData[[#This Row],[LastWorkingDate]]&lt;&gt;""),EmployeeData[[#This Row],[LastWorkingDate]],TODAY()),"Y")</f>
        <v>9</v>
      </c>
      <c r="AA600" t="str">
        <f>IF(EmployeeData[[#This Row],[MonthlyIncome]]&lt;30000,"Low",IF(EmployeeData[[#This Row],[MonthlyIncome]]&lt;=60000,"Medium",IF(EmployeeData[[#This Row],[MonthlyIncome]]&lt;=100000,"High","Very High")))</f>
        <v>Medium</v>
      </c>
      <c r="AB600">
        <f>IF(EmployeeData[[#This Row],[Attrition]]="Yes",1,0)</f>
        <v>0</v>
      </c>
      <c r="AC600" t="str">
        <f ca="1">IF(EmployeeData[[#This Row],[Tenure Years]]&lt;1,"Less than 1 Year",IF(EmployeeData[[#This Row],[Tenure Years]]&lt;=3,"1-3 Years",IF(EmployeeData[[#This Row],[Tenure Years]]&lt;=5,"4-5 Years",IF(EmployeeData[[#This Row],[Tenure Years]]&lt;=10,"6-10 Years","More than 10 Years"))))</f>
        <v>6-10 Years</v>
      </c>
      <c r="AD600">
        <f>ROUND(AVERAGE(EmployeeData[[#This Row],[JobSatisfaction]],EmployeeData[[#This Row],[EnvironmentSatisfaction]],EmployeeData[[#This Row],[WorkLifeBalance]]),2)</f>
        <v>3</v>
      </c>
      <c r="AE600" t="str">
        <f>IF(EmployeeData[[#This Row],[Satisfaction Score]]&lt;2,"Low",IF(EmployeeData[[#This Row],[Satisfaction Score]]&lt;3,"Medium","High"))</f>
        <v>High</v>
      </c>
    </row>
    <row r="601" spans="1:31" x14ac:dyDescent="0.25">
      <c r="A601" t="s">
        <v>2859</v>
      </c>
      <c r="B601" t="s">
        <v>2860</v>
      </c>
      <c r="C601" t="s">
        <v>58</v>
      </c>
      <c r="D601">
        <v>36</v>
      </c>
      <c r="E601" t="s">
        <v>197</v>
      </c>
      <c r="F601" t="s">
        <v>323</v>
      </c>
      <c r="G601" s="1">
        <v>41252</v>
      </c>
      <c r="H601">
        <v>46025</v>
      </c>
      <c r="I601" t="s">
        <v>5459</v>
      </c>
      <c r="J601" t="s">
        <v>61</v>
      </c>
      <c r="K601" t="s">
        <v>113</v>
      </c>
      <c r="L601" t="s">
        <v>62</v>
      </c>
      <c r="M601">
        <v>43</v>
      </c>
      <c r="N601" t="s">
        <v>34</v>
      </c>
      <c r="O601">
        <v>2</v>
      </c>
      <c r="P601">
        <v>4</v>
      </c>
      <c r="Q601">
        <v>4</v>
      </c>
      <c r="R601">
        <v>4</v>
      </c>
      <c r="S601">
        <v>6</v>
      </c>
      <c r="T601">
        <v>6</v>
      </c>
      <c r="U601">
        <v>17</v>
      </c>
      <c r="V601" t="s">
        <v>2862</v>
      </c>
      <c r="W601" t="s">
        <v>34</v>
      </c>
      <c r="Y601" s="2" t="str">
        <f>IF(EmployeeData[[#This Row],[Age]]&lt;25,"Under 25",IF(EmployeeData[[#This Row],[Age]]&lt;=34,"25-34",IF(EmployeeData[[#This Row],[Age]]&lt;=44,"35-44",IF(EmployeeData[[#This Row],[Age]]&lt;=54,"45-54","55+"))))</f>
        <v>35-44</v>
      </c>
      <c r="Z601">
        <f ca="1">DATEDIF(EmployeeData[[#This Row],[DateOfJoining]],IF(AND(EmployeeData[[#This Row],[Attrition]]="Yes",EmployeeData[[#This Row],[LastWorkingDate]]&lt;&gt;""),EmployeeData[[#This Row],[LastWorkingDate]],TODAY()),"Y")</f>
        <v>13</v>
      </c>
      <c r="AA601" t="str">
        <f>IF(EmployeeData[[#This Row],[MonthlyIncome]]&lt;30000,"Low",IF(EmployeeData[[#This Row],[MonthlyIncome]]&lt;=60000,"Medium",IF(EmployeeData[[#This Row],[MonthlyIncome]]&lt;=100000,"High","Very High")))</f>
        <v>Medium</v>
      </c>
      <c r="AB601">
        <f>IF(EmployeeData[[#This Row],[Attrition]]="Yes",1,0)</f>
        <v>0</v>
      </c>
      <c r="AC601" t="str">
        <f ca="1">IF(EmployeeData[[#This Row],[Tenure Years]]&lt;1,"Less than 1 Year",IF(EmployeeData[[#This Row],[Tenure Years]]&lt;=3,"1-3 Years",IF(EmployeeData[[#This Row],[Tenure Years]]&lt;=5,"4-5 Years",IF(EmployeeData[[#This Row],[Tenure Years]]&lt;=10,"6-10 Years","More than 10 Years"))))</f>
        <v>More than 10 Years</v>
      </c>
      <c r="AD601">
        <f>ROUND(AVERAGE(EmployeeData[[#This Row],[JobSatisfaction]],EmployeeData[[#This Row],[EnvironmentSatisfaction]],EmployeeData[[#This Row],[WorkLifeBalance]]),2)</f>
        <v>3.33</v>
      </c>
      <c r="AE601" t="str">
        <f>IF(EmployeeData[[#This Row],[Satisfaction Score]]&lt;2,"Low",IF(EmployeeData[[#This Row],[Satisfaction Score]]&lt;3,"Medium","High"))</f>
        <v>High</v>
      </c>
    </row>
    <row r="602" spans="1:31" x14ac:dyDescent="0.25">
      <c r="A602" t="s">
        <v>2863</v>
      </c>
      <c r="B602" t="s">
        <v>2864</v>
      </c>
      <c r="C602" t="s">
        <v>58</v>
      </c>
      <c r="D602">
        <v>50</v>
      </c>
      <c r="E602" t="s">
        <v>27</v>
      </c>
      <c r="F602" t="s">
        <v>75</v>
      </c>
      <c r="G602" s="1">
        <v>42793</v>
      </c>
      <c r="H602">
        <v>93483</v>
      </c>
      <c r="I602" t="s">
        <v>42</v>
      </c>
      <c r="J602" t="s">
        <v>31</v>
      </c>
      <c r="K602" t="s">
        <v>98</v>
      </c>
      <c r="L602" t="s">
        <v>43</v>
      </c>
      <c r="M602">
        <v>29</v>
      </c>
      <c r="N602" t="s">
        <v>34</v>
      </c>
      <c r="O602">
        <v>1</v>
      </c>
      <c r="P602">
        <v>3</v>
      </c>
      <c r="Q602">
        <v>4</v>
      </c>
      <c r="R602">
        <v>3</v>
      </c>
      <c r="S602">
        <v>5</v>
      </c>
      <c r="T602">
        <v>0</v>
      </c>
      <c r="U602">
        <v>19</v>
      </c>
      <c r="V602" t="s">
        <v>2866</v>
      </c>
      <c r="W602" t="s">
        <v>34</v>
      </c>
      <c r="Y602" s="2" t="str">
        <f>IF(EmployeeData[[#This Row],[Age]]&lt;25,"Under 25",IF(EmployeeData[[#This Row],[Age]]&lt;=34,"25-34",IF(EmployeeData[[#This Row],[Age]]&lt;=44,"35-44",IF(EmployeeData[[#This Row],[Age]]&lt;=54,"45-54","55+"))))</f>
        <v>45-54</v>
      </c>
      <c r="Z602">
        <f ca="1">DATEDIF(EmployeeData[[#This Row],[DateOfJoining]],IF(AND(EmployeeData[[#This Row],[Attrition]]="Yes",EmployeeData[[#This Row],[LastWorkingDate]]&lt;&gt;""),EmployeeData[[#This Row],[LastWorkingDate]],TODAY()),"Y")</f>
        <v>9</v>
      </c>
      <c r="AA602" t="str">
        <f>IF(EmployeeData[[#This Row],[MonthlyIncome]]&lt;30000,"Low",IF(EmployeeData[[#This Row],[MonthlyIncome]]&lt;=60000,"Medium",IF(EmployeeData[[#This Row],[MonthlyIncome]]&lt;=100000,"High","Very High")))</f>
        <v>High</v>
      </c>
      <c r="AB602">
        <f>IF(EmployeeData[[#This Row],[Attrition]]="Yes",1,0)</f>
        <v>0</v>
      </c>
      <c r="AC602" t="str">
        <f ca="1">IF(EmployeeData[[#This Row],[Tenure Years]]&lt;1,"Less than 1 Year",IF(EmployeeData[[#This Row],[Tenure Years]]&lt;=3,"1-3 Years",IF(EmployeeData[[#This Row],[Tenure Years]]&lt;=5,"4-5 Years",IF(EmployeeData[[#This Row],[Tenure Years]]&lt;=10,"6-10 Years","More than 10 Years"))))</f>
        <v>6-10 Years</v>
      </c>
      <c r="AD602">
        <f>ROUND(AVERAGE(EmployeeData[[#This Row],[JobSatisfaction]],EmployeeData[[#This Row],[EnvironmentSatisfaction]],EmployeeData[[#This Row],[WorkLifeBalance]]),2)</f>
        <v>2.67</v>
      </c>
      <c r="AE602" t="str">
        <f>IF(EmployeeData[[#This Row],[Satisfaction Score]]&lt;2,"Low",IF(EmployeeData[[#This Row],[Satisfaction Score]]&lt;3,"Medium","High"))</f>
        <v>Medium</v>
      </c>
    </row>
    <row r="603" spans="1:31" x14ac:dyDescent="0.25">
      <c r="A603" t="s">
        <v>2867</v>
      </c>
      <c r="B603" t="s">
        <v>2868</v>
      </c>
      <c r="C603" t="s">
        <v>49</v>
      </c>
      <c r="D603">
        <v>40</v>
      </c>
      <c r="E603" t="s">
        <v>5461</v>
      </c>
      <c r="F603" t="s">
        <v>5463</v>
      </c>
      <c r="G603" s="1">
        <v>44576</v>
      </c>
      <c r="H603">
        <v>60522</v>
      </c>
      <c r="I603" t="s">
        <v>30</v>
      </c>
      <c r="J603" t="s">
        <v>61</v>
      </c>
      <c r="K603" t="s">
        <v>106</v>
      </c>
      <c r="L603" t="s">
        <v>33</v>
      </c>
      <c r="M603">
        <v>10</v>
      </c>
      <c r="N603" t="s">
        <v>34</v>
      </c>
      <c r="O603">
        <v>4</v>
      </c>
      <c r="P603">
        <v>4</v>
      </c>
      <c r="Q603">
        <v>2</v>
      </c>
      <c r="R603">
        <v>3</v>
      </c>
      <c r="S603">
        <v>2</v>
      </c>
      <c r="T603">
        <v>0</v>
      </c>
      <c r="U603">
        <v>18</v>
      </c>
      <c r="V603" t="s">
        <v>5459</v>
      </c>
      <c r="W603" t="s">
        <v>34</v>
      </c>
      <c r="Y603" s="2" t="str">
        <f>IF(EmployeeData[[#This Row],[Age]]&lt;25,"Under 25",IF(EmployeeData[[#This Row],[Age]]&lt;=34,"25-34",IF(EmployeeData[[#This Row],[Age]]&lt;=44,"35-44",IF(EmployeeData[[#This Row],[Age]]&lt;=54,"45-54","55+"))))</f>
        <v>35-44</v>
      </c>
      <c r="Z603">
        <f ca="1">DATEDIF(EmployeeData[[#This Row],[DateOfJoining]],IF(AND(EmployeeData[[#This Row],[Attrition]]="Yes",EmployeeData[[#This Row],[LastWorkingDate]]&lt;&gt;""),EmployeeData[[#This Row],[LastWorkingDate]],TODAY()),"Y")</f>
        <v>4</v>
      </c>
      <c r="AA603" t="str">
        <f>IF(EmployeeData[[#This Row],[MonthlyIncome]]&lt;30000,"Low",IF(EmployeeData[[#This Row],[MonthlyIncome]]&lt;=60000,"Medium",IF(EmployeeData[[#This Row],[MonthlyIncome]]&lt;=100000,"High","Very High")))</f>
        <v>High</v>
      </c>
      <c r="AB603">
        <f>IF(EmployeeData[[#This Row],[Attrition]]="Yes",1,0)</f>
        <v>0</v>
      </c>
      <c r="AC603" t="str">
        <f ca="1">IF(EmployeeData[[#This Row],[Tenure Years]]&lt;1,"Less than 1 Year",IF(EmployeeData[[#This Row],[Tenure Years]]&lt;=3,"1-3 Years",IF(EmployeeData[[#This Row],[Tenure Years]]&lt;=5,"4-5 Years",IF(EmployeeData[[#This Row],[Tenure Years]]&lt;=10,"6-10 Years","More than 10 Years"))))</f>
        <v>4-5 Years</v>
      </c>
      <c r="AD603">
        <f>ROUND(AVERAGE(EmployeeData[[#This Row],[JobSatisfaction]],EmployeeData[[#This Row],[EnvironmentSatisfaction]],EmployeeData[[#This Row],[WorkLifeBalance]]),2)</f>
        <v>3.33</v>
      </c>
      <c r="AE603" t="str">
        <f>IF(EmployeeData[[#This Row],[Satisfaction Score]]&lt;2,"Low",IF(EmployeeData[[#This Row],[Satisfaction Score]]&lt;3,"Medium","High"))</f>
        <v>High</v>
      </c>
    </row>
    <row r="604" spans="1:31" x14ac:dyDescent="0.25">
      <c r="A604" t="s">
        <v>2871</v>
      </c>
      <c r="B604" t="s">
        <v>2872</v>
      </c>
      <c r="C604" t="s">
        <v>49</v>
      </c>
      <c r="D604">
        <v>30</v>
      </c>
      <c r="E604" t="s">
        <v>38</v>
      </c>
      <c r="F604" t="s">
        <v>5460</v>
      </c>
      <c r="G604" s="1">
        <v>41745</v>
      </c>
      <c r="H604">
        <v>53356</v>
      </c>
      <c r="I604" t="s">
        <v>52</v>
      </c>
      <c r="J604" t="s">
        <v>61</v>
      </c>
      <c r="K604" t="s">
        <v>200</v>
      </c>
      <c r="L604" t="s">
        <v>62</v>
      </c>
      <c r="M604">
        <v>25</v>
      </c>
      <c r="N604" t="s">
        <v>34</v>
      </c>
      <c r="O604">
        <v>3</v>
      </c>
      <c r="P604">
        <v>1</v>
      </c>
      <c r="Q604">
        <v>3</v>
      </c>
      <c r="R604">
        <v>4</v>
      </c>
      <c r="S604">
        <v>2</v>
      </c>
      <c r="T604">
        <v>8</v>
      </c>
      <c r="U604">
        <v>14</v>
      </c>
      <c r="V604" t="s">
        <v>2874</v>
      </c>
      <c r="W604" t="s">
        <v>34</v>
      </c>
      <c r="Y604" s="2" t="str">
        <f>IF(EmployeeData[[#This Row],[Age]]&lt;25,"Under 25",IF(EmployeeData[[#This Row],[Age]]&lt;=34,"25-34",IF(EmployeeData[[#This Row],[Age]]&lt;=44,"35-44",IF(EmployeeData[[#This Row],[Age]]&lt;=54,"45-54","55+"))))</f>
        <v>25-34</v>
      </c>
      <c r="Z604">
        <f ca="1">DATEDIF(EmployeeData[[#This Row],[DateOfJoining]],IF(AND(EmployeeData[[#This Row],[Attrition]]="Yes",EmployeeData[[#This Row],[LastWorkingDate]]&lt;&gt;""),EmployeeData[[#This Row],[LastWorkingDate]],TODAY()),"Y")</f>
        <v>12</v>
      </c>
      <c r="AA604" t="str">
        <f>IF(EmployeeData[[#This Row],[MonthlyIncome]]&lt;30000,"Low",IF(EmployeeData[[#This Row],[MonthlyIncome]]&lt;=60000,"Medium",IF(EmployeeData[[#This Row],[MonthlyIncome]]&lt;=100000,"High","Very High")))</f>
        <v>Medium</v>
      </c>
      <c r="AB604">
        <f>IF(EmployeeData[[#This Row],[Attrition]]="Yes",1,0)</f>
        <v>0</v>
      </c>
      <c r="AC604" t="str">
        <f ca="1">IF(EmployeeData[[#This Row],[Tenure Years]]&lt;1,"Less than 1 Year",IF(EmployeeData[[#This Row],[Tenure Years]]&lt;=3,"1-3 Years",IF(EmployeeData[[#This Row],[Tenure Years]]&lt;=5,"4-5 Years",IF(EmployeeData[[#This Row],[Tenure Years]]&lt;=10,"6-10 Years","More than 10 Years"))))</f>
        <v>More than 10 Years</v>
      </c>
      <c r="AD604">
        <f>ROUND(AVERAGE(EmployeeData[[#This Row],[JobSatisfaction]],EmployeeData[[#This Row],[EnvironmentSatisfaction]],EmployeeData[[#This Row],[WorkLifeBalance]]),2)</f>
        <v>2.33</v>
      </c>
      <c r="AE604" t="str">
        <f>IF(EmployeeData[[#This Row],[Satisfaction Score]]&lt;2,"Low",IF(EmployeeData[[#This Row],[Satisfaction Score]]&lt;3,"Medium","High"))</f>
        <v>Medium</v>
      </c>
    </row>
    <row r="605" spans="1:31" x14ac:dyDescent="0.25">
      <c r="A605" t="s">
        <v>2875</v>
      </c>
      <c r="B605" t="s">
        <v>2876</v>
      </c>
      <c r="C605" t="s">
        <v>49</v>
      </c>
      <c r="D605">
        <v>32</v>
      </c>
      <c r="E605" t="s">
        <v>128</v>
      </c>
      <c r="F605" t="s">
        <v>123</v>
      </c>
      <c r="G605" s="1">
        <v>43112</v>
      </c>
      <c r="H605">
        <v>59598</v>
      </c>
      <c r="I605" t="s">
        <v>30</v>
      </c>
      <c r="J605" t="s">
        <v>5459</v>
      </c>
      <c r="K605" t="s">
        <v>167</v>
      </c>
      <c r="L605" t="s">
        <v>62</v>
      </c>
      <c r="M605">
        <v>23</v>
      </c>
      <c r="N605" t="s">
        <v>34</v>
      </c>
      <c r="O605">
        <v>4</v>
      </c>
      <c r="P605">
        <v>1</v>
      </c>
      <c r="Q605">
        <v>1</v>
      </c>
      <c r="R605">
        <v>3</v>
      </c>
      <c r="S605">
        <v>0</v>
      </c>
      <c r="T605">
        <v>0</v>
      </c>
      <c r="U605">
        <v>12</v>
      </c>
      <c r="V605" t="s">
        <v>2878</v>
      </c>
      <c r="W605" t="s">
        <v>34</v>
      </c>
      <c r="Y605" s="2" t="str">
        <f>IF(EmployeeData[[#This Row],[Age]]&lt;25,"Under 25",IF(EmployeeData[[#This Row],[Age]]&lt;=34,"25-34",IF(EmployeeData[[#This Row],[Age]]&lt;=44,"35-44",IF(EmployeeData[[#This Row],[Age]]&lt;=54,"45-54","55+"))))</f>
        <v>25-34</v>
      </c>
      <c r="Z605">
        <f ca="1">DATEDIF(EmployeeData[[#This Row],[DateOfJoining]],IF(AND(EmployeeData[[#This Row],[Attrition]]="Yes",EmployeeData[[#This Row],[LastWorkingDate]]&lt;&gt;""),EmployeeData[[#This Row],[LastWorkingDate]],TODAY()),"Y")</f>
        <v>8</v>
      </c>
      <c r="AA605" t="str">
        <f>IF(EmployeeData[[#This Row],[MonthlyIncome]]&lt;30000,"Low",IF(EmployeeData[[#This Row],[MonthlyIncome]]&lt;=60000,"Medium",IF(EmployeeData[[#This Row],[MonthlyIncome]]&lt;=100000,"High","Very High")))</f>
        <v>Medium</v>
      </c>
      <c r="AB605">
        <f>IF(EmployeeData[[#This Row],[Attrition]]="Yes",1,0)</f>
        <v>0</v>
      </c>
      <c r="AC605" t="str">
        <f ca="1">IF(EmployeeData[[#This Row],[Tenure Years]]&lt;1,"Less than 1 Year",IF(EmployeeData[[#This Row],[Tenure Years]]&lt;=3,"1-3 Years",IF(EmployeeData[[#This Row],[Tenure Years]]&lt;=5,"4-5 Years",IF(EmployeeData[[#This Row],[Tenure Years]]&lt;=10,"6-10 Years","More than 10 Years"))))</f>
        <v>6-10 Years</v>
      </c>
      <c r="AD605">
        <f>ROUND(AVERAGE(EmployeeData[[#This Row],[JobSatisfaction]],EmployeeData[[#This Row],[EnvironmentSatisfaction]],EmployeeData[[#This Row],[WorkLifeBalance]]),2)</f>
        <v>2</v>
      </c>
      <c r="AE605" t="str">
        <f>IF(EmployeeData[[#This Row],[Satisfaction Score]]&lt;2,"Low",IF(EmployeeData[[#This Row],[Satisfaction Score]]&lt;3,"Medium","High"))</f>
        <v>Medium</v>
      </c>
    </row>
    <row r="606" spans="1:31" x14ac:dyDescent="0.25">
      <c r="A606" t="s">
        <v>2879</v>
      </c>
      <c r="B606" t="s">
        <v>2880</v>
      </c>
      <c r="C606" t="s">
        <v>49</v>
      </c>
      <c r="D606">
        <v>28</v>
      </c>
      <c r="E606" t="s">
        <v>128</v>
      </c>
      <c r="F606" t="s">
        <v>123</v>
      </c>
      <c r="G606" s="1">
        <v>44787</v>
      </c>
      <c r="H606">
        <v>38244</v>
      </c>
      <c r="I606" t="s">
        <v>52</v>
      </c>
      <c r="J606" t="s">
        <v>31</v>
      </c>
      <c r="K606" t="s">
        <v>32</v>
      </c>
      <c r="L606" t="s">
        <v>43</v>
      </c>
      <c r="M606">
        <v>41</v>
      </c>
      <c r="N606" t="s">
        <v>34</v>
      </c>
      <c r="O606">
        <v>3</v>
      </c>
      <c r="P606">
        <v>4</v>
      </c>
      <c r="Q606">
        <v>2</v>
      </c>
      <c r="R606">
        <v>2</v>
      </c>
      <c r="S606">
        <v>2</v>
      </c>
      <c r="T606">
        <v>7</v>
      </c>
      <c r="U606">
        <v>23</v>
      </c>
      <c r="V606" t="s">
        <v>2882</v>
      </c>
      <c r="W606" t="s">
        <v>34</v>
      </c>
      <c r="Y606" s="2" t="str">
        <f>IF(EmployeeData[[#This Row],[Age]]&lt;25,"Under 25",IF(EmployeeData[[#This Row],[Age]]&lt;=34,"25-34",IF(EmployeeData[[#This Row],[Age]]&lt;=44,"35-44",IF(EmployeeData[[#This Row],[Age]]&lt;=54,"45-54","55+"))))</f>
        <v>25-34</v>
      </c>
      <c r="Z606">
        <f ca="1">DATEDIF(EmployeeData[[#This Row],[DateOfJoining]],IF(AND(EmployeeData[[#This Row],[Attrition]]="Yes",EmployeeData[[#This Row],[LastWorkingDate]]&lt;&gt;""),EmployeeData[[#This Row],[LastWorkingDate]],TODAY()),"Y")</f>
        <v>4</v>
      </c>
      <c r="AA606" t="str">
        <f>IF(EmployeeData[[#This Row],[MonthlyIncome]]&lt;30000,"Low",IF(EmployeeData[[#This Row],[MonthlyIncome]]&lt;=60000,"Medium",IF(EmployeeData[[#This Row],[MonthlyIncome]]&lt;=100000,"High","Very High")))</f>
        <v>Medium</v>
      </c>
      <c r="AB606">
        <f>IF(EmployeeData[[#This Row],[Attrition]]="Yes",1,0)</f>
        <v>0</v>
      </c>
      <c r="AC606" t="str">
        <f ca="1">IF(EmployeeData[[#This Row],[Tenure Years]]&lt;1,"Less than 1 Year",IF(EmployeeData[[#This Row],[Tenure Years]]&lt;=3,"1-3 Years",IF(EmployeeData[[#This Row],[Tenure Years]]&lt;=5,"4-5 Years",IF(EmployeeData[[#This Row],[Tenure Years]]&lt;=10,"6-10 Years","More than 10 Years"))))</f>
        <v>4-5 Years</v>
      </c>
      <c r="AD606">
        <f>ROUND(AVERAGE(EmployeeData[[#This Row],[JobSatisfaction]],EmployeeData[[#This Row],[EnvironmentSatisfaction]],EmployeeData[[#This Row],[WorkLifeBalance]]),2)</f>
        <v>3</v>
      </c>
      <c r="AE606" t="str">
        <f>IF(EmployeeData[[#This Row],[Satisfaction Score]]&lt;2,"Low",IF(EmployeeData[[#This Row],[Satisfaction Score]]&lt;3,"Medium","High"))</f>
        <v>High</v>
      </c>
    </row>
    <row r="607" spans="1:31" x14ac:dyDescent="0.25">
      <c r="A607" t="s">
        <v>2883</v>
      </c>
      <c r="B607" t="s">
        <v>2884</v>
      </c>
      <c r="C607" t="s">
        <v>49</v>
      </c>
      <c r="D607">
        <v>36</v>
      </c>
      <c r="E607" t="s">
        <v>128</v>
      </c>
      <c r="F607" t="s">
        <v>226</v>
      </c>
      <c r="G607" s="1">
        <v>40872</v>
      </c>
      <c r="H607">
        <v>56397</v>
      </c>
      <c r="I607" t="s">
        <v>30</v>
      </c>
      <c r="J607" t="s">
        <v>61</v>
      </c>
      <c r="K607" t="s">
        <v>83</v>
      </c>
      <c r="L607" t="s">
        <v>62</v>
      </c>
      <c r="M607">
        <v>32</v>
      </c>
      <c r="N607" t="s">
        <v>45</v>
      </c>
      <c r="O607">
        <v>1</v>
      </c>
      <c r="P607">
        <v>2</v>
      </c>
      <c r="Q607">
        <v>1</v>
      </c>
      <c r="R607">
        <v>4</v>
      </c>
      <c r="S607">
        <v>6</v>
      </c>
      <c r="T607">
        <v>7</v>
      </c>
      <c r="U607">
        <v>11</v>
      </c>
      <c r="V607" t="s">
        <v>2886</v>
      </c>
      <c r="W607" t="s">
        <v>45</v>
      </c>
      <c r="X607" s="1">
        <v>44603</v>
      </c>
      <c r="Y607" s="2" t="str">
        <f>IF(EmployeeData[[#This Row],[Age]]&lt;25,"Under 25",IF(EmployeeData[[#This Row],[Age]]&lt;=34,"25-34",IF(EmployeeData[[#This Row],[Age]]&lt;=44,"35-44",IF(EmployeeData[[#This Row],[Age]]&lt;=54,"45-54","55+"))))</f>
        <v>35-44</v>
      </c>
      <c r="Z607">
        <f ca="1">DATEDIF(EmployeeData[[#This Row],[DateOfJoining]],IF(AND(EmployeeData[[#This Row],[Attrition]]="Yes",EmployeeData[[#This Row],[LastWorkingDate]]&lt;&gt;""),EmployeeData[[#This Row],[LastWorkingDate]],TODAY()),"Y")</f>
        <v>10</v>
      </c>
      <c r="AA607" t="str">
        <f>IF(EmployeeData[[#This Row],[MonthlyIncome]]&lt;30000,"Low",IF(EmployeeData[[#This Row],[MonthlyIncome]]&lt;=60000,"Medium",IF(EmployeeData[[#This Row],[MonthlyIncome]]&lt;=100000,"High","Very High")))</f>
        <v>Medium</v>
      </c>
      <c r="AB607">
        <f>IF(EmployeeData[[#This Row],[Attrition]]="Yes",1,0)</f>
        <v>1</v>
      </c>
      <c r="AC607" t="str">
        <f ca="1">IF(EmployeeData[[#This Row],[Tenure Years]]&lt;1,"Less than 1 Year",IF(EmployeeData[[#This Row],[Tenure Years]]&lt;=3,"1-3 Years",IF(EmployeeData[[#This Row],[Tenure Years]]&lt;=5,"4-5 Years",IF(EmployeeData[[#This Row],[Tenure Years]]&lt;=10,"6-10 Years","More than 10 Years"))))</f>
        <v>6-10 Years</v>
      </c>
      <c r="AD607">
        <f>ROUND(AVERAGE(EmployeeData[[#This Row],[JobSatisfaction]],EmployeeData[[#This Row],[EnvironmentSatisfaction]],EmployeeData[[#This Row],[WorkLifeBalance]]),2)</f>
        <v>1.33</v>
      </c>
      <c r="AE607" t="str">
        <f>IF(EmployeeData[[#This Row],[Satisfaction Score]]&lt;2,"Low",IF(EmployeeData[[#This Row],[Satisfaction Score]]&lt;3,"Medium","High"))</f>
        <v>Low</v>
      </c>
    </row>
    <row r="608" spans="1:31" x14ac:dyDescent="0.25">
      <c r="A608" t="s">
        <v>2888</v>
      </c>
      <c r="B608" t="s">
        <v>2889</v>
      </c>
      <c r="C608" t="s">
        <v>49</v>
      </c>
      <c r="D608">
        <v>20</v>
      </c>
      <c r="E608" t="s">
        <v>94</v>
      </c>
      <c r="F608" t="s">
        <v>266</v>
      </c>
      <c r="G608" s="1">
        <v>44291</v>
      </c>
      <c r="H608">
        <v>95050</v>
      </c>
      <c r="I608" t="s">
        <v>30</v>
      </c>
      <c r="J608" t="s">
        <v>31</v>
      </c>
      <c r="K608" t="s">
        <v>167</v>
      </c>
      <c r="L608" t="s">
        <v>43</v>
      </c>
      <c r="M608">
        <v>36</v>
      </c>
      <c r="N608" t="s">
        <v>45</v>
      </c>
      <c r="O608">
        <v>4</v>
      </c>
      <c r="P608">
        <v>2</v>
      </c>
      <c r="Q608">
        <v>2</v>
      </c>
      <c r="R608">
        <v>4</v>
      </c>
      <c r="S608">
        <v>5</v>
      </c>
      <c r="T608">
        <v>3</v>
      </c>
      <c r="U608">
        <v>24</v>
      </c>
      <c r="V608" t="s">
        <v>2891</v>
      </c>
      <c r="W608" t="s">
        <v>34</v>
      </c>
      <c r="Y608" s="2" t="str">
        <f>IF(EmployeeData[[#This Row],[Age]]&lt;25,"Under 25",IF(EmployeeData[[#This Row],[Age]]&lt;=34,"25-34",IF(EmployeeData[[#This Row],[Age]]&lt;=44,"35-44",IF(EmployeeData[[#This Row],[Age]]&lt;=54,"45-54","55+"))))</f>
        <v>Under 25</v>
      </c>
      <c r="Z608">
        <f ca="1">DATEDIF(EmployeeData[[#This Row],[DateOfJoining]],IF(AND(EmployeeData[[#This Row],[Attrition]]="Yes",EmployeeData[[#This Row],[LastWorkingDate]]&lt;&gt;""),EmployeeData[[#This Row],[LastWorkingDate]],TODAY()),"Y")</f>
        <v>5</v>
      </c>
      <c r="AA608" t="str">
        <f>IF(EmployeeData[[#This Row],[MonthlyIncome]]&lt;30000,"Low",IF(EmployeeData[[#This Row],[MonthlyIncome]]&lt;=60000,"Medium",IF(EmployeeData[[#This Row],[MonthlyIncome]]&lt;=100000,"High","Very High")))</f>
        <v>High</v>
      </c>
      <c r="AB608">
        <f>IF(EmployeeData[[#This Row],[Attrition]]="Yes",1,0)</f>
        <v>0</v>
      </c>
      <c r="AC608" t="str">
        <f ca="1">IF(EmployeeData[[#This Row],[Tenure Years]]&lt;1,"Less than 1 Year",IF(EmployeeData[[#This Row],[Tenure Years]]&lt;=3,"1-3 Years",IF(EmployeeData[[#This Row],[Tenure Years]]&lt;=5,"4-5 Years",IF(EmployeeData[[#This Row],[Tenure Years]]&lt;=10,"6-10 Years","More than 10 Years"))))</f>
        <v>4-5 Years</v>
      </c>
      <c r="AD608">
        <f>ROUND(AVERAGE(EmployeeData[[#This Row],[JobSatisfaction]],EmployeeData[[#This Row],[EnvironmentSatisfaction]],EmployeeData[[#This Row],[WorkLifeBalance]]),2)</f>
        <v>2.67</v>
      </c>
      <c r="AE608" t="str">
        <f>IF(EmployeeData[[#This Row],[Satisfaction Score]]&lt;2,"Low",IF(EmployeeData[[#This Row],[Satisfaction Score]]&lt;3,"Medium","High"))</f>
        <v>Medium</v>
      </c>
    </row>
    <row r="609" spans="1:31" x14ac:dyDescent="0.25">
      <c r="A609" t="s">
        <v>2892</v>
      </c>
      <c r="B609" t="s">
        <v>2893</v>
      </c>
      <c r="C609" t="s">
        <v>58</v>
      </c>
      <c r="D609">
        <v>29</v>
      </c>
      <c r="E609" t="s">
        <v>27</v>
      </c>
      <c r="F609" t="s">
        <v>59</v>
      </c>
      <c r="G609" s="1">
        <v>42471</v>
      </c>
      <c r="H609">
        <v>94658</v>
      </c>
      <c r="I609" t="s">
        <v>42</v>
      </c>
      <c r="J609" t="s">
        <v>31</v>
      </c>
      <c r="K609" t="s">
        <v>167</v>
      </c>
      <c r="L609" t="s">
        <v>43</v>
      </c>
      <c r="M609">
        <v>44</v>
      </c>
      <c r="N609" t="s">
        <v>34</v>
      </c>
      <c r="O609">
        <v>2</v>
      </c>
      <c r="P609">
        <v>4</v>
      </c>
      <c r="Q609">
        <v>2</v>
      </c>
      <c r="R609">
        <v>4</v>
      </c>
      <c r="S609">
        <v>2</v>
      </c>
      <c r="T609">
        <v>0</v>
      </c>
      <c r="U609">
        <v>13</v>
      </c>
      <c r="V609" t="s">
        <v>2895</v>
      </c>
      <c r="W609" t="s">
        <v>45</v>
      </c>
      <c r="X609" s="1">
        <v>43409</v>
      </c>
      <c r="Y609" s="2" t="str">
        <f>IF(EmployeeData[[#This Row],[Age]]&lt;25,"Under 25",IF(EmployeeData[[#This Row],[Age]]&lt;=34,"25-34",IF(EmployeeData[[#This Row],[Age]]&lt;=44,"35-44",IF(EmployeeData[[#This Row],[Age]]&lt;=54,"45-54","55+"))))</f>
        <v>25-34</v>
      </c>
      <c r="Z609">
        <f ca="1">DATEDIF(EmployeeData[[#This Row],[DateOfJoining]],IF(AND(EmployeeData[[#This Row],[Attrition]]="Yes",EmployeeData[[#This Row],[LastWorkingDate]]&lt;&gt;""),EmployeeData[[#This Row],[LastWorkingDate]],TODAY()),"Y")</f>
        <v>2</v>
      </c>
      <c r="AA609" t="str">
        <f>IF(EmployeeData[[#This Row],[MonthlyIncome]]&lt;30000,"Low",IF(EmployeeData[[#This Row],[MonthlyIncome]]&lt;=60000,"Medium",IF(EmployeeData[[#This Row],[MonthlyIncome]]&lt;=100000,"High","Very High")))</f>
        <v>High</v>
      </c>
      <c r="AB609">
        <f>IF(EmployeeData[[#This Row],[Attrition]]="Yes",1,0)</f>
        <v>1</v>
      </c>
      <c r="AC609" t="str">
        <f ca="1">IF(EmployeeData[[#This Row],[Tenure Years]]&lt;1,"Less than 1 Year",IF(EmployeeData[[#This Row],[Tenure Years]]&lt;=3,"1-3 Years",IF(EmployeeData[[#This Row],[Tenure Years]]&lt;=5,"4-5 Years",IF(EmployeeData[[#This Row],[Tenure Years]]&lt;=10,"6-10 Years","More than 10 Years"))))</f>
        <v>1-3 Years</v>
      </c>
      <c r="AD609">
        <f>ROUND(AVERAGE(EmployeeData[[#This Row],[JobSatisfaction]],EmployeeData[[#This Row],[EnvironmentSatisfaction]],EmployeeData[[#This Row],[WorkLifeBalance]]),2)</f>
        <v>2.67</v>
      </c>
      <c r="AE609" t="str">
        <f>IF(EmployeeData[[#This Row],[Satisfaction Score]]&lt;2,"Low",IF(EmployeeData[[#This Row],[Satisfaction Score]]&lt;3,"Medium","High"))</f>
        <v>Medium</v>
      </c>
    </row>
    <row r="610" spans="1:31" x14ac:dyDescent="0.25">
      <c r="A610" t="s">
        <v>2897</v>
      </c>
      <c r="B610" t="s">
        <v>2898</v>
      </c>
      <c r="C610" t="s">
        <v>49</v>
      </c>
      <c r="D610">
        <v>35</v>
      </c>
      <c r="E610" t="s">
        <v>27</v>
      </c>
      <c r="F610" t="s">
        <v>188</v>
      </c>
      <c r="G610" s="1">
        <v>44367</v>
      </c>
      <c r="H610">
        <v>106614</v>
      </c>
      <c r="I610" t="s">
        <v>30</v>
      </c>
      <c r="J610" t="s">
        <v>31</v>
      </c>
      <c r="K610" t="s">
        <v>106</v>
      </c>
      <c r="L610" t="s">
        <v>33</v>
      </c>
      <c r="M610">
        <v>18</v>
      </c>
      <c r="N610" t="s">
        <v>45</v>
      </c>
      <c r="O610">
        <v>1</v>
      </c>
      <c r="P610">
        <v>3</v>
      </c>
      <c r="Q610">
        <v>3</v>
      </c>
      <c r="R610">
        <v>3</v>
      </c>
      <c r="S610">
        <v>3</v>
      </c>
      <c r="T610">
        <v>1</v>
      </c>
      <c r="U610">
        <v>11</v>
      </c>
      <c r="V610" t="s">
        <v>2900</v>
      </c>
      <c r="W610" t="s">
        <v>34</v>
      </c>
      <c r="Y610" s="2" t="str">
        <f>IF(EmployeeData[[#This Row],[Age]]&lt;25,"Under 25",IF(EmployeeData[[#This Row],[Age]]&lt;=34,"25-34",IF(EmployeeData[[#This Row],[Age]]&lt;=44,"35-44",IF(EmployeeData[[#This Row],[Age]]&lt;=54,"45-54","55+"))))</f>
        <v>35-44</v>
      </c>
      <c r="Z610">
        <f ca="1">DATEDIF(EmployeeData[[#This Row],[DateOfJoining]],IF(AND(EmployeeData[[#This Row],[Attrition]]="Yes",EmployeeData[[#This Row],[LastWorkingDate]]&lt;&gt;""),EmployeeData[[#This Row],[LastWorkingDate]],TODAY()),"Y")</f>
        <v>5</v>
      </c>
      <c r="AA610" t="str">
        <f>IF(EmployeeData[[#This Row],[MonthlyIncome]]&lt;30000,"Low",IF(EmployeeData[[#This Row],[MonthlyIncome]]&lt;=60000,"Medium",IF(EmployeeData[[#This Row],[MonthlyIncome]]&lt;=100000,"High","Very High")))</f>
        <v>Very High</v>
      </c>
      <c r="AB610">
        <f>IF(EmployeeData[[#This Row],[Attrition]]="Yes",1,0)</f>
        <v>0</v>
      </c>
      <c r="AC610" t="str">
        <f ca="1">IF(EmployeeData[[#This Row],[Tenure Years]]&lt;1,"Less than 1 Year",IF(EmployeeData[[#This Row],[Tenure Years]]&lt;=3,"1-3 Years",IF(EmployeeData[[#This Row],[Tenure Years]]&lt;=5,"4-5 Years",IF(EmployeeData[[#This Row],[Tenure Years]]&lt;=10,"6-10 Years","More than 10 Years"))))</f>
        <v>4-5 Years</v>
      </c>
      <c r="AD610">
        <f>ROUND(AVERAGE(EmployeeData[[#This Row],[JobSatisfaction]],EmployeeData[[#This Row],[EnvironmentSatisfaction]],EmployeeData[[#This Row],[WorkLifeBalance]]),2)</f>
        <v>2.33</v>
      </c>
      <c r="AE610" t="str">
        <f>IF(EmployeeData[[#This Row],[Satisfaction Score]]&lt;2,"Low",IF(EmployeeData[[#This Row],[Satisfaction Score]]&lt;3,"Medium","High"))</f>
        <v>Medium</v>
      </c>
    </row>
    <row r="611" spans="1:31" x14ac:dyDescent="0.25">
      <c r="A611" t="s">
        <v>2901</v>
      </c>
      <c r="B611" t="s">
        <v>2902</v>
      </c>
      <c r="C611" t="s">
        <v>58</v>
      </c>
      <c r="D611">
        <v>48</v>
      </c>
      <c r="E611" t="s">
        <v>27</v>
      </c>
      <c r="F611" t="s">
        <v>59</v>
      </c>
      <c r="G611" s="1">
        <v>45393</v>
      </c>
      <c r="H611">
        <v>60109</v>
      </c>
      <c r="I611" t="s">
        <v>42</v>
      </c>
      <c r="J611" t="s">
        <v>53</v>
      </c>
      <c r="K611" t="s">
        <v>32</v>
      </c>
      <c r="L611" t="s">
        <v>62</v>
      </c>
      <c r="M611">
        <v>5</v>
      </c>
      <c r="N611" t="s">
        <v>34</v>
      </c>
      <c r="O611">
        <v>4</v>
      </c>
      <c r="P611">
        <v>2</v>
      </c>
      <c r="Q611">
        <v>3</v>
      </c>
      <c r="R611">
        <v>3</v>
      </c>
      <c r="S611">
        <v>3</v>
      </c>
      <c r="T611">
        <v>1</v>
      </c>
      <c r="U611">
        <v>22</v>
      </c>
      <c r="V611" t="s">
        <v>2904</v>
      </c>
      <c r="W611" t="s">
        <v>34</v>
      </c>
      <c r="Y611" s="2" t="str">
        <f>IF(EmployeeData[[#This Row],[Age]]&lt;25,"Under 25",IF(EmployeeData[[#This Row],[Age]]&lt;=34,"25-34",IF(EmployeeData[[#This Row],[Age]]&lt;=44,"35-44",IF(EmployeeData[[#This Row],[Age]]&lt;=54,"45-54","55+"))))</f>
        <v>45-54</v>
      </c>
      <c r="Z611">
        <f ca="1">DATEDIF(EmployeeData[[#This Row],[DateOfJoining]],IF(AND(EmployeeData[[#This Row],[Attrition]]="Yes",EmployeeData[[#This Row],[LastWorkingDate]]&lt;&gt;""),EmployeeData[[#This Row],[LastWorkingDate]],TODAY()),"Y")</f>
        <v>2</v>
      </c>
      <c r="AA611" t="str">
        <f>IF(EmployeeData[[#This Row],[MonthlyIncome]]&lt;30000,"Low",IF(EmployeeData[[#This Row],[MonthlyIncome]]&lt;=60000,"Medium",IF(EmployeeData[[#This Row],[MonthlyIncome]]&lt;=100000,"High","Very High")))</f>
        <v>High</v>
      </c>
      <c r="AB611">
        <f>IF(EmployeeData[[#This Row],[Attrition]]="Yes",1,0)</f>
        <v>0</v>
      </c>
      <c r="AC611" t="str">
        <f ca="1">IF(EmployeeData[[#This Row],[Tenure Years]]&lt;1,"Less than 1 Year",IF(EmployeeData[[#This Row],[Tenure Years]]&lt;=3,"1-3 Years",IF(EmployeeData[[#This Row],[Tenure Years]]&lt;=5,"4-5 Years",IF(EmployeeData[[#This Row],[Tenure Years]]&lt;=10,"6-10 Years","More than 10 Years"))))</f>
        <v>1-3 Years</v>
      </c>
      <c r="AD611">
        <f>ROUND(AVERAGE(EmployeeData[[#This Row],[JobSatisfaction]],EmployeeData[[#This Row],[EnvironmentSatisfaction]],EmployeeData[[#This Row],[WorkLifeBalance]]),2)</f>
        <v>3</v>
      </c>
      <c r="AE611" t="str">
        <f>IF(EmployeeData[[#This Row],[Satisfaction Score]]&lt;2,"Low",IF(EmployeeData[[#This Row],[Satisfaction Score]]&lt;3,"Medium","High"))</f>
        <v>High</v>
      </c>
    </row>
    <row r="612" spans="1:31" x14ac:dyDescent="0.25">
      <c r="A612" t="s">
        <v>2905</v>
      </c>
      <c r="B612" t="s">
        <v>2906</v>
      </c>
      <c r="C612" t="s">
        <v>58</v>
      </c>
      <c r="D612">
        <v>47</v>
      </c>
      <c r="E612" t="s">
        <v>128</v>
      </c>
      <c r="F612" t="s">
        <v>123</v>
      </c>
      <c r="G612" s="1">
        <v>42884</v>
      </c>
      <c r="H612">
        <v>49671</v>
      </c>
      <c r="I612" t="s">
        <v>42</v>
      </c>
      <c r="J612" t="s">
        <v>61</v>
      </c>
      <c r="K612" t="s">
        <v>32</v>
      </c>
      <c r="L612" t="s">
        <v>43</v>
      </c>
      <c r="M612">
        <v>40</v>
      </c>
      <c r="N612" t="s">
        <v>34</v>
      </c>
      <c r="O612">
        <v>4</v>
      </c>
      <c r="P612">
        <v>1</v>
      </c>
      <c r="Q612">
        <v>1</v>
      </c>
      <c r="R612">
        <v>3</v>
      </c>
      <c r="S612">
        <v>3</v>
      </c>
      <c r="T612">
        <v>3</v>
      </c>
      <c r="U612">
        <v>20</v>
      </c>
      <c r="V612" t="s">
        <v>2908</v>
      </c>
      <c r="W612" t="s">
        <v>34</v>
      </c>
      <c r="Y612" s="2" t="str">
        <f>IF(EmployeeData[[#This Row],[Age]]&lt;25,"Under 25",IF(EmployeeData[[#This Row],[Age]]&lt;=34,"25-34",IF(EmployeeData[[#This Row],[Age]]&lt;=44,"35-44",IF(EmployeeData[[#This Row],[Age]]&lt;=54,"45-54","55+"))))</f>
        <v>45-54</v>
      </c>
      <c r="Z612">
        <f ca="1">DATEDIF(EmployeeData[[#This Row],[DateOfJoining]],IF(AND(EmployeeData[[#This Row],[Attrition]]="Yes",EmployeeData[[#This Row],[LastWorkingDate]]&lt;&gt;""),EmployeeData[[#This Row],[LastWorkingDate]],TODAY()),"Y")</f>
        <v>9</v>
      </c>
      <c r="AA612" t="str">
        <f>IF(EmployeeData[[#This Row],[MonthlyIncome]]&lt;30000,"Low",IF(EmployeeData[[#This Row],[MonthlyIncome]]&lt;=60000,"Medium",IF(EmployeeData[[#This Row],[MonthlyIncome]]&lt;=100000,"High","Very High")))</f>
        <v>Medium</v>
      </c>
      <c r="AB612">
        <f>IF(EmployeeData[[#This Row],[Attrition]]="Yes",1,0)</f>
        <v>0</v>
      </c>
      <c r="AC612" t="str">
        <f ca="1">IF(EmployeeData[[#This Row],[Tenure Years]]&lt;1,"Less than 1 Year",IF(EmployeeData[[#This Row],[Tenure Years]]&lt;=3,"1-3 Years",IF(EmployeeData[[#This Row],[Tenure Years]]&lt;=5,"4-5 Years",IF(EmployeeData[[#This Row],[Tenure Years]]&lt;=10,"6-10 Years","More than 10 Years"))))</f>
        <v>6-10 Years</v>
      </c>
      <c r="AD612">
        <f>ROUND(AVERAGE(EmployeeData[[#This Row],[JobSatisfaction]],EmployeeData[[#This Row],[EnvironmentSatisfaction]],EmployeeData[[#This Row],[WorkLifeBalance]]),2)</f>
        <v>2</v>
      </c>
      <c r="AE612" t="str">
        <f>IF(EmployeeData[[#This Row],[Satisfaction Score]]&lt;2,"Low",IF(EmployeeData[[#This Row],[Satisfaction Score]]&lt;3,"Medium","High"))</f>
        <v>Medium</v>
      </c>
    </row>
    <row r="613" spans="1:31" x14ac:dyDescent="0.25">
      <c r="A613" t="s">
        <v>2909</v>
      </c>
      <c r="B613" t="s">
        <v>2910</v>
      </c>
      <c r="C613" t="s">
        <v>49</v>
      </c>
      <c r="D613">
        <v>39</v>
      </c>
      <c r="E613" t="s">
        <v>197</v>
      </c>
      <c r="F613" t="s">
        <v>235</v>
      </c>
      <c r="G613" s="1">
        <v>45394</v>
      </c>
      <c r="H613">
        <v>104067</v>
      </c>
      <c r="I613" t="s">
        <v>42</v>
      </c>
      <c r="J613" t="s">
        <v>31</v>
      </c>
      <c r="K613" t="s">
        <v>32</v>
      </c>
      <c r="L613" t="s">
        <v>33</v>
      </c>
      <c r="M613">
        <v>20</v>
      </c>
      <c r="N613" t="s">
        <v>34</v>
      </c>
      <c r="O613">
        <v>1</v>
      </c>
      <c r="P613">
        <v>2</v>
      </c>
      <c r="Q613">
        <v>3</v>
      </c>
      <c r="R613">
        <v>3</v>
      </c>
      <c r="S613">
        <v>2</v>
      </c>
      <c r="T613">
        <v>0</v>
      </c>
      <c r="U613">
        <v>21</v>
      </c>
      <c r="V613" t="s">
        <v>2912</v>
      </c>
      <c r="W613" t="s">
        <v>34</v>
      </c>
      <c r="Y613" s="2" t="str">
        <f>IF(EmployeeData[[#This Row],[Age]]&lt;25,"Under 25",IF(EmployeeData[[#This Row],[Age]]&lt;=34,"25-34",IF(EmployeeData[[#This Row],[Age]]&lt;=44,"35-44",IF(EmployeeData[[#This Row],[Age]]&lt;=54,"45-54","55+"))))</f>
        <v>35-44</v>
      </c>
      <c r="Z613">
        <f ca="1">DATEDIF(EmployeeData[[#This Row],[DateOfJoining]],IF(AND(EmployeeData[[#This Row],[Attrition]]="Yes",EmployeeData[[#This Row],[LastWorkingDate]]&lt;&gt;""),EmployeeData[[#This Row],[LastWorkingDate]],TODAY()),"Y")</f>
        <v>2</v>
      </c>
      <c r="AA613" t="str">
        <f>IF(EmployeeData[[#This Row],[MonthlyIncome]]&lt;30000,"Low",IF(EmployeeData[[#This Row],[MonthlyIncome]]&lt;=60000,"Medium",IF(EmployeeData[[#This Row],[MonthlyIncome]]&lt;=100000,"High","Very High")))</f>
        <v>Very High</v>
      </c>
      <c r="AB613">
        <f>IF(EmployeeData[[#This Row],[Attrition]]="Yes",1,0)</f>
        <v>0</v>
      </c>
      <c r="AC613" t="str">
        <f ca="1">IF(EmployeeData[[#This Row],[Tenure Years]]&lt;1,"Less than 1 Year",IF(EmployeeData[[#This Row],[Tenure Years]]&lt;=3,"1-3 Years",IF(EmployeeData[[#This Row],[Tenure Years]]&lt;=5,"4-5 Years",IF(EmployeeData[[#This Row],[Tenure Years]]&lt;=10,"6-10 Years","More than 10 Years"))))</f>
        <v>1-3 Years</v>
      </c>
      <c r="AD613">
        <f>ROUND(AVERAGE(EmployeeData[[#This Row],[JobSatisfaction]],EmployeeData[[#This Row],[EnvironmentSatisfaction]],EmployeeData[[#This Row],[WorkLifeBalance]]),2)</f>
        <v>2</v>
      </c>
      <c r="AE613" t="str">
        <f>IF(EmployeeData[[#This Row],[Satisfaction Score]]&lt;2,"Low",IF(EmployeeData[[#This Row],[Satisfaction Score]]&lt;3,"Medium","High"))</f>
        <v>Medium</v>
      </c>
    </row>
    <row r="614" spans="1:31" x14ac:dyDescent="0.25">
      <c r="A614" t="s">
        <v>2913</v>
      </c>
      <c r="B614" t="s">
        <v>2914</v>
      </c>
      <c r="C614" t="s">
        <v>49</v>
      </c>
      <c r="D614">
        <v>27</v>
      </c>
      <c r="E614" t="s">
        <v>128</v>
      </c>
      <c r="F614" t="s">
        <v>255</v>
      </c>
      <c r="G614" s="1">
        <v>41566</v>
      </c>
      <c r="H614">
        <v>105952</v>
      </c>
      <c r="I614" t="s">
        <v>30</v>
      </c>
      <c r="J614" t="s">
        <v>5459</v>
      </c>
      <c r="K614" t="s">
        <v>32</v>
      </c>
      <c r="L614" t="s">
        <v>62</v>
      </c>
      <c r="M614">
        <v>40</v>
      </c>
      <c r="N614" t="s">
        <v>34</v>
      </c>
      <c r="O614">
        <v>4</v>
      </c>
      <c r="P614">
        <v>3</v>
      </c>
      <c r="Q614">
        <v>3</v>
      </c>
      <c r="R614">
        <v>5</v>
      </c>
      <c r="S614">
        <v>4</v>
      </c>
      <c r="T614">
        <v>7</v>
      </c>
      <c r="U614">
        <v>18</v>
      </c>
      <c r="V614" t="s">
        <v>2917</v>
      </c>
      <c r="W614" t="s">
        <v>34</v>
      </c>
      <c r="Y614" s="2" t="str">
        <f>IF(EmployeeData[[#This Row],[Age]]&lt;25,"Under 25",IF(EmployeeData[[#This Row],[Age]]&lt;=34,"25-34",IF(EmployeeData[[#This Row],[Age]]&lt;=44,"35-44",IF(EmployeeData[[#This Row],[Age]]&lt;=54,"45-54","55+"))))</f>
        <v>25-34</v>
      </c>
      <c r="Z614">
        <f ca="1">DATEDIF(EmployeeData[[#This Row],[DateOfJoining]],IF(AND(EmployeeData[[#This Row],[Attrition]]="Yes",EmployeeData[[#This Row],[LastWorkingDate]]&lt;&gt;""),EmployeeData[[#This Row],[LastWorkingDate]],TODAY()),"Y")</f>
        <v>12</v>
      </c>
      <c r="AA614" t="str">
        <f>IF(EmployeeData[[#This Row],[MonthlyIncome]]&lt;30000,"Low",IF(EmployeeData[[#This Row],[MonthlyIncome]]&lt;=60000,"Medium",IF(EmployeeData[[#This Row],[MonthlyIncome]]&lt;=100000,"High","Very High")))</f>
        <v>Very High</v>
      </c>
      <c r="AB614">
        <f>IF(EmployeeData[[#This Row],[Attrition]]="Yes",1,0)</f>
        <v>0</v>
      </c>
      <c r="AC614" t="str">
        <f ca="1">IF(EmployeeData[[#This Row],[Tenure Years]]&lt;1,"Less than 1 Year",IF(EmployeeData[[#This Row],[Tenure Years]]&lt;=3,"1-3 Years",IF(EmployeeData[[#This Row],[Tenure Years]]&lt;=5,"4-5 Years",IF(EmployeeData[[#This Row],[Tenure Years]]&lt;=10,"6-10 Years","More than 10 Years"))))</f>
        <v>More than 10 Years</v>
      </c>
      <c r="AD614">
        <f>ROUND(AVERAGE(EmployeeData[[#This Row],[JobSatisfaction]],EmployeeData[[#This Row],[EnvironmentSatisfaction]],EmployeeData[[#This Row],[WorkLifeBalance]]),2)</f>
        <v>3.33</v>
      </c>
      <c r="AE614" t="str">
        <f>IF(EmployeeData[[#This Row],[Satisfaction Score]]&lt;2,"Low",IF(EmployeeData[[#This Row],[Satisfaction Score]]&lt;3,"Medium","High"))</f>
        <v>High</v>
      </c>
    </row>
    <row r="615" spans="1:31" x14ac:dyDescent="0.25">
      <c r="A615" t="s">
        <v>2918</v>
      </c>
      <c r="B615" t="s">
        <v>2919</v>
      </c>
      <c r="C615" t="s">
        <v>58</v>
      </c>
      <c r="D615">
        <v>52</v>
      </c>
      <c r="E615" t="s">
        <v>5461</v>
      </c>
      <c r="F615" t="s">
        <v>483</v>
      </c>
      <c r="G615" s="1">
        <v>45158</v>
      </c>
      <c r="H615">
        <v>115455</v>
      </c>
      <c r="I615" t="s">
        <v>52</v>
      </c>
      <c r="J615" t="s">
        <v>61</v>
      </c>
      <c r="K615" t="s">
        <v>77</v>
      </c>
      <c r="L615" t="s">
        <v>62</v>
      </c>
      <c r="M615">
        <v>39</v>
      </c>
      <c r="N615" t="s">
        <v>34</v>
      </c>
      <c r="O615">
        <v>4</v>
      </c>
      <c r="P615">
        <v>3</v>
      </c>
      <c r="Q615">
        <v>2</v>
      </c>
      <c r="R615">
        <v>4</v>
      </c>
      <c r="S615">
        <v>3</v>
      </c>
      <c r="T615">
        <v>6</v>
      </c>
      <c r="U615">
        <v>20</v>
      </c>
      <c r="V615" t="s">
        <v>2922</v>
      </c>
      <c r="W615" t="s">
        <v>34</v>
      </c>
      <c r="Y615" s="2" t="str">
        <f>IF(EmployeeData[[#This Row],[Age]]&lt;25,"Under 25",IF(EmployeeData[[#This Row],[Age]]&lt;=34,"25-34",IF(EmployeeData[[#This Row],[Age]]&lt;=44,"35-44",IF(EmployeeData[[#This Row],[Age]]&lt;=54,"45-54","55+"))))</f>
        <v>45-54</v>
      </c>
      <c r="Z615">
        <f ca="1">DATEDIF(EmployeeData[[#This Row],[DateOfJoining]],IF(AND(EmployeeData[[#This Row],[Attrition]]="Yes",EmployeeData[[#This Row],[LastWorkingDate]]&lt;&gt;""),EmployeeData[[#This Row],[LastWorkingDate]],TODAY()),"Y")</f>
        <v>3</v>
      </c>
      <c r="AA615" t="str">
        <f>IF(EmployeeData[[#This Row],[MonthlyIncome]]&lt;30000,"Low",IF(EmployeeData[[#This Row],[MonthlyIncome]]&lt;=60000,"Medium",IF(EmployeeData[[#This Row],[MonthlyIncome]]&lt;=100000,"High","Very High")))</f>
        <v>Very High</v>
      </c>
      <c r="AB615">
        <f>IF(EmployeeData[[#This Row],[Attrition]]="Yes",1,0)</f>
        <v>0</v>
      </c>
      <c r="AC615" t="str">
        <f ca="1">IF(EmployeeData[[#This Row],[Tenure Years]]&lt;1,"Less than 1 Year",IF(EmployeeData[[#This Row],[Tenure Years]]&lt;=3,"1-3 Years",IF(EmployeeData[[#This Row],[Tenure Years]]&lt;=5,"4-5 Years",IF(EmployeeData[[#This Row],[Tenure Years]]&lt;=10,"6-10 Years","More than 10 Years"))))</f>
        <v>1-3 Years</v>
      </c>
      <c r="AD615">
        <f>ROUND(AVERAGE(EmployeeData[[#This Row],[JobSatisfaction]],EmployeeData[[#This Row],[EnvironmentSatisfaction]],EmployeeData[[#This Row],[WorkLifeBalance]]),2)</f>
        <v>3</v>
      </c>
      <c r="AE615" t="str">
        <f>IF(EmployeeData[[#This Row],[Satisfaction Score]]&lt;2,"Low",IF(EmployeeData[[#This Row],[Satisfaction Score]]&lt;3,"Medium","High"))</f>
        <v>High</v>
      </c>
    </row>
    <row r="616" spans="1:31" x14ac:dyDescent="0.25">
      <c r="A616" t="s">
        <v>2923</v>
      </c>
      <c r="B616" t="s">
        <v>2924</v>
      </c>
      <c r="C616" t="s">
        <v>58</v>
      </c>
      <c r="D616">
        <v>35</v>
      </c>
      <c r="E616" t="s">
        <v>197</v>
      </c>
      <c r="F616" t="s">
        <v>323</v>
      </c>
      <c r="G616" s="1">
        <v>41016</v>
      </c>
      <c r="H616">
        <v>76253</v>
      </c>
      <c r="I616" t="s">
        <v>30</v>
      </c>
      <c r="J616" t="s">
        <v>31</v>
      </c>
      <c r="K616" t="s">
        <v>131</v>
      </c>
      <c r="L616" t="s">
        <v>33</v>
      </c>
      <c r="M616">
        <v>19</v>
      </c>
      <c r="N616" t="s">
        <v>34</v>
      </c>
      <c r="O616">
        <v>3</v>
      </c>
      <c r="P616">
        <v>1</v>
      </c>
      <c r="Q616">
        <v>1</v>
      </c>
      <c r="R616">
        <v>3</v>
      </c>
      <c r="S616">
        <v>2</v>
      </c>
      <c r="T616">
        <v>6</v>
      </c>
      <c r="U616">
        <v>17</v>
      </c>
      <c r="V616" t="s">
        <v>2926</v>
      </c>
      <c r="W616" t="s">
        <v>34</v>
      </c>
      <c r="Y616" s="2" t="str">
        <f>IF(EmployeeData[[#This Row],[Age]]&lt;25,"Under 25",IF(EmployeeData[[#This Row],[Age]]&lt;=34,"25-34",IF(EmployeeData[[#This Row],[Age]]&lt;=44,"35-44",IF(EmployeeData[[#This Row],[Age]]&lt;=54,"45-54","55+"))))</f>
        <v>35-44</v>
      </c>
      <c r="Z616">
        <f ca="1">DATEDIF(EmployeeData[[#This Row],[DateOfJoining]],IF(AND(EmployeeData[[#This Row],[Attrition]]="Yes",EmployeeData[[#This Row],[LastWorkingDate]]&lt;&gt;""),EmployeeData[[#This Row],[LastWorkingDate]],TODAY()),"Y")</f>
        <v>14</v>
      </c>
      <c r="AA616" t="str">
        <f>IF(EmployeeData[[#This Row],[MonthlyIncome]]&lt;30000,"Low",IF(EmployeeData[[#This Row],[MonthlyIncome]]&lt;=60000,"Medium",IF(EmployeeData[[#This Row],[MonthlyIncome]]&lt;=100000,"High","Very High")))</f>
        <v>High</v>
      </c>
      <c r="AB616">
        <f>IF(EmployeeData[[#This Row],[Attrition]]="Yes",1,0)</f>
        <v>0</v>
      </c>
      <c r="AC616" t="str">
        <f ca="1">IF(EmployeeData[[#This Row],[Tenure Years]]&lt;1,"Less than 1 Year",IF(EmployeeData[[#This Row],[Tenure Years]]&lt;=3,"1-3 Years",IF(EmployeeData[[#This Row],[Tenure Years]]&lt;=5,"4-5 Years",IF(EmployeeData[[#This Row],[Tenure Years]]&lt;=10,"6-10 Years","More than 10 Years"))))</f>
        <v>More than 10 Years</v>
      </c>
      <c r="AD616">
        <f>ROUND(AVERAGE(EmployeeData[[#This Row],[JobSatisfaction]],EmployeeData[[#This Row],[EnvironmentSatisfaction]],EmployeeData[[#This Row],[WorkLifeBalance]]),2)</f>
        <v>1.67</v>
      </c>
      <c r="AE616" t="str">
        <f>IF(EmployeeData[[#This Row],[Satisfaction Score]]&lt;2,"Low",IF(EmployeeData[[#This Row],[Satisfaction Score]]&lt;3,"Medium","High"))</f>
        <v>Low</v>
      </c>
    </row>
    <row r="617" spans="1:31" x14ac:dyDescent="0.25">
      <c r="A617" t="s">
        <v>2927</v>
      </c>
      <c r="B617" t="s">
        <v>2928</v>
      </c>
      <c r="C617" t="s">
        <v>49</v>
      </c>
      <c r="D617">
        <v>23</v>
      </c>
      <c r="E617" t="s">
        <v>128</v>
      </c>
      <c r="F617" t="s">
        <v>226</v>
      </c>
      <c r="G617" s="1">
        <v>42206</v>
      </c>
      <c r="H617">
        <v>62770</v>
      </c>
      <c r="I617" t="s">
        <v>30</v>
      </c>
      <c r="J617" t="s">
        <v>31</v>
      </c>
      <c r="K617" t="s">
        <v>106</v>
      </c>
      <c r="L617" t="s">
        <v>62</v>
      </c>
      <c r="M617">
        <v>39</v>
      </c>
      <c r="N617" t="s">
        <v>34</v>
      </c>
      <c r="O617">
        <v>2</v>
      </c>
      <c r="P617">
        <v>2</v>
      </c>
      <c r="Q617">
        <v>2</v>
      </c>
      <c r="R617">
        <v>4</v>
      </c>
      <c r="S617">
        <v>5</v>
      </c>
      <c r="T617">
        <v>1</v>
      </c>
      <c r="U617">
        <v>18</v>
      </c>
      <c r="V617" t="s">
        <v>2931</v>
      </c>
      <c r="W617" t="s">
        <v>45</v>
      </c>
      <c r="X617" s="1">
        <v>44996</v>
      </c>
      <c r="Y617" s="2" t="str">
        <f>IF(EmployeeData[[#This Row],[Age]]&lt;25,"Under 25",IF(EmployeeData[[#This Row],[Age]]&lt;=34,"25-34",IF(EmployeeData[[#This Row],[Age]]&lt;=44,"35-44",IF(EmployeeData[[#This Row],[Age]]&lt;=54,"45-54","55+"))))</f>
        <v>Under 25</v>
      </c>
      <c r="Z617">
        <f ca="1">DATEDIF(EmployeeData[[#This Row],[DateOfJoining]],IF(AND(EmployeeData[[#This Row],[Attrition]]="Yes",EmployeeData[[#This Row],[LastWorkingDate]]&lt;&gt;""),EmployeeData[[#This Row],[LastWorkingDate]],TODAY()),"Y")</f>
        <v>7</v>
      </c>
      <c r="AA617" t="str">
        <f>IF(EmployeeData[[#This Row],[MonthlyIncome]]&lt;30000,"Low",IF(EmployeeData[[#This Row],[MonthlyIncome]]&lt;=60000,"Medium",IF(EmployeeData[[#This Row],[MonthlyIncome]]&lt;=100000,"High","Very High")))</f>
        <v>High</v>
      </c>
      <c r="AB617">
        <f>IF(EmployeeData[[#This Row],[Attrition]]="Yes",1,0)</f>
        <v>1</v>
      </c>
      <c r="AC617" t="str">
        <f ca="1">IF(EmployeeData[[#This Row],[Tenure Years]]&lt;1,"Less than 1 Year",IF(EmployeeData[[#This Row],[Tenure Years]]&lt;=3,"1-3 Years",IF(EmployeeData[[#This Row],[Tenure Years]]&lt;=5,"4-5 Years",IF(EmployeeData[[#This Row],[Tenure Years]]&lt;=10,"6-10 Years","More than 10 Years"))))</f>
        <v>6-10 Years</v>
      </c>
      <c r="AD617">
        <f>ROUND(AVERAGE(EmployeeData[[#This Row],[JobSatisfaction]],EmployeeData[[#This Row],[EnvironmentSatisfaction]],EmployeeData[[#This Row],[WorkLifeBalance]]),2)</f>
        <v>2</v>
      </c>
      <c r="AE617" t="str">
        <f>IF(EmployeeData[[#This Row],[Satisfaction Score]]&lt;2,"Low",IF(EmployeeData[[#This Row],[Satisfaction Score]]&lt;3,"Medium","High"))</f>
        <v>Medium</v>
      </c>
    </row>
    <row r="618" spans="1:31" x14ac:dyDescent="0.25">
      <c r="A618" t="s">
        <v>2933</v>
      </c>
      <c r="B618" t="s">
        <v>2934</v>
      </c>
      <c r="C618" t="s">
        <v>49</v>
      </c>
      <c r="D618">
        <v>53</v>
      </c>
      <c r="E618" t="s">
        <v>128</v>
      </c>
      <c r="F618" t="s">
        <v>255</v>
      </c>
      <c r="G618" s="1">
        <v>42626</v>
      </c>
      <c r="H618">
        <v>64626</v>
      </c>
      <c r="I618" t="s">
        <v>42</v>
      </c>
      <c r="J618" t="s">
        <v>5459</v>
      </c>
      <c r="K618" t="s">
        <v>83</v>
      </c>
      <c r="L618" t="s">
        <v>43</v>
      </c>
      <c r="M618">
        <v>45</v>
      </c>
      <c r="N618" t="s">
        <v>34</v>
      </c>
      <c r="O618">
        <v>4</v>
      </c>
      <c r="P618">
        <v>4</v>
      </c>
      <c r="Q618">
        <v>3</v>
      </c>
      <c r="R618">
        <v>2</v>
      </c>
      <c r="S618">
        <v>0</v>
      </c>
      <c r="T618">
        <v>0</v>
      </c>
      <c r="U618">
        <v>13</v>
      </c>
      <c r="V618" t="s">
        <v>2936</v>
      </c>
      <c r="W618" t="s">
        <v>34</v>
      </c>
      <c r="Y618" s="2" t="str">
        <f>IF(EmployeeData[[#This Row],[Age]]&lt;25,"Under 25",IF(EmployeeData[[#This Row],[Age]]&lt;=34,"25-34",IF(EmployeeData[[#This Row],[Age]]&lt;=44,"35-44",IF(EmployeeData[[#This Row],[Age]]&lt;=54,"45-54","55+"))))</f>
        <v>45-54</v>
      </c>
      <c r="Z618">
        <f ca="1">DATEDIF(EmployeeData[[#This Row],[DateOfJoining]],IF(AND(EmployeeData[[#This Row],[Attrition]]="Yes",EmployeeData[[#This Row],[LastWorkingDate]]&lt;&gt;""),EmployeeData[[#This Row],[LastWorkingDate]],TODAY()),"Y")</f>
        <v>9</v>
      </c>
      <c r="AA618" t="str">
        <f>IF(EmployeeData[[#This Row],[MonthlyIncome]]&lt;30000,"Low",IF(EmployeeData[[#This Row],[MonthlyIncome]]&lt;=60000,"Medium",IF(EmployeeData[[#This Row],[MonthlyIncome]]&lt;=100000,"High","Very High")))</f>
        <v>High</v>
      </c>
      <c r="AB618">
        <f>IF(EmployeeData[[#This Row],[Attrition]]="Yes",1,0)</f>
        <v>0</v>
      </c>
      <c r="AC618" t="str">
        <f ca="1">IF(EmployeeData[[#This Row],[Tenure Years]]&lt;1,"Less than 1 Year",IF(EmployeeData[[#This Row],[Tenure Years]]&lt;=3,"1-3 Years",IF(EmployeeData[[#This Row],[Tenure Years]]&lt;=5,"4-5 Years",IF(EmployeeData[[#This Row],[Tenure Years]]&lt;=10,"6-10 Years","More than 10 Years"))))</f>
        <v>6-10 Years</v>
      </c>
      <c r="AD618">
        <f>ROUND(AVERAGE(EmployeeData[[#This Row],[JobSatisfaction]],EmployeeData[[#This Row],[EnvironmentSatisfaction]],EmployeeData[[#This Row],[WorkLifeBalance]]),2)</f>
        <v>3.67</v>
      </c>
      <c r="AE618" t="str">
        <f>IF(EmployeeData[[#This Row],[Satisfaction Score]]&lt;2,"Low",IF(EmployeeData[[#This Row],[Satisfaction Score]]&lt;3,"Medium","High"))</f>
        <v>High</v>
      </c>
    </row>
    <row r="619" spans="1:31" x14ac:dyDescent="0.25">
      <c r="A619" t="s">
        <v>2937</v>
      </c>
      <c r="B619" t="s">
        <v>2938</v>
      </c>
      <c r="C619" t="s">
        <v>58</v>
      </c>
      <c r="D619">
        <v>49</v>
      </c>
      <c r="E619" t="s">
        <v>27</v>
      </c>
      <c r="F619" t="s">
        <v>75</v>
      </c>
      <c r="G619" s="1">
        <v>40821</v>
      </c>
      <c r="H619">
        <v>52122</v>
      </c>
      <c r="I619" t="s">
        <v>30</v>
      </c>
      <c r="J619" t="s">
        <v>61</v>
      </c>
      <c r="K619" t="s">
        <v>83</v>
      </c>
      <c r="L619" t="s">
        <v>33</v>
      </c>
      <c r="M619">
        <v>38</v>
      </c>
      <c r="N619" t="s">
        <v>45</v>
      </c>
      <c r="O619">
        <v>2</v>
      </c>
      <c r="P619">
        <v>3</v>
      </c>
      <c r="Q619">
        <v>4</v>
      </c>
      <c r="R619">
        <v>3</v>
      </c>
      <c r="S619">
        <v>3</v>
      </c>
      <c r="T619">
        <v>4</v>
      </c>
      <c r="U619">
        <v>23</v>
      </c>
      <c r="V619" t="s">
        <v>2940</v>
      </c>
      <c r="W619" t="s">
        <v>45</v>
      </c>
      <c r="X619" s="1">
        <v>45207</v>
      </c>
      <c r="Y619" s="2" t="str">
        <f>IF(EmployeeData[[#This Row],[Age]]&lt;25,"Under 25",IF(EmployeeData[[#This Row],[Age]]&lt;=34,"25-34",IF(EmployeeData[[#This Row],[Age]]&lt;=44,"35-44",IF(EmployeeData[[#This Row],[Age]]&lt;=54,"45-54","55+"))))</f>
        <v>45-54</v>
      </c>
      <c r="Z619">
        <f ca="1">DATEDIF(EmployeeData[[#This Row],[DateOfJoining]],IF(AND(EmployeeData[[#This Row],[Attrition]]="Yes",EmployeeData[[#This Row],[LastWorkingDate]]&lt;&gt;""),EmployeeData[[#This Row],[LastWorkingDate]],TODAY()),"Y")</f>
        <v>12</v>
      </c>
      <c r="AA619" t="str">
        <f>IF(EmployeeData[[#This Row],[MonthlyIncome]]&lt;30000,"Low",IF(EmployeeData[[#This Row],[MonthlyIncome]]&lt;=60000,"Medium",IF(EmployeeData[[#This Row],[MonthlyIncome]]&lt;=100000,"High","Very High")))</f>
        <v>Medium</v>
      </c>
      <c r="AB619">
        <f>IF(EmployeeData[[#This Row],[Attrition]]="Yes",1,0)</f>
        <v>1</v>
      </c>
      <c r="AC619" t="str">
        <f ca="1">IF(EmployeeData[[#This Row],[Tenure Years]]&lt;1,"Less than 1 Year",IF(EmployeeData[[#This Row],[Tenure Years]]&lt;=3,"1-3 Years",IF(EmployeeData[[#This Row],[Tenure Years]]&lt;=5,"4-5 Years",IF(EmployeeData[[#This Row],[Tenure Years]]&lt;=10,"6-10 Years","More than 10 Years"))))</f>
        <v>More than 10 Years</v>
      </c>
      <c r="AD619">
        <f>ROUND(AVERAGE(EmployeeData[[#This Row],[JobSatisfaction]],EmployeeData[[#This Row],[EnvironmentSatisfaction]],EmployeeData[[#This Row],[WorkLifeBalance]]),2)</f>
        <v>3</v>
      </c>
      <c r="AE619" t="str">
        <f>IF(EmployeeData[[#This Row],[Satisfaction Score]]&lt;2,"Low",IF(EmployeeData[[#This Row],[Satisfaction Score]]&lt;3,"Medium","High"))</f>
        <v>High</v>
      </c>
    </row>
    <row r="620" spans="1:31" x14ac:dyDescent="0.25">
      <c r="A620" t="s">
        <v>2942</v>
      </c>
      <c r="B620" t="s">
        <v>2943</v>
      </c>
      <c r="C620" t="s">
        <v>49</v>
      </c>
      <c r="D620">
        <v>31</v>
      </c>
      <c r="E620" t="s">
        <v>27</v>
      </c>
      <c r="F620" t="s">
        <v>59</v>
      </c>
      <c r="G620" s="1">
        <v>44126</v>
      </c>
      <c r="H620">
        <v>116931</v>
      </c>
      <c r="I620" t="s">
        <v>5459</v>
      </c>
      <c r="J620" t="s">
        <v>61</v>
      </c>
      <c r="K620" t="s">
        <v>131</v>
      </c>
      <c r="L620" t="s">
        <v>62</v>
      </c>
      <c r="M620">
        <v>19</v>
      </c>
      <c r="N620" t="s">
        <v>34</v>
      </c>
      <c r="O620">
        <v>1</v>
      </c>
      <c r="P620">
        <v>3</v>
      </c>
      <c r="Q620">
        <v>1</v>
      </c>
      <c r="R620">
        <v>3</v>
      </c>
      <c r="S620">
        <v>5</v>
      </c>
      <c r="T620">
        <v>6</v>
      </c>
      <c r="U620">
        <v>14</v>
      </c>
      <c r="V620" t="s">
        <v>2945</v>
      </c>
      <c r="W620" t="s">
        <v>45</v>
      </c>
      <c r="X620" s="1">
        <v>44473</v>
      </c>
      <c r="Y620" s="2" t="str">
        <f>IF(EmployeeData[[#This Row],[Age]]&lt;25,"Under 25",IF(EmployeeData[[#This Row],[Age]]&lt;=34,"25-34",IF(EmployeeData[[#This Row],[Age]]&lt;=44,"35-44",IF(EmployeeData[[#This Row],[Age]]&lt;=54,"45-54","55+"))))</f>
        <v>25-34</v>
      </c>
      <c r="Z620">
        <f ca="1">DATEDIF(EmployeeData[[#This Row],[DateOfJoining]],IF(AND(EmployeeData[[#This Row],[Attrition]]="Yes",EmployeeData[[#This Row],[LastWorkingDate]]&lt;&gt;""),EmployeeData[[#This Row],[LastWorkingDate]],TODAY()),"Y")</f>
        <v>0</v>
      </c>
      <c r="AA620" t="str">
        <f>IF(EmployeeData[[#This Row],[MonthlyIncome]]&lt;30000,"Low",IF(EmployeeData[[#This Row],[MonthlyIncome]]&lt;=60000,"Medium",IF(EmployeeData[[#This Row],[MonthlyIncome]]&lt;=100000,"High","Very High")))</f>
        <v>Very High</v>
      </c>
      <c r="AB620">
        <f>IF(EmployeeData[[#This Row],[Attrition]]="Yes",1,0)</f>
        <v>1</v>
      </c>
      <c r="AC620" t="str">
        <f ca="1">IF(EmployeeData[[#This Row],[Tenure Years]]&lt;1,"Less than 1 Year",IF(EmployeeData[[#This Row],[Tenure Years]]&lt;=3,"1-3 Years",IF(EmployeeData[[#This Row],[Tenure Years]]&lt;=5,"4-5 Years",IF(EmployeeData[[#This Row],[Tenure Years]]&lt;=10,"6-10 Years","More than 10 Years"))))</f>
        <v>Less than 1 Year</v>
      </c>
      <c r="AD620">
        <f>ROUND(AVERAGE(EmployeeData[[#This Row],[JobSatisfaction]],EmployeeData[[#This Row],[EnvironmentSatisfaction]],EmployeeData[[#This Row],[WorkLifeBalance]]),2)</f>
        <v>1.67</v>
      </c>
      <c r="AE620" t="str">
        <f>IF(EmployeeData[[#This Row],[Satisfaction Score]]&lt;2,"Low",IF(EmployeeData[[#This Row],[Satisfaction Score]]&lt;3,"Medium","High"))</f>
        <v>Low</v>
      </c>
    </row>
    <row r="621" spans="1:31" x14ac:dyDescent="0.25">
      <c r="A621" t="s">
        <v>2947</v>
      </c>
      <c r="B621" t="s">
        <v>2948</v>
      </c>
      <c r="C621" t="s">
        <v>49</v>
      </c>
      <c r="D621">
        <v>38</v>
      </c>
      <c r="E621" t="s">
        <v>27</v>
      </c>
      <c r="F621" t="s">
        <v>59</v>
      </c>
      <c r="G621" s="1">
        <v>45845</v>
      </c>
      <c r="H621">
        <v>118713</v>
      </c>
      <c r="I621" t="s">
        <v>42</v>
      </c>
      <c r="J621" t="s">
        <v>61</v>
      </c>
      <c r="K621" t="s">
        <v>54</v>
      </c>
      <c r="L621" t="s">
        <v>43</v>
      </c>
      <c r="M621">
        <v>24</v>
      </c>
      <c r="N621" t="s">
        <v>45</v>
      </c>
      <c r="O621">
        <v>3</v>
      </c>
      <c r="P621">
        <v>4</v>
      </c>
      <c r="Q621">
        <v>3</v>
      </c>
      <c r="R621">
        <v>4</v>
      </c>
      <c r="S621">
        <v>6</v>
      </c>
      <c r="T621">
        <v>0</v>
      </c>
      <c r="U621">
        <v>24</v>
      </c>
      <c r="V621" t="s">
        <v>2950</v>
      </c>
      <c r="W621" t="s">
        <v>34</v>
      </c>
      <c r="Y621" s="2" t="str">
        <f>IF(EmployeeData[[#This Row],[Age]]&lt;25,"Under 25",IF(EmployeeData[[#This Row],[Age]]&lt;=34,"25-34",IF(EmployeeData[[#This Row],[Age]]&lt;=44,"35-44",IF(EmployeeData[[#This Row],[Age]]&lt;=54,"45-54","55+"))))</f>
        <v>35-44</v>
      </c>
      <c r="Z621">
        <f ca="1">DATEDIF(EmployeeData[[#This Row],[DateOfJoining]],IF(AND(EmployeeData[[#This Row],[Attrition]]="Yes",EmployeeData[[#This Row],[LastWorkingDate]]&lt;&gt;""),EmployeeData[[#This Row],[LastWorkingDate]],TODAY()),"Y")</f>
        <v>1</v>
      </c>
      <c r="AA621" t="str">
        <f>IF(EmployeeData[[#This Row],[MonthlyIncome]]&lt;30000,"Low",IF(EmployeeData[[#This Row],[MonthlyIncome]]&lt;=60000,"Medium",IF(EmployeeData[[#This Row],[MonthlyIncome]]&lt;=100000,"High","Very High")))</f>
        <v>Very High</v>
      </c>
      <c r="AB621">
        <f>IF(EmployeeData[[#This Row],[Attrition]]="Yes",1,0)</f>
        <v>0</v>
      </c>
      <c r="AC621" t="str">
        <f ca="1">IF(EmployeeData[[#This Row],[Tenure Years]]&lt;1,"Less than 1 Year",IF(EmployeeData[[#This Row],[Tenure Years]]&lt;=3,"1-3 Years",IF(EmployeeData[[#This Row],[Tenure Years]]&lt;=5,"4-5 Years",IF(EmployeeData[[#This Row],[Tenure Years]]&lt;=10,"6-10 Years","More than 10 Years"))))</f>
        <v>1-3 Years</v>
      </c>
      <c r="AD621">
        <f>ROUND(AVERAGE(EmployeeData[[#This Row],[JobSatisfaction]],EmployeeData[[#This Row],[EnvironmentSatisfaction]],EmployeeData[[#This Row],[WorkLifeBalance]]),2)</f>
        <v>3.33</v>
      </c>
      <c r="AE621" t="str">
        <f>IF(EmployeeData[[#This Row],[Satisfaction Score]]&lt;2,"Low",IF(EmployeeData[[#This Row],[Satisfaction Score]]&lt;3,"Medium","High"))</f>
        <v>High</v>
      </c>
    </row>
    <row r="622" spans="1:31" x14ac:dyDescent="0.25">
      <c r="A622" t="s">
        <v>2951</v>
      </c>
      <c r="B622" t="s">
        <v>2952</v>
      </c>
      <c r="C622" t="s">
        <v>58</v>
      </c>
      <c r="D622">
        <v>19</v>
      </c>
      <c r="E622" t="s">
        <v>27</v>
      </c>
      <c r="F622" t="s">
        <v>50</v>
      </c>
      <c r="G622" s="1">
        <v>44199</v>
      </c>
      <c r="H622">
        <v>116658</v>
      </c>
      <c r="I622" t="s">
        <v>30</v>
      </c>
      <c r="J622" t="s">
        <v>5459</v>
      </c>
      <c r="K622" t="s">
        <v>77</v>
      </c>
      <c r="L622" t="s">
        <v>62</v>
      </c>
      <c r="M622">
        <v>36</v>
      </c>
      <c r="N622" t="s">
        <v>34</v>
      </c>
      <c r="O622">
        <v>3</v>
      </c>
      <c r="P622">
        <v>1</v>
      </c>
      <c r="Q622">
        <v>2</v>
      </c>
      <c r="R622">
        <v>4</v>
      </c>
      <c r="S622">
        <v>3</v>
      </c>
      <c r="T622">
        <v>7</v>
      </c>
      <c r="U622">
        <v>16</v>
      </c>
      <c r="V622" t="s">
        <v>2954</v>
      </c>
      <c r="W622" t="s">
        <v>34</v>
      </c>
      <c r="Y622" s="2" t="str">
        <f>IF(EmployeeData[[#This Row],[Age]]&lt;25,"Under 25",IF(EmployeeData[[#This Row],[Age]]&lt;=34,"25-34",IF(EmployeeData[[#This Row],[Age]]&lt;=44,"35-44",IF(EmployeeData[[#This Row],[Age]]&lt;=54,"45-54","55+"))))</f>
        <v>Under 25</v>
      </c>
      <c r="Z622">
        <f ca="1">DATEDIF(EmployeeData[[#This Row],[DateOfJoining]],IF(AND(EmployeeData[[#This Row],[Attrition]]="Yes",EmployeeData[[#This Row],[LastWorkingDate]]&lt;&gt;""),EmployeeData[[#This Row],[LastWorkingDate]],TODAY()),"Y")</f>
        <v>5</v>
      </c>
      <c r="AA622" t="str">
        <f>IF(EmployeeData[[#This Row],[MonthlyIncome]]&lt;30000,"Low",IF(EmployeeData[[#This Row],[MonthlyIncome]]&lt;=60000,"Medium",IF(EmployeeData[[#This Row],[MonthlyIncome]]&lt;=100000,"High","Very High")))</f>
        <v>Very High</v>
      </c>
      <c r="AB622">
        <f>IF(EmployeeData[[#This Row],[Attrition]]="Yes",1,0)</f>
        <v>0</v>
      </c>
      <c r="AC622" t="str">
        <f ca="1">IF(EmployeeData[[#This Row],[Tenure Years]]&lt;1,"Less than 1 Year",IF(EmployeeData[[#This Row],[Tenure Years]]&lt;=3,"1-3 Years",IF(EmployeeData[[#This Row],[Tenure Years]]&lt;=5,"4-5 Years",IF(EmployeeData[[#This Row],[Tenure Years]]&lt;=10,"6-10 Years","More than 10 Years"))))</f>
        <v>4-5 Years</v>
      </c>
      <c r="AD622">
        <f>ROUND(AVERAGE(EmployeeData[[#This Row],[JobSatisfaction]],EmployeeData[[#This Row],[EnvironmentSatisfaction]],EmployeeData[[#This Row],[WorkLifeBalance]]),2)</f>
        <v>2</v>
      </c>
      <c r="AE622" t="str">
        <f>IF(EmployeeData[[#This Row],[Satisfaction Score]]&lt;2,"Low",IF(EmployeeData[[#This Row],[Satisfaction Score]]&lt;3,"Medium","High"))</f>
        <v>Medium</v>
      </c>
    </row>
    <row r="623" spans="1:31" x14ac:dyDescent="0.25">
      <c r="A623" t="s">
        <v>2955</v>
      </c>
      <c r="B623" t="s">
        <v>2956</v>
      </c>
      <c r="C623" t="s">
        <v>49</v>
      </c>
      <c r="D623">
        <v>27</v>
      </c>
      <c r="E623" t="s">
        <v>5461</v>
      </c>
      <c r="F623" t="s">
        <v>5463</v>
      </c>
      <c r="G623" s="1">
        <v>45266</v>
      </c>
      <c r="H623">
        <v>107651</v>
      </c>
      <c r="I623" t="s">
        <v>42</v>
      </c>
      <c r="J623" t="s">
        <v>5459</v>
      </c>
      <c r="K623" t="s">
        <v>167</v>
      </c>
      <c r="L623" t="s">
        <v>33</v>
      </c>
      <c r="M623">
        <v>6</v>
      </c>
      <c r="N623" t="s">
        <v>34</v>
      </c>
      <c r="O623">
        <v>1</v>
      </c>
      <c r="P623">
        <v>3</v>
      </c>
      <c r="Q623">
        <v>2</v>
      </c>
      <c r="R623">
        <v>3</v>
      </c>
      <c r="S623">
        <v>0</v>
      </c>
      <c r="T623">
        <v>4</v>
      </c>
      <c r="U623">
        <v>18</v>
      </c>
      <c r="V623" t="s">
        <v>2959</v>
      </c>
      <c r="W623" t="s">
        <v>45</v>
      </c>
      <c r="X623" s="1">
        <v>45371</v>
      </c>
      <c r="Y623" s="2" t="str">
        <f>IF(EmployeeData[[#This Row],[Age]]&lt;25,"Under 25",IF(EmployeeData[[#This Row],[Age]]&lt;=34,"25-34",IF(EmployeeData[[#This Row],[Age]]&lt;=44,"35-44",IF(EmployeeData[[#This Row],[Age]]&lt;=54,"45-54","55+"))))</f>
        <v>25-34</v>
      </c>
      <c r="Z623">
        <f ca="1">DATEDIF(EmployeeData[[#This Row],[DateOfJoining]],IF(AND(EmployeeData[[#This Row],[Attrition]]="Yes",EmployeeData[[#This Row],[LastWorkingDate]]&lt;&gt;""),EmployeeData[[#This Row],[LastWorkingDate]],TODAY()),"Y")</f>
        <v>0</v>
      </c>
      <c r="AA623" t="str">
        <f>IF(EmployeeData[[#This Row],[MonthlyIncome]]&lt;30000,"Low",IF(EmployeeData[[#This Row],[MonthlyIncome]]&lt;=60000,"Medium",IF(EmployeeData[[#This Row],[MonthlyIncome]]&lt;=100000,"High","Very High")))</f>
        <v>Very High</v>
      </c>
      <c r="AB623">
        <f>IF(EmployeeData[[#This Row],[Attrition]]="Yes",1,0)</f>
        <v>1</v>
      </c>
      <c r="AC623" t="str">
        <f ca="1">IF(EmployeeData[[#This Row],[Tenure Years]]&lt;1,"Less than 1 Year",IF(EmployeeData[[#This Row],[Tenure Years]]&lt;=3,"1-3 Years",IF(EmployeeData[[#This Row],[Tenure Years]]&lt;=5,"4-5 Years",IF(EmployeeData[[#This Row],[Tenure Years]]&lt;=10,"6-10 Years","More than 10 Years"))))</f>
        <v>Less than 1 Year</v>
      </c>
      <c r="AD623">
        <f>ROUND(AVERAGE(EmployeeData[[#This Row],[JobSatisfaction]],EmployeeData[[#This Row],[EnvironmentSatisfaction]],EmployeeData[[#This Row],[WorkLifeBalance]]),2)</f>
        <v>2</v>
      </c>
      <c r="AE623" t="str">
        <f>IF(EmployeeData[[#This Row],[Satisfaction Score]]&lt;2,"Low",IF(EmployeeData[[#This Row],[Satisfaction Score]]&lt;3,"Medium","High"))</f>
        <v>Medium</v>
      </c>
    </row>
    <row r="624" spans="1:31" x14ac:dyDescent="0.25">
      <c r="A624" t="s">
        <v>2961</v>
      </c>
      <c r="B624" t="s">
        <v>2962</v>
      </c>
      <c r="C624" t="s">
        <v>49</v>
      </c>
      <c r="D624">
        <v>37</v>
      </c>
      <c r="E624" t="s">
        <v>5461</v>
      </c>
      <c r="F624" t="s">
        <v>89</v>
      </c>
      <c r="G624" s="1">
        <v>44377</v>
      </c>
      <c r="H624">
        <v>66551</v>
      </c>
      <c r="I624" t="s">
        <v>52</v>
      </c>
      <c r="J624" t="s">
        <v>31</v>
      </c>
      <c r="K624" t="s">
        <v>32</v>
      </c>
      <c r="L624" t="s">
        <v>62</v>
      </c>
      <c r="M624">
        <v>34</v>
      </c>
      <c r="N624" t="s">
        <v>45</v>
      </c>
      <c r="O624">
        <v>3</v>
      </c>
      <c r="P624">
        <v>4</v>
      </c>
      <c r="Q624">
        <v>2</v>
      </c>
      <c r="R624">
        <v>5</v>
      </c>
      <c r="S624">
        <v>0</v>
      </c>
      <c r="T624">
        <v>6</v>
      </c>
      <c r="U624">
        <v>11</v>
      </c>
      <c r="V624" t="s">
        <v>2964</v>
      </c>
      <c r="W624" t="s">
        <v>45</v>
      </c>
      <c r="X624" s="1">
        <v>45217</v>
      </c>
      <c r="Y624" s="2" t="str">
        <f>IF(EmployeeData[[#This Row],[Age]]&lt;25,"Under 25",IF(EmployeeData[[#This Row],[Age]]&lt;=34,"25-34",IF(EmployeeData[[#This Row],[Age]]&lt;=44,"35-44",IF(EmployeeData[[#This Row],[Age]]&lt;=54,"45-54","55+"))))</f>
        <v>35-44</v>
      </c>
      <c r="Z624">
        <f ca="1">DATEDIF(EmployeeData[[#This Row],[DateOfJoining]],IF(AND(EmployeeData[[#This Row],[Attrition]]="Yes",EmployeeData[[#This Row],[LastWorkingDate]]&lt;&gt;""),EmployeeData[[#This Row],[LastWorkingDate]],TODAY()),"Y")</f>
        <v>2</v>
      </c>
      <c r="AA624" t="str">
        <f>IF(EmployeeData[[#This Row],[MonthlyIncome]]&lt;30000,"Low",IF(EmployeeData[[#This Row],[MonthlyIncome]]&lt;=60000,"Medium",IF(EmployeeData[[#This Row],[MonthlyIncome]]&lt;=100000,"High","Very High")))</f>
        <v>High</v>
      </c>
      <c r="AB624">
        <f>IF(EmployeeData[[#This Row],[Attrition]]="Yes",1,0)</f>
        <v>1</v>
      </c>
      <c r="AC624" t="str">
        <f ca="1">IF(EmployeeData[[#This Row],[Tenure Years]]&lt;1,"Less than 1 Year",IF(EmployeeData[[#This Row],[Tenure Years]]&lt;=3,"1-3 Years",IF(EmployeeData[[#This Row],[Tenure Years]]&lt;=5,"4-5 Years",IF(EmployeeData[[#This Row],[Tenure Years]]&lt;=10,"6-10 Years","More than 10 Years"))))</f>
        <v>1-3 Years</v>
      </c>
      <c r="AD624">
        <f>ROUND(AVERAGE(EmployeeData[[#This Row],[JobSatisfaction]],EmployeeData[[#This Row],[EnvironmentSatisfaction]],EmployeeData[[#This Row],[WorkLifeBalance]]),2)</f>
        <v>3</v>
      </c>
      <c r="AE624" t="str">
        <f>IF(EmployeeData[[#This Row],[Satisfaction Score]]&lt;2,"Low",IF(EmployeeData[[#This Row],[Satisfaction Score]]&lt;3,"Medium","High"))</f>
        <v>High</v>
      </c>
    </row>
    <row r="625" spans="1:31" x14ac:dyDescent="0.25">
      <c r="A625" t="s">
        <v>2966</v>
      </c>
      <c r="B625" t="s">
        <v>2967</v>
      </c>
      <c r="C625" t="s">
        <v>58</v>
      </c>
      <c r="D625">
        <v>34</v>
      </c>
      <c r="E625" t="s">
        <v>128</v>
      </c>
      <c r="F625" t="s">
        <v>255</v>
      </c>
      <c r="G625" s="1">
        <v>45565</v>
      </c>
      <c r="H625">
        <v>59870</v>
      </c>
      <c r="I625" t="s">
        <v>52</v>
      </c>
      <c r="J625" t="s">
        <v>31</v>
      </c>
      <c r="K625" t="s">
        <v>77</v>
      </c>
      <c r="L625" t="s">
        <v>33</v>
      </c>
      <c r="M625">
        <v>34</v>
      </c>
      <c r="N625" t="s">
        <v>45</v>
      </c>
      <c r="O625">
        <v>4</v>
      </c>
      <c r="P625">
        <v>3</v>
      </c>
      <c r="Q625">
        <v>4</v>
      </c>
      <c r="R625">
        <v>2</v>
      </c>
      <c r="S625">
        <v>5</v>
      </c>
      <c r="T625">
        <v>6</v>
      </c>
      <c r="U625">
        <v>25</v>
      </c>
      <c r="V625" t="s">
        <v>2969</v>
      </c>
      <c r="W625" t="s">
        <v>45</v>
      </c>
      <c r="X625" s="1">
        <v>46230</v>
      </c>
      <c r="Y625" s="2" t="str">
        <f>IF(EmployeeData[[#This Row],[Age]]&lt;25,"Under 25",IF(EmployeeData[[#This Row],[Age]]&lt;=34,"25-34",IF(EmployeeData[[#This Row],[Age]]&lt;=44,"35-44",IF(EmployeeData[[#This Row],[Age]]&lt;=54,"45-54","55+"))))</f>
        <v>25-34</v>
      </c>
      <c r="Z625">
        <f ca="1">DATEDIF(EmployeeData[[#This Row],[DateOfJoining]],IF(AND(EmployeeData[[#This Row],[Attrition]]="Yes",EmployeeData[[#This Row],[LastWorkingDate]]&lt;&gt;""),EmployeeData[[#This Row],[LastWorkingDate]],TODAY()),"Y")</f>
        <v>1</v>
      </c>
      <c r="AA625" t="str">
        <f>IF(EmployeeData[[#This Row],[MonthlyIncome]]&lt;30000,"Low",IF(EmployeeData[[#This Row],[MonthlyIncome]]&lt;=60000,"Medium",IF(EmployeeData[[#This Row],[MonthlyIncome]]&lt;=100000,"High","Very High")))</f>
        <v>Medium</v>
      </c>
      <c r="AB625">
        <f>IF(EmployeeData[[#This Row],[Attrition]]="Yes",1,0)</f>
        <v>1</v>
      </c>
      <c r="AC625" t="str">
        <f ca="1">IF(EmployeeData[[#This Row],[Tenure Years]]&lt;1,"Less than 1 Year",IF(EmployeeData[[#This Row],[Tenure Years]]&lt;=3,"1-3 Years",IF(EmployeeData[[#This Row],[Tenure Years]]&lt;=5,"4-5 Years",IF(EmployeeData[[#This Row],[Tenure Years]]&lt;=10,"6-10 Years","More than 10 Years"))))</f>
        <v>1-3 Years</v>
      </c>
      <c r="AD625">
        <f>ROUND(AVERAGE(EmployeeData[[#This Row],[JobSatisfaction]],EmployeeData[[#This Row],[EnvironmentSatisfaction]],EmployeeData[[#This Row],[WorkLifeBalance]]),2)</f>
        <v>3.67</v>
      </c>
      <c r="AE625" t="str">
        <f>IF(EmployeeData[[#This Row],[Satisfaction Score]]&lt;2,"Low",IF(EmployeeData[[#This Row],[Satisfaction Score]]&lt;3,"Medium","High"))</f>
        <v>High</v>
      </c>
    </row>
    <row r="626" spans="1:31" x14ac:dyDescent="0.25">
      <c r="A626" t="s">
        <v>2971</v>
      </c>
      <c r="B626" t="s">
        <v>2972</v>
      </c>
      <c r="C626" t="s">
        <v>49</v>
      </c>
      <c r="D626">
        <v>34</v>
      </c>
      <c r="E626" t="s">
        <v>128</v>
      </c>
      <c r="F626" t="s">
        <v>271</v>
      </c>
      <c r="G626" s="1">
        <v>43206</v>
      </c>
      <c r="H626">
        <v>52127</v>
      </c>
      <c r="I626" t="s">
        <v>30</v>
      </c>
      <c r="J626" t="s">
        <v>61</v>
      </c>
      <c r="K626" t="s">
        <v>83</v>
      </c>
      <c r="L626" t="s">
        <v>62</v>
      </c>
      <c r="M626">
        <v>25</v>
      </c>
      <c r="N626" t="s">
        <v>45</v>
      </c>
      <c r="O626">
        <v>4</v>
      </c>
      <c r="P626">
        <v>2</v>
      </c>
      <c r="Q626">
        <v>2</v>
      </c>
      <c r="R626">
        <v>2</v>
      </c>
      <c r="S626">
        <v>2</v>
      </c>
      <c r="T626">
        <v>7</v>
      </c>
      <c r="U626">
        <v>23</v>
      </c>
      <c r="V626" t="s">
        <v>2974</v>
      </c>
      <c r="W626" t="s">
        <v>34</v>
      </c>
      <c r="Y626" s="2" t="str">
        <f>IF(EmployeeData[[#This Row],[Age]]&lt;25,"Under 25",IF(EmployeeData[[#This Row],[Age]]&lt;=34,"25-34",IF(EmployeeData[[#This Row],[Age]]&lt;=44,"35-44",IF(EmployeeData[[#This Row],[Age]]&lt;=54,"45-54","55+"))))</f>
        <v>25-34</v>
      </c>
      <c r="Z626">
        <f ca="1">DATEDIF(EmployeeData[[#This Row],[DateOfJoining]],IF(AND(EmployeeData[[#This Row],[Attrition]]="Yes",EmployeeData[[#This Row],[LastWorkingDate]]&lt;&gt;""),EmployeeData[[#This Row],[LastWorkingDate]],TODAY()),"Y")</f>
        <v>8</v>
      </c>
      <c r="AA626" t="str">
        <f>IF(EmployeeData[[#This Row],[MonthlyIncome]]&lt;30000,"Low",IF(EmployeeData[[#This Row],[MonthlyIncome]]&lt;=60000,"Medium",IF(EmployeeData[[#This Row],[MonthlyIncome]]&lt;=100000,"High","Very High")))</f>
        <v>Medium</v>
      </c>
      <c r="AB626">
        <f>IF(EmployeeData[[#This Row],[Attrition]]="Yes",1,0)</f>
        <v>0</v>
      </c>
      <c r="AC626" t="str">
        <f ca="1">IF(EmployeeData[[#This Row],[Tenure Years]]&lt;1,"Less than 1 Year",IF(EmployeeData[[#This Row],[Tenure Years]]&lt;=3,"1-3 Years",IF(EmployeeData[[#This Row],[Tenure Years]]&lt;=5,"4-5 Years",IF(EmployeeData[[#This Row],[Tenure Years]]&lt;=10,"6-10 Years","More than 10 Years"))))</f>
        <v>6-10 Years</v>
      </c>
      <c r="AD626">
        <f>ROUND(AVERAGE(EmployeeData[[#This Row],[JobSatisfaction]],EmployeeData[[#This Row],[EnvironmentSatisfaction]],EmployeeData[[#This Row],[WorkLifeBalance]]),2)</f>
        <v>2.67</v>
      </c>
      <c r="AE626" t="str">
        <f>IF(EmployeeData[[#This Row],[Satisfaction Score]]&lt;2,"Low",IF(EmployeeData[[#This Row],[Satisfaction Score]]&lt;3,"Medium","High"))</f>
        <v>Medium</v>
      </c>
    </row>
    <row r="627" spans="1:31" x14ac:dyDescent="0.25">
      <c r="A627" t="s">
        <v>2975</v>
      </c>
      <c r="B627" t="s">
        <v>2976</v>
      </c>
      <c r="C627" t="s">
        <v>58</v>
      </c>
      <c r="D627">
        <v>33</v>
      </c>
      <c r="E627" t="s">
        <v>94</v>
      </c>
      <c r="F627" t="s">
        <v>639</v>
      </c>
      <c r="G627" s="1">
        <v>45881</v>
      </c>
      <c r="H627">
        <v>67163</v>
      </c>
      <c r="I627" t="s">
        <v>30</v>
      </c>
      <c r="J627" t="s">
        <v>61</v>
      </c>
      <c r="K627" t="s">
        <v>131</v>
      </c>
      <c r="L627" t="s">
        <v>62</v>
      </c>
      <c r="M627">
        <v>27</v>
      </c>
      <c r="N627" t="s">
        <v>34</v>
      </c>
      <c r="O627">
        <v>4</v>
      </c>
      <c r="P627">
        <v>3</v>
      </c>
      <c r="Q627">
        <v>1</v>
      </c>
      <c r="R627">
        <v>3</v>
      </c>
      <c r="S627">
        <v>1</v>
      </c>
      <c r="T627">
        <v>1</v>
      </c>
      <c r="U627">
        <v>22</v>
      </c>
      <c r="V627" t="s">
        <v>2978</v>
      </c>
      <c r="W627" t="s">
        <v>45</v>
      </c>
      <c r="X627" s="1">
        <v>46018</v>
      </c>
      <c r="Y627" s="2" t="str">
        <f>IF(EmployeeData[[#This Row],[Age]]&lt;25,"Under 25",IF(EmployeeData[[#This Row],[Age]]&lt;=34,"25-34",IF(EmployeeData[[#This Row],[Age]]&lt;=44,"35-44",IF(EmployeeData[[#This Row],[Age]]&lt;=54,"45-54","55+"))))</f>
        <v>25-34</v>
      </c>
      <c r="Z627">
        <f ca="1">DATEDIF(EmployeeData[[#This Row],[DateOfJoining]],IF(AND(EmployeeData[[#This Row],[Attrition]]="Yes",EmployeeData[[#This Row],[LastWorkingDate]]&lt;&gt;""),EmployeeData[[#This Row],[LastWorkingDate]],TODAY()),"Y")</f>
        <v>0</v>
      </c>
      <c r="AA627" t="str">
        <f>IF(EmployeeData[[#This Row],[MonthlyIncome]]&lt;30000,"Low",IF(EmployeeData[[#This Row],[MonthlyIncome]]&lt;=60000,"Medium",IF(EmployeeData[[#This Row],[MonthlyIncome]]&lt;=100000,"High","Very High")))</f>
        <v>High</v>
      </c>
      <c r="AB627">
        <f>IF(EmployeeData[[#This Row],[Attrition]]="Yes",1,0)</f>
        <v>1</v>
      </c>
      <c r="AC627" t="str">
        <f ca="1">IF(EmployeeData[[#This Row],[Tenure Years]]&lt;1,"Less than 1 Year",IF(EmployeeData[[#This Row],[Tenure Years]]&lt;=3,"1-3 Years",IF(EmployeeData[[#This Row],[Tenure Years]]&lt;=5,"4-5 Years",IF(EmployeeData[[#This Row],[Tenure Years]]&lt;=10,"6-10 Years","More than 10 Years"))))</f>
        <v>Less than 1 Year</v>
      </c>
      <c r="AD627">
        <f>ROUND(AVERAGE(EmployeeData[[#This Row],[JobSatisfaction]],EmployeeData[[#This Row],[EnvironmentSatisfaction]],EmployeeData[[#This Row],[WorkLifeBalance]]),2)</f>
        <v>2.67</v>
      </c>
      <c r="AE627" t="str">
        <f>IF(EmployeeData[[#This Row],[Satisfaction Score]]&lt;2,"Low",IF(EmployeeData[[#This Row],[Satisfaction Score]]&lt;3,"Medium","High"))</f>
        <v>Medium</v>
      </c>
    </row>
    <row r="628" spans="1:31" x14ac:dyDescent="0.25">
      <c r="A628" t="s">
        <v>2980</v>
      </c>
      <c r="B628" t="s">
        <v>2981</v>
      </c>
      <c r="C628" t="s">
        <v>49</v>
      </c>
      <c r="D628">
        <v>35</v>
      </c>
      <c r="E628" t="s">
        <v>128</v>
      </c>
      <c r="F628" t="s">
        <v>271</v>
      </c>
      <c r="G628" s="1">
        <v>43900</v>
      </c>
      <c r="H628">
        <v>66961</v>
      </c>
      <c r="I628" t="s">
        <v>30</v>
      </c>
      <c r="J628" t="s">
        <v>31</v>
      </c>
      <c r="K628" t="s">
        <v>200</v>
      </c>
      <c r="L628" t="s">
        <v>5459</v>
      </c>
      <c r="M628">
        <v>14</v>
      </c>
      <c r="N628" t="s">
        <v>45</v>
      </c>
      <c r="O628">
        <v>3</v>
      </c>
      <c r="P628">
        <v>4</v>
      </c>
      <c r="Q628">
        <v>1</v>
      </c>
      <c r="R628">
        <v>3</v>
      </c>
      <c r="S628">
        <v>6</v>
      </c>
      <c r="T628">
        <v>0</v>
      </c>
      <c r="U628">
        <v>17</v>
      </c>
      <c r="V628" t="s">
        <v>2983</v>
      </c>
      <c r="W628" t="s">
        <v>34</v>
      </c>
      <c r="Y628" s="2" t="str">
        <f>IF(EmployeeData[[#This Row],[Age]]&lt;25,"Under 25",IF(EmployeeData[[#This Row],[Age]]&lt;=34,"25-34",IF(EmployeeData[[#This Row],[Age]]&lt;=44,"35-44",IF(EmployeeData[[#This Row],[Age]]&lt;=54,"45-54","55+"))))</f>
        <v>35-44</v>
      </c>
      <c r="Z628">
        <f ca="1">DATEDIF(EmployeeData[[#This Row],[DateOfJoining]],IF(AND(EmployeeData[[#This Row],[Attrition]]="Yes",EmployeeData[[#This Row],[LastWorkingDate]]&lt;&gt;""),EmployeeData[[#This Row],[LastWorkingDate]],TODAY()),"Y")</f>
        <v>6</v>
      </c>
      <c r="AA628" t="str">
        <f>IF(EmployeeData[[#This Row],[MonthlyIncome]]&lt;30000,"Low",IF(EmployeeData[[#This Row],[MonthlyIncome]]&lt;=60000,"Medium",IF(EmployeeData[[#This Row],[MonthlyIncome]]&lt;=100000,"High","Very High")))</f>
        <v>High</v>
      </c>
      <c r="AB628">
        <f>IF(EmployeeData[[#This Row],[Attrition]]="Yes",1,0)</f>
        <v>0</v>
      </c>
      <c r="AC628" t="str">
        <f ca="1">IF(EmployeeData[[#This Row],[Tenure Years]]&lt;1,"Less than 1 Year",IF(EmployeeData[[#This Row],[Tenure Years]]&lt;=3,"1-3 Years",IF(EmployeeData[[#This Row],[Tenure Years]]&lt;=5,"4-5 Years",IF(EmployeeData[[#This Row],[Tenure Years]]&lt;=10,"6-10 Years","More than 10 Years"))))</f>
        <v>6-10 Years</v>
      </c>
      <c r="AD628">
        <f>ROUND(AVERAGE(EmployeeData[[#This Row],[JobSatisfaction]],EmployeeData[[#This Row],[EnvironmentSatisfaction]],EmployeeData[[#This Row],[WorkLifeBalance]]),2)</f>
        <v>2.67</v>
      </c>
      <c r="AE628" t="str">
        <f>IF(EmployeeData[[#This Row],[Satisfaction Score]]&lt;2,"Low",IF(EmployeeData[[#This Row],[Satisfaction Score]]&lt;3,"Medium","High"))</f>
        <v>Medium</v>
      </c>
    </row>
    <row r="629" spans="1:31" x14ac:dyDescent="0.25">
      <c r="A629" t="s">
        <v>2984</v>
      </c>
      <c r="B629" t="s">
        <v>2985</v>
      </c>
      <c r="C629" t="s">
        <v>58</v>
      </c>
      <c r="D629">
        <v>42</v>
      </c>
      <c r="E629" t="s">
        <v>27</v>
      </c>
      <c r="F629" t="s">
        <v>188</v>
      </c>
      <c r="G629" s="1">
        <v>41718</v>
      </c>
      <c r="H629">
        <v>49190</v>
      </c>
      <c r="I629" t="s">
        <v>30</v>
      </c>
      <c r="J629" t="s">
        <v>61</v>
      </c>
      <c r="K629" t="s">
        <v>106</v>
      </c>
      <c r="L629" t="s">
        <v>33</v>
      </c>
      <c r="M629">
        <v>16</v>
      </c>
      <c r="N629" t="s">
        <v>45</v>
      </c>
      <c r="O629">
        <v>4</v>
      </c>
      <c r="P629">
        <v>3</v>
      </c>
      <c r="Q629">
        <v>3</v>
      </c>
      <c r="R629">
        <v>3</v>
      </c>
      <c r="S629">
        <v>4</v>
      </c>
      <c r="T629">
        <v>1</v>
      </c>
      <c r="U629">
        <v>12</v>
      </c>
      <c r="V629" t="s">
        <v>2988</v>
      </c>
      <c r="W629" t="s">
        <v>34</v>
      </c>
      <c r="Y629" s="2" t="str">
        <f>IF(EmployeeData[[#This Row],[Age]]&lt;25,"Under 25",IF(EmployeeData[[#This Row],[Age]]&lt;=34,"25-34",IF(EmployeeData[[#This Row],[Age]]&lt;=44,"35-44",IF(EmployeeData[[#This Row],[Age]]&lt;=54,"45-54","55+"))))</f>
        <v>35-44</v>
      </c>
      <c r="Z629">
        <f ca="1">DATEDIF(EmployeeData[[#This Row],[DateOfJoining]],IF(AND(EmployeeData[[#This Row],[Attrition]]="Yes",EmployeeData[[#This Row],[LastWorkingDate]]&lt;&gt;""),EmployeeData[[#This Row],[LastWorkingDate]],TODAY()),"Y")</f>
        <v>12</v>
      </c>
      <c r="AA629" t="str">
        <f>IF(EmployeeData[[#This Row],[MonthlyIncome]]&lt;30000,"Low",IF(EmployeeData[[#This Row],[MonthlyIncome]]&lt;=60000,"Medium",IF(EmployeeData[[#This Row],[MonthlyIncome]]&lt;=100000,"High","Very High")))</f>
        <v>Medium</v>
      </c>
      <c r="AB629">
        <f>IF(EmployeeData[[#This Row],[Attrition]]="Yes",1,0)</f>
        <v>0</v>
      </c>
      <c r="AC629" t="str">
        <f ca="1">IF(EmployeeData[[#This Row],[Tenure Years]]&lt;1,"Less than 1 Year",IF(EmployeeData[[#This Row],[Tenure Years]]&lt;=3,"1-3 Years",IF(EmployeeData[[#This Row],[Tenure Years]]&lt;=5,"4-5 Years",IF(EmployeeData[[#This Row],[Tenure Years]]&lt;=10,"6-10 Years","More than 10 Years"))))</f>
        <v>More than 10 Years</v>
      </c>
      <c r="AD629">
        <f>ROUND(AVERAGE(EmployeeData[[#This Row],[JobSatisfaction]],EmployeeData[[#This Row],[EnvironmentSatisfaction]],EmployeeData[[#This Row],[WorkLifeBalance]]),2)</f>
        <v>3.33</v>
      </c>
      <c r="AE629" t="str">
        <f>IF(EmployeeData[[#This Row],[Satisfaction Score]]&lt;2,"Low",IF(EmployeeData[[#This Row],[Satisfaction Score]]&lt;3,"Medium","High"))</f>
        <v>High</v>
      </c>
    </row>
    <row r="630" spans="1:31" x14ac:dyDescent="0.25">
      <c r="A630" t="s">
        <v>2989</v>
      </c>
      <c r="B630" t="s">
        <v>2990</v>
      </c>
      <c r="C630" t="s">
        <v>49</v>
      </c>
      <c r="D630">
        <v>32</v>
      </c>
      <c r="E630" t="s">
        <v>128</v>
      </c>
      <c r="F630" t="s">
        <v>123</v>
      </c>
      <c r="G630" s="1">
        <v>45801</v>
      </c>
      <c r="H630">
        <v>89171</v>
      </c>
      <c r="I630" t="s">
        <v>42</v>
      </c>
      <c r="J630" t="s">
        <v>31</v>
      </c>
      <c r="K630" t="s">
        <v>106</v>
      </c>
      <c r="L630" t="s">
        <v>33</v>
      </c>
      <c r="M630">
        <v>31</v>
      </c>
      <c r="N630" t="s">
        <v>34</v>
      </c>
      <c r="O630">
        <v>3</v>
      </c>
      <c r="P630">
        <v>2</v>
      </c>
      <c r="Q630">
        <v>2</v>
      </c>
      <c r="R630">
        <v>4</v>
      </c>
      <c r="S630">
        <v>2</v>
      </c>
      <c r="T630">
        <v>4</v>
      </c>
      <c r="U630">
        <v>21</v>
      </c>
      <c r="V630" t="s">
        <v>2992</v>
      </c>
      <c r="W630" t="s">
        <v>34</v>
      </c>
      <c r="Y630" s="2" t="str">
        <f>IF(EmployeeData[[#This Row],[Age]]&lt;25,"Under 25",IF(EmployeeData[[#This Row],[Age]]&lt;=34,"25-34",IF(EmployeeData[[#This Row],[Age]]&lt;=44,"35-44",IF(EmployeeData[[#This Row],[Age]]&lt;=54,"45-54","55+"))))</f>
        <v>25-34</v>
      </c>
      <c r="Z630">
        <f ca="1">DATEDIF(EmployeeData[[#This Row],[DateOfJoining]],IF(AND(EmployeeData[[#This Row],[Attrition]]="Yes",EmployeeData[[#This Row],[LastWorkingDate]]&lt;&gt;""),EmployeeData[[#This Row],[LastWorkingDate]],TODAY()),"Y")</f>
        <v>1</v>
      </c>
      <c r="AA630" t="str">
        <f>IF(EmployeeData[[#This Row],[MonthlyIncome]]&lt;30000,"Low",IF(EmployeeData[[#This Row],[MonthlyIncome]]&lt;=60000,"Medium",IF(EmployeeData[[#This Row],[MonthlyIncome]]&lt;=100000,"High","Very High")))</f>
        <v>High</v>
      </c>
      <c r="AB630">
        <f>IF(EmployeeData[[#This Row],[Attrition]]="Yes",1,0)</f>
        <v>0</v>
      </c>
      <c r="AC630" t="str">
        <f ca="1">IF(EmployeeData[[#This Row],[Tenure Years]]&lt;1,"Less than 1 Year",IF(EmployeeData[[#This Row],[Tenure Years]]&lt;=3,"1-3 Years",IF(EmployeeData[[#This Row],[Tenure Years]]&lt;=5,"4-5 Years",IF(EmployeeData[[#This Row],[Tenure Years]]&lt;=10,"6-10 Years","More than 10 Years"))))</f>
        <v>1-3 Years</v>
      </c>
      <c r="AD630">
        <f>ROUND(AVERAGE(EmployeeData[[#This Row],[JobSatisfaction]],EmployeeData[[#This Row],[EnvironmentSatisfaction]],EmployeeData[[#This Row],[WorkLifeBalance]]),2)</f>
        <v>2.33</v>
      </c>
      <c r="AE630" t="str">
        <f>IF(EmployeeData[[#This Row],[Satisfaction Score]]&lt;2,"Low",IF(EmployeeData[[#This Row],[Satisfaction Score]]&lt;3,"Medium","High"))</f>
        <v>Medium</v>
      </c>
    </row>
    <row r="631" spans="1:31" x14ac:dyDescent="0.25">
      <c r="A631" t="s">
        <v>2993</v>
      </c>
      <c r="B631" t="s">
        <v>2994</v>
      </c>
      <c r="C631" t="s">
        <v>49</v>
      </c>
      <c r="D631">
        <v>19</v>
      </c>
      <c r="E631" t="s">
        <v>94</v>
      </c>
      <c r="F631" t="s">
        <v>5459</v>
      </c>
      <c r="G631" s="1">
        <v>45749</v>
      </c>
      <c r="H631">
        <v>77419</v>
      </c>
      <c r="I631" t="s">
        <v>30</v>
      </c>
      <c r="J631" t="s">
        <v>61</v>
      </c>
      <c r="K631" t="s">
        <v>106</v>
      </c>
      <c r="L631" t="s">
        <v>43</v>
      </c>
      <c r="M631">
        <v>45</v>
      </c>
      <c r="N631" t="s">
        <v>45</v>
      </c>
      <c r="O631">
        <v>4</v>
      </c>
      <c r="P631">
        <v>2</v>
      </c>
      <c r="Q631">
        <v>3</v>
      </c>
      <c r="R631">
        <v>5</v>
      </c>
      <c r="S631">
        <v>2</v>
      </c>
      <c r="T631">
        <v>0</v>
      </c>
      <c r="U631">
        <v>25</v>
      </c>
      <c r="V631" t="s">
        <v>2996</v>
      </c>
      <c r="W631" t="s">
        <v>45</v>
      </c>
      <c r="X631" s="1">
        <v>45783</v>
      </c>
      <c r="Y631" s="2" t="str">
        <f>IF(EmployeeData[[#This Row],[Age]]&lt;25,"Under 25",IF(EmployeeData[[#This Row],[Age]]&lt;=34,"25-34",IF(EmployeeData[[#This Row],[Age]]&lt;=44,"35-44",IF(EmployeeData[[#This Row],[Age]]&lt;=54,"45-54","55+"))))</f>
        <v>Under 25</v>
      </c>
      <c r="Z631">
        <f ca="1">DATEDIF(EmployeeData[[#This Row],[DateOfJoining]],IF(AND(EmployeeData[[#This Row],[Attrition]]="Yes",EmployeeData[[#This Row],[LastWorkingDate]]&lt;&gt;""),EmployeeData[[#This Row],[LastWorkingDate]],TODAY()),"Y")</f>
        <v>0</v>
      </c>
      <c r="AA631" t="str">
        <f>IF(EmployeeData[[#This Row],[MonthlyIncome]]&lt;30000,"Low",IF(EmployeeData[[#This Row],[MonthlyIncome]]&lt;=60000,"Medium",IF(EmployeeData[[#This Row],[MonthlyIncome]]&lt;=100000,"High","Very High")))</f>
        <v>High</v>
      </c>
      <c r="AB631">
        <f>IF(EmployeeData[[#This Row],[Attrition]]="Yes",1,0)</f>
        <v>1</v>
      </c>
      <c r="AC631" t="str">
        <f ca="1">IF(EmployeeData[[#This Row],[Tenure Years]]&lt;1,"Less than 1 Year",IF(EmployeeData[[#This Row],[Tenure Years]]&lt;=3,"1-3 Years",IF(EmployeeData[[#This Row],[Tenure Years]]&lt;=5,"4-5 Years",IF(EmployeeData[[#This Row],[Tenure Years]]&lt;=10,"6-10 Years","More than 10 Years"))))</f>
        <v>Less than 1 Year</v>
      </c>
      <c r="AD631">
        <f>ROUND(AVERAGE(EmployeeData[[#This Row],[JobSatisfaction]],EmployeeData[[#This Row],[EnvironmentSatisfaction]],EmployeeData[[#This Row],[WorkLifeBalance]]),2)</f>
        <v>3</v>
      </c>
      <c r="AE631" t="str">
        <f>IF(EmployeeData[[#This Row],[Satisfaction Score]]&lt;2,"Low",IF(EmployeeData[[#This Row],[Satisfaction Score]]&lt;3,"Medium","High"))</f>
        <v>High</v>
      </c>
    </row>
    <row r="632" spans="1:31" x14ac:dyDescent="0.25">
      <c r="A632" t="s">
        <v>2998</v>
      </c>
      <c r="B632" t="s">
        <v>2999</v>
      </c>
      <c r="C632" t="s">
        <v>58</v>
      </c>
      <c r="D632">
        <v>38</v>
      </c>
      <c r="E632" t="s">
        <v>27</v>
      </c>
      <c r="F632" t="s">
        <v>75</v>
      </c>
      <c r="G632" s="1">
        <v>41160</v>
      </c>
      <c r="H632">
        <v>52897</v>
      </c>
      <c r="I632" t="s">
        <v>30</v>
      </c>
      <c r="J632" t="s">
        <v>31</v>
      </c>
      <c r="K632" t="s">
        <v>106</v>
      </c>
      <c r="L632" t="s">
        <v>62</v>
      </c>
      <c r="M632">
        <v>14</v>
      </c>
      <c r="N632" t="s">
        <v>34</v>
      </c>
      <c r="O632">
        <v>2</v>
      </c>
      <c r="P632">
        <v>2</v>
      </c>
      <c r="Q632">
        <v>4</v>
      </c>
      <c r="R632">
        <v>3</v>
      </c>
      <c r="S632">
        <v>1</v>
      </c>
      <c r="T632">
        <v>8</v>
      </c>
      <c r="U632">
        <v>22</v>
      </c>
      <c r="V632" t="s">
        <v>3001</v>
      </c>
      <c r="W632" t="s">
        <v>34</v>
      </c>
      <c r="Y632" s="2" t="str">
        <f>IF(EmployeeData[[#This Row],[Age]]&lt;25,"Under 25",IF(EmployeeData[[#This Row],[Age]]&lt;=34,"25-34",IF(EmployeeData[[#This Row],[Age]]&lt;=44,"35-44",IF(EmployeeData[[#This Row],[Age]]&lt;=54,"45-54","55+"))))</f>
        <v>35-44</v>
      </c>
      <c r="Z632">
        <f ca="1">DATEDIF(EmployeeData[[#This Row],[DateOfJoining]],IF(AND(EmployeeData[[#This Row],[Attrition]]="Yes",EmployeeData[[#This Row],[LastWorkingDate]]&lt;&gt;""),EmployeeData[[#This Row],[LastWorkingDate]],TODAY()),"Y")</f>
        <v>13</v>
      </c>
      <c r="AA632" t="str">
        <f>IF(EmployeeData[[#This Row],[MonthlyIncome]]&lt;30000,"Low",IF(EmployeeData[[#This Row],[MonthlyIncome]]&lt;=60000,"Medium",IF(EmployeeData[[#This Row],[MonthlyIncome]]&lt;=100000,"High","Very High")))</f>
        <v>Medium</v>
      </c>
      <c r="AB632">
        <f>IF(EmployeeData[[#This Row],[Attrition]]="Yes",1,0)</f>
        <v>0</v>
      </c>
      <c r="AC632" t="str">
        <f ca="1">IF(EmployeeData[[#This Row],[Tenure Years]]&lt;1,"Less than 1 Year",IF(EmployeeData[[#This Row],[Tenure Years]]&lt;=3,"1-3 Years",IF(EmployeeData[[#This Row],[Tenure Years]]&lt;=5,"4-5 Years",IF(EmployeeData[[#This Row],[Tenure Years]]&lt;=10,"6-10 Years","More than 10 Years"))))</f>
        <v>More than 10 Years</v>
      </c>
      <c r="AD632">
        <f>ROUND(AVERAGE(EmployeeData[[#This Row],[JobSatisfaction]],EmployeeData[[#This Row],[EnvironmentSatisfaction]],EmployeeData[[#This Row],[WorkLifeBalance]]),2)</f>
        <v>2.67</v>
      </c>
      <c r="AE632" t="str">
        <f>IF(EmployeeData[[#This Row],[Satisfaction Score]]&lt;2,"Low",IF(EmployeeData[[#This Row],[Satisfaction Score]]&lt;3,"Medium","High"))</f>
        <v>Medium</v>
      </c>
    </row>
    <row r="633" spans="1:31" x14ac:dyDescent="0.25">
      <c r="A633" t="s">
        <v>3002</v>
      </c>
      <c r="B633" t="s">
        <v>3003</v>
      </c>
      <c r="C633" t="s">
        <v>58</v>
      </c>
      <c r="D633">
        <v>26</v>
      </c>
      <c r="E633" t="s">
        <v>94</v>
      </c>
      <c r="F633" t="s">
        <v>639</v>
      </c>
      <c r="G633" s="1">
        <v>46115</v>
      </c>
      <c r="H633">
        <v>45570</v>
      </c>
      <c r="I633" t="s">
        <v>42</v>
      </c>
      <c r="J633" t="s">
        <v>143</v>
      </c>
      <c r="K633" t="s">
        <v>113</v>
      </c>
      <c r="L633" t="s">
        <v>62</v>
      </c>
      <c r="M633">
        <v>9</v>
      </c>
      <c r="N633" t="s">
        <v>34</v>
      </c>
      <c r="O633">
        <v>4</v>
      </c>
      <c r="P633">
        <v>4</v>
      </c>
      <c r="Q633">
        <v>4</v>
      </c>
      <c r="R633">
        <v>3</v>
      </c>
      <c r="S633">
        <v>6</v>
      </c>
      <c r="T633">
        <v>4</v>
      </c>
      <c r="U633">
        <v>24</v>
      </c>
      <c r="V633" t="s">
        <v>3006</v>
      </c>
      <c r="W633" t="s">
        <v>34</v>
      </c>
      <c r="Y633" s="2" t="str">
        <f>IF(EmployeeData[[#This Row],[Age]]&lt;25,"Under 25",IF(EmployeeData[[#This Row],[Age]]&lt;=34,"25-34",IF(EmployeeData[[#This Row],[Age]]&lt;=44,"35-44",IF(EmployeeData[[#This Row],[Age]]&lt;=54,"45-54","55+"))))</f>
        <v>25-34</v>
      </c>
      <c r="Z633">
        <f ca="1">DATEDIF(EmployeeData[[#This Row],[DateOfJoining]],IF(AND(EmployeeData[[#This Row],[Attrition]]="Yes",EmployeeData[[#This Row],[LastWorkingDate]]&lt;&gt;""),EmployeeData[[#This Row],[LastWorkingDate]],TODAY()),"Y")</f>
        <v>0</v>
      </c>
      <c r="AA633" t="str">
        <f>IF(EmployeeData[[#This Row],[MonthlyIncome]]&lt;30000,"Low",IF(EmployeeData[[#This Row],[MonthlyIncome]]&lt;=60000,"Medium",IF(EmployeeData[[#This Row],[MonthlyIncome]]&lt;=100000,"High","Very High")))</f>
        <v>Medium</v>
      </c>
      <c r="AB633">
        <f>IF(EmployeeData[[#This Row],[Attrition]]="Yes",1,0)</f>
        <v>0</v>
      </c>
      <c r="AC633" t="str">
        <f ca="1">IF(EmployeeData[[#This Row],[Tenure Years]]&lt;1,"Less than 1 Year",IF(EmployeeData[[#This Row],[Tenure Years]]&lt;=3,"1-3 Years",IF(EmployeeData[[#This Row],[Tenure Years]]&lt;=5,"4-5 Years",IF(EmployeeData[[#This Row],[Tenure Years]]&lt;=10,"6-10 Years","More than 10 Years"))))</f>
        <v>Less than 1 Year</v>
      </c>
      <c r="AD633">
        <f>ROUND(AVERAGE(EmployeeData[[#This Row],[JobSatisfaction]],EmployeeData[[#This Row],[EnvironmentSatisfaction]],EmployeeData[[#This Row],[WorkLifeBalance]]),2)</f>
        <v>4</v>
      </c>
      <c r="AE633" t="str">
        <f>IF(EmployeeData[[#This Row],[Satisfaction Score]]&lt;2,"Low",IF(EmployeeData[[#This Row],[Satisfaction Score]]&lt;3,"Medium","High"))</f>
        <v>High</v>
      </c>
    </row>
    <row r="634" spans="1:31" x14ac:dyDescent="0.25">
      <c r="A634" t="s">
        <v>3007</v>
      </c>
      <c r="B634" t="s">
        <v>3008</v>
      </c>
      <c r="C634" t="s">
        <v>58</v>
      </c>
      <c r="D634">
        <v>33</v>
      </c>
      <c r="E634" t="s">
        <v>94</v>
      </c>
      <c r="F634" t="s">
        <v>639</v>
      </c>
      <c r="G634" s="1">
        <v>44802</v>
      </c>
      <c r="H634">
        <v>53178</v>
      </c>
      <c r="I634" t="s">
        <v>30</v>
      </c>
      <c r="J634" t="s">
        <v>61</v>
      </c>
      <c r="K634" t="s">
        <v>32</v>
      </c>
      <c r="L634" t="s">
        <v>62</v>
      </c>
      <c r="M634">
        <v>12</v>
      </c>
      <c r="N634" t="s">
        <v>34</v>
      </c>
      <c r="O634">
        <v>3</v>
      </c>
      <c r="P634">
        <v>3</v>
      </c>
      <c r="Q634">
        <v>1</v>
      </c>
      <c r="R634">
        <v>4</v>
      </c>
      <c r="S634">
        <v>0</v>
      </c>
      <c r="T634">
        <v>0</v>
      </c>
      <c r="U634">
        <v>17</v>
      </c>
      <c r="V634" t="s">
        <v>3010</v>
      </c>
      <c r="W634" t="s">
        <v>34</v>
      </c>
      <c r="Y634" s="2" t="str">
        <f>IF(EmployeeData[[#This Row],[Age]]&lt;25,"Under 25",IF(EmployeeData[[#This Row],[Age]]&lt;=34,"25-34",IF(EmployeeData[[#This Row],[Age]]&lt;=44,"35-44",IF(EmployeeData[[#This Row],[Age]]&lt;=54,"45-54","55+"))))</f>
        <v>25-34</v>
      </c>
      <c r="Z634">
        <f ca="1">DATEDIF(EmployeeData[[#This Row],[DateOfJoining]],IF(AND(EmployeeData[[#This Row],[Attrition]]="Yes",EmployeeData[[#This Row],[LastWorkingDate]]&lt;&gt;""),EmployeeData[[#This Row],[LastWorkingDate]],TODAY()),"Y")</f>
        <v>4</v>
      </c>
      <c r="AA634" t="str">
        <f>IF(EmployeeData[[#This Row],[MonthlyIncome]]&lt;30000,"Low",IF(EmployeeData[[#This Row],[MonthlyIncome]]&lt;=60000,"Medium",IF(EmployeeData[[#This Row],[MonthlyIncome]]&lt;=100000,"High","Very High")))</f>
        <v>Medium</v>
      </c>
      <c r="AB634">
        <f>IF(EmployeeData[[#This Row],[Attrition]]="Yes",1,0)</f>
        <v>0</v>
      </c>
      <c r="AC634" t="str">
        <f ca="1">IF(EmployeeData[[#This Row],[Tenure Years]]&lt;1,"Less than 1 Year",IF(EmployeeData[[#This Row],[Tenure Years]]&lt;=3,"1-3 Years",IF(EmployeeData[[#This Row],[Tenure Years]]&lt;=5,"4-5 Years",IF(EmployeeData[[#This Row],[Tenure Years]]&lt;=10,"6-10 Years","More than 10 Years"))))</f>
        <v>4-5 Years</v>
      </c>
      <c r="AD634">
        <f>ROUND(AVERAGE(EmployeeData[[#This Row],[JobSatisfaction]],EmployeeData[[#This Row],[EnvironmentSatisfaction]],EmployeeData[[#This Row],[WorkLifeBalance]]),2)</f>
        <v>2.33</v>
      </c>
      <c r="AE634" t="str">
        <f>IF(EmployeeData[[#This Row],[Satisfaction Score]]&lt;2,"Low",IF(EmployeeData[[#This Row],[Satisfaction Score]]&lt;3,"Medium","High"))</f>
        <v>Medium</v>
      </c>
    </row>
    <row r="635" spans="1:31" x14ac:dyDescent="0.25">
      <c r="A635" t="s">
        <v>3011</v>
      </c>
      <c r="B635" t="s">
        <v>3012</v>
      </c>
      <c r="C635" t="s">
        <v>49</v>
      </c>
      <c r="D635">
        <v>44</v>
      </c>
      <c r="E635" t="s">
        <v>27</v>
      </c>
      <c r="F635" t="s">
        <v>188</v>
      </c>
      <c r="G635" s="1">
        <v>44865</v>
      </c>
      <c r="H635">
        <v>60707</v>
      </c>
      <c r="I635" t="s">
        <v>42</v>
      </c>
      <c r="J635" t="s">
        <v>31</v>
      </c>
      <c r="K635" t="s">
        <v>32</v>
      </c>
      <c r="L635" t="s">
        <v>43</v>
      </c>
      <c r="M635">
        <v>37</v>
      </c>
      <c r="N635" t="s">
        <v>34</v>
      </c>
      <c r="O635">
        <v>3</v>
      </c>
      <c r="P635">
        <v>4</v>
      </c>
      <c r="Q635">
        <v>3</v>
      </c>
      <c r="R635">
        <v>4</v>
      </c>
      <c r="S635">
        <v>4</v>
      </c>
      <c r="T635">
        <v>4</v>
      </c>
      <c r="U635">
        <v>11</v>
      </c>
      <c r="V635" t="s">
        <v>3014</v>
      </c>
      <c r="W635" t="s">
        <v>34</v>
      </c>
      <c r="Y635" s="2" t="str">
        <f>IF(EmployeeData[[#This Row],[Age]]&lt;25,"Under 25",IF(EmployeeData[[#This Row],[Age]]&lt;=34,"25-34",IF(EmployeeData[[#This Row],[Age]]&lt;=44,"35-44",IF(EmployeeData[[#This Row],[Age]]&lt;=54,"45-54","55+"))))</f>
        <v>35-44</v>
      </c>
      <c r="Z635">
        <f ca="1">DATEDIF(EmployeeData[[#This Row],[DateOfJoining]],IF(AND(EmployeeData[[#This Row],[Attrition]]="Yes",EmployeeData[[#This Row],[LastWorkingDate]]&lt;&gt;""),EmployeeData[[#This Row],[LastWorkingDate]],TODAY()),"Y")</f>
        <v>3</v>
      </c>
      <c r="AA635" t="str">
        <f>IF(EmployeeData[[#This Row],[MonthlyIncome]]&lt;30000,"Low",IF(EmployeeData[[#This Row],[MonthlyIncome]]&lt;=60000,"Medium",IF(EmployeeData[[#This Row],[MonthlyIncome]]&lt;=100000,"High","Very High")))</f>
        <v>High</v>
      </c>
      <c r="AB635">
        <f>IF(EmployeeData[[#This Row],[Attrition]]="Yes",1,0)</f>
        <v>0</v>
      </c>
      <c r="AC635" t="str">
        <f ca="1">IF(EmployeeData[[#This Row],[Tenure Years]]&lt;1,"Less than 1 Year",IF(EmployeeData[[#This Row],[Tenure Years]]&lt;=3,"1-3 Years",IF(EmployeeData[[#This Row],[Tenure Years]]&lt;=5,"4-5 Years",IF(EmployeeData[[#This Row],[Tenure Years]]&lt;=10,"6-10 Years","More than 10 Years"))))</f>
        <v>1-3 Years</v>
      </c>
      <c r="AD635">
        <f>ROUND(AVERAGE(EmployeeData[[#This Row],[JobSatisfaction]],EmployeeData[[#This Row],[EnvironmentSatisfaction]],EmployeeData[[#This Row],[WorkLifeBalance]]),2)</f>
        <v>3.33</v>
      </c>
      <c r="AE635" t="str">
        <f>IF(EmployeeData[[#This Row],[Satisfaction Score]]&lt;2,"Low",IF(EmployeeData[[#This Row],[Satisfaction Score]]&lt;3,"Medium","High"))</f>
        <v>High</v>
      </c>
    </row>
    <row r="636" spans="1:31" x14ac:dyDescent="0.25">
      <c r="A636" t="s">
        <v>3015</v>
      </c>
      <c r="B636" t="s">
        <v>3016</v>
      </c>
      <c r="C636" t="s">
        <v>49</v>
      </c>
      <c r="D636">
        <v>35</v>
      </c>
      <c r="E636" t="s">
        <v>197</v>
      </c>
      <c r="F636" t="s">
        <v>573</v>
      </c>
      <c r="G636" s="1">
        <v>45486</v>
      </c>
      <c r="H636">
        <v>69643</v>
      </c>
      <c r="I636" t="s">
        <v>42</v>
      </c>
      <c r="J636" t="s">
        <v>61</v>
      </c>
      <c r="K636" t="s">
        <v>32</v>
      </c>
      <c r="L636" t="s">
        <v>43</v>
      </c>
      <c r="M636">
        <v>10</v>
      </c>
      <c r="N636" t="s">
        <v>45</v>
      </c>
      <c r="O636">
        <v>2</v>
      </c>
      <c r="P636">
        <v>2</v>
      </c>
      <c r="Q636">
        <v>1</v>
      </c>
      <c r="R636">
        <v>4</v>
      </c>
      <c r="S636">
        <v>5</v>
      </c>
      <c r="T636">
        <v>8</v>
      </c>
      <c r="U636">
        <v>23</v>
      </c>
      <c r="V636" t="s">
        <v>3018</v>
      </c>
      <c r="W636" t="s">
        <v>45</v>
      </c>
      <c r="X636" s="1">
        <v>45935</v>
      </c>
      <c r="Y636" s="2" t="str">
        <f>IF(EmployeeData[[#This Row],[Age]]&lt;25,"Under 25",IF(EmployeeData[[#This Row],[Age]]&lt;=34,"25-34",IF(EmployeeData[[#This Row],[Age]]&lt;=44,"35-44",IF(EmployeeData[[#This Row],[Age]]&lt;=54,"45-54","55+"))))</f>
        <v>35-44</v>
      </c>
      <c r="Z636">
        <f ca="1">DATEDIF(EmployeeData[[#This Row],[DateOfJoining]],IF(AND(EmployeeData[[#This Row],[Attrition]]="Yes",EmployeeData[[#This Row],[LastWorkingDate]]&lt;&gt;""),EmployeeData[[#This Row],[LastWorkingDate]],TODAY()),"Y")</f>
        <v>1</v>
      </c>
      <c r="AA636" t="str">
        <f>IF(EmployeeData[[#This Row],[MonthlyIncome]]&lt;30000,"Low",IF(EmployeeData[[#This Row],[MonthlyIncome]]&lt;=60000,"Medium",IF(EmployeeData[[#This Row],[MonthlyIncome]]&lt;=100000,"High","Very High")))</f>
        <v>High</v>
      </c>
      <c r="AB636">
        <f>IF(EmployeeData[[#This Row],[Attrition]]="Yes",1,0)</f>
        <v>1</v>
      </c>
      <c r="AC636" t="str">
        <f ca="1">IF(EmployeeData[[#This Row],[Tenure Years]]&lt;1,"Less than 1 Year",IF(EmployeeData[[#This Row],[Tenure Years]]&lt;=3,"1-3 Years",IF(EmployeeData[[#This Row],[Tenure Years]]&lt;=5,"4-5 Years",IF(EmployeeData[[#This Row],[Tenure Years]]&lt;=10,"6-10 Years","More than 10 Years"))))</f>
        <v>1-3 Years</v>
      </c>
      <c r="AD636">
        <f>ROUND(AVERAGE(EmployeeData[[#This Row],[JobSatisfaction]],EmployeeData[[#This Row],[EnvironmentSatisfaction]],EmployeeData[[#This Row],[WorkLifeBalance]]),2)</f>
        <v>1.67</v>
      </c>
      <c r="AE636" t="str">
        <f>IF(EmployeeData[[#This Row],[Satisfaction Score]]&lt;2,"Low",IF(EmployeeData[[#This Row],[Satisfaction Score]]&lt;3,"Medium","High"))</f>
        <v>Low</v>
      </c>
    </row>
    <row r="637" spans="1:31" x14ac:dyDescent="0.25">
      <c r="A637" t="s">
        <v>3020</v>
      </c>
      <c r="B637" t="s">
        <v>3021</v>
      </c>
      <c r="C637" t="s">
        <v>58</v>
      </c>
      <c r="D637">
        <v>44</v>
      </c>
      <c r="E637" t="s">
        <v>94</v>
      </c>
      <c r="F637" t="s">
        <v>356</v>
      </c>
      <c r="G637" s="1">
        <v>45926</v>
      </c>
      <c r="H637">
        <v>105054</v>
      </c>
      <c r="I637" t="s">
        <v>30</v>
      </c>
      <c r="J637" t="s">
        <v>53</v>
      </c>
      <c r="K637" t="s">
        <v>167</v>
      </c>
      <c r="L637" t="s">
        <v>43</v>
      </c>
      <c r="M637">
        <v>38</v>
      </c>
      <c r="N637" t="s">
        <v>34</v>
      </c>
      <c r="O637">
        <v>1</v>
      </c>
      <c r="P637">
        <v>3</v>
      </c>
      <c r="Q637">
        <v>4</v>
      </c>
      <c r="R637">
        <v>5</v>
      </c>
      <c r="S637">
        <v>0</v>
      </c>
      <c r="T637">
        <v>0</v>
      </c>
      <c r="U637">
        <v>12</v>
      </c>
      <c r="V637" t="s">
        <v>3023</v>
      </c>
      <c r="W637" t="s">
        <v>45</v>
      </c>
      <c r="X637" s="1">
        <v>45929</v>
      </c>
      <c r="Y637" s="2" t="str">
        <f>IF(EmployeeData[[#This Row],[Age]]&lt;25,"Under 25",IF(EmployeeData[[#This Row],[Age]]&lt;=34,"25-34",IF(EmployeeData[[#This Row],[Age]]&lt;=44,"35-44",IF(EmployeeData[[#This Row],[Age]]&lt;=54,"45-54","55+"))))</f>
        <v>35-44</v>
      </c>
      <c r="Z637">
        <f ca="1">DATEDIF(EmployeeData[[#This Row],[DateOfJoining]],IF(AND(EmployeeData[[#This Row],[Attrition]]="Yes",EmployeeData[[#This Row],[LastWorkingDate]]&lt;&gt;""),EmployeeData[[#This Row],[LastWorkingDate]],TODAY()),"Y")</f>
        <v>0</v>
      </c>
      <c r="AA637" t="str">
        <f>IF(EmployeeData[[#This Row],[MonthlyIncome]]&lt;30000,"Low",IF(EmployeeData[[#This Row],[MonthlyIncome]]&lt;=60000,"Medium",IF(EmployeeData[[#This Row],[MonthlyIncome]]&lt;=100000,"High","Very High")))</f>
        <v>Very High</v>
      </c>
      <c r="AB637">
        <f>IF(EmployeeData[[#This Row],[Attrition]]="Yes",1,0)</f>
        <v>1</v>
      </c>
      <c r="AC637" t="str">
        <f ca="1">IF(EmployeeData[[#This Row],[Tenure Years]]&lt;1,"Less than 1 Year",IF(EmployeeData[[#This Row],[Tenure Years]]&lt;=3,"1-3 Years",IF(EmployeeData[[#This Row],[Tenure Years]]&lt;=5,"4-5 Years",IF(EmployeeData[[#This Row],[Tenure Years]]&lt;=10,"6-10 Years","More than 10 Years"))))</f>
        <v>Less than 1 Year</v>
      </c>
      <c r="AD637">
        <f>ROUND(AVERAGE(EmployeeData[[#This Row],[JobSatisfaction]],EmployeeData[[#This Row],[EnvironmentSatisfaction]],EmployeeData[[#This Row],[WorkLifeBalance]]),2)</f>
        <v>2.67</v>
      </c>
      <c r="AE637" t="str">
        <f>IF(EmployeeData[[#This Row],[Satisfaction Score]]&lt;2,"Low",IF(EmployeeData[[#This Row],[Satisfaction Score]]&lt;3,"Medium","High"))</f>
        <v>Medium</v>
      </c>
    </row>
    <row r="638" spans="1:31" x14ac:dyDescent="0.25">
      <c r="A638" t="s">
        <v>3025</v>
      </c>
      <c r="B638" t="s">
        <v>3026</v>
      </c>
      <c r="C638" t="s">
        <v>49</v>
      </c>
      <c r="D638">
        <v>36</v>
      </c>
      <c r="E638" t="s">
        <v>128</v>
      </c>
      <c r="F638" t="s">
        <v>226</v>
      </c>
      <c r="G638" s="1">
        <v>41014</v>
      </c>
      <c r="H638">
        <v>83746</v>
      </c>
      <c r="I638" t="s">
        <v>52</v>
      </c>
      <c r="J638" t="s">
        <v>31</v>
      </c>
      <c r="K638" t="s">
        <v>167</v>
      </c>
      <c r="L638" t="s">
        <v>62</v>
      </c>
      <c r="M638">
        <v>16</v>
      </c>
      <c r="N638" t="s">
        <v>45</v>
      </c>
      <c r="O638">
        <v>4</v>
      </c>
      <c r="P638">
        <v>4</v>
      </c>
      <c r="Q638">
        <v>2</v>
      </c>
      <c r="R638">
        <v>3</v>
      </c>
      <c r="S638">
        <v>5</v>
      </c>
      <c r="T638">
        <v>5</v>
      </c>
      <c r="U638">
        <v>20</v>
      </c>
      <c r="V638" t="s">
        <v>3028</v>
      </c>
      <c r="W638" t="s">
        <v>34</v>
      </c>
      <c r="Y638" s="2" t="str">
        <f>IF(EmployeeData[[#This Row],[Age]]&lt;25,"Under 25",IF(EmployeeData[[#This Row],[Age]]&lt;=34,"25-34",IF(EmployeeData[[#This Row],[Age]]&lt;=44,"35-44",IF(EmployeeData[[#This Row],[Age]]&lt;=54,"45-54","55+"))))</f>
        <v>35-44</v>
      </c>
      <c r="Z638">
        <f ca="1">DATEDIF(EmployeeData[[#This Row],[DateOfJoining]],IF(AND(EmployeeData[[#This Row],[Attrition]]="Yes",EmployeeData[[#This Row],[LastWorkingDate]]&lt;&gt;""),EmployeeData[[#This Row],[LastWorkingDate]],TODAY()),"Y")</f>
        <v>14</v>
      </c>
      <c r="AA638" t="str">
        <f>IF(EmployeeData[[#This Row],[MonthlyIncome]]&lt;30000,"Low",IF(EmployeeData[[#This Row],[MonthlyIncome]]&lt;=60000,"Medium",IF(EmployeeData[[#This Row],[MonthlyIncome]]&lt;=100000,"High","Very High")))</f>
        <v>High</v>
      </c>
      <c r="AB638">
        <f>IF(EmployeeData[[#This Row],[Attrition]]="Yes",1,0)</f>
        <v>0</v>
      </c>
      <c r="AC638" t="str">
        <f ca="1">IF(EmployeeData[[#This Row],[Tenure Years]]&lt;1,"Less than 1 Year",IF(EmployeeData[[#This Row],[Tenure Years]]&lt;=3,"1-3 Years",IF(EmployeeData[[#This Row],[Tenure Years]]&lt;=5,"4-5 Years",IF(EmployeeData[[#This Row],[Tenure Years]]&lt;=10,"6-10 Years","More than 10 Years"))))</f>
        <v>More than 10 Years</v>
      </c>
      <c r="AD638">
        <f>ROUND(AVERAGE(EmployeeData[[#This Row],[JobSatisfaction]],EmployeeData[[#This Row],[EnvironmentSatisfaction]],EmployeeData[[#This Row],[WorkLifeBalance]]),2)</f>
        <v>3.33</v>
      </c>
      <c r="AE638" t="str">
        <f>IF(EmployeeData[[#This Row],[Satisfaction Score]]&lt;2,"Low",IF(EmployeeData[[#This Row],[Satisfaction Score]]&lt;3,"Medium","High"))</f>
        <v>High</v>
      </c>
    </row>
    <row r="639" spans="1:31" x14ac:dyDescent="0.25">
      <c r="A639" t="s">
        <v>3029</v>
      </c>
      <c r="B639" t="s">
        <v>3030</v>
      </c>
      <c r="C639" t="s">
        <v>58</v>
      </c>
      <c r="D639">
        <v>32</v>
      </c>
      <c r="E639" t="s">
        <v>27</v>
      </c>
      <c r="F639" t="s">
        <v>59</v>
      </c>
      <c r="G639" s="1">
        <v>41414</v>
      </c>
      <c r="H639">
        <v>59013</v>
      </c>
      <c r="I639" t="s">
        <v>42</v>
      </c>
      <c r="J639" t="s">
        <v>61</v>
      </c>
      <c r="K639" t="s">
        <v>167</v>
      </c>
      <c r="L639" t="s">
        <v>33</v>
      </c>
      <c r="M639">
        <v>29</v>
      </c>
      <c r="N639" t="s">
        <v>34</v>
      </c>
      <c r="O639">
        <v>2</v>
      </c>
      <c r="P639">
        <v>1</v>
      </c>
      <c r="Q639">
        <v>2</v>
      </c>
      <c r="R639">
        <v>4</v>
      </c>
      <c r="S639">
        <v>2</v>
      </c>
      <c r="T639">
        <v>3</v>
      </c>
      <c r="U639">
        <v>17</v>
      </c>
      <c r="V639" t="s">
        <v>3033</v>
      </c>
      <c r="W639" t="s">
        <v>45</v>
      </c>
      <c r="X639" s="1">
        <v>41933</v>
      </c>
      <c r="Y639" s="2" t="str">
        <f>IF(EmployeeData[[#This Row],[Age]]&lt;25,"Under 25",IF(EmployeeData[[#This Row],[Age]]&lt;=34,"25-34",IF(EmployeeData[[#This Row],[Age]]&lt;=44,"35-44",IF(EmployeeData[[#This Row],[Age]]&lt;=54,"45-54","55+"))))</f>
        <v>25-34</v>
      </c>
      <c r="Z639">
        <f ca="1">DATEDIF(EmployeeData[[#This Row],[DateOfJoining]],IF(AND(EmployeeData[[#This Row],[Attrition]]="Yes",EmployeeData[[#This Row],[LastWorkingDate]]&lt;&gt;""),EmployeeData[[#This Row],[LastWorkingDate]],TODAY()),"Y")</f>
        <v>1</v>
      </c>
      <c r="AA639" t="str">
        <f>IF(EmployeeData[[#This Row],[MonthlyIncome]]&lt;30000,"Low",IF(EmployeeData[[#This Row],[MonthlyIncome]]&lt;=60000,"Medium",IF(EmployeeData[[#This Row],[MonthlyIncome]]&lt;=100000,"High","Very High")))</f>
        <v>Medium</v>
      </c>
      <c r="AB639">
        <f>IF(EmployeeData[[#This Row],[Attrition]]="Yes",1,0)</f>
        <v>1</v>
      </c>
      <c r="AC639" t="str">
        <f ca="1">IF(EmployeeData[[#This Row],[Tenure Years]]&lt;1,"Less than 1 Year",IF(EmployeeData[[#This Row],[Tenure Years]]&lt;=3,"1-3 Years",IF(EmployeeData[[#This Row],[Tenure Years]]&lt;=5,"4-5 Years",IF(EmployeeData[[#This Row],[Tenure Years]]&lt;=10,"6-10 Years","More than 10 Years"))))</f>
        <v>1-3 Years</v>
      </c>
      <c r="AD639">
        <f>ROUND(AVERAGE(EmployeeData[[#This Row],[JobSatisfaction]],EmployeeData[[#This Row],[EnvironmentSatisfaction]],EmployeeData[[#This Row],[WorkLifeBalance]]),2)</f>
        <v>1.67</v>
      </c>
      <c r="AE639" t="str">
        <f>IF(EmployeeData[[#This Row],[Satisfaction Score]]&lt;2,"Low",IF(EmployeeData[[#This Row],[Satisfaction Score]]&lt;3,"Medium","High"))</f>
        <v>Low</v>
      </c>
    </row>
    <row r="640" spans="1:31" x14ac:dyDescent="0.25">
      <c r="A640" t="s">
        <v>3035</v>
      </c>
      <c r="B640" t="s">
        <v>3036</v>
      </c>
      <c r="C640" t="s">
        <v>58</v>
      </c>
      <c r="D640">
        <v>46</v>
      </c>
      <c r="E640" t="s">
        <v>197</v>
      </c>
      <c r="F640" t="s">
        <v>323</v>
      </c>
      <c r="G640" s="1">
        <v>45988</v>
      </c>
      <c r="H640">
        <v>78625</v>
      </c>
      <c r="I640" t="s">
        <v>42</v>
      </c>
      <c r="J640" t="s">
        <v>143</v>
      </c>
      <c r="K640" t="s">
        <v>54</v>
      </c>
      <c r="L640" t="s">
        <v>33</v>
      </c>
      <c r="M640">
        <v>14</v>
      </c>
      <c r="N640" t="s">
        <v>45</v>
      </c>
      <c r="O640">
        <v>3</v>
      </c>
      <c r="P640">
        <v>4</v>
      </c>
      <c r="Q640">
        <v>4</v>
      </c>
      <c r="R640">
        <v>3</v>
      </c>
      <c r="S640">
        <v>6</v>
      </c>
      <c r="T640">
        <v>3</v>
      </c>
      <c r="U640">
        <v>14</v>
      </c>
      <c r="V640" t="s">
        <v>3038</v>
      </c>
      <c r="W640" t="s">
        <v>45</v>
      </c>
      <c r="X640" s="1">
        <v>46125</v>
      </c>
      <c r="Y640" s="2" t="str">
        <f>IF(EmployeeData[[#This Row],[Age]]&lt;25,"Under 25",IF(EmployeeData[[#This Row],[Age]]&lt;=34,"25-34",IF(EmployeeData[[#This Row],[Age]]&lt;=44,"35-44",IF(EmployeeData[[#This Row],[Age]]&lt;=54,"45-54","55+"))))</f>
        <v>45-54</v>
      </c>
      <c r="Z640">
        <f ca="1">DATEDIF(EmployeeData[[#This Row],[DateOfJoining]],IF(AND(EmployeeData[[#This Row],[Attrition]]="Yes",EmployeeData[[#This Row],[LastWorkingDate]]&lt;&gt;""),EmployeeData[[#This Row],[LastWorkingDate]],TODAY()),"Y")</f>
        <v>0</v>
      </c>
      <c r="AA640" t="str">
        <f>IF(EmployeeData[[#This Row],[MonthlyIncome]]&lt;30000,"Low",IF(EmployeeData[[#This Row],[MonthlyIncome]]&lt;=60000,"Medium",IF(EmployeeData[[#This Row],[MonthlyIncome]]&lt;=100000,"High","Very High")))</f>
        <v>High</v>
      </c>
      <c r="AB640">
        <f>IF(EmployeeData[[#This Row],[Attrition]]="Yes",1,0)</f>
        <v>1</v>
      </c>
      <c r="AC640" t="str">
        <f ca="1">IF(EmployeeData[[#This Row],[Tenure Years]]&lt;1,"Less than 1 Year",IF(EmployeeData[[#This Row],[Tenure Years]]&lt;=3,"1-3 Years",IF(EmployeeData[[#This Row],[Tenure Years]]&lt;=5,"4-5 Years",IF(EmployeeData[[#This Row],[Tenure Years]]&lt;=10,"6-10 Years","More than 10 Years"))))</f>
        <v>Less than 1 Year</v>
      </c>
      <c r="AD640">
        <f>ROUND(AVERAGE(EmployeeData[[#This Row],[JobSatisfaction]],EmployeeData[[#This Row],[EnvironmentSatisfaction]],EmployeeData[[#This Row],[WorkLifeBalance]]),2)</f>
        <v>3.67</v>
      </c>
      <c r="AE640" t="str">
        <f>IF(EmployeeData[[#This Row],[Satisfaction Score]]&lt;2,"Low",IF(EmployeeData[[#This Row],[Satisfaction Score]]&lt;3,"Medium","High"))</f>
        <v>High</v>
      </c>
    </row>
    <row r="641" spans="1:31" x14ac:dyDescent="0.25">
      <c r="A641" t="s">
        <v>3040</v>
      </c>
      <c r="B641" t="s">
        <v>3041</v>
      </c>
      <c r="C641" t="s">
        <v>58</v>
      </c>
      <c r="D641">
        <v>39</v>
      </c>
      <c r="E641" t="s">
        <v>27</v>
      </c>
      <c r="F641" t="s">
        <v>75</v>
      </c>
      <c r="G641" s="1">
        <v>44345</v>
      </c>
      <c r="H641">
        <v>91950</v>
      </c>
      <c r="I641" t="s">
        <v>52</v>
      </c>
      <c r="J641" t="s">
        <v>143</v>
      </c>
      <c r="K641" t="s">
        <v>83</v>
      </c>
      <c r="L641" t="s">
        <v>43</v>
      </c>
      <c r="M641">
        <v>33</v>
      </c>
      <c r="N641" t="s">
        <v>45</v>
      </c>
      <c r="O641">
        <v>1</v>
      </c>
      <c r="P641">
        <v>3</v>
      </c>
      <c r="Q641">
        <v>1</v>
      </c>
      <c r="R641">
        <v>4</v>
      </c>
      <c r="S641">
        <v>2</v>
      </c>
      <c r="T641">
        <v>6</v>
      </c>
      <c r="U641">
        <v>23</v>
      </c>
      <c r="V641" t="s">
        <v>3043</v>
      </c>
      <c r="W641" t="s">
        <v>45</v>
      </c>
      <c r="X641" s="1">
        <v>45050</v>
      </c>
      <c r="Y641" s="2" t="str">
        <f>IF(EmployeeData[[#This Row],[Age]]&lt;25,"Under 25",IF(EmployeeData[[#This Row],[Age]]&lt;=34,"25-34",IF(EmployeeData[[#This Row],[Age]]&lt;=44,"35-44",IF(EmployeeData[[#This Row],[Age]]&lt;=54,"45-54","55+"))))</f>
        <v>35-44</v>
      </c>
      <c r="Z641">
        <f ca="1">DATEDIF(EmployeeData[[#This Row],[DateOfJoining]],IF(AND(EmployeeData[[#This Row],[Attrition]]="Yes",EmployeeData[[#This Row],[LastWorkingDate]]&lt;&gt;""),EmployeeData[[#This Row],[LastWorkingDate]],TODAY()),"Y")</f>
        <v>1</v>
      </c>
      <c r="AA641" t="str">
        <f>IF(EmployeeData[[#This Row],[MonthlyIncome]]&lt;30000,"Low",IF(EmployeeData[[#This Row],[MonthlyIncome]]&lt;=60000,"Medium",IF(EmployeeData[[#This Row],[MonthlyIncome]]&lt;=100000,"High","Very High")))</f>
        <v>High</v>
      </c>
      <c r="AB641">
        <f>IF(EmployeeData[[#This Row],[Attrition]]="Yes",1,0)</f>
        <v>1</v>
      </c>
      <c r="AC641" t="str">
        <f ca="1">IF(EmployeeData[[#This Row],[Tenure Years]]&lt;1,"Less than 1 Year",IF(EmployeeData[[#This Row],[Tenure Years]]&lt;=3,"1-3 Years",IF(EmployeeData[[#This Row],[Tenure Years]]&lt;=5,"4-5 Years",IF(EmployeeData[[#This Row],[Tenure Years]]&lt;=10,"6-10 Years","More than 10 Years"))))</f>
        <v>1-3 Years</v>
      </c>
      <c r="AD641">
        <f>ROUND(AVERAGE(EmployeeData[[#This Row],[JobSatisfaction]],EmployeeData[[#This Row],[EnvironmentSatisfaction]],EmployeeData[[#This Row],[WorkLifeBalance]]),2)</f>
        <v>1.67</v>
      </c>
      <c r="AE641" t="str">
        <f>IF(EmployeeData[[#This Row],[Satisfaction Score]]&lt;2,"Low",IF(EmployeeData[[#This Row],[Satisfaction Score]]&lt;3,"Medium","High"))</f>
        <v>Low</v>
      </c>
    </row>
    <row r="642" spans="1:31" x14ac:dyDescent="0.25">
      <c r="A642" t="s">
        <v>3045</v>
      </c>
      <c r="B642" t="s">
        <v>3046</v>
      </c>
      <c r="C642" t="s">
        <v>58</v>
      </c>
      <c r="D642">
        <v>42</v>
      </c>
      <c r="E642" t="s">
        <v>5461</v>
      </c>
      <c r="F642" t="s">
        <v>261</v>
      </c>
      <c r="G642" s="1">
        <v>45756</v>
      </c>
      <c r="H642">
        <v>114274</v>
      </c>
      <c r="I642" t="s">
        <v>52</v>
      </c>
      <c r="J642" t="s">
        <v>31</v>
      </c>
      <c r="K642" t="s">
        <v>113</v>
      </c>
      <c r="L642" t="s">
        <v>62</v>
      </c>
      <c r="M642">
        <v>29</v>
      </c>
      <c r="N642" t="s">
        <v>34</v>
      </c>
      <c r="O642">
        <v>2</v>
      </c>
      <c r="P642">
        <v>4</v>
      </c>
      <c r="Q642">
        <v>2</v>
      </c>
      <c r="R642">
        <v>3</v>
      </c>
      <c r="S642">
        <v>3</v>
      </c>
      <c r="T642">
        <v>1</v>
      </c>
      <c r="U642">
        <v>18</v>
      </c>
      <c r="V642" t="s">
        <v>3048</v>
      </c>
      <c r="W642" t="s">
        <v>45</v>
      </c>
      <c r="X642" s="1">
        <v>45930</v>
      </c>
      <c r="Y642" s="2" t="str">
        <f>IF(EmployeeData[[#This Row],[Age]]&lt;25,"Under 25",IF(EmployeeData[[#This Row],[Age]]&lt;=34,"25-34",IF(EmployeeData[[#This Row],[Age]]&lt;=44,"35-44",IF(EmployeeData[[#This Row],[Age]]&lt;=54,"45-54","55+"))))</f>
        <v>35-44</v>
      </c>
      <c r="Z642">
        <f ca="1">DATEDIF(EmployeeData[[#This Row],[DateOfJoining]],IF(AND(EmployeeData[[#This Row],[Attrition]]="Yes",EmployeeData[[#This Row],[LastWorkingDate]]&lt;&gt;""),EmployeeData[[#This Row],[LastWorkingDate]],TODAY()),"Y")</f>
        <v>0</v>
      </c>
      <c r="AA642" t="str">
        <f>IF(EmployeeData[[#This Row],[MonthlyIncome]]&lt;30000,"Low",IF(EmployeeData[[#This Row],[MonthlyIncome]]&lt;=60000,"Medium",IF(EmployeeData[[#This Row],[MonthlyIncome]]&lt;=100000,"High","Very High")))</f>
        <v>Very High</v>
      </c>
      <c r="AB642">
        <f>IF(EmployeeData[[#This Row],[Attrition]]="Yes",1,0)</f>
        <v>1</v>
      </c>
      <c r="AC642" t="str">
        <f ca="1">IF(EmployeeData[[#This Row],[Tenure Years]]&lt;1,"Less than 1 Year",IF(EmployeeData[[#This Row],[Tenure Years]]&lt;=3,"1-3 Years",IF(EmployeeData[[#This Row],[Tenure Years]]&lt;=5,"4-5 Years",IF(EmployeeData[[#This Row],[Tenure Years]]&lt;=10,"6-10 Years","More than 10 Years"))))</f>
        <v>Less than 1 Year</v>
      </c>
      <c r="AD642">
        <f>ROUND(AVERAGE(EmployeeData[[#This Row],[JobSatisfaction]],EmployeeData[[#This Row],[EnvironmentSatisfaction]],EmployeeData[[#This Row],[WorkLifeBalance]]),2)</f>
        <v>2.67</v>
      </c>
      <c r="AE642" t="str">
        <f>IF(EmployeeData[[#This Row],[Satisfaction Score]]&lt;2,"Low",IF(EmployeeData[[#This Row],[Satisfaction Score]]&lt;3,"Medium","High"))</f>
        <v>Medium</v>
      </c>
    </row>
    <row r="643" spans="1:31" x14ac:dyDescent="0.25">
      <c r="A643" t="s">
        <v>3050</v>
      </c>
      <c r="B643" t="s">
        <v>3051</v>
      </c>
      <c r="C643" t="s">
        <v>49</v>
      </c>
      <c r="D643">
        <v>38</v>
      </c>
      <c r="E643" t="s">
        <v>27</v>
      </c>
      <c r="F643" t="s">
        <v>50</v>
      </c>
      <c r="G643" s="1">
        <v>45320</v>
      </c>
      <c r="H643">
        <v>76804</v>
      </c>
      <c r="I643" t="s">
        <v>42</v>
      </c>
      <c r="J643" t="s">
        <v>61</v>
      </c>
      <c r="K643" t="s">
        <v>106</v>
      </c>
      <c r="L643" t="s">
        <v>33</v>
      </c>
      <c r="M643">
        <v>12</v>
      </c>
      <c r="N643" t="s">
        <v>45</v>
      </c>
      <c r="O643">
        <v>1</v>
      </c>
      <c r="P643">
        <v>4</v>
      </c>
      <c r="Q643">
        <v>2</v>
      </c>
      <c r="R643">
        <v>5</v>
      </c>
      <c r="S643">
        <v>6</v>
      </c>
      <c r="T643">
        <v>8</v>
      </c>
      <c r="U643">
        <v>17</v>
      </c>
      <c r="V643" t="s">
        <v>3053</v>
      </c>
      <c r="W643" t="s">
        <v>45</v>
      </c>
      <c r="X643" s="1">
        <v>45954</v>
      </c>
      <c r="Y643" s="2" t="str">
        <f>IF(EmployeeData[[#This Row],[Age]]&lt;25,"Under 25",IF(EmployeeData[[#This Row],[Age]]&lt;=34,"25-34",IF(EmployeeData[[#This Row],[Age]]&lt;=44,"35-44",IF(EmployeeData[[#This Row],[Age]]&lt;=54,"45-54","55+"))))</f>
        <v>35-44</v>
      </c>
      <c r="Z643">
        <f ca="1">DATEDIF(EmployeeData[[#This Row],[DateOfJoining]],IF(AND(EmployeeData[[#This Row],[Attrition]]="Yes",EmployeeData[[#This Row],[LastWorkingDate]]&lt;&gt;""),EmployeeData[[#This Row],[LastWorkingDate]],TODAY()),"Y")</f>
        <v>1</v>
      </c>
      <c r="AA643" t="str">
        <f>IF(EmployeeData[[#This Row],[MonthlyIncome]]&lt;30000,"Low",IF(EmployeeData[[#This Row],[MonthlyIncome]]&lt;=60000,"Medium",IF(EmployeeData[[#This Row],[MonthlyIncome]]&lt;=100000,"High","Very High")))</f>
        <v>High</v>
      </c>
      <c r="AB643">
        <f>IF(EmployeeData[[#This Row],[Attrition]]="Yes",1,0)</f>
        <v>1</v>
      </c>
      <c r="AC643" t="str">
        <f ca="1">IF(EmployeeData[[#This Row],[Tenure Years]]&lt;1,"Less than 1 Year",IF(EmployeeData[[#This Row],[Tenure Years]]&lt;=3,"1-3 Years",IF(EmployeeData[[#This Row],[Tenure Years]]&lt;=5,"4-5 Years",IF(EmployeeData[[#This Row],[Tenure Years]]&lt;=10,"6-10 Years","More than 10 Years"))))</f>
        <v>1-3 Years</v>
      </c>
      <c r="AD643">
        <f>ROUND(AVERAGE(EmployeeData[[#This Row],[JobSatisfaction]],EmployeeData[[#This Row],[EnvironmentSatisfaction]],EmployeeData[[#This Row],[WorkLifeBalance]]),2)</f>
        <v>2.33</v>
      </c>
      <c r="AE643" t="str">
        <f>IF(EmployeeData[[#This Row],[Satisfaction Score]]&lt;2,"Low",IF(EmployeeData[[#This Row],[Satisfaction Score]]&lt;3,"Medium","High"))</f>
        <v>Medium</v>
      </c>
    </row>
    <row r="644" spans="1:31" x14ac:dyDescent="0.25">
      <c r="A644" t="s">
        <v>3055</v>
      </c>
      <c r="B644" t="s">
        <v>3056</v>
      </c>
      <c r="C644" t="s">
        <v>49</v>
      </c>
      <c r="D644">
        <v>33</v>
      </c>
      <c r="E644" t="s">
        <v>128</v>
      </c>
      <c r="F644" t="s">
        <v>226</v>
      </c>
      <c r="G644" s="1">
        <v>41287</v>
      </c>
      <c r="H644">
        <v>44844</v>
      </c>
      <c r="I644" t="s">
        <v>42</v>
      </c>
      <c r="J644" t="s">
        <v>61</v>
      </c>
      <c r="K644" t="s">
        <v>77</v>
      </c>
      <c r="L644" t="s">
        <v>62</v>
      </c>
      <c r="M644">
        <v>16</v>
      </c>
      <c r="N644" t="s">
        <v>34</v>
      </c>
      <c r="O644">
        <v>4</v>
      </c>
      <c r="P644">
        <v>4</v>
      </c>
      <c r="Q644">
        <v>4</v>
      </c>
      <c r="R644">
        <v>2</v>
      </c>
      <c r="S644">
        <v>6</v>
      </c>
      <c r="T644">
        <v>8</v>
      </c>
      <c r="U644">
        <v>20</v>
      </c>
      <c r="V644" t="s">
        <v>3058</v>
      </c>
      <c r="W644" t="s">
        <v>34</v>
      </c>
      <c r="Y644" s="2" t="str">
        <f>IF(EmployeeData[[#This Row],[Age]]&lt;25,"Under 25",IF(EmployeeData[[#This Row],[Age]]&lt;=34,"25-34",IF(EmployeeData[[#This Row],[Age]]&lt;=44,"35-44",IF(EmployeeData[[#This Row],[Age]]&lt;=54,"45-54","55+"))))</f>
        <v>25-34</v>
      </c>
      <c r="Z644">
        <f ca="1">DATEDIF(EmployeeData[[#This Row],[DateOfJoining]],IF(AND(EmployeeData[[#This Row],[Attrition]]="Yes",EmployeeData[[#This Row],[LastWorkingDate]]&lt;&gt;""),EmployeeData[[#This Row],[LastWorkingDate]],TODAY()),"Y")</f>
        <v>13</v>
      </c>
      <c r="AA644" t="str">
        <f>IF(EmployeeData[[#This Row],[MonthlyIncome]]&lt;30000,"Low",IF(EmployeeData[[#This Row],[MonthlyIncome]]&lt;=60000,"Medium",IF(EmployeeData[[#This Row],[MonthlyIncome]]&lt;=100000,"High","Very High")))</f>
        <v>Medium</v>
      </c>
      <c r="AB644">
        <f>IF(EmployeeData[[#This Row],[Attrition]]="Yes",1,0)</f>
        <v>0</v>
      </c>
      <c r="AC644" t="str">
        <f ca="1">IF(EmployeeData[[#This Row],[Tenure Years]]&lt;1,"Less than 1 Year",IF(EmployeeData[[#This Row],[Tenure Years]]&lt;=3,"1-3 Years",IF(EmployeeData[[#This Row],[Tenure Years]]&lt;=5,"4-5 Years",IF(EmployeeData[[#This Row],[Tenure Years]]&lt;=10,"6-10 Years","More than 10 Years"))))</f>
        <v>More than 10 Years</v>
      </c>
      <c r="AD644">
        <f>ROUND(AVERAGE(EmployeeData[[#This Row],[JobSatisfaction]],EmployeeData[[#This Row],[EnvironmentSatisfaction]],EmployeeData[[#This Row],[WorkLifeBalance]]),2)</f>
        <v>4</v>
      </c>
      <c r="AE644" t="str">
        <f>IF(EmployeeData[[#This Row],[Satisfaction Score]]&lt;2,"Low",IF(EmployeeData[[#This Row],[Satisfaction Score]]&lt;3,"Medium","High"))</f>
        <v>High</v>
      </c>
    </row>
    <row r="645" spans="1:31" x14ac:dyDescent="0.25">
      <c r="A645" t="s">
        <v>3059</v>
      </c>
      <c r="B645" t="s">
        <v>3060</v>
      </c>
      <c r="C645" t="s">
        <v>49</v>
      </c>
      <c r="D645">
        <v>43</v>
      </c>
      <c r="E645" t="s">
        <v>5461</v>
      </c>
      <c r="F645" t="s">
        <v>261</v>
      </c>
      <c r="G645" s="1">
        <v>41643</v>
      </c>
      <c r="H645">
        <v>112409</v>
      </c>
      <c r="I645" t="s">
        <v>52</v>
      </c>
      <c r="J645" t="s">
        <v>31</v>
      </c>
      <c r="K645" t="s">
        <v>167</v>
      </c>
      <c r="L645" t="s">
        <v>43</v>
      </c>
      <c r="M645">
        <v>1</v>
      </c>
      <c r="N645" t="s">
        <v>34</v>
      </c>
      <c r="O645">
        <v>3</v>
      </c>
      <c r="P645">
        <v>2</v>
      </c>
      <c r="Q645">
        <v>1</v>
      </c>
      <c r="R645">
        <v>3</v>
      </c>
      <c r="S645">
        <v>1</v>
      </c>
      <c r="T645">
        <v>7</v>
      </c>
      <c r="U645">
        <v>11</v>
      </c>
      <c r="V645" t="s">
        <v>3063</v>
      </c>
      <c r="W645" t="s">
        <v>34</v>
      </c>
      <c r="Y645" s="2" t="str">
        <f>IF(EmployeeData[[#This Row],[Age]]&lt;25,"Under 25",IF(EmployeeData[[#This Row],[Age]]&lt;=34,"25-34",IF(EmployeeData[[#This Row],[Age]]&lt;=44,"35-44",IF(EmployeeData[[#This Row],[Age]]&lt;=54,"45-54","55+"))))</f>
        <v>35-44</v>
      </c>
      <c r="Z645">
        <f ca="1">DATEDIF(EmployeeData[[#This Row],[DateOfJoining]],IF(AND(EmployeeData[[#This Row],[Attrition]]="Yes",EmployeeData[[#This Row],[LastWorkingDate]]&lt;&gt;""),EmployeeData[[#This Row],[LastWorkingDate]],TODAY()),"Y")</f>
        <v>12</v>
      </c>
      <c r="AA645" t="str">
        <f>IF(EmployeeData[[#This Row],[MonthlyIncome]]&lt;30000,"Low",IF(EmployeeData[[#This Row],[MonthlyIncome]]&lt;=60000,"Medium",IF(EmployeeData[[#This Row],[MonthlyIncome]]&lt;=100000,"High","Very High")))</f>
        <v>Very High</v>
      </c>
      <c r="AB645">
        <f>IF(EmployeeData[[#This Row],[Attrition]]="Yes",1,0)</f>
        <v>0</v>
      </c>
      <c r="AC645" t="str">
        <f ca="1">IF(EmployeeData[[#This Row],[Tenure Years]]&lt;1,"Less than 1 Year",IF(EmployeeData[[#This Row],[Tenure Years]]&lt;=3,"1-3 Years",IF(EmployeeData[[#This Row],[Tenure Years]]&lt;=5,"4-5 Years",IF(EmployeeData[[#This Row],[Tenure Years]]&lt;=10,"6-10 Years","More than 10 Years"))))</f>
        <v>More than 10 Years</v>
      </c>
      <c r="AD645">
        <f>ROUND(AVERAGE(EmployeeData[[#This Row],[JobSatisfaction]],EmployeeData[[#This Row],[EnvironmentSatisfaction]],EmployeeData[[#This Row],[WorkLifeBalance]]),2)</f>
        <v>2</v>
      </c>
      <c r="AE645" t="str">
        <f>IF(EmployeeData[[#This Row],[Satisfaction Score]]&lt;2,"Low",IF(EmployeeData[[#This Row],[Satisfaction Score]]&lt;3,"Medium","High"))</f>
        <v>Medium</v>
      </c>
    </row>
    <row r="646" spans="1:31" x14ac:dyDescent="0.25">
      <c r="A646" t="s">
        <v>3064</v>
      </c>
      <c r="B646" t="s">
        <v>3065</v>
      </c>
      <c r="C646" t="s">
        <v>58</v>
      </c>
      <c r="D646">
        <v>46</v>
      </c>
      <c r="E646" t="s">
        <v>27</v>
      </c>
      <c r="F646" t="s">
        <v>59</v>
      </c>
      <c r="G646" s="1">
        <v>43594</v>
      </c>
      <c r="H646">
        <v>52031</v>
      </c>
      <c r="I646" t="s">
        <v>30</v>
      </c>
      <c r="J646" t="s">
        <v>61</v>
      </c>
      <c r="K646" t="s">
        <v>54</v>
      </c>
      <c r="L646" t="s">
        <v>43</v>
      </c>
      <c r="M646">
        <v>25</v>
      </c>
      <c r="N646" t="s">
        <v>34</v>
      </c>
      <c r="O646">
        <v>1</v>
      </c>
      <c r="P646">
        <v>4</v>
      </c>
      <c r="Q646">
        <v>2</v>
      </c>
      <c r="R646">
        <v>3</v>
      </c>
      <c r="S646">
        <v>6</v>
      </c>
      <c r="T646">
        <v>5</v>
      </c>
      <c r="U646">
        <v>12</v>
      </c>
      <c r="V646" t="s">
        <v>3068</v>
      </c>
      <c r="W646" t="s">
        <v>45</v>
      </c>
      <c r="X646" s="1">
        <v>45284</v>
      </c>
      <c r="Y646" s="2" t="str">
        <f>IF(EmployeeData[[#This Row],[Age]]&lt;25,"Under 25",IF(EmployeeData[[#This Row],[Age]]&lt;=34,"25-34",IF(EmployeeData[[#This Row],[Age]]&lt;=44,"35-44",IF(EmployeeData[[#This Row],[Age]]&lt;=54,"45-54","55+"))))</f>
        <v>45-54</v>
      </c>
      <c r="Z646">
        <f ca="1">DATEDIF(EmployeeData[[#This Row],[DateOfJoining]],IF(AND(EmployeeData[[#This Row],[Attrition]]="Yes",EmployeeData[[#This Row],[LastWorkingDate]]&lt;&gt;""),EmployeeData[[#This Row],[LastWorkingDate]],TODAY()),"Y")</f>
        <v>4</v>
      </c>
      <c r="AA646" t="str">
        <f>IF(EmployeeData[[#This Row],[MonthlyIncome]]&lt;30000,"Low",IF(EmployeeData[[#This Row],[MonthlyIncome]]&lt;=60000,"Medium",IF(EmployeeData[[#This Row],[MonthlyIncome]]&lt;=100000,"High","Very High")))</f>
        <v>Medium</v>
      </c>
      <c r="AB646">
        <f>IF(EmployeeData[[#This Row],[Attrition]]="Yes",1,0)</f>
        <v>1</v>
      </c>
      <c r="AC646" t="str">
        <f ca="1">IF(EmployeeData[[#This Row],[Tenure Years]]&lt;1,"Less than 1 Year",IF(EmployeeData[[#This Row],[Tenure Years]]&lt;=3,"1-3 Years",IF(EmployeeData[[#This Row],[Tenure Years]]&lt;=5,"4-5 Years",IF(EmployeeData[[#This Row],[Tenure Years]]&lt;=10,"6-10 Years","More than 10 Years"))))</f>
        <v>4-5 Years</v>
      </c>
      <c r="AD646">
        <f>ROUND(AVERAGE(EmployeeData[[#This Row],[JobSatisfaction]],EmployeeData[[#This Row],[EnvironmentSatisfaction]],EmployeeData[[#This Row],[WorkLifeBalance]]),2)</f>
        <v>2.33</v>
      </c>
      <c r="AE646" t="str">
        <f>IF(EmployeeData[[#This Row],[Satisfaction Score]]&lt;2,"Low",IF(EmployeeData[[#This Row],[Satisfaction Score]]&lt;3,"Medium","High"))</f>
        <v>Medium</v>
      </c>
    </row>
    <row r="647" spans="1:31" x14ac:dyDescent="0.25">
      <c r="A647" t="s">
        <v>3070</v>
      </c>
      <c r="B647" t="s">
        <v>3071</v>
      </c>
      <c r="C647" t="s">
        <v>58</v>
      </c>
      <c r="D647">
        <v>34</v>
      </c>
      <c r="E647" t="s">
        <v>128</v>
      </c>
      <c r="F647" t="s">
        <v>271</v>
      </c>
      <c r="G647" s="1">
        <v>41710</v>
      </c>
      <c r="H647">
        <v>53973</v>
      </c>
      <c r="I647" t="s">
        <v>52</v>
      </c>
      <c r="J647" t="s">
        <v>61</v>
      </c>
      <c r="K647" t="s">
        <v>167</v>
      </c>
      <c r="L647" t="s">
        <v>43</v>
      </c>
      <c r="M647">
        <v>41</v>
      </c>
      <c r="N647" t="s">
        <v>45</v>
      </c>
      <c r="O647">
        <v>3</v>
      </c>
      <c r="P647">
        <v>4</v>
      </c>
      <c r="Q647">
        <v>4</v>
      </c>
      <c r="R647">
        <v>4</v>
      </c>
      <c r="S647">
        <v>4</v>
      </c>
      <c r="T647">
        <v>0</v>
      </c>
      <c r="U647">
        <v>16</v>
      </c>
      <c r="V647" t="s">
        <v>3073</v>
      </c>
      <c r="W647" t="s">
        <v>34</v>
      </c>
      <c r="Y647" s="2" t="str">
        <f>IF(EmployeeData[[#This Row],[Age]]&lt;25,"Under 25",IF(EmployeeData[[#This Row],[Age]]&lt;=34,"25-34",IF(EmployeeData[[#This Row],[Age]]&lt;=44,"35-44",IF(EmployeeData[[#This Row],[Age]]&lt;=54,"45-54","55+"))))</f>
        <v>25-34</v>
      </c>
      <c r="Z647">
        <f ca="1">DATEDIF(EmployeeData[[#This Row],[DateOfJoining]],IF(AND(EmployeeData[[#This Row],[Attrition]]="Yes",EmployeeData[[#This Row],[LastWorkingDate]]&lt;&gt;""),EmployeeData[[#This Row],[LastWorkingDate]],TODAY()),"Y")</f>
        <v>12</v>
      </c>
      <c r="AA647" t="str">
        <f>IF(EmployeeData[[#This Row],[MonthlyIncome]]&lt;30000,"Low",IF(EmployeeData[[#This Row],[MonthlyIncome]]&lt;=60000,"Medium",IF(EmployeeData[[#This Row],[MonthlyIncome]]&lt;=100000,"High","Very High")))</f>
        <v>Medium</v>
      </c>
      <c r="AB647">
        <f>IF(EmployeeData[[#This Row],[Attrition]]="Yes",1,0)</f>
        <v>0</v>
      </c>
      <c r="AC647" t="str">
        <f ca="1">IF(EmployeeData[[#This Row],[Tenure Years]]&lt;1,"Less than 1 Year",IF(EmployeeData[[#This Row],[Tenure Years]]&lt;=3,"1-3 Years",IF(EmployeeData[[#This Row],[Tenure Years]]&lt;=5,"4-5 Years",IF(EmployeeData[[#This Row],[Tenure Years]]&lt;=10,"6-10 Years","More than 10 Years"))))</f>
        <v>More than 10 Years</v>
      </c>
      <c r="AD647">
        <f>ROUND(AVERAGE(EmployeeData[[#This Row],[JobSatisfaction]],EmployeeData[[#This Row],[EnvironmentSatisfaction]],EmployeeData[[#This Row],[WorkLifeBalance]]),2)</f>
        <v>3.67</v>
      </c>
      <c r="AE647" t="str">
        <f>IF(EmployeeData[[#This Row],[Satisfaction Score]]&lt;2,"Low",IF(EmployeeData[[#This Row],[Satisfaction Score]]&lt;3,"Medium","High"))</f>
        <v>High</v>
      </c>
    </row>
    <row r="648" spans="1:31" x14ac:dyDescent="0.25">
      <c r="A648" t="s">
        <v>3074</v>
      </c>
      <c r="B648" t="s">
        <v>3075</v>
      </c>
      <c r="C648" t="s">
        <v>58</v>
      </c>
      <c r="D648">
        <v>37</v>
      </c>
      <c r="E648" t="s">
        <v>128</v>
      </c>
      <c r="F648" t="s">
        <v>226</v>
      </c>
      <c r="G648" s="1">
        <v>40879</v>
      </c>
      <c r="H648">
        <v>83831</v>
      </c>
      <c r="I648" t="s">
        <v>30</v>
      </c>
      <c r="J648" t="s">
        <v>97</v>
      </c>
      <c r="K648" t="s">
        <v>77</v>
      </c>
      <c r="L648" t="s">
        <v>33</v>
      </c>
      <c r="M648">
        <v>31</v>
      </c>
      <c r="N648" t="s">
        <v>34</v>
      </c>
      <c r="O648">
        <v>4</v>
      </c>
      <c r="P648">
        <v>4</v>
      </c>
      <c r="Q648">
        <v>3</v>
      </c>
      <c r="R648">
        <v>2</v>
      </c>
      <c r="S648">
        <v>1</v>
      </c>
      <c r="T648">
        <v>6</v>
      </c>
      <c r="U648">
        <v>11</v>
      </c>
      <c r="V648" t="s">
        <v>3077</v>
      </c>
      <c r="W648" t="s">
        <v>34</v>
      </c>
      <c r="Y648" s="2" t="str">
        <f>IF(EmployeeData[[#This Row],[Age]]&lt;25,"Under 25",IF(EmployeeData[[#This Row],[Age]]&lt;=34,"25-34",IF(EmployeeData[[#This Row],[Age]]&lt;=44,"35-44",IF(EmployeeData[[#This Row],[Age]]&lt;=54,"45-54","55+"))))</f>
        <v>35-44</v>
      </c>
      <c r="Z648">
        <f ca="1">DATEDIF(EmployeeData[[#This Row],[DateOfJoining]],IF(AND(EmployeeData[[#This Row],[Attrition]]="Yes",EmployeeData[[#This Row],[LastWorkingDate]]&lt;&gt;""),EmployeeData[[#This Row],[LastWorkingDate]],TODAY()),"Y")</f>
        <v>14</v>
      </c>
      <c r="AA648" t="str">
        <f>IF(EmployeeData[[#This Row],[MonthlyIncome]]&lt;30000,"Low",IF(EmployeeData[[#This Row],[MonthlyIncome]]&lt;=60000,"Medium",IF(EmployeeData[[#This Row],[MonthlyIncome]]&lt;=100000,"High","Very High")))</f>
        <v>High</v>
      </c>
      <c r="AB648">
        <f>IF(EmployeeData[[#This Row],[Attrition]]="Yes",1,0)</f>
        <v>0</v>
      </c>
      <c r="AC648" t="str">
        <f ca="1">IF(EmployeeData[[#This Row],[Tenure Years]]&lt;1,"Less than 1 Year",IF(EmployeeData[[#This Row],[Tenure Years]]&lt;=3,"1-3 Years",IF(EmployeeData[[#This Row],[Tenure Years]]&lt;=5,"4-5 Years",IF(EmployeeData[[#This Row],[Tenure Years]]&lt;=10,"6-10 Years","More than 10 Years"))))</f>
        <v>More than 10 Years</v>
      </c>
      <c r="AD648">
        <f>ROUND(AVERAGE(EmployeeData[[#This Row],[JobSatisfaction]],EmployeeData[[#This Row],[EnvironmentSatisfaction]],EmployeeData[[#This Row],[WorkLifeBalance]]),2)</f>
        <v>3.67</v>
      </c>
      <c r="AE648" t="str">
        <f>IF(EmployeeData[[#This Row],[Satisfaction Score]]&lt;2,"Low",IF(EmployeeData[[#This Row],[Satisfaction Score]]&lt;3,"Medium","High"))</f>
        <v>High</v>
      </c>
    </row>
    <row r="649" spans="1:31" x14ac:dyDescent="0.25">
      <c r="A649" t="s">
        <v>3078</v>
      </c>
      <c r="B649" t="s">
        <v>3079</v>
      </c>
      <c r="C649" t="s">
        <v>58</v>
      </c>
      <c r="D649">
        <v>37</v>
      </c>
      <c r="E649" t="s">
        <v>128</v>
      </c>
      <c r="F649" t="s">
        <v>123</v>
      </c>
      <c r="G649" s="1">
        <v>42493</v>
      </c>
      <c r="H649">
        <v>86476</v>
      </c>
      <c r="I649" t="s">
        <v>52</v>
      </c>
      <c r="J649" t="s">
        <v>31</v>
      </c>
      <c r="K649" t="s">
        <v>106</v>
      </c>
      <c r="L649" t="s">
        <v>43</v>
      </c>
      <c r="M649">
        <v>43</v>
      </c>
      <c r="N649" t="s">
        <v>34</v>
      </c>
      <c r="O649">
        <v>1</v>
      </c>
      <c r="P649">
        <v>4</v>
      </c>
      <c r="Q649">
        <v>1</v>
      </c>
      <c r="R649">
        <v>5</v>
      </c>
      <c r="S649">
        <v>3</v>
      </c>
      <c r="T649">
        <v>6</v>
      </c>
      <c r="U649">
        <v>25</v>
      </c>
      <c r="V649" t="s">
        <v>1523</v>
      </c>
      <c r="W649" t="s">
        <v>34</v>
      </c>
      <c r="Y649" s="2" t="str">
        <f>IF(EmployeeData[[#This Row],[Age]]&lt;25,"Under 25",IF(EmployeeData[[#This Row],[Age]]&lt;=34,"25-34",IF(EmployeeData[[#This Row],[Age]]&lt;=44,"35-44",IF(EmployeeData[[#This Row],[Age]]&lt;=54,"45-54","55+"))))</f>
        <v>35-44</v>
      </c>
      <c r="Z649">
        <f ca="1">DATEDIF(EmployeeData[[#This Row],[DateOfJoining]],IF(AND(EmployeeData[[#This Row],[Attrition]]="Yes",EmployeeData[[#This Row],[LastWorkingDate]]&lt;&gt;""),EmployeeData[[#This Row],[LastWorkingDate]],TODAY()),"Y")</f>
        <v>10</v>
      </c>
      <c r="AA649" t="str">
        <f>IF(EmployeeData[[#This Row],[MonthlyIncome]]&lt;30000,"Low",IF(EmployeeData[[#This Row],[MonthlyIncome]]&lt;=60000,"Medium",IF(EmployeeData[[#This Row],[MonthlyIncome]]&lt;=100000,"High","Very High")))</f>
        <v>High</v>
      </c>
      <c r="AB649">
        <f>IF(EmployeeData[[#This Row],[Attrition]]="Yes",1,0)</f>
        <v>0</v>
      </c>
      <c r="AC649" t="str">
        <f ca="1">IF(EmployeeData[[#This Row],[Tenure Years]]&lt;1,"Less than 1 Year",IF(EmployeeData[[#This Row],[Tenure Years]]&lt;=3,"1-3 Years",IF(EmployeeData[[#This Row],[Tenure Years]]&lt;=5,"4-5 Years",IF(EmployeeData[[#This Row],[Tenure Years]]&lt;=10,"6-10 Years","More than 10 Years"))))</f>
        <v>6-10 Years</v>
      </c>
      <c r="AD649">
        <f>ROUND(AVERAGE(EmployeeData[[#This Row],[JobSatisfaction]],EmployeeData[[#This Row],[EnvironmentSatisfaction]],EmployeeData[[#This Row],[WorkLifeBalance]]),2)</f>
        <v>2</v>
      </c>
      <c r="AE649" t="str">
        <f>IF(EmployeeData[[#This Row],[Satisfaction Score]]&lt;2,"Low",IF(EmployeeData[[#This Row],[Satisfaction Score]]&lt;3,"Medium","High"))</f>
        <v>Medium</v>
      </c>
    </row>
    <row r="650" spans="1:31" x14ac:dyDescent="0.25">
      <c r="A650" t="s">
        <v>3081</v>
      </c>
      <c r="B650" t="s">
        <v>3082</v>
      </c>
      <c r="C650" t="s">
        <v>58</v>
      </c>
      <c r="D650">
        <v>37</v>
      </c>
      <c r="E650" t="s">
        <v>128</v>
      </c>
      <c r="F650" t="s">
        <v>255</v>
      </c>
      <c r="G650" s="1">
        <v>41897</v>
      </c>
      <c r="H650">
        <v>54676</v>
      </c>
      <c r="I650" t="s">
        <v>42</v>
      </c>
      <c r="J650" t="s">
        <v>31</v>
      </c>
      <c r="K650" t="s">
        <v>106</v>
      </c>
      <c r="L650" t="s">
        <v>33</v>
      </c>
      <c r="M650">
        <v>18</v>
      </c>
      <c r="N650" t="s">
        <v>45</v>
      </c>
      <c r="O650">
        <v>1</v>
      </c>
      <c r="P650">
        <v>3</v>
      </c>
      <c r="Q650">
        <v>4</v>
      </c>
      <c r="R650">
        <v>2</v>
      </c>
      <c r="S650">
        <v>0</v>
      </c>
      <c r="T650">
        <v>2</v>
      </c>
      <c r="U650">
        <v>25</v>
      </c>
      <c r="V650" t="s">
        <v>3085</v>
      </c>
      <c r="W650" t="s">
        <v>34</v>
      </c>
      <c r="Y650" s="2" t="str">
        <f>IF(EmployeeData[[#This Row],[Age]]&lt;25,"Under 25",IF(EmployeeData[[#This Row],[Age]]&lt;=34,"25-34",IF(EmployeeData[[#This Row],[Age]]&lt;=44,"35-44",IF(EmployeeData[[#This Row],[Age]]&lt;=54,"45-54","55+"))))</f>
        <v>35-44</v>
      </c>
      <c r="Z650">
        <f ca="1">DATEDIF(EmployeeData[[#This Row],[DateOfJoining]],IF(AND(EmployeeData[[#This Row],[Attrition]]="Yes",EmployeeData[[#This Row],[LastWorkingDate]]&lt;&gt;""),EmployeeData[[#This Row],[LastWorkingDate]],TODAY()),"Y")</f>
        <v>11</v>
      </c>
      <c r="AA650" t="str">
        <f>IF(EmployeeData[[#This Row],[MonthlyIncome]]&lt;30000,"Low",IF(EmployeeData[[#This Row],[MonthlyIncome]]&lt;=60000,"Medium",IF(EmployeeData[[#This Row],[MonthlyIncome]]&lt;=100000,"High","Very High")))</f>
        <v>Medium</v>
      </c>
      <c r="AB650">
        <f>IF(EmployeeData[[#This Row],[Attrition]]="Yes",1,0)</f>
        <v>0</v>
      </c>
      <c r="AC650" t="str">
        <f ca="1">IF(EmployeeData[[#This Row],[Tenure Years]]&lt;1,"Less than 1 Year",IF(EmployeeData[[#This Row],[Tenure Years]]&lt;=3,"1-3 Years",IF(EmployeeData[[#This Row],[Tenure Years]]&lt;=5,"4-5 Years",IF(EmployeeData[[#This Row],[Tenure Years]]&lt;=10,"6-10 Years","More than 10 Years"))))</f>
        <v>More than 10 Years</v>
      </c>
      <c r="AD650">
        <f>ROUND(AVERAGE(EmployeeData[[#This Row],[JobSatisfaction]],EmployeeData[[#This Row],[EnvironmentSatisfaction]],EmployeeData[[#This Row],[WorkLifeBalance]]),2)</f>
        <v>2.67</v>
      </c>
      <c r="AE650" t="str">
        <f>IF(EmployeeData[[#This Row],[Satisfaction Score]]&lt;2,"Low",IF(EmployeeData[[#This Row],[Satisfaction Score]]&lt;3,"Medium","High"))</f>
        <v>Medium</v>
      </c>
    </row>
    <row r="651" spans="1:31" x14ac:dyDescent="0.25">
      <c r="A651" t="s">
        <v>3086</v>
      </c>
      <c r="B651" t="s">
        <v>3087</v>
      </c>
      <c r="C651" t="s">
        <v>58</v>
      </c>
      <c r="D651">
        <v>44</v>
      </c>
      <c r="E651" t="s">
        <v>197</v>
      </c>
      <c r="F651" t="s">
        <v>573</v>
      </c>
      <c r="G651" s="1">
        <v>45756</v>
      </c>
      <c r="H651">
        <v>74073</v>
      </c>
      <c r="I651" t="s">
        <v>42</v>
      </c>
      <c r="J651" t="s">
        <v>61</v>
      </c>
      <c r="K651" t="s">
        <v>167</v>
      </c>
      <c r="L651" t="s">
        <v>43</v>
      </c>
      <c r="M651">
        <v>32</v>
      </c>
      <c r="N651" t="s">
        <v>34</v>
      </c>
      <c r="O651">
        <v>1</v>
      </c>
      <c r="P651">
        <v>2</v>
      </c>
      <c r="Q651">
        <v>1</v>
      </c>
      <c r="R651">
        <v>3</v>
      </c>
      <c r="S651">
        <v>3</v>
      </c>
      <c r="T651">
        <v>5</v>
      </c>
      <c r="U651">
        <v>19</v>
      </c>
      <c r="V651" t="s">
        <v>3089</v>
      </c>
      <c r="W651" t="s">
        <v>45</v>
      </c>
      <c r="X651" s="1">
        <v>46043</v>
      </c>
      <c r="Y651" s="2" t="str">
        <f>IF(EmployeeData[[#This Row],[Age]]&lt;25,"Under 25",IF(EmployeeData[[#This Row],[Age]]&lt;=34,"25-34",IF(EmployeeData[[#This Row],[Age]]&lt;=44,"35-44",IF(EmployeeData[[#This Row],[Age]]&lt;=54,"45-54","55+"))))</f>
        <v>35-44</v>
      </c>
      <c r="Z651">
        <f ca="1">DATEDIF(EmployeeData[[#This Row],[DateOfJoining]],IF(AND(EmployeeData[[#This Row],[Attrition]]="Yes",EmployeeData[[#This Row],[LastWorkingDate]]&lt;&gt;""),EmployeeData[[#This Row],[LastWorkingDate]],TODAY()),"Y")</f>
        <v>0</v>
      </c>
      <c r="AA651" t="str">
        <f>IF(EmployeeData[[#This Row],[MonthlyIncome]]&lt;30000,"Low",IF(EmployeeData[[#This Row],[MonthlyIncome]]&lt;=60000,"Medium",IF(EmployeeData[[#This Row],[MonthlyIncome]]&lt;=100000,"High","Very High")))</f>
        <v>High</v>
      </c>
      <c r="AB651">
        <f>IF(EmployeeData[[#This Row],[Attrition]]="Yes",1,0)</f>
        <v>1</v>
      </c>
      <c r="AC651" t="str">
        <f ca="1">IF(EmployeeData[[#This Row],[Tenure Years]]&lt;1,"Less than 1 Year",IF(EmployeeData[[#This Row],[Tenure Years]]&lt;=3,"1-3 Years",IF(EmployeeData[[#This Row],[Tenure Years]]&lt;=5,"4-5 Years",IF(EmployeeData[[#This Row],[Tenure Years]]&lt;=10,"6-10 Years","More than 10 Years"))))</f>
        <v>Less than 1 Year</v>
      </c>
      <c r="AD651">
        <f>ROUND(AVERAGE(EmployeeData[[#This Row],[JobSatisfaction]],EmployeeData[[#This Row],[EnvironmentSatisfaction]],EmployeeData[[#This Row],[WorkLifeBalance]]),2)</f>
        <v>1.33</v>
      </c>
      <c r="AE651" t="str">
        <f>IF(EmployeeData[[#This Row],[Satisfaction Score]]&lt;2,"Low",IF(EmployeeData[[#This Row],[Satisfaction Score]]&lt;3,"Medium","High"))</f>
        <v>Low</v>
      </c>
    </row>
    <row r="652" spans="1:31" x14ac:dyDescent="0.25">
      <c r="A652" t="s">
        <v>3091</v>
      </c>
      <c r="B652" t="s">
        <v>3092</v>
      </c>
      <c r="C652" t="s">
        <v>58</v>
      </c>
      <c r="D652">
        <v>34</v>
      </c>
      <c r="E652" t="s">
        <v>412</v>
      </c>
      <c r="F652" t="s">
        <v>945</v>
      </c>
      <c r="G652" s="1">
        <v>45117</v>
      </c>
      <c r="H652">
        <v>40891</v>
      </c>
      <c r="I652" t="s">
        <v>42</v>
      </c>
      <c r="J652" t="s">
        <v>143</v>
      </c>
      <c r="K652" t="s">
        <v>131</v>
      </c>
      <c r="L652" t="s">
        <v>33</v>
      </c>
      <c r="M652">
        <v>36</v>
      </c>
      <c r="N652" t="s">
        <v>34</v>
      </c>
      <c r="O652">
        <v>3</v>
      </c>
      <c r="P652">
        <v>2</v>
      </c>
      <c r="Q652">
        <v>4</v>
      </c>
      <c r="R652">
        <v>3</v>
      </c>
      <c r="S652">
        <v>5</v>
      </c>
      <c r="T652">
        <v>6</v>
      </c>
      <c r="U652">
        <v>14</v>
      </c>
      <c r="V652" t="s">
        <v>5459</v>
      </c>
      <c r="W652" t="s">
        <v>34</v>
      </c>
      <c r="Y652" s="2" t="str">
        <f>IF(EmployeeData[[#This Row],[Age]]&lt;25,"Under 25",IF(EmployeeData[[#This Row],[Age]]&lt;=34,"25-34",IF(EmployeeData[[#This Row],[Age]]&lt;=44,"35-44",IF(EmployeeData[[#This Row],[Age]]&lt;=54,"45-54","55+"))))</f>
        <v>25-34</v>
      </c>
      <c r="Z652">
        <f ca="1">DATEDIF(EmployeeData[[#This Row],[DateOfJoining]],IF(AND(EmployeeData[[#This Row],[Attrition]]="Yes",EmployeeData[[#This Row],[LastWorkingDate]]&lt;&gt;""),EmployeeData[[#This Row],[LastWorkingDate]],TODAY()),"Y")</f>
        <v>3</v>
      </c>
      <c r="AA652" t="str">
        <f>IF(EmployeeData[[#This Row],[MonthlyIncome]]&lt;30000,"Low",IF(EmployeeData[[#This Row],[MonthlyIncome]]&lt;=60000,"Medium",IF(EmployeeData[[#This Row],[MonthlyIncome]]&lt;=100000,"High","Very High")))</f>
        <v>Medium</v>
      </c>
      <c r="AB652">
        <f>IF(EmployeeData[[#This Row],[Attrition]]="Yes",1,0)</f>
        <v>0</v>
      </c>
      <c r="AC652" t="str">
        <f ca="1">IF(EmployeeData[[#This Row],[Tenure Years]]&lt;1,"Less than 1 Year",IF(EmployeeData[[#This Row],[Tenure Years]]&lt;=3,"1-3 Years",IF(EmployeeData[[#This Row],[Tenure Years]]&lt;=5,"4-5 Years",IF(EmployeeData[[#This Row],[Tenure Years]]&lt;=10,"6-10 Years","More than 10 Years"))))</f>
        <v>1-3 Years</v>
      </c>
      <c r="AD652">
        <f>ROUND(AVERAGE(EmployeeData[[#This Row],[JobSatisfaction]],EmployeeData[[#This Row],[EnvironmentSatisfaction]],EmployeeData[[#This Row],[WorkLifeBalance]]),2)</f>
        <v>3</v>
      </c>
      <c r="AE652" t="str">
        <f>IF(EmployeeData[[#This Row],[Satisfaction Score]]&lt;2,"Low",IF(EmployeeData[[#This Row],[Satisfaction Score]]&lt;3,"Medium","High"))</f>
        <v>High</v>
      </c>
    </row>
    <row r="653" spans="1:31" x14ac:dyDescent="0.25">
      <c r="A653" t="s">
        <v>3094</v>
      </c>
      <c r="B653" t="s">
        <v>3095</v>
      </c>
      <c r="C653" t="s">
        <v>58</v>
      </c>
      <c r="D653">
        <v>43</v>
      </c>
      <c r="E653" t="s">
        <v>5461</v>
      </c>
      <c r="F653" t="s">
        <v>261</v>
      </c>
      <c r="G653" s="1">
        <v>41711</v>
      </c>
      <c r="H653">
        <v>84199</v>
      </c>
      <c r="I653" t="s">
        <v>52</v>
      </c>
      <c r="J653" t="s">
        <v>97</v>
      </c>
      <c r="K653" t="s">
        <v>32</v>
      </c>
      <c r="L653" t="s">
        <v>62</v>
      </c>
      <c r="M653">
        <v>10</v>
      </c>
      <c r="N653" t="s">
        <v>34</v>
      </c>
      <c r="O653">
        <v>1</v>
      </c>
      <c r="P653">
        <v>1</v>
      </c>
      <c r="Q653">
        <v>2</v>
      </c>
      <c r="R653">
        <v>4</v>
      </c>
      <c r="S653">
        <v>2</v>
      </c>
      <c r="T653">
        <v>7</v>
      </c>
      <c r="U653">
        <v>21</v>
      </c>
      <c r="V653" t="s">
        <v>5459</v>
      </c>
      <c r="W653" t="s">
        <v>34</v>
      </c>
      <c r="Y653" s="2" t="str">
        <f>IF(EmployeeData[[#This Row],[Age]]&lt;25,"Under 25",IF(EmployeeData[[#This Row],[Age]]&lt;=34,"25-34",IF(EmployeeData[[#This Row],[Age]]&lt;=44,"35-44",IF(EmployeeData[[#This Row],[Age]]&lt;=54,"45-54","55+"))))</f>
        <v>35-44</v>
      </c>
      <c r="Z653">
        <f ca="1">DATEDIF(EmployeeData[[#This Row],[DateOfJoining]],IF(AND(EmployeeData[[#This Row],[Attrition]]="Yes",EmployeeData[[#This Row],[LastWorkingDate]]&lt;&gt;""),EmployeeData[[#This Row],[LastWorkingDate]],TODAY()),"Y")</f>
        <v>12</v>
      </c>
      <c r="AA653" t="str">
        <f>IF(EmployeeData[[#This Row],[MonthlyIncome]]&lt;30000,"Low",IF(EmployeeData[[#This Row],[MonthlyIncome]]&lt;=60000,"Medium",IF(EmployeeData[[#This Row],[MonthlyIncome]]&lt;=100000,"High","Very High")))</f>
        <v>High</v>
      </c>
      <c r="AB653">
        <f>IF(EmployeeData[[#This Row],[Attrition]]="Yes",1,0)</f>
        <v>0</v>
      </c>
      <c r="AC653" t="str">
        <f ca="1">IF(EmployeeData[[#This Row],[Tenure Years]]&lt;1,"Less than 1 Year",IF(EmployeeData[[#This Row],[Tenure Years]]&lt;=3,"1-3 Years",IF(EmployeeData[[#This Row],[Tenure Years]]&lt;=5,"4-5 Years",IF(EmployeeData[[#This Row],[Tenure Years]]&lt;=10,"6-10 Years","More than 10 Years"))))</f>
        <v>More than 10 Years</v>
      </c>
      <c r="AD653">
        <f>ROUND(AVERAGE(EmployeeData[[#This Row],[JobSatisfaction]],EmployeeData[[#This Row],[EnvironmentSatisfaction]],EmployeeData[[#This Row],[WorkLifeBalance]]),2)</f>
        <v>1.33</v>
      </c>
      <c r="AE653" t="str">
        <f>IF(EmployeeData[[#This Row],[Satisfaction Score]]&lt;2,"Low",IF(EmployeeData[[#This Row],[Satisfaction Score]]&lt;3,"Medium","High"))</f>
        <v>Low</v>
      </c>
    </row>
    <row r="654" spans="1:31" x14ac:dyDescent="0.25">
      <c r="A654" t="s">
        <v>3098</v>
      </c>
      <c r="B654" t="s">
        <v>3099</v>
      </c>
      <c r="C654" t="s">
        <v>49</v>
      </c>
      <c r="D654">
        <v>32</v>
      </c>
      <c r="E654" t="s">
        <v>5461</v>
      </c>
      <c r="F654" t="s">
        <v>483</v>
      </c>
      <c r="G654" s="1">
        <v>45233</v>
      </c>
      <c r="H654">
        <v>50997</v>
      </c>
      <c r="I654" t="s">
        <v>52</v>
      </c>
      <c r="J654" t="s">
        <v>97</v>
      </c>
      <c r="K654" t="s">
        <v>98</v>
      </c>
      <c r="L654" t="s">
        <v>33</v>
      </c>
      <c r="M654">
        <v>16</v>
      </c>
      <c r="N654" t="s">
        <v>45</v>
      </c>
      <c r="O654">
        <v>1</v>
      </c>
      <c r="P654">
        <v>3</v>
      </c>
      <c r="Q654">
        <v>3</v>
      </c>
      <c r="R654">
        <v>3</v>
      </c>
      <c r="S654">
        <v>1</v>
      </c>
      <c r="T654">
        <v>7</v>
      </c>
      <c r="U654">
        <v>19</v>
      </c>
      <c r="V654" t="s">
        <v>3102</v>
      </c>
      <c r="W654" t="s">
        <v>45</v>
      </c>
      <c r="X654" s="1">
        <v>46179</v>
      </c>
      <c r="Y654" s="2" t="str">
        <f>IF(EmployeeData[[#This Row],[Age]]&lt;25,"Under 25",IF(EmployeeData[[#This Row],[Age]]&lt;=34,"25-34",IF(EmployeeData[[#This Row],[Age]]&lt;=44,"35-44",IF(EmployeeData[[#This Row],[Age]]&lt;=54,"45-54","55+"))))</f>
        <v>25-34</v>
      </c>
      <c r="Z654">
        <f ca="1">DATEDIF(EmployeeData[[#This Row],[DateOfJoining]],IF(AND(EmployeeData[[#This Row],[Attrition]]="Yes",EmployeeData[[#This Row],[LastWorkingDate]]&lt;&gt;""),EmployeeData[[#This Row],[LastWorkingDate]],TODAY()),"Y")</f>
        <v>2</v>
      </c>
      <c r="AA654" t="str">
        <f>IF(EmployeeData[[#This Row],[MonthlyIncome]]&lt;30000,"Low",IF(EmployeeData[[#This Row],[MonthlyIncome]]&lt;=60000,"Medium",IF(EmployeeData[[#This Row],[MonthlyIncome]]&lt;=100000,"High","Very High")))</f>
        <v>Medium</v>
      </c>
      <c r="AB654">
        <f>IF(EmployeeData[[#This Row],[Attrition]]="Yes",1,0)</f>
        <v>1</v>
      </c>
      <c r="AC654" t="str">
        <f ca="1">IF(EmployeeData[[#This Row],[Tenure Years]]&lt;1,"Less than 1 Year",IF(EmployeeData[[#This Row],[Tenure Years]]&lt;=3,"1-3 Years",IF(EmployeeData[[#This Row],[Tenure Years]]&lt;=5,"4-5 Years",IF(EmployeeData[[#This Row],[Tenure Years]]&lt;=10,"6-10 Years","More than 10 Years"))))</f>
        <v>1-3 Years</v>
      </c>
      <c r="AD654">
        <f>ROUND(AVERAGE(EmployeeData[[#This Row],[JobSatisfaction]],EmployeeData[[#This Row],[EnvironmentSatisfaction]],EmployeeData[[#This Row],[WorkLifeBalance]]),2)</f>
        <v>2.33</v>
      </c>
      <c r="AE654" t="str">
        <f>IF(EmployeeData[[#This Row],[Satisfaction Score]]&lt;2,"Low",IF(EmployeeData[[#This Row],[Satisfaction Score]]&lt;3,"Medium","High"))</f>
        <v>Medium</v>
      </c>
    </row>
    <row r="655" spans="1:31" x14ac:dyDescent="0.25">
      <c r="A655" t="s">
        <v>3104</v>
      </c>
      <c r="B655" t="s">
        <v>3105</v>
      </c>
      <c r="C655" t="s">
        <v>49</v>
      </c>
      <c r="D655">
        <v>35</v>
      </c>
      <c r="E655" t="s">
        <v>5459</v>
      </c>
      <c r="F655" t="s">
        <v>123</v>
      </c>
      <c r="G655" s="1">
        <v>42429</v>
      </c>
      <c r="H655">
        <v>40332</v>
      </c>
      <c r="I655" t="s">
        <v>52</v>
      </c>
      <c r="J655" t="s">
        <v>61</v>
      </c>
      <c r="K655" t="s">
        <v>77</v>
      </c>
      <c r="L655" t="s">
        <v>43</v>
      </c>
      <c r="M655">
        <v>41</v>
      </c>
      <c r="N655" t="s">
        <v>34</v>
      </c>
      <c r="O655">
        <v>2</v>
      </c>
      <c r="P655">
        <v>3</v>
      </c>
      <c r="Q655">
        <v>4</v>
      </c>
      <c r="R655">
        <v>3</v>
      </c>
      <c r="S655">
        <v>3</v>
      </c>
      <c r="T655">
        <v>0</v>
      </c>
      <c r="U655">
        <v>21</v>
      </c>
      <c r="V655" t="s">
        <v>3107</v>
      </c>
      <c r="W655" t="s">
        <v>34</v>
      </c>
      <c r="Y655" s="2" t="str">
        <f>IF(EmployeeData[[#This Row],[Age]]&lt;25,"Under 25",IF(EmployeeData[[#This Row],[Age]]&lt;=34,"25-34",IF(EmployeeData[[#This Row],[Age]]&lt;=44,"35-44",IF(EmployeeData[[#This Row],[Age]]&lt;=54,"45-54","55+"))))</f>
        <v>35-44</v>
      </c>
      <c r="Z655">
        <f ca="1">DATEDIF(EmployeeData[[#This Row],[DateOfJoining]],IF(AND(EmployeeData[[#This Row],[Attrition]]="Yes",EmployeeData[[#This Row],[LastWorkingDate]]&lt;&gt;""),EmployeeData[[#This Row],[LastWorkingDate]],TODAY()),"Y")</f>
        <v>10</v>
      </c>
      <c r="AA655" t="str">
        <f>IF(EmployeeData[[#This Row],[MonthlyIncome]]&lt;30000,"Low",IF(EmployeeData[[#This Row],[MonthlyIncome]]&lt;=60000,"Medium",IF(EmployeeData[[#This Row],[MonthlyIncome]]&lt;=100000,"High","Very High")))</f>
        <v>Medium</v>
      </c>
      <c r="AB655">
        <f>IF(EmployeeData[[#This Row],[Attrition]]="Yes",1,0)</f>
        <v>0</v>
      </c>
      <c r="AC655" t="str">
        <f ca="1">IF(EmployeeData[[#This Row],[Tenure Years]]&lt;1,"Less than 1 Year",IF(EmployeeData[[#This Row],[Tenure Years]]&lt;=3,"1-3 Years",IF(EmployeeData[[#This Row],[Tenure Years]]&lt;=5,"4-5 Years",IF(EmployeeData[[#This Row],[Tenure Years]]&lt;=10,"6-10 Years","More than 10 Years"))))</f>
        <v>6-10 Years</v>
      </c>
      <c r="AD655">
        <f>ROUND(AVERAGE(EmployeeData[[#This Row],[JobSatisfaction]],EmployeeData[[#This Row],[EnvironmentSatisfaction]],EmployeeData[[#This Row],[WorkLifeBalance]]),2)</f>
        <v>3</v>
      </c>
      <c r="AE655" t="str">
        <f>IF(EmployeeData[[#This Row],[Satisfaction Score]]&lt;2,"Low",IF(EmployeeData[[#This Row],[Satisfaction Score]]&lt;3,"Medium","High"))</f>
        <v>High</v>
      </c>
    </row>
    <row r="656" spans="1:31" x14ac:dyDescent="0.25">
      <c r="A656" t="s">
        <v>3108</v>
      </c>
      <c r="B656" t="s">
        <v>3109</v>
      </c>
      <c r="C656" t="s">
        <v>49</v>
      </c>
      <c r="D656">
        <v>25</v>
      </c>
      <c r="E656" t="s">
        <v>5459</v>
      </c>
      <c r="F656" t="s">
        <v>50</v>
      </c>
      <c r="G656" s="1">
        <v>42664</v>
      </c>
      <c r="H656">
        <v>95358</v>
      </c>
      <c r="I656" t="s">
        <v>30</v>
      </c>
      <c r="J656" t="s">
        <v>53</v>
      </c>
      <c r="K656" t="s">
        <v>32</v>
      </c>
      <c r="L656" t="s">
        <v>62</v>
      </c>
      <c r="M656">
        <v>33</v>
      </c>
      <c r="N656" t="s">
        <v>45</v>
      </c>
      <c r="O656">
        <v>2</v>
      </c>
      <c r="P656">
        <v>2</v>
      </c>
      <c r="Q656">
        <v>4</v>
      </c>
      <c r="R656">
        <v>4</v>
      </c>
      <c r="S656">
        <v>2</v>
      </c>
      <c r="T656">
        <v>7</v>
      </c>
      <c r="U656">
        <v>19</v>
      </c>
      <c r="V656" t="s">
        <v>3112</v>
      </c>
      <c r="W656" t="s">
        <v>45</v>
      </c>
      <c r="X656" s="1">
        <v>45303</v>
      </c>
      <c r="Y656" s="2" t="str">
        <f>IF(EmployeeData[[#This Row],[Age]]&lt;25,"Under 25",IF(EmployeeData[[#This Row],[Age]]&lt;=34,"25-34",IF(EmployeeData[[#This Row],[Age]]&lt;=44,"35-44",IF(EmployeeData[[#This Row],[Age]]&lt;=54,"45-54","55+"))))</f>
        <v>25-34</v>
      </c>
      <c r="Z656">
        <f ca="1">DATEDIF(EmployeeData[[#This Row],[DateOfJoining]],IF(AND(EmployeeData[[#This Row],[Attrition]]="Yes",EmployeeData[[#This Row],[LastWorkingDate]]&lt;&gt;""),EmployeeData[[#This Row],[LastWorkingDate]],TODAY()),"Y")</f>
        <v>7</v>
      </c>
      <c r="AA656" t="str">
        <f>IF(EmployeeData[[#This Row],[MonthlyIncome]]&lt;30000,"Low",IF(EmployeeData[[#This Row],[MonthlyIncome]]&lt;=60000,"Medium",IF(EmployeeData[[#This Row],[MonthlyIncome]]&lt;=100000,"High","Very High")))</f>
        <v>High</v>
      </c>
      <c r="AB656">
        <f>IF(EmployeeData[[#This Row],[Attrition]]="Yes",1,0)</f>
        <v>1</v>
      </c>
      <c r="AC656" t="str">
        <f ca="1">IF(EmployeeData[[#This Row],[Tenure Years]]&lt;1,"Less than 1 Year",IF(EmployeeData[[#This Row],[Tenure Years]]&lt;=3,"1-3 Years",IF(EmployeeData[[#This Row],[Tenure Years]]&lt;=5,"4-5 Years",IF(EmployeeData[[#This Row],[Tenure Years]]&lt;=10,"6-10 Years","More than 10 Years"))))</f>
        <v>6-10 Years</v>
      </c>
      <c r="AD656">
        <f>ROUND(AVERAGE(EmployeeData[[#This Row],[JobSatisfaction]],EmployeeData[[#This Row],[EnvironmentSatisfaction]],EmployeeData[[#This Row],[WorkLifeBalance]]),2)</f>
        <v>2.67</v>
      </c>
      <c r="AE656" t="str">
        <f>IF(EmployeeData[[#This Row],[Satisfaction Score]]&lt;2,"Low",IF(EmployeeData[[#This Row],[Satisfaction Score]]&lt;3,"Medium","High"))</f>
        <v>Medium</v>
      </c>
    </row>
    <row r="657" spans="1:31" x14ac:dyDescent="0.25">
      <c r="A657" t="s">
        <v>3114</v>
      </c>
      <c r="B657" t="s">
        <v>3115</v>
      </c>
      <c r="C657" t="s">
        <v>49</v>
      </c>
      <c r="D657">
        <v>26</v>
      </c>
      <c r="E657" t="s">
        <v>94</v>
      </c>
      <c r="F657" t="s">
        <v>306</v>
      </c>
      <c r="G657" s="1">
        <v>41538</v>
      </c>
      <c r="H657">
        <v>72986</v>
      </c>
      <c r="I657" t="s">
        <v>5459</v>
      </c>
      <c r="J657" t="s">
        <v>61</v>
      </c>
      <c r="K657" t="s">
        <v>113</v>
      </c>
      <c r="L657" t="s">
        <v>33</v>
      </c>
      <c r="M657">
        <v>14</v>
      </c>
      <c r="N657" t="s">
        <v>34</v>
      </c>
      <c r="O657">
        <v>3</v>
      </c>
      <c r="P657">
        <v>1</v>
      </c>
      <c r="Q657">
        <v>2</v>
      </c>
      <c r="R657">
        <v>4</v>
      </c>
      <c r="S657">
        <v>4</v>
      </c>
      <c r="T657">
        <v>5</v>
      </c>
      <c r="U657">
        <v>16</v>
      </c>
      <c r="V657" t="s">
        <v>3117</v>
      </c>
      <c r="W657" t="s">
        <v>34</v>
      </c>
      <c r="Y657" s="2" t="str">
        <f>IF(EmployeeData[[#This Row],[Age]]&lt;25,"Under 25",IF(EmployeeData[[#This Row],[Age]]&lt;=34,"25-34",IF(EmployeeData[[#This Row],[Age]]&lt;=44,"35-44",IF(EmployeeData[[#This Row],[Age]]&lt;=54,"45-54","55+"))))</f>
        <v>25-34</v>
      </c>
      <c r="Z657">
        <f ca="1">DATEDIF(EmployeeData[[#This Row],[DateOfJoining]],IF(AND(EmployeeData[[#This Row],[Attrition]]="Yes",EmployeeData[[#This Row],[LastWorkingDate]]&lt;&gt;""),EmployeeData[[#This Row],[LastWorkingDate]],TODAY()),"Y")</f>
        <v>12</v>
      </c>
      <c r="AA657" t="str">
        <f>IF(EmployeeData[[#This Row],[MonthlyIncome]]&lt;30000,"Low",IF(EmployeeData[[#This Row],[MonthlyIncome]]&lt;=60000,"Medium",IF(EmployeeData[[#This Row],[MonthlyIncome]]&lt;=100000,"High","Very High")))</f>
        <v>High</v>
      </c>
      <c r="AB657">
        <f>IF(EmployeeData[[#This Row],[Attrition]]="Yes",1,0)</f>
        <v>0</v>
      </c>
      <c r="AC657" t="str">
        <f ca="1">IF(EmployeeData[[#This Row],[Tenure Years]]&lt;1,"Less than 1 Year",IF(EmployeeData[[#This Row],[Tenure Years]]&lt;=3,"1-3 Years",IF(EmployeeData[[#This Row],[Tenure Years]]&lt;=5,"4-5 Years",IF(EmployeeData[[#This Row],[Tenure Years]]&lt;=10,"6-10 Years","More than 10 Years"))))</f>
        <v>More than 10 Years</v>
      </c>
      <c r="AD657">
        <f>ROUND(AVERAGE(EmployeeData[[#This Row],[JobSatisfaction]],EmployeeData[[#This Row],[EnvironmentSatisfaction]],EmployeeData[[#This Row],[WorkLifeBalance]]),2)</f>
        <v>2</v>
      </c>
      <c r="AE657" t="str">
        <f>IF(EmployeeData[[#This Row],[Satisfaction Score]]&lt;2,"Low",IF(EmployeeData[[#This Row],[Satisfaction Score]]&lt;3,"Medium","High"))</f>
        <v>Medium</v>
      </c>
    </row>
    <row r="658" spans="1:31" x14ac:dyDescent="0.25">
      <c r="A658" t="s">
        <v>3118</v>
      </c>
      <c r="B658" t="s">
        <v>3119</v>
      </c>
      <c r="C658" t="s">
        <v>58</v>
      </c>
      <c r="D658">
        <v>22</v>
      </c>
      <c r="E658" t="s">
        <v>27</v>
      </c>
      <c r="F658" t="s">
        <v>50</v>
      </c>
      <c r="G658" s="1">
        <v>41294</v>
      </c>
      <c r="H658">
        <v>116620</v>
      </c>
      <c r="I658" t="s">
        <v>30</v>
      </c>
      <c r="J658" t="s">
        <v>143</v>
      </c>
      <c r="K658" t="s">
        <v>113</v>
      </c>
      <c r="L658" t="s">
        <v>43</v>
      </c>
      <c r="M658">
        <v>43</v>
      </c>
      <c r="N658" t="s">
        <v>34</v>
      </c>
      <c r="O658">
        <v>3</v>
      </c>
      <c r="P658">
        <v>3</v>
      </c>
      <c r="Q658">
        <v>3</v>
      </c>
      <c r="R658">
        <v>2</v>
      </c>
      <c r="S658">
        <v>4</v>
      </c>
      <c r="T658">
        <v>2</v>
      </c>
      <c r="U658">
        <v>19</v>
      </c>
      <c r="V658" t="s">
        <v>3121</v>
      </c>
      <c r="W658" t="s">
        <v>34</v>
      </c>
      <c r="Y658" s="2" t="str">
        <f>IF(EmployeeData[[#This Row],[Age]]&lt;25,"Under 25",IF(EmployeeData[[#This Row],[Age]]&lt;=34,"25-34",IF(EmployeeData[[#This Row],[Age]]&lt;=44,"35-44",IF(EmployeeData[[#This Row],[Age]]&lt;=54,"45-54","55+"))))</f>
        <v>Under 25</v>
      </c>
      <c r="Z658">
        <f ca="1">DATEDIF(EmployeeData[[#This Row],[DateOfJoining]],IF(AND(EmployeeData[[#This Row],[Attrition]]="Yes",EmployeeData[[#This Row],[LastWorkingDate]]&lt;&gt;""),EmployeeData[[#This Row],[LastWorkingDate]],TODAY()),"Y")</f>
        <v>13</v>
      </c>
      <c r="AA658" t="str">
        <f>IF(EmployeeData[[#This Row],[MonthlyIncome]]&lt;30000,"Low",IF(EmployeeData[[#This Row],[MonthlyIncome]]&lt;=60000,"Medium",IF(EmployeeData[[#This Row],[MonthlyIncome]]&lt;=100000,"High","Very High")))</f>
        <v>Very High</v>
      </c>
      <c r="AB658">
        <f>IF(EmployeeData[[#This Row],[Attrition]]="Yes",1,0)</f>
        <v>0</v>
      </c>
      <c r="AC658" t="str">
        <f ca="1">IF(EmployeeData[[#This Row],[Tenure Years]]&lt;1,"Less than 1 Year",IF(EmployeeData[[#This Row],[Tenure Years]]&lt;=3,"1-3 Years",IF(EmployeeData[[#This Row],[Tenure Years]]&lt;=5,"4-5 Years",IF(EmployeeData[[#This Row],[Tenure Years]]&lt;=10,"6-10 Years","More than 10 Years"))))</f>
        <v>More than 10 Years</v>
      </c>
      <c r="AD658">
        <f>ROUND(AVERAGE(EmployeeData[[#This Row],[JobSatisfaction]],EmployeeData[[#This Row],[EnvironmentSatisfaction]],EmployeeData[[#This Row],[WorkLifeBalance]]),2)</f>
        <v>3</v>
      </c>
      <c r="AE658" t="str">
        <f>IF(EmployeeData[[#This Row],[Satisfaction Score]]&lt;2,"Low",IF(EmployeeData[[#This Row],[Satisfaction Score]]&lt;3,"Medium","High"))</f>
        <v>High</v>
      </c>
    </row>
    <row r="659" spans="1:31" x14ac:dyDescent="0.25">
      <c r="A659" t="s">
        <v>3122</v>
      </c>
      <c r="B659" t="s">
        <v>3123</v>
      </c>
      <c r="C659" t="s">
        <v>5459</v>
      </c>
      <c r="D659">
        <v>50</v>
      </c>
      <c r="E659" t="s">
        <v>27</v>
      </c>
      <c r="F659" t="s">
        <v>50</v>
      </c>
      <c r="G659" s="1">
        <v>44125</v>
      </c>
      <c r="H659">
        <v>67734</v>
      </c>
      <c r="I659" t="s">
        <v>52</v>
      </c>
      <c r="J659" t="s">
        <v>143</v>
      </c>
      <c r="K659" t="s">
        <v>32</v>
      </c>
      <c r="L659" t="s">
        <v>62</v>
      </c>
      <c r="M659">
        <v>9</v>
      </c>
      <c r="N659" t="s">
        <v>45</v>
      </c>
      <c r="O659">
        <v>3</v>
      </c>
      <c r="P659">
        <v>4</v>
      </c>
      <c r="Q659">
        <v>2</v>
      </c>
      <c r="R659">
        <v>3</v>
      </c>
      <c r="S659">
        <v>4</v>
      </c>
      <c r="T659">
        <v>8</v>
      </c>
      <c r="U659">
        <v>17</v>
      </c>
      <c r="V659" t="s">
        <v>3125</v>
      </c>
      <c r="W659" t="s">
        <v>34</v>
      </c>
      <c r="Y659" s="2" t="str">
        <f>IF(EmployeeData[[#This Row],[Age]]&lt;25,"Under 25",IF(EmployeeData[[#This Row],[Age]]&lt;=34,"25-34",IF(EmployeeData[[#This Row],[Age]]&lt;=44,"35-44",IF(EmployeeData[[#This Row],[Age]]&lt;=54,"45-54","55+"))))</f>
        <v>45-54</v>
      </c>
      <c r="Z659">
        <f ca="1">DATEDIF(EmployeeData[[#This Row],[DateOfJoining]],IF(AND(EmployeeData[[#This Row],[Attrition]]="Yes",EmployeeData[[#This Row],[LastWorkingDate]]&lt;&gt;""),EmployeeData[[#This Row],[LastWorkingDate]],TODAY()),"Y")</f>
        <v>5</v>
      </c>
      <c r="AA659" t="str">
        <f>IF(EmployeeData[[#This Row],[MonthlyIncome]]&lt;30000,"Low",IF(EmployeeData[[#This Row],[MonthlyIncome]]&lt;=60000,"Medium",IF(EmployeeData[[#This Row],[MonthlyIncome]]&lt;=100000,"High","Very High")))</f>
        <v>High</v>
      </c>
      <c r="AB659">
        <f>IF(EmployeeData[[#This Row],[Attrition]]="Yes",1,0)</f>
        <v>0</v>
      </c>
      <c r="AC659" t="str">
        <f ca="1">IF(EmployeeData[[#This Row],[Tenure Years]]&lt;1,"Less than 1 Year",IF(EmployeeData[[#This Row],[Tenure Years]]&lt;=3,"1-3 Years",IF(EmployeeData[[#This Row],[Tenure Years]]&lt;=5,"4-5 Years",IF(EmployeeData[[#This Row],[Tenure Years]]&lt;=10,"6-10 Years","More than 10 Years"))))</f>
        <v>4-5 Years</v>
      </c>
      <c r="AD659">
        <f>ROUND(AVERAGE(EmployeeData[[#This Row],[JobSatisfaction]],EmployeeData[[#This Row],[EnvironmentSatisfaction]],EmployeeData[[#This Row],[WorkLifeBalance]]),2)</f>
        <v>3</v>
      </c>
      <c r="AE659" t="str">
        <f>IF(EmployeeData[[#This Row],[Satisfaction Score]]&lt;2,"Low",IF(EmployeeData[[#This Row],[Satisfaction Score]]&lt;3,"Medium","High"))</f>
        <v>High</v>
      </c>
    </row>
    <row r="660" spans="1:31" x14ac:dyDescent="0.25">
      <c r="A660" t="s">
        <v>3126</v>
      </c>
      <c r="B660" t="s">
        <v>3127</v>
      </c>
      <c r="C660" t="s">
        <v>58</v>
      </c>
      <c r="D660">
        <v>34</v>
      </c>
      <c r="E660" t="s">
        <v>27</v>
      </c>
      <c r="F660" t="s">
        <v>75</v>
      </c>
      <c r="G660" s="1">
        <v>44567</v>
      </c>
      <c r="H660">
        <v>72910</v>
      </c>
      <c r="I660" t="s">
        <v>52</v>
      </c>
      <c r="J660" t="s">
        <v>61</v>
      </c>
      <c r="K660" t="s">
        <v>32</v>
      </c>
      <c r="L660" t="s">
        <v>33</v>
      </c>
      <c r="M660">
        <v>21</v>
      </c>
      <c r="N660" t="s">
        <v>34</v>
      </c>
      <c r="O660">
        <v>1</v>
      </c>
      <c r="P660">
        <v>3</v>
      </c>
      <c r="Q660">
        <v>2</v>
      </c>
      <c r="R660">
        <v>2</v>
      </c>
      <c r="S660">
        <v>5</v>
      </c>
      <c r="T660">
        <v>6</v>
      </c>
      <c r="U660">
        <v>15</v>
      </c>
      <c r="V660" t="s">
        <v>3129</v>
      </c>
      <c r="W660" t="s">
        <v>45</v>
      </c>
      <c r="X660" s="1">
        <v>46101</v>
      </c>
      <c r="Y660" s="2" t="str">
        <f>IF(EmployeeData[[#This Row],[Age]]&lt;25,"Under 25",IF(EmployeeData[[#This Row],[Age]]&lt;=34,"25-34",IF(EmployeeData[[#This Row],[Age]]&lt;=44,"35-44",IF(EmployeeData[[#This Row],[Age]]&lt;=54,"45-54","55+"))))</f>
        <v>25-34</v>
      </c>
      <c r="Z660">
        <f ca="1">DATEDIF(EmployeeData[[#This Row],[DateOfJoining]],IF(AND(EmployeeData[[#This Row],[Attrition]]="Yes",EmployeeData[[#This Row],[LastWorkingDate]]&lt;&gt;""),EmployeeData[[#This Row],[LastWorkingDate]],TODAY()),"Y")</f>
        <v>4</v>
      </c>
      <c r="AA660" t="str">
        <f>IF(EmployeeData[[#This Row],[MonthlyIncome]]&lt;30000,"Low",IF(EmployeeData[[#This Row],[MonthlyIncome]]&lt;=60000,"Medium",IF(EmployeeData[[#This Row],[MonthlyIncome]]&lt;=100000,"High","Very High")))</f>
        <v>High</v>
      </c>
      <c r="AB660">
        <f>IF(EmployeeData[[#This Row],[Attrition]]="Yes",1,0)</f>
        <v>1</v>
      </c>
      <c r="AC660" t="str">
        <f ca="1">IF(EmployeeData[[#This Row],[Tenure Years]]&lt;1,"Less than 1 Year",IF(EmployeeData[[#This Row],[Tenure Years]]&lt;=3,"1-3 Years",IF(EmployeeData[[#This Row],[Tenure Years]]&lt;=5,"4-5 Years",IF(EmployeeData[[#This Row],[Tenure Years]]&lt;=10,"6-10 Years","More than 10 Years"))))</f>
        <v>4-5 Years</v>
      </c>
      <c r="AD660">
        <f>ROUND(AVERAGE(EmployeeData[[#This Row],[JobSatisfaction]],EmployeeData[[#This Row],[EnvironmentSatisfaction]],EmployeeData[[#This Row],[WorkLifeBalance]]),2)</f>
        <v>2</v>
      </c>
      <c r="AE660" t="str">
        <f>IF(EmployeeData[[#This Row],[Satisfaction Score]]&lt;2,"Low",IF(EmployeeData[[#This Row],[Satisfaction Score]]&lt;3,"Medium","High"))</f>
        <v>Medium</v>
      </c>
    </row>
    <row r="661" spans="1:31" x14ac:dyDescent="0.25">
      <c r="A661" t="s">
        <v>3131</v>
      </c>
      <c r="B661" t="s">
        <v>3132</v>
      </c>
      <c r="C661" t="s">
        <v>58</v>
      </c>
      <c r="D661">
        <v>26</v>
      </c>
      <c r="E661" t="s">
        <v>5459</v>
      </c>
      <c r="F661" t="s">
        <v>188</v>
      </c>
      <c r="G661" s="1">
        <v>44697</v>
      </c>
      <c r="H661">
        <v>55570</v>
      </c>
      <c r="I661" t="s">
        <v>5459</v>
      </c>
      <c r="J661" t="s">
        <v>61</v>
      </c>
      <c r="K661" t="s">
        <v>200</v>
      </c>
      <c r="L661" t="s">
        <v>33</v>
      </c>
      <c r="M661">
        <v>32</v>
      </c>
      <c r="N661" t="s">
        <v>34</v>
      </c>
      <c r="O661">
        <v>1</v>
      </c>
      <c r="P661">
        <v>4</v>
      </c>
      <c r="Q661">
        <v>1</v>
      </c>
      <c r="R661">
        <v>4</v>
      </c>
      <c r="S661">
        <v>6</v>
      </c>
      <c r="T661">
        <v>0</v>
      </c>
      <c r="U661">
        <v>16</v>
      </c>
      <c r="V661" t="s">
        <v>3134</v>
      </c>
      <c r="W661" t="s">
        <v>34</v>
      </c>
      <c r="Y661" s="2" t="str">
        <f>IF(EmployeeData[[#This Row],[Age]]&lt;25,"Under 25",IF(EmployeeData[[#This Row],[Age]]&lt;=34,"25-34",IF(EmployeeData[[#This Row],[Age]]&lt;=44,"35-44",IF(EmployeeData[[#This Row],[Age]]&lt;=54,"45-54","55+"))))</f>
        <v>25-34</v>
      </c>
      <c r="Z661">
        <f ca="1">DATEDIF(EmployeeData[[#This Row],[DateOfJoining]],IF(AND(EmployeeData[[#This Row],[Attrition]]="Yes",EmployeeData[[#This Row],[LastWorkingDate]]&lt;&gt;""),EmployeeData[[#This Row],[LastWorkingDate]],TODAY()),"Y")</f>
        <v>4</v>
      </c>
      <c r="AA661" t="str">
        <f>IF(EmployeeData[[#This Row],[MonthlyIncome]]&lt;30000,"Low",IF(EmployeeData[[#This Row],[MonthlyIncome]]&lt;=60000,"Medium",IF(EmployeeData[[#This Row],[MonthlyIncome]]&lt;=100000,"High","Very High")))</f>
        <v>Medium</v>
      </c>
      <c r="AB661">
        <f>IF(EmployeeData[[#This Row],[Attrition]]="Yes",1,0)</f>
        <v>0</v>
      </c>
      <c r="AC661" t="str">
        <f ca="1">IF(EmployeeData[[#This Row],[Tenure Years]]&lt;1,"Less than 1 Year",IF(EmployeeData[[#This Row],[Tenure Years]]&lt;=3,"1-3 Years",IF(EmployeeData[[#This Row],[Tenure Years]]&lt;=5,"4-5 Years",IF(EmployeeData[[#This Row],[Tenure Years]]&lt;=10,"6-10 Years","More than 10 Years"))))</f>
        <v>4-5 Years</v>
      </c>
      <c r="AD661">
        <f>ROUND(AVERAGE(EmployeeData[[#This Row],[JobSatisfaction]],EmployeeData[[#This Row],[EnvironmentSatisfaction]],EmployeeData[[#This Row],[WorkLifeBalance]]),2)</f>
        <v>2</v>
      </c>
      <c r="AE661" t="str">
        <f>IF(EmployeeData[[#This Row],[Satisfaction Score]]&lt;2,"Low",IF(EmployeeData[[#This Row],[Satisfaction Score]]&lt;3,"Medium","High"))</f>
        <v>Medium</v>
      </c>
    </row>
    <row r="662" spans="1:31" x14ac:dyDescent="0.25">
      <c r="A662" t="s">
        <v>3135</v>
      </c>
      <c r="B662" t="s">
        <v>248</v>
      </c>
      <c r="C662" t="s">
        <v>58</v>
      </c>
      <c r="D662">
        <v>32</v>
      </c>
      <c r="E662" t="s">
        <v>128</v>
      </c>
      <c r="F662" t="s">
        <v>255</v>
      </c>
      <c r="G662" s="1">
        <v>44951</v>
      </c>
      <c r="H662">
        <v>58163</v>
      </c>
      <c r="I662" t="s">
        <v>30</v>
      </c>
      <c r="J662" t="s">
        <v>61</v>
      </c>
      <c r="K662" t="s">
        <v>54</v>
      </c>
      <c r="L662" t="s">
        <v>43</v>
      </c>
      <c r="M662">
        <v>23</v>
      </c>
      <c r="N662" t="s">
        <v>34</v>
      </c>
      <c r="O662">
        <v>4</v>
      </c>
      <c r="P662">
        <v>2</v>
      </c>
      <c r="Q662">
        <v>3</v>
      </c>
      <c r="R662">
        <v>3</v>
      </c>
      <c r="S662">
        <v>5</v>
      </c>
      <c r="T662">
        <v>6</v>
      </c>
      <c r="U662">
        <v>11</v>
      </c>
      <c r="V662" t="s">
        <v>3137</v>
      </c>
      <c r="W662" t="s">
        <v>34</v>
      </c>
      <c r="Y662" s="2" t="str">
        <f>IF(EmployeeData[[#This Row],[Age]]&lt;25,"Under 25",IF(EmployeeData[[#This Row],[Age]]&lt;=34,"25-34",IF(EmployeeData[[#This Row],[Age]]&lt;=44,"35-44",IF(EmployeeData[[#This Row],[Age]]&lt;=54,"45-54","55+"))))</f>
        <v>25-34</v>
      </c>
      <c r="Z662">
        <f ca="1">DATEDIF(EmployeeData[[#This Row],[DateOfJoining]],IF(AND(EmployeeData[[#This Row],[Attrition]]="Yes",EmployeeData[[#This Row],[LastWorkingDate]]&lt;&gt;""),EmployeeData[[#This Row],[LastWorkingDate]],TODAY()),"Y")</f>
        <v>3</v>
      </c>
      <c r="AA662" t="str">
        <f>IF(EmployeeData[[#This Row],[MonthlyIncome]]&lt;30000,"Low",IF(EmployeeData[[#This Row],[MonthlyIncome]]&lt;=60000,"Medium",IF(EmployeeData[[#This Row],[MonthlyIncome]]&lt;=100000,"High","Very High")))</f>
        <v>Medium</v>
      </c>
      <c r="AB662">
        <f>IF(EmployeeData[[#This Row],[Attrition]]="Yes",1,0)</f>
        <v>0</v>
      </c>
      <c r="AC662" t="str">
        <f ca="1">IF(EmployeeData[[#This Row],[Tenure Years]]&lt;1,"Less than 1 Year",IF(EmployeeData[[#This Row],[Tenure Years]]&lt;=3,"1-3 Years",IF(EmployeeData[[#This Row],[Tenure Years]]&lt;=5,"4-5 Years",IF(EmployeeData[[#This Row],[Tenure Years]]&lt;=10,"6-10 Years","More than 10 Years"))))</f>
        <v>1-3 Years</v>
      </c>
      <c r="AD662">
        <f>ROUND(AVERAGE(EmployeeData[[#This Row],[JobSatisfaction]],EmployeeData[[#This Row],[EnvironmentSatisfaction]],EmployeeData[[#This Row],[WorkLifeBalance]]),2)</f>
        <v>3</v>
      </c>
      <c r="AE662" t="str">
        <f>IF(EmployeeData[[#This Row],[Satisfaction Score]]&lt;2,"Low",IF(EmployeeData[[#This Row],[Satisfaction Score]]&lt;3,"Medium","High"))</f>
        <v>High</v>
      </c>
    </row>
    <row r="663" spans="1:31" x14ac:dyDescent="0.25">
      <c r="A663" t="s">
        <v>3138</v>
      </c>
      <c r="B663" t="s">
        <v>3139</v>
      </c>
      <c r="C663" t="s">
        <v>49</v>
      </c>
      <c r="D663">
        <v>43</v>
      </c>
      <c r="E663" t="s">
        <v>197</v>
      </c>
      <c r="F663" t="s">
        <v>235</v>
      </c>
      <c r="G663" s="1">
        <v>46222</v>
      </c>
      <c r="H663">
        <v>84725</v>
      </c>
      <c r="I663" t="s">
        <v>30</v>
      </c>
      <c r="J663" t="s">
        <v>61</v>
      </c>
      <c r="K663" t="s">
        <v>83</v>
      </c>
      <c r="L663" t="s">
        <v>43</v>
      </c>
      <c r="M663">
        <v>19</v>
      </c>
      <c r="N663" t="s">
        <v>34</v>
      </c>
      <c r="O663">
        <v>4</v>
      </c>
      <c r="P663">
        <v>2</v>
      </c>
      <c r="Q663">
        <v>3</v>
      </c>
      <c r="R663">
        <v>3</v>
      </c>
      <c r="S663">
        <v>3</v>
      </c>
      <c r="T663">
        <v>5</v>
      </c>
      <c r="U663">
        <v>23</v>
      </c>
      <c r="V663" t="s">
        <v>3140</v>
      </c>
      <c r="W663" t="s">
        <v>34</v>
      </c>
      <c r="Y663" s="2" t="str">
        <f>IF(EmployeeData[[#This Row],[Age]]&lt;25,"Under 25",IF(EmployeeData[[#This Row],[Age]]&lt;=34,"25-34",IF(EmployeeData[[#This Row],[Age]]&lt;=44,"35-44",IF(EmployeeData[[#This Row],[Age]]&lt;=54,"45-54","55+"))))</f>
        <v>35-44</v>
      </c>
      <c r="Z663">
        <f ca="1">DATEDIF(EmployeeData[[#This Row],[DateOfJoining]],IF(AND(EmployeeData[[#This Row],[Attrition]]="Yes",EmployeeData[[#This Row],[LastWorkingDate]]&lt;&gt;""),EmployeeData[[#This Row],[LastWorkingDate]],TODAY()),"Y")</f>
        <v>0</v>
      </c>
      <c r="AA663" t="str">
        <f>IF(EmployeeData[[#This Row],[MonthlyIncome]]&lt;30000,"Low",IF(EmployeeData[[#This Row],[MonthlyIncome]]&lt;=60000,"Medium",IF(EmployeeData[[#This Row],[MonthlyIncome]]&lt;=100000,"High","Very High")))</f>
        <v>High</v>
      </c>
      <c r="AB663">
        <f>IF(EmployeeData[[#This Row],[Attrition]]="Yes",1,0)</f>
        <v>0</v>
      </c>
      <c r="AC663" t="str">
        <f ca="1">IF(EmployeeData[[#This Row],[Tenure Years]]&lt;1,"Less than 1 Year",IF(EmployeeData[[#This Row],[Tenure Years]]&lt;=3,"1-3 Years",IF(EmployeeData[[#This Row],[Tenure Years]]&lt;=5,"4-5 Years",IF(EmployeeData[[#This Row],[Tenure Years]]&lt;=10,"6-10 Years","More than 10 Years"))))</f>
        <v>Less than 1 Year</v>
      </c>
      <c r="AD663">
        <f>ROUND(AVERAGE(EmployeeData[[#This Row],[JobSatisfaction]],EmployeeData[[#This Row],[EnvironmentSatisfaction]],EmployeeData[[#This Row],[WorkLifeBalance]]),2)</f>
        <v>3</v>
      </c>
      <c r="AE663" t="str">
        <f>IF(EmployeeData[[#This Row],[Satisfaction Score]]&lt;2,"Low",IF(EmployeeData[[#This Row],[Satisfaction Score]]&lt;3,"Medium","High"))</f>
        <v>High</v>
      </c>
    </row>
    <row r="664" spans="1:31" x14ac:dyDescent="0.25">
      <c r="A664" t="s">
        <v>3141</v>
      </c>
      <c r="B664" t="s">
        <v>3142</v>
      </c>
      <c r="C664" t="s">
        <v>49</v>
      </c>
      <c r="D664">
        <v>41</v>
      </c>
      <c r="E664" t="s">
        <v>27</v>
      </c>
      <c r="F664" t="s">
        <v>59</v>
      </c>
      <c r="G664" s="1">
        <v>42866</v>
      </c>
      <c r="H664">
        <v>122599</v>
      </c>
      <c r="I664" t="s">
        <v>42</v>
      </c>
      <c r="J664" t="s">
        <v>31</v>
      </c>
      <c r="K664" t="s">
        <v>113</v>
      </c>
      <c r="L664" t="s">
        <v>62</v>
      </c>
      <c r="M664">
        <v>45</v>
      </c>
      <c r="N664" t="s">
        <v>34</v>
      </c>
      <c r="O664">
        <v>3</v>
      </c>
      <c r="P664">
        <v>2</v>
      </c>
      <c r="Q664">
        <v>4</v>
      </c>
      <c r="R664">
        <v>3</v>
      </c>
      <c r="S664">
        <v>6</v>
      </c>
      <c r="T664">
        <v>0</v>
      </c>
      <c r="U664">
        <v>15</v>
      </c>
      <c r="V664" t="s">
        <v>5459</v>
      </c>
      <c r="W664" t="s">
        <v>34</v>
      </c>
      <c r="Y664" s="2" t="str">
        <f>IF(EmployeeData[[#This Row],[Age]]&lt;25,"Under 25",IF(EmployeeData[[#This Row],[Age]]&lt;=34,"25-34",IF(EmployeeData[[#This Row],[Age]]&lt;=44,"35-44",IF(EmployeeData[[#This Row],[Age]]&lt;=54,"45-54","55+"))))</f>
        <v>35-44</v>
      </c>
      <c r="Z664">
        <f ca="1">DATEDIF(EmployeeData[[#This Row],[DateOfJoining]],IF(AND(EmployeeData[[#This Row],[Attrition]]="Yes",EmployeeData[[#This Row],[LastWorkingDate]]&lt;&gt;""),EmployeeData[[#This Row],[LastWorkingDate]],TODAY()),"Y")</f>
        <v>9</v>
      </c>
      <c r="AA664" t="str">
        <f>IF(EmployeeData[[#This Row],[MonthlyIncome]]&lt;30000,"Low",IF(EmployeeData[[#This Row],[MonthlyIncome]]&lt;=60000,"Medium",IF(EmployeeData[[#This Row],[MonthlyIncome]]&lt;=100000,"High","Very High")))</f>
        <v>Very High</v>
      </c>
      <c r="AB664">
        <f>IF(EmployeeData[[#This Row],[Attrition]]="Yes",1,0)</f>
        <v>0</v>
      </c>
      <c r="AC664" t="str">
        <f ca="1">IF(EmployeeData[[#This Row],[Tenure Years]]&lt;1,"Less than 1 Year",IF(EmployeeData[[#This Row],[Tenure Years]]&lt;=3,"1-3 Years",IF(EmployeeData[[#This Row],[Tenure Years]]&lt;=5,"4-5 Years",IF(EmployeeData[[#This Row],[Tenure Years]]&lt;=10,"6-10 Years","More than 10 Years"))))</f>
        <v>6-10 Years</v>
      </c>
      <c r="AD664">
        <f>ROUND(AVERAGE(EmployeeData[[#This Row],[JobSatisfaction]],EmployeeData[[#This Row],[EnvironmentSatisfaction]],EmployeeData[[#This Row],[WorkLifeBalance]]),2)</f>
        <v>3</v>
      </c>
      <c r="AE664" t="str">
        <f>IF(EmployeeData[[#This Row],[Satisfaction Score]]&lt;2,"Low",IF(EmployeeData[[#This Row],[Satisfaction Score]]&lt;3,"Medium","High"))</f>
        <v>High</v>
      </c>
    </row>
    <row r="665" spans="1:31" x14ac:dyDescent="0.25">
      <c r="A665" t="s">
        <v>3144</v>
      </c>
      <c r="B665" t="s">
        <v>3145</v>
      </c>
      <c r="C665" t="s">
        <v>49</v>
      </c>
      <c r="D665">
        <v>29</v>
      </c>
      <c r="E665" t="s">
        <v>27</v>
      </c>
      <c r="F665" t="s">
        <v>50</v>
      </c>
      <c r="G665" s="1">
        <v>42817</v>
      </c>
      <c r="H665">
        <v>98250</v>
      </c>
      <c r="I665" t="s">
        <v>42</v>
      </c>
      <c r="J665" t="s">
        <v>61</v>
      </c>
      <c r="K665" t="s">
        <v>98</v>
      </c>
      <c r="L665" t="s">
        <v>33</v>
      </c>
      <c r="M665">
        <v>30</v>
      </c>
      <c r="N665" t="s">
        <v>45</v>
      </c>
      <c r="O665">
        <v>4</v>
      </c>
      <c r="P665">
        <v>1</v>
      </c>
      <c r="Q665">
        <v>3</v>
      </c>
      <c r="R665">
        <v>4</v>
      </c>
      <c r="S665">
        <v>6</v>
      </c>
      <c r="T665">
        <v>4</v>
      </c>
      <c r="U665">
        <v>23</v>
      </c>
      <c r="V665" t="s">
        <v>3147</v>
      </c>
      <c r="W665" t="s">
        <v>34</v>
      </c>
      <c r="Y665" s="2" t="str">
        <f>IF(EmployeeData[[#This Row],[Age]]&lt;25,"Under 25",IF(EmployeeData[[#This Row],[Age]]&lt;=34,"25-34",IF(EmployeeData[[#This Row],[Age]]&lt;=44,"35-44",IF(EmployeeData[[#This Row],[Age]]&lt;=54,"45-54","55+"))))</f>
        <v>25-34</v>
      </c>
      <c r="Z665">
        <f ca="1">DATEDIF(EmployeeData[[#This Row],[DateOfJoining]],IF(AND(EmployeeData[[#This Row],[Attrition]]="Yes",EmployeeData[[#This Row],[LastWorkingDate]]&lt;&gt;""),EmployeeData[[#This Row],[LastWorkingDate]],TODAY()),"Y")</f>
        <v>9</v>
      </c>
      <c r="AA665" t="str">
        <f>IF(EmployeeData[[#This Row],[MonthlyIncome]]&lt;30000,"Low",IF(EmployeeData[[#This Row],[MonthlyIncome]]&lt;=60000,"Medium",IF(EmployeeData[[#This Row],[MonthlyIncome]]&lt;=100000,"High","Very High")))</f>
        <v>High</v>
      </c>
      <c r="AB665">
        <f>IF(EmployeeData[[#This Row],[Attrition]]="Yes",1,0)</f>
        <v>0</v>
      </c>
      <c r="AC665" t="str">
        <f ca="1">IF(EmployeeData[[#This Row],[Tenure Years]]&lt;1,"Less than 1 Year",IF(EmployeeData[[#This Row],[Tenure Years]]&lt;=3,"1-3 Years",IF(EmployeeData[[#This Row],[Tenure Years]]&lt;=5,"4-5 Years",IF(EmployeeData[[#This Row],[Tenure Years]]&lt;=10,"6-10 Years","More than 10 Years"))))</f>
        <v>6-10 Years</v>
      </c>
      <c r="AD665">
        <f>ROUND(AVERAGE(EmployeeData[[#This Row],[JobSatisfaction]],EmployeeData[[#This Row],[EnvironmentSatisfaction]],EmployeeData[[#This Row],[WorkLifeBalance]]),2)</f>
        <v>2.67</v>
      </c>
      <c r="AE665" t="str">
        <f>IF(EmployeeData[[#This Row],[Satisfaction Score]]&lt;2,"Low",IF(EmployeeData[[#This Row],[Satisfaction Score]]&lt;3,"Medium","High"))</f>
        <v>Medium</v>
      </c>
    </row>
    <row r="666" spans="1:31" x14ac:dyDescent="0.25">
      <c r="A666" t="s">
        <v>3148</v>
      </c>
      <c r="B666" t="s">
        <v>5459</v>
      </c>
      <c r="C666" t="s">
        <v>58</v>
      </c>
      <c r="D666">
        <v>42</v>
      </c>
      <c r="E666" t="s">
        <v>94</v>
      </c>
      <c r="F666" t="s">
        <v>356</v>
      </c>
      <c r="G666" s="1">
        <v>45291</v>
      </c>
      <c r="H666">
        <v>110607</v>
      </c>
      <c r="I666" t="s">
        <v>30</v>
      </c>
      <c r="J666" t="s">
        <v>143</v>
      </c>
      <c r="K666" t="s">
        <v>83</v>
      </c>
      <c r="L666" t="s">
        <v>62</v>
      </c>
      <c r="M666">
        <v>19</v>
      </c>
      <c r="N666" t="s">
        <v>34</v>
      </c>
      <c r="O666">
        <v>4</v>
      </c>
      <c r="P666">
        <v>4</v>
      </c>
      <c r="Q666">
        <v>1</v>
      </c>
      <c r="R666">
        <v>3</v>
      </c>
      <c r="S666">
        <v>3</v>
      </c>
      <c r="T666">
        <v>2</v>
      </c>
      <c r="U666">
        <v>23</v>
      </c>
      <c r="V666" t="s">
        <v>3150</v>
      </c>
      <c r="W666" t="s">
        <v>34</v>
      </c>
      <c r="Y666" s="2" t="str">
        <f>IF(EmployeeData[[#This Row],[Age]]&lt;25,"Under 25",IF(EmployeeData[[#This Row],[Age]]&lt;=34,"25-34",IF(EmployeeData[[#This Row],[Age]]&lt;=44,"35-44",IF(EmployeeData[[#This Row],[Age]]&lt;=54,"45-54","55+"))))</f>
        <v>35-44</v>
      </c>
      <c r="Z666">
        <f ca="1">DATEDIF(EmployeeData[[#This Row],[DateOfJoining]],IF(AND(EmployeeData[[#This Row],[Attrition]]="Yes",EmployeeData[[#This Row],[LastWorkingDate]]&lt;&gt;""),EmployeeData[[#This Row],[LastWorkingDate]],TODAY()),"Y")</f>
        <v>2</v>
      </c>
      <c r="AA666" t="str">
        <f>IF(EmployeeData[[#This Row],[MonthlyIncome]]&lt;30000,"Low",IF(EmployeeData[[#This Row],[MonthlyIncome]]&lt;=60000,"Medium",IF(EmployeeData[[#This Row],[MonthlyIncome]]&lt;=100000,"High","Very High")))</f>
        <v>Very High</v>
      </c>
      <c r="AB666">
        <f>IF(EmployeeData[[#This Row],[Attrition]]="Yes",1,0)</f>
        <v>0</v>
      </c>
      <c r="AC666" t="str">
        <f ca="1">IF(EmployeeData[[#This Row],[Tenure Years]]&lt;1,"Less than 1 Year",IF(EmployeeData[[#This Row],[Tenure Years]]&lt;=3,"1-3 Years",IF(EmployeeData[[#This Row],[Tenure Years]]&lt;=5,"4-5 Years",IF(EmployeeData[[#This Row],[Tenure Years]]&lt;=10,"6-10 Years","More than 10 Years"))))</f>
        <v>1-3 Years</v>
      </c>
      <c r="AD666">
        <f>ROUND(AVERAGE(EmployeeData[[#This Row],[JobSatisfaction]],EmployeeData[[#This Row],[EnvironmentSatisfaction]],EmployeeData[[#This Row],[WorkLifeBalance]]),2)</f>
        <v>3</v>
      </c>
      <c r="AE666" t="str">
        <f>IF(EmployeeData[[#This Row],[Satisfaction Score]]&lt;2,"Low",IF(EmployeeData[[#This Row],[Satisfaction Score]]&lt;3,"Medium","High"))</f>
        <v>High</v>
      </c>
    </row>
    <row r="667" spans="1:31" x14ac:dyDescent="0.25">
      <c r="A667" t="s">
        <v>3151</v>
      </c>
      <c r="B667" t="s">
        <v>3152</v>
      </c>
      <c r="C667" t="s">
        <v>58</v>
      </c>
      <c r="D667">
        <v>46</v>
      </c>
      <c r="E667" t="s">
        <v>27</v>
      </c>
      <c r="F667" t="s">
        <v>75</v>
      </c>
      <c r="G667" s="1">
        <v>42148</v>
      </c>
      <c r="H667">
        <v>73921</v>
      </c>
      <c r="I667" t="s">
        <v>52</v>
      </c>
      <c r="J667" t="s">
        <v>53</v>
      </c>
      <c r="K667" t="s">
        <v>113</v>
      </c>
      <c r="L667" t="s">
        <v>62</v>
      </c>
      <c r="M667">
        <v>31</v>
      </c>
      <c r="N667" t="s">
        <v>34</v>
      </c>
      <c r="O667">
        <v>3</v>
      </c>
      <c r="P667">
        <v>1</v>
      </c>
      <c r="Q667">
        <v>2</v>
      </c>
      <c r="R667">
        <v>2</v>
      </c>
      <c r="S667">
        <v>5</v>
      </c>
      <c r="T667">
        <v>0</v>
      </c>
      <c r="U667">
        <v>22</v>
      </c>
      <c r="V667" t="s">
        <v>3154</v>
      </c>
      <c r="W667" t="s">
        <v>45</v>
      </c>
      <c r="X667" s="1">
        <v>45628</v>
      </c>
      <c r="Y667" s="2" t="str">
        <f>IF(EmployeeData[[#This Row],[Age]]&lt;25,"Under 25",IF(EmployeeData[[#This Row],[Age]]&lt;=34,"25-34",IF(EmployeeData[[#This Row],[Age]]&lt;=44,"35-44",IF(EmployeeData[[#This Row],[Age]]&lt;=54,"45-54","55+"))))</f>
        <v>45-54</v>
      </c>
      <c r="Z667">
        <f ca="1">DATEDIF(EmployeeData[[#This Row],[DateOfJoining]],IF(AND(EmployeeData[[#This Row],[Attrition]]="Yes",EmployeeData[[#This Row],[LastWorkingDate]]&lt;&gt;""),EmployeeData[[#This Row],[LastWorkingDate]],TODAY()),"Y")</f>
        <v>9</v>
      </c>
      <c r="AA667" t="str">
        <f>IF(EmployeeData[[#This Row],[MonthlyIncome]]&lt;30000,"Low",IF(EmployeeData[[#This Row],[MonthlyIncome]]&lt;=60000,"Medium",IF(EmployeeData[[#This Row],[MonthlyIncome]]&lt;=100000,"High","Very High")))</f>
        <v>High</v>
      </c>
      <c r="AB667">
        <f>IF(EmployeeData[[#This Row],[Attrition]]="Yes",1,0)</f>
        <v>1</v>
      </c>
      <c r="AC667" t="str">
        <f ca="1">IF(EmployeeData[[#This Row],[Tenure Years]]&lt;1,"Less than 1 Year",IF(EmployeeData[[#This Row],[Tenure Years]]&lt;=3,"1-3 Years",IF(EmployeeData[[#This Row],[Tenure Years]]&lt;=5,"4-5 Years",IF(EmployeeData[[#This Row],[Tenure Years]]&lt;=10,"6-10 Years","More than 10 Years"))))</f>
        <v>6-10 Years</v>
      </c>
      <c r="AD667">
        <f>ROUND(AVERAGE(EmployeeData[[#This Row],[JobSatisfaction]],EmployeeData[[#This Row],[EnvironmentSatisfaction]],EmployeeData[[#This Row],[WorkLifeBalance]]),2)</f>
        <v>2</v>
      </c>
      <c r="AE667" t="str">
        <f>IF(EmployeeData[[#This Row],[Satisfaction Score]]&lt;2,"Low",IF(EmployeeData[[#This Row],[Satisfaction Score]]&lt;3,"Medium","High"))</f>
        <v>Medium</v>
      </c>
    </row>
    <row r="668" spans="1:31" x14ac:dyDescent="0.25">
      <c r="A668" t="s">
        <v>3156</v>
      </c>
      <c r="B668" t="s">
        <v>3157</v>
      </c>
      <c r="C668" t="s">
        <v>58</v>
      </c>
      <c r="D668">
        <v>32</v>
      </c>
      <c r="E668" t="s">
        <v>5461</v>
      </c>
      <c r="F668" t="s">
        <v>5463</v>
      </c>
      <c r="G668" s="1">
        <v>41137</v>
      </c>
      <c r="H668">
        <v>57613</v>
      </c>
      <c r="I668" t="s">
        <v>42</v>
      </c>
      <c r="J668" t="s">
        <v>31</v>
      </c>
      <c r="K668" t="s">
        <v>167</v>
      </c>
      <c r="L668" t="s">
        <v>62</v>
      </c>
      <c r="M668">
        <v>24</v>
      </c>
      <c r="N668" t="s">
        <v>34</v>
      </c>
      <c r="O668">
        <v>3</v>
      </c>
      <c r="P668">
        <v>4</v>
      </c>
      <c r="Q668">
        <v>4</v>
      </c>
      <c r="R668">
        <v>3</v>
      </c>
      <c r="S668">
        <v>3</v>
      </c>
      <c r="T668">
        <v>0</v>
      </c>
      <c r="U668">
        <v>18</v>
      </c>
      <c r="V668" t="s">
        <v>3159</v>
      </c>
      <c r="W668" t="s">
        <v>34</v>
      </c>
      <c r="Y668" s="2" t="str">
        <f>IF(EmployeeData[[#This Row],[Age]]&lt;25,"Under 25",IF(EmployeeData[[#This Row],[Age]]&lt;=34,"25-34",IF(EmployeeData[[#This Row],[Age]]&lt;=44,"35-44",IF(EmployeeData[[#This Row],[Age]]&lt;=54,"45-54","55+"))))</f>
        <v>25-34</v>
      </c>
      <c r="Z668">
        <f ca="1">DATEDIF(EmployeeData[[#This Row],[DateOfJoining]],IF(AND(EmployeeData[[#This Row],[Attrition]]="Yes",EmployeeData[[#This Row],[LastWorkingDate]]&lt;&gt;""),EmployeeData[[#This Row],[LastWorkingDate]],TODAY()),"Y")</f>
        <v>14</v>
      </c>
      <c r="AA668" t="str">
        <f>IF(EmployeeData[[#This Row],[MonthlyIncome]]&lt;30000,"Low",IF(EmployeeData[[#This Row],[MonthlyIncome]]&lt;=60000,"Medium",IF(EmployeeData[[#This Row],[MonthlyIncome]]&lt;=100000,"High","Very High")))</f>
        <v>Medium</v>
      </c>
      <c r="AB668">
        <f>IF(EmployeeData[[#This Row],[Attrition]]="Yes",1,0)</f>
        <v>0</v>
      </c>
      <c r="AC668" t="str">
        <f ca="1">IF(EmployeeData[[#This Row],[Tenure Years]]&lt;1,"Less than 1 Year",IF(EmployeeData[[#This Row],[Tenure Years]]&lt;=3,"1-3 Years",IF(EmployeeData[[#This Row],[Tenure Years]]&lt;=5,"4-5 Years",IF(EmployeeData[[#This Row],[Tenure Years]]&lt;=10,"6-10 Years","More than 10 Years"))))</f>
        <v>More than 10 Years</v>
      </c>
      <c r="AD668">
        <f>ROUND(AVERAGE(EmployeeData[[#This Row],[JobSatisfaction]],EmployeeData[[#This Row],[EnvironmentSatisfaction]],EmployeeData[[#This Row],[WorkLifeBalance]]),2)</f>
        <v>3.67</v>
      </c>
      <c r="AE668" t="str">
        <f>IF(EmployeeData[[#This Row],[Satisfaction Score]]&lt;2,"Low",IF(EmployeeData[[#This Row],[Satisfaction Score]]&lt;3,"Medium","High"))</f>
        <v>High</v>
      </c>
    </row>
    <row r="669" spans="1:31" x14ac:dyDescent="0.25">
      <c r="A669" t="s">
        <v>3160</v>
      </c>
      <c r="B669" t="s">
        <v>3161</v>
      </c>
      <c r="C669" t="s">
        <v>58</v>
      </c>
      <c r="D669">
        <v>41</v>
      </c>
      <c r="E669" t="s">
        <v>38</v>
      </c>
      <c r="F669" t="s">
        <v>5465</v>
      </c>
      <c r="G669" s="1">
        <v>42277</v>
      </c>
      <c r="H669">
        <v>88216</v>
      </c>
      <c r="I669" t="s">
        <v>52</v>
      </c>
      <c r="J669" t="s">
        <v>31</v>
      </c>
      <c r="K669" t="s">
        <v>77</v>
      </c>
      <c r="L669" t="s">
        <v>62</v>
      </c>
      <c r="M669">
        <v>29</v>
      </c>
      <c r="N669" t="s">
        <v>34</v>
      </c>
      <c r="O669">
        <v>3</v>
      </c>
      <c r="P669">
        <v>3</v>
      </c>
      <c r="Q669">
        <v>3</v>
      </c>
      <c r="R669">
        <v>3</v>
      </c>
      <c r="S669">
        <v>6</v>
      </c>
      <c r="T669">
        <v>7</v>
      </c>
      <c r="U669">
        <v>15</v>
      </c>
      <c r="V669" t="s">
        <v>3165</v>
      </c>
      <c r="W669" t="s">
        <v>34</v>
      </c>
      <c r="Y669" s="2" t="str">
        <f>IF(EmployeeData[[#This Row],[Age]]&lt;25,"Under 25",IF(EmployeeData[[#This Row],[Age]]&lt;=34,"25-34",IF(EmployeeData[[#This Row],[Age]]&lt;=44,"35-44",IF(EmployeeData[[#This Row],[Age]]&lt;=54,"45-54","55+"))))</f>
        <v>35-44</v>
      </c>
      <c r="Z669">
        <f ca="1">DATEDIF(EmployeeData[[#This Row],[DateOfJoining]],IF(AND(EmployeeData[[#This Row],[Attrition]]="Yes",EmployeeData[[#This Row],[LastWorkingDate]]&lt;&gt;""),EmployeeData[[#This Row],[LastWorkingDate]],TODAY()),"Y")</f>
        <v>10</v>
      </c>
      <c r="AA669" t="str">
        <f>IF(EmployeeData[[#This Row],[MonthlyIncome]]&lt;30000,"Low",IF(EmployeeData[[#This Row],[MonthlyIncome]]&lt;=60000,"Medium",IF(EmployeeData[[#This Row],[MonthlyIncome]]&lt;=100000,"High","Very High")))</f>
        <v>High</v>
      </c>
      <c r="AB669">
        <f>IF(EmployeeData[[#This Row],[Attrition]]="Yes",1,0)</f>
        <v>0</v>
      </c>
      <c r="AC669" t="str">
        <f ca="1">IF(EmployeeData[[#This Row],[Tenure Years]]&lt;1,"Less than 1 Year",IF(EmployeeData[[#This Row],[Tenure Years]]&lt;=3,"1-3 Years",IF(EmployeeData[[#This Row],[Tenure Years]]&lt;=5,"4-5 Years",IF(EmployeeData[[#This Row],[Tenure Years]]&lt;=10,"6-10 Years","More than 10 Years"))))</f>
        <v>6-10 Years</v>
      </c>
      <c r="AD669">
        <f>ROUND(AVERAGE(EmployeeData[[#This Row],[JobSatisfaction]],EmployeeData[[#This Row],[EnvironmentSatisfaction]],EmployeeData[[#This Row],[WorkLifeBalance]]),2)</f>
        <v>3</v>
      </c>
      <c r="AE669" t="str">
        <f>IF(EmployeeData[[#This Row],[Satisfaction Score]]&lt;2,"Low",IF(EmployeeData[[#This Row],[Satisfaction Score]]&lt;3,"Medium","High"))</f>
        <v>High</v>
      </c>
    </row>
    <row r="670" spans="1:31" x14ac:dyDescent="0.25">
      <c r="A670" t="s">
        <v>3166</v>
      </c>
      <c r="B670" t="s">
        <v>3167</v>
      </c>
      <c r="C670" t="s">
        <v>58</v>
      </c>
      <c r="D670">
        <v>34</v>
      </c>
      <c r="E670" t="s">
        <v>27</v>
      </c>
      <c r="F670" t="s">
        <v>188</v>
      </c>
      <c r="G670" s="1">
        <v>45529</v>
      </c>
      <c r="H670">
        <v>53675</v>
      </c>
      <c r="I670" t="s">
        <v>30</v>
      </c>
      <c r="J670" t="s">
        <v>61</v>
      </c>
      <c r="K670" t="s">
        <v>32</v>
      </c>
      <c r="L670" t="s">
        <v>62</v>
      </c>
      <c r="M670">
        <v>19</v>
      </c>
      <c r="N670" t="s">
        <v>45</v>
      </c>
      <c r="O670">
        <v>1</v>
      </c>
      <c r="P670">
        <v>1</v>
      </c>
      <c r="Q670">
        <v>4</v>
      </c>
      <c r="R670">
        <v>4</v>
      </c>
      <c r="S670">
        <v>4</v>
      </c>
      <c r="T670">
        <v>0</v>
      </c>
      <c r="U670">
        <v>21</v>
      </c>
      <c r="V670" t="s">
        <v>3170</v>
      </c>
      <c r="W670" t="s">
        <v>34</v>
      </c>
      <c r="Y670" s="2" t="str">
        <f>IF(EmployeeData[[#This Row],[Age]]&lt;25,"Under 25",IF(EmployeeData[[#This Row],[Age]]&lt;=34,"25-34",IF(EmployeeData[[#This Row],[Age]]&lt;=44,"35-44",IF(EmployeeData[[#This Row],[Age]]&lt;=54,"45-54","55+"))))</f>
        <v>25-34</v>
      </c>
      <c r="Z670">
        <f ca="1">DATEDIF(EmployeeData[[#This Row],[DateOfJoining]],IF(AND(EmployeeData[[#This Row],[Attrition]]="Yes",EmployeeData[[#This Row],[LastWorkingDate]]&lt;&gt;""),EmployeeData[[#This Row],[LastWorkingDate]],TODAY()),"Y")</f>
        <v>2</v>
      </c>
      <c r="AA670" t="str">
        <f>IF(EmployeeData[[#This Row],[MonthlyIncome]]&lt;30000,"Low",IF(EmployeeData[[#This Row],[MonthlyIncome]]&lt;=60000,"Medium",IF(EmployeeData[[#This Row],[MonthlyIncome]]&lt;=100000,"High","Very High")))</f>
        <v>Medium</v>
      </c>
      <c r="AB670">
        <f>IF(EmployeeData[[#This Row],[Attrition]]="Yes",1,0)</f>
        <v>0</v>
      </c>
      <c r="AC670" t="str">
        <f ca="1">IF(EmployeeData[[#This Row],[Tenure Years]]&lt;1,"Less than 1 Year",IF(EmployeeData[[#This Row],[Tenure Years]]&lt;=3,"1-3 Years",IF(EmployeeData[[#This Row],[Tenure Years]]&lt;=5,"4-5 Years",IF(EmployeeData[[#This Row],[Tenure Years]]&lt;=10,"6-10 Years","More than 10 Years"))))</f>
        <v>1-3 Years</v>
      </c>
      <c r="AD670">
        <f>ROUND(AVERAGE(EmployeeData[[#This Row],[JobSatisfaction]],EmployeeData[[#This Row],[EnvironmentSatisfaction]],EmployeeData[[#This Row],[WorkLifeBalance]]),2)</f>
        <v>2</v>
      </c>
      <c r="AE670" t="str">
        <f>IF(EmployeeData[[#This Row],[Satisfaction Score]]&lt;2,"Low",IF(EmployeeData[[#This Row],[Satisfaction Score]]&lt;3,"Medium","High"))</f>
        <v>Medium</v>
      </c>
    </row>
    <row r="671" spans="1:31" x14ac:dyDescent="0.25">
      <c r="A671" t="s">
        <v>3171</v>
      </c>
      <c r="B671" t="s">
        <v>3172</v>
      </c>
      <c r="C671" t="s">
        <v>58</v>
      </c>
      <c r="D671">
        <v>24</v>
      </c>
      <c r="E671" t="s">
        <v>27</v>
      </c>
      <c r="F671" t="s">
        <v>188</v>
      </c>
      <c r="G671" s="1">
        <v>42342</v>
      </c>
      <c r="H671">
        <v>105847</v>
      </c>
      <c r="I671" t="s">
        <v>52</v>
      </c>
      <c r="J671" t="s">
        <v>143</v>
      </c>
      <c r="K671" t="s">
        <v>106</v>
      </c>
      <c r="L671" t="s">
        <v>33</v>
      </c>
      <c r="M671">
        <v>44</v>
      </c>
      <c r="N671" t="s">
        <v>34</v>
      </c>
      <c r="O671">
        <v>4</v>
      </c>
      <c r="P671">
        <v>2</v>
      </c>
      <c r="Q671">
        <v>2</v>
      </c>
      <c r="R671">
        <v>3</v>
      </c>
      <c r="S671">
        <v>3</v>
      </c>
      <c r="T671">
        <v>7</v>
      </c>
      <c r="U671">
        <v>23</v>
      </c>
      <c r="V671" t="s">
        <v>3175</v>
      </c>
      <c r="W671" t="s">
        <v>34</v>
      </c>
      <c r="Y671" s="2" t="str">
        <f>IF(EmployeeData[[#This Row],[Age]]&lt;25,"Under 25",IF(EmployeeData[[#This Row],[Age]]&lt;=34,"25-34",IF(EmployeeData[[#This Row],[Age]]&lt;=44,"35-44",IF(EmployeeData[[#This Row],[Age]]&lt;=54,"45-54","55+"))))</f>
        <v>Under 25</v>
      </c>
      <c r="Z671">
        <f ca="1">DATEDIF(EmployeeData[[#This Row],[DateOfJoining]],IF(AND(EmployeeData[[#This Row],[Attrition]]="Yes",EmployeeData[[#This Row],[LastWorkingDate]]&lt;&gt;""),EmployeeData[[#This Row],[LastWorkingDate]],TODAY()),"Y")</f>
        <v>10</v>
      </c>
      <c r="AA671" t="str">
        <f>IF(EmployeeData[[#This Row],[MonthlyIncome]]&lt;30000,"Low",IF(EmployeeData[[#This Row],[MonthlyIncome]]&lt;=60000,"Medium",IF(EmployeeData[[#This Row],[MonthlyIncome]]&lt;=100000,"High","Very High")))</f>
        <v>Very High</v>
      </c>
      <c r="AB671">
        <f>IF(EmployeeData[[#This Row],[Attrition]]="Yes",1,0)</f>
        <v>0</v>
      </c>
      <c r="AC671" t="str">
        <f ca="1">IF(EmployeeData[[#This Row],[Tenure Years]]&lt;1,"Less than 1 Year",IF(EmployeeData[[#This Row],[Tenure Years]]&lt;=3,"1-3 Years",IF(EmployeeData[[#This Row],[Tenure Years]]&lt;=5,"4-5 Years",IF(EmployeeData[[#This Row],[Tenure Years]]&lt;=10,"6-10 Years","More than 10 Years"))))</f>
        <v>6-10 Years</v>
      </c>
      <c r="AD671">
        <f>ROUND(AVERAGE(EmployeeData[[#This Row],[JobSatisfaction]],EmployeeData[[#This Row],[EnvironmentSatisfaction]],EmployeeData[[#This Row],[WorkLifeBalance]]),2)</f>
        <v>2.67</v>
      </c>
      <c r="AE671" t="str">
        <f>IF(EmployeeData[[#This Row],[Satisfaction Score]]&lt;2,"Low",IF(EmployeeData[[#This Row],[Satisfaction Score]]&lt;3,"Medium","High"))</f>
        <v>Medium</v>
      </c>
    </row>
    <row r="672" spans="1:31" x14ac:dyDescent="0.25">
      <c r="A672" t="s">
        <v>3176</v>
      </c>
      <c r="B672" t="s">
        <v>3177</v>
      </c>
      <c r="C672" t="s">
        <v>49</v>
      </c>
      <c r="D672">
        <v>33</v>
      </c>
      <c r="E672" t="s">
        <v>38</v>
      </c>
      <c r="F672" t="s">
        <v>792</v>
      </c>
      <c r="G672" s="1">
        <v>41504</v>
      </c>
      <c r="H672">
        <v>43653</v>
      </c>
      <c r="I672" t="s">
        <v>52</v>
      </c>
      <c r="J672" t="s">
        <v>61</v>
      </c>
      <c r="K672" t="s">
        <v>32</v>
      </c>
      <c r="L672" t="s">
        <v>33</v>
      </c>
      <c r="M672">
        <v>14</v>
      </c>
      <c r="N672" t="s">
        <v>45</v>
      </c>
      <c r="O672">
        <v>3</v>
      </c>
      <c r="P672">
        <v>2</v>
      </c>
      <c r="Q672">
        <v>3</v>
      </c>
      <c r="R672">
        <v>3</v>
      </c>
      <c r="S672">
        <v>4</v>
      </c>
      <c r="T672">
        <v>2</v>
      </c>
      <c r="U672">
        <v>19</v>
      </c>
      <c r="V672" t="s">
        <v>3179</v>
      </c>
      <c r="W672" t="s">
        <v>34</v>
      </c>
      <c r="Y672" s="2" t="str">
        <f>IF(EmployeeData[[#This Row],[Age]]&lt;25,"Under 25",IF(EmployeeData[[#This Row],[Age]]&lt;=34,"25-34",IF(EmployeeData[[#This Row],[Age]]&lt;=44,"35-44",IF(EmployeeData[[#This Row],[Age]]&lt;=54,"45-54","55+"))))</f>
        <v>25-34</v>
      </c>
      <c r="Z672">
        <f ca="1">DATEDIF(EmployeeData[[#This Row],[DateOfJoining]],IF(AND(EmployeeData[[#This Row],[Attrition]]="Yes",EmployeeData[[#This Row],[LastWorkingDate]]&lt;&gt;""),EmployeeData[[#This Row],[LastWorkingDate]],TODAY()),"Y")</f>
        <v>13</v>
      </c>
      <c r="AA672" t="str">
        <f>IF(EmployeeData[[#This Row],[MonthlyIncome]]&lt;30000,"Low",IF(EmployeeData[[#This Row],[MonthlyIncome]]&lt;=60000,"Medium",IF(EmployeeData[[#This Row],[MonthlyIncome]]&lt;=100000,"High","Very High")))</f>
        <v>Medium</v>
      </c>
      <c r="AB672">
        <f>IF(EmployeeData[[#This Row],[Attrition]]="Yes",1,0)</f>
        <v>0</v>
      </c>
      <c r="AC672" t="str">
        <f ca="1">IF(EmployeeData[[#This Row],[Tenure Years]]&lt;1,"Less than 1 Year",IF(EmployeeData[[#This Row],[Tenure Years]]&lt;=3,"1-3 Years",IF(EmployeeData[[#This Row],[Tenure Years]]&lt;=5,"4-5 Years",IF(EmployeeData[[#This Row],[Tenure Years]]&lt;=10,"6-10 Years","More than 10 Years"))))</f>
        <v>More than 10 Years</v>
      </c>
      <c r="AD672">
        <f>ROUND(AVERAGE(EmployeeData[[#This Row],[JobSatisfaction]],EmployeeData[[#This Row],[EnvironmentSatisfaction]],EmployeeData[[#This Row],[WorkLifeBalance]]),2)</f>
        <v>2.67</v>
      </c>
      <c r="AE672" t="str">
        <f>IF(EmployeeData[[#This Row],[Satisfaction Score]]&lt;2,"Low",IF(EmployeeData[[#This Row],[Satisfaction Score]]&lt;3,"Medium","High"))</f>
        <v>Medium</v>
      </c>
    </row>
    <row r="673" spans="1:31" x14ac:dyDescent="0.25">
      <c r="A673" t="s">
        <v>3180</v>
      </c>
      <c r="B673" t="s">
        <v>3181</v>
      </c>
      <c r="C673" t="s">
        <v>58</v>
      </c>
      <c r="D673">
        <v>44</v>
      </c>
      <c r="E673" t="s">
        <v>5461</v>
      </c>
      <c r="F673" t="s">
        <v>483</v>
      </c>
      <c r="G673" s="1">
        <v>42783</v>
      </c>
      <c r="H673">
        <v>90155</v>
      </c>
      <c r="I673" t="s">
        <v>30</v>
      </c>
      <c r="J673" t="s">
        <v>31</v>
      </c>
      <c r="K673" t="s">
        <v>98</v>
      </c>
      <c r="L673" t="s">
        <v>43</v>
      </c>
      <c r="M673">
        <v>23</v>
      </c>
      <c r="N673" t="s">
        <v>34</v>
      </c>
      <c r="O673">
        <v>3</v>
      </c>
      <c r="P673">
        <v>3</v>
      </c>
      <c r="Q673">
        <v>2</v>
      </c>
      <c r="R673">
        <v>4</v>
      </c>
      <c r="S673">
        <v>3</v>
      </c>
      <c r="T673">
        <v>0</v>
      </c>
      <c r="U673">
        <v>22</v>
      </c>
      <c r="V673" t="s">
        <v>3184</v>
      </c>
      <c r="W673" t="s">
        <v>34</v>
      </c>
      <c r="Y673" s="2" t="str">
        <f>IF(EmployeeData[[#This Row],[Age]]&lt;25,"Under 25",IF(EmployeeData[[#This Row],[Age]]&lt;=34,"25-34",IF(EmployeeData[[#This Row],[Age]]&lt;=44,"35-44",IF(EmployeeData[[#This Row],[Age]]&lt;=54,"45-54","55+"))))</f>
        <v>35-44</v>
      </c>
      <c r="Z673">
        <f ca="1">DATEDIF(EmployeeData[[#This Row],[DateOfJoining]],IF(AND(EmployeeData[[#This Row],[Attrition]]="Yes",EmployeeData[[#This Row],[LastWorkingDate]]&lt;&gt;""),EmployeeData[[#This Row],[LastWorkingDate]],TODAY()),"Y")</f>
        <v>9</v>
      </c>
      <c r="AA673" t="str">
        <f>IF(EmployeeData[[#This Row],[MonthlyIncome]]&lt;30000,"Low",IF(EmployeeData[[#This Row],[MonthlyIncome]]&lt;=60000,"Medium",IF(EmployeeData[[#This Row],[MonthlyIncome]]&lt;=100000,"High","Very High")))</f>
        <v>High</v>
      </c>
      <c r="AB673">
        <f>IF(EmployeeData[[#This Row],[Attrition]]="Yes",1,0)</f>
        <v>0</v>
      </c>
      <c r="AC673" t="str">
        <f ca="1">IF(EmployeeData[[#This Row],[Tenure Years]]&lt;1,"Less than 1 Year",IF(EmployeeData[[#This Row],[Tenure Years]]&lt;=3,"1-3 Years",IF(EmployeeData[[#This Row],[Tenure Years]]&lt;=5,"4-5 Years",IF(EmployeeData[[#This Row],[Tenure Years]]&lt;=10,"6-10 Years","More than 10 Years"))))</f>
        <v>6-10 Years</v>
      </c>
      <c r="AD673">
        <f>ROUND(AVERAGE(EmployeeData[[#This Row],[JobSatisfaction]],EmployeeData[[#This Row],[EnvironmentSatisfaction]],EmployeeData[[#This Row],[WorkLifeBalance]]),2)</f>
        <v>2.67</v>
      </c>
      <c r="AE673" t="str">
        <f>IF(EmployeeData[[#This Row],[Satisfaction Score]]&lt;2,"Low",IF(EmployeeData[[#This Row],[Satisfaction Score]]&lt;3,"Medium","High"))</f>
        <v>Medium</v>
      </c>
    </row>
    <row r="674" spans="1:31" x14ac:dyDescent="0.25">
      <c r="A674" t="s">
        <v>3185</v>
      </c>
      <c r="B674" t="s">
        <v>3186</v>
      </c>
      <c r="C674" t="s">
        <v>49</v>
      </c>
      <c r="D674">
        <v>39</v>
      </c>
      <c r="E674" t="s">
        <v>128</v>
      </c>
      <c r="F674" t="s">
        <v>271</v>
      </c>
      <c r="G674" s="1">
        <v>45425</v>
      </c>
      <c r="H674">
        <v>54387</v>
      </c>
      <c r="I674" t="s">
        <v>42</v>
      </c>
      <c r="J674" t="s">
        <v>31</v>
      </c>
      <c r="K674" t="s">
        <v>98</v>
      </c>
      <c r="L674" t="s">
        <v>62</v>
      </c>
      <c r="M674">
        <v>25</v>
      </c>
      <c r="N674" t="s">
        <v>34</v>
      </c>
      <c r="O674">
        <v>2</v>
      </c>
      <c r="P674">
        <v>3</v>
      </c>
      <c r="Q674">
        <v>3</v>
      </c>
      <c r="R674">
        <v>2</v>
      </c>
      <c r="S674">
        <v>2</v>
      </c>
      <c r="T674">
        <v>5</v>
      </c>
      <c r="U674">
        <v>23</v>
      </c>
      <c r="V674" t="s">
        <v>3189</v>
      </c>
      <c r="W674" t="s">
        <v>34</v>
      </c>
      <c r="Y674" s="2" t="str">
        <f>IF(EmployeeData[[#This Row],[Age]]&lt;25,"Under 25",IF(EmployeeData[[#This Row],[Age]]&lt;=34,"25-34",IF(EmployeeData[[#This Row],[Age]]&lt;=44,"35-44",IF(EmployeeData[[#This Row],[Age]]&lt;=54,"45-54","55+"))))</f>
        <v>35-44</v>
      </c>
      <c r="Z674">
        <f ca="1">DATEDIF(EmployeeData[[#This Row],[DateOfJoining]],IF(AND(EmployeeData[[#This Row],[Attrition]]="Yes",EmployeeData[[#This Row],[LastWorkingDate]]&lt;&gt;""),EmployeeData[[#This Row],[LastWorkingDate]],TODAY()),"Y")</f>
        <v>2</v>
      </c>
      <c r="AA674" t="str">
        <f>IF(EmployeeData[[#This Row],[MonthlyIncome]]&lt;30000,"Low",IF(EmployeeData[[#This Row],[MonthlyIncome]]&lt;=60000,"Medium",IF(EmployeeData[[#This Row],[MonthlyIncome]]&lt;=100000,"High","Very High")))</f>
        <v>Medium</v>
      </c>
      <c r="AB674">
        <f>IF(EmployeeData[[#This Row],[Attrition]]="Yes",1,0)</f>
        <v>0</v>
      </c>
      <c r="AC674" t="str">
        <f ca="1">IF(EmployeeData[[#This Row],[Tenure Years]]&lt;1,"Less than 1 Year",IF(EmployeeData[[#This Row],[Tenure Years]]&lt;=3,"1-3 Years",IF(EmployeeData[[#This Row],[Tenure Years]]&lt;=5,"4-5 Years",IF(EmployeeData[[#This Row],[Tenure Years]]&lt;=10,"6-10 Years","More than 10 Years"))))</f>
        <v>1-3 Years</v>
      </c>
      <c r="AD674">
        <f>ROUND(AVERAGE(EmployeeData[[#This Row],[JobSatisfaction]],EmployeeData[[#This Row],[EnvironmentSatisfaction]],EmployeeData[[#This Row],[WorkLifeBalance]]),2)</f>
        <v>2.67</v>
      </c>
      <c r="AE674" t="str">
        <f>IF(EmployeeData[[#This Row],[Satisfaction Score]]&lt;2,"Low",IF(EmployeeData[[#This Row],[Satisfaction Score]]&lt;3,"Medium","High"))</f>
        <v>Medium</v>
      </c>
    </row>
    <row r="675" spans="1:31" x14ac:dyDescent="0.25">
      <c r="A675" t="s">
        <v>3190</v>
      </c>
      <c r="B675" t="s">
        <v>3191</v>
      </c>
      <c r="C675" t="s">
        <v>49</v>
      </c>
      <c r="D675">
        <v>33</v>
      </c>
      <c r="E675" t="s">
        <v>27</v>
      </c>
      <c r="F675" t="s">
        <v>50</v>
      </c>
      <c r="G675" s="1">
        <v>42861</v>
      </c>
      <c r="H675">
        <v>111961</v>
      </c>
      <c r="I675" t="s">
        <v>52</v>
      </c>
      <c r="J675" t="s">
        <v>97</v>
      </c>
      <c r="K675" t="s">
        <v>200</v>
      </c>
      <c r="L675" t="s">
        <v>33</v>
      </c>
      <c r="M675">
        <v>37</v>
      </c>
      <c r="N675" t="s">
        <v>34</v>
      </c>
      <c r="O675">
        <v>3</v>
      </c>
      <c r="P675">
        <v>4</v>
      </c>
      <c r="Q675">
        <v>2</v>
      </c>
      <c r="R675">
        <v>3</v>
      </c>
      <c r="S675">
        <v>6</v>
      </c>
      <c r="T675">
        <v>5</v>
      </c>
      <c r="U675">
        <v>17</v>
      </c>
      <c r="V675" t="s">
        <v>3194</v>
      </c>
      <c r="W675" t="s">
        <v>34</v>
      </c>
      <c r="Y675" s="2" t="str">
        <f>IF(EmployeeData[[#This Row],[Age]]&lt;25,"Under 25",IF(EmployeeData[[#This Row],[Age]]&lt;=34,"25-34",IF(EmployeeData[[#This Row],[Age]]&lt;=44,"35-44",IF(EmployeeData[[#This Row],[Age]]&lt;=54,"45-54","55+"))))</f>
        <v>25-34</v>
      </c>
      <c r="Z675">
        <f ca="1">DATEDIF(EmployeeData[[#This Row],[DateOfJoining]],IF(AND(EmployeeData[[#This Row],[Attrition]]="Yes",EmployeeData[[#This Row],[LastWorkingDate]]&lt;&gt;""),EmployeeData[[#This Row],[LastWorkingDate]],TODAY()),"Y")</f>
        <v>9</v>
      </c>
      <c r="AA675" t="str">
        <f>IF(EmployeeData[[#This Row],[MonthlyIncome]]&lt;30000,"Low",IF(EmployeeData[[#This Row],[MonthlyIncome]]&lt;=60000,"Medium",IF(EmployeeData[[#This Row],[MonthlyIncome]]&lt;=100000,"High","Very High")))</f>
        <v>Very High</v>
      </c>
      <c r="AB675">
        <f>IF(EmployeeData[[#This Row],[Attrition]]="Yes",1,0)</f>
        <v>0</v>
      </c>
      <c r="AC675" t="str">
        <f ca="1">IF(EmployeeData[[#This Row],[Tenure Years]]&lt;1,"Less than 1 Year",IF(EmployeeData[[#This Row],[Tenure Years]]&lt;=3,"1-3 Years",IF(EmployeeData[[#This Row],[Tenure Years]]&lt;=5,"4-5 Years",IF(EmployeeData[[#This Row],[Tenure Years]]&lt;=10,"6-10 Years","More than 10 Years"))))</f>
        <v>6-10 Years</v>
      </c>
      <c r="AD675">
        <f>ROUND(AVERAGE(EmployeeData[[#This Row],[JobSatisfaction]],EmployeeData[[#This Row],[EnvironmentSatisfaction]],EmployeeData[[#This Row],[WorkLifeBalance]]),2)</f>
        <v>3</v>
      </c>
      <c r="AE675" t="str">
        <f>IF(EmployeeData[[#This Row],[Satisfaction Score]]&lt;2,"Low",IF(EmployeeData[[#This Row],[Satisfaction Score]]&lt;3,"Medium","High"))</f>
        <v>High</v>
      </c>
    </row>
    <row r="676" spans="1:31" x14ac:dyDescent="0.25">
      <c r="A676" t="s">
        <v>3195</v>
      </c>
      <c r="B676" t="s">
        <v>3196</v>
      </c>
      <c r="C676" t="s">
        <v>49</v>
      </c>
      <c r="D676">
        <v>31</v>
      </c>
      <c r="E676" t="s">
        <v>5461</v>
      </c>
      <c r="F676" t="s">
        <v>483</v>
      </c>
      <c r="G676" s="1">
        <v>45936</v>
      </c>
      <c r="H676">
        <v>91331</v>
      </c>
      <c r="I676" t="s">
        <v>42</v>
      </c>
      <c r="J676" t="s">
        <v>61</v>
      </c>
      <c r="K676" t="s">
        <v>54</v>
      </c>
      <c r="L676" t="s">
        <v>43</v>
      </c>
      <c r="M676">
        <v>1</v>
      </c>
      <c r="N676" t="s">
        <v>34</v>
      </c>
      <c r="O676">
        <v>4</v>
      </c>
      <c r="P676">
        <v>4</v>
      </c>
      <c r="Q676">
        <v>3</v>
      </c>
      <c r="R676">
        <v>3</v>
      </c>
      <c r="S676">
        <v>5</v>
      </c>
      <c r="T676">
        <v>8</v>
      </c>
      <c r="U676">
        <v>14</v>
      </c>
      <c r="V676" t="s">
        <v>3198</v>
      </c>
      <c r="W676" t="s">
        <v>34</v>
      </c>
      <c r="Y676" s="2" t="str">
        <f>IF(EmployeeData[[#This Row],[Age]]&lt;25,"Under 25",IF(EmployeeData[[#This Row],[Age]]&lt;=34,"25-34",IF(EmployeeData[[#This Row],[Age]]&lt;=44,"35-44",IF(EmployeeData[[#This Row],[Age]]&lt;=54,"45-54","55+"))))</f>
        <v>25-34</v>
      </c>
      <c r="Z676">
        <f ca="1">DATEDIF(EmployeeData[[#This Row],[DateOfJoining]],IF(AND(EmployeeData[[#This Row],[Attrition]]="Yes",EmployeeData[[#This Row],[LastWorkingDate]]&lt;&gt;""),EmployeeData[[#This Row],[LastWorkingDate]],TODAY()),"Y")</f>
        <v>0</v>
      </c>
      <c r="AA676" t="str">
        <f>IF(EmployeeData[[#This Row],[MonthlyIncome]]&lt;30000,"Low",IF(EmployeeData[[#This Row],[MonthlyIncome]]&lt;=60000,"Medium",IF(EmployeeData[[#This Row],[MonthlyIncome]]&lt;=100000,"High","Very High")))</f>
        <v>High</v>
      </c>
      <c r="AB676">
        <f>IF(EmployeeData[[#This Row],[Attrition]]="Yes",1,0)</f>
        <v>0</v>
      </c>
      <c r="AC676" t="str">
        <f ca="1">IF(EmployeeData[[#This Row],[Tenure Years]]&lt;1,"Less than 1 Year",IF(EmployeeData[[#This Row],[Tenure Years]]&lt;=3,"1-3 Years",IF(EmployeeData[[#This Row],[Tenure Years]]&lt;=5,"4-5 Years",IF(EmployeeData[[#This Row],[Tenure Years]]&lt;=10,"6-10 Years","More than 10 Years"))))</f>
        <v>Less than 1 Year</v>
      </c>
      <c r="AD676">
        <f>ROUND(AVERAGE(EmployeeData[[#This Row],[JobSatisfaction]],EmployeeData[[#This Row],[EnvironmentSatisfaction]],EmployeeData[[#This Row],[WorkLifeBalance]]),2)</f>
        <v>3.67</v>
      </c>
      <c r="AE676" t="str">
        <f>IF(EmployeeData[[#This Row],[Satisfaction Score]]&lt;2,"Low",IF(EmployeeData[[#This Row],[Satisfaction Score]]&lt;3,"Medium","High"))</f>
        <v>High</v>
      </c>
    </row>
    <row r="677" spans="1:31" x14ac:dyDescent="0.25">
      <c r="A677" t="s">
        <v>3199</v>
      </c>
      <c r="B677" t="s">
        <v>3200</v>
      </c>
      <c r="C677" t="s">
        <v>58</v>
      </c>
      <c r="D677">
        <v>23</v>
      </c>
      <c r="E677" t="s">
        <v>128</v>
      </c>
      <c r="F677" t="s">
        <v>123</v>
      </c>
      <c r="G677" s="1">
        <v>42234</v>
      </c>
      <c r="H677">
        <v>71644</v>
      </c>
      <c r="I677" t="s">
        <v>52</v>
      </c>
      <c r="J677" t="s">
        <v>143</v>
      </c>
      <c r="K677" t="s">
        <v>167</v>
      </c>
      <c r="L677" t="s">
        <v>33</v>
      </c>
      <c r="M677">
        <v>11</v>
      </c>
      <c r="N677" t="s">
        <v>34</v>
      </c>
      <c r="O677">
        <v>1</v>
      </c>
      <c r="P677">
        <v>4</v>
      </c>
      <c r="Q677">
        <v>1</v>
      </c>
      <c r="R677">
        <v>2</v>
      </c>
      <c r="S677">
        <v>1</v>
      </c>
      <c r="T677">
        <v>4</v>
      </c>
      <c r="U677">
        <v>22</v>
      </c>
      <c r="V677" t="s">
        <v>3204</v>
      </c>
      <c r="W677" t="s">
        <v>45</v>
      </c>
      <c r="X677" s="1">
        <v>42397</v>
      </c>
      <c r="Y677" s="2" t="str">
        <f>IF(EmployeeData[[#This Row],[Age]]&lt;25,"Under 25",IF(EmployeeData[[#This Row],[Age]]&lt;=34,"25-34",IF(EmployeeData[[#This Row],[Age]]&lt;=44,"35-44",IF(EmployeeData[[#This Row],[Age]]&lt;=54,"45-54","55+"))))</f>
        <v>Under 25</v>
      </c>
      <c r="Z677">
        <f ca="1">DATEDIF(EmployeeData[[#This Row],[DateOfJoining]],IF(AND(EmployeeData[[#This Row],[Attrition]]="Yes",EmployeeData[[#This Row],[LastWorkingDate]]&lt;&gt;""),EmployeeData[[#This Row],[LastWorkingDate]],TODAY()),"Y")</f>
        <v>0</v>
      </c>
      <c r="AA677" t="str">
        <f>IF(EmployeeData[[#This Row],[MonthlyIncome]]&lt;30000,"Low",IF(EmployeeData[[#This Row],[MonthlyIncome]]&lt;=60000,"Medium",IF(EmployeeData[[#This Row],[MonthlyIncome]]&lt;=100000,"High","Very High")))</f>
        <v>High</v>
      </c>
      <c r="AB677">
        <f>IF(EmployeeData[[#This Row],[Attrition]]="Yes",1,0)</f>
        <v>1</v>
      </c>
      <c r="AC677" t="str">
        <f ca="1">IF(EmployeeData[[#This Row],[Tenure Years]]&lt;1,"Less than 1 Year",IF(EmployeeData[[#This Row],[Tenure Years]]&lt;=3,"1-3 Years",IF(EmployeeData[[#This Row],[Tenure Years]]&lt;=5,"4-5 Years",IF(EmployeeData[[#This Row],[Tenure Years]]&lt;=10,"6-10 Years","More than 10 Years"))))</f>
        <v>Less than 1 Year</v>
      </c>
      <c r="AD677">
        <f>ROUND(AVERAGE(EmployeeData[[#This Row],[JobSatisfaction]],EmployeeData[[#This Row],[EnvironmentSatisfaction]],EmployeeData[[#This Row],[WorkLifeBalance]]),2)</f>
        <v>2</v>
      </c>
      <c r="AE677" t="str">
        <f>IF(EmployeeData[[#This Row],[Satisfaction Score]]&lt;2,"Low",IF(EmployeeData[[#This Row],[Satisfaction Score]]&lt;3,"Medium","High"))</f>
        <v>Medium</v>
      </c>
    </row>
    <row r="678" spans="1:31" x14ac:dyDescent="0.25">
      <c r="A678" t="s">
        <v>3206</v>
      </c>
      <c r="B678" t="s">
        <v>3207</v>
      </c>
      <c r="C678" t="s">
        <v>58</v>
      </c>
      <c r="D678">
        <v>31</v>
      </c>
      <c r="E678" t="s">
        <v>94</v>
      </c>
      <c r="F678" t="s">
        <v>266</v>
      </c>
      <c r="G678" s="1">
        <v>41313</v>
      </c>
      <c r="H678">
        <v>85141</v>
      </c>
      <c r="I678" t="s">
        <v>52</v>
      </c>
      <c r="J678" t="s">
        <v>53</v>
      </c>
      <c r="K678" t="s">
        <v>131</v>
      </c>
      <c r="L678" t="s">
        <v>33</v>
      </c>
      <c r="M678">
        <v>14</v>
      </c>
      <c r="N678" t="s">
        <v>34</v>
      </c>
      <c r="O678">
        <v>4</v>
      </c>
      <c r="P678">
        <v>3</v>
      </c>
      <c r="Q678">
        <v>2</v>
      </c>
      <c r="R678">
        <v>2</v>
      </c>
      <c r="S678">
        <v>5</v>
      </c>
      <c r="T678">
        <v>0</v>
      </c>
      <c r="U678">
        <v>25</v>
      </c>
      <c r="V678" t="s">
        <v>3209</v>
      </c>
      <c r="W678" t="s">
        <v>34</v>
      </c>
      <c r="Y678" s="2" t="str">
        <f>IF(EmployeeData[[#This Row],[Age]]&lt;25,"Under 25",IF(EmployeeData[[#This Row],[Age]]&lt;=34,"25-34",IF(EmployeeData[[#This Row],[Age]]&lt;=44,"35-44",IF(EmployeeData[[#This Row],[Age]]&lt;=54,"45-54","55+"))))</f>
        <v>25-34</v>
      </c>
      <c r="Z678">
        <f ca="1">DATEDIF(EmployeeData[[#This Row],[DateOfJoining]],IF(AND(EmployeeData[[#This Row],[Attrition]]="Yes",EmployeeData[[#This Row],[LastWorkingDate]]&lt;&gt;""),EmployeeData[[#This Row],[LastWorkingDate]],TODAY()),"Y")</f>
        <v>13</v>
      </c>
      <c r="AA678" t="str">
        <f>IF(EmployeeData[[#This Row],[MonthlyIncome]]&lt;30000,"Low",IF(EmployeeData[[#This Row],[MonthlyIncome]]&lt;=60000,"Medium",IF(EmployeeData[[#This Row],[MonthlyIncome]]&lt;=100000,"High","Very High")))</f>
        <v>High</v>
      </c>
      <c r="AB678">
        <f>IF(EmployeeData[[#This Row],[Attrition]]="Yes",1,0)</f>
        <v>0</v>
      </c>
      <c r="AC678" t="str">
        <f ca="1">IF(EmployeeData[[#This Row],[Tenure Years]]&lt;1,"Less than 1 Year",IF(EmployeeData[[#This Row],[Tenure Years]]&lt;=3,"1-3 Years",IF(EmployeeData[[#This Row],[Tenure Years]]&lt;=5,"4-5 Years",IF(EmployeeData[[#This Row],[Tenure Years]]&lt;=10,"6-10 Years","More than 10 Years"))))</f>
        <v>More than 10 Years</v>
      </c>
      <c r="AD678">
        <f>ROUND(AVERAGE(EmployeeData[[#This Row],[JobSatisfaction]],EmployeeData[[#This Row],[EnvironmentSatisfaction]],EmployeeData[[#This Row],[WorkLifeBalance]]),2)</f>
        <v>3</v>
      </c>
      <c r="AE678" t="str">
        <f>IF(EmployeeData[[#This Row],[Satisfaction Score]]&lt;2,"Low",IF(EmployeeData[[#This Row],[Satisfaction Score]]&lt;3,"Medium","High"))</f>
        <v>High</v>
      </c>
    </row>
    <row r="679" spans="1:31" x14ac:dyDescent="0.25">
      <c r="A679" t="s">
        <v>3210</v>
      </c>
      <c r="B679" t="s">
        <v>3211</v>
      </c>
      <c r="C679" t="s">
        <v>58</v>
      </c>
      <c r="D679">
        <v>43</v>
      </c>
      <c r="E679" t="s">
        <v>94</v>
      </c>
      <c r="F679" t="s">
        <v>266</v>
      </c>
      <c r="G679" s="1">
        <v>45858</v>
      </c>
      <c r="H679">
        <v>116799</v>
      </c>
      <c r="I679" t="s">
        <v>52</v>
      </c>
      <c r="J679" t="s">
        <v>31</v>
      </c>
      <c r="K679" t="s">
        <v>167</v>
      </c>
      <c r="L679" t="s">
        <v>43</v>
      </c>
      <c r="M679">
        <v>17</v>
      </c>
      <c r="N679" t="s">
        <v>34</v>
      </c>
      <c r="O679">
        <v>3</v>
      </c>
      <c r="P679">
        <v>3</v>
      </c>
      <c r="Q679">
        <v>4</v>
      </c>
      <c r="R679">
        <v>3</v>
      </c>
      <c r="S679">
        <v>5</v>
      </c>
      <c r="T679">
        <v>3</v>
      </c>
      <c r="U679">
        <v>13</v>
      </c>
      <c r="V679" t="s">
        <v>3213</v>
      </c>
      <c r="W679" t="s">
        <v>34</v>
      </c>
      <c r="Y679" s="2" t="str">
        <f>IF(EmployeeData[[#This Row],[Age]]&lt;25,"Under 25",IF(EmployeeData[[#This Row],[Age]]&lt;=34,"25-34",IF(EmployeeData[[#This Row],[Age]]&lt;=44,"35-44",IF(EmployeeData[[#This Row],[Age]]&lt;=54,"45-54","55+"))))</f>
        <v>35-44</v>
      </c>
      <c r="Z679">
        <f ca="1">DATEDIF(EmployeeData[[#This Row],[DateOfJoining]],IF(AND(EmployeeData[[#This Row],[Attrition]]="Yes",EmployeeData[[#This Row],[LastWorkingDate]]&lt;&gt;""),EmployeeData[[#This Row],[LastWorkingDate]],TODAY()),"Y")</f>
        <v>1</v>
      </c>
      <c r="AA679" t="str">
        <f>IF(EmployeeData[[#This Row],[MonthlyIncome]]&lt;30000,"Low",IF(EmployeeData[[#This Row],[MonthlyIncome]]&lt;=60000,"Medium",IF(EmployeeData[[#This Row],[MonthlyIncome]]&lt;=100000,"High","Very High")))</f>
        <v>Very High</v>
      </c>
      <c r="AB679">
        <f>IF(EmployeeData[[#This Row],[Attrition]]="Yes",1,0)</f>
        <v>0</v>
      </c>
      <c r="AC679" t="str">
        <f ca="1">IF(EmployeeData[[#This Row],[Tenure Years]]&lt;1,"Less than 1 Year",IF(EmployeeData[[#This Row],[Tenure Years]]&lt;=3,"1-3 Years",IF(EmployeeData[[#This Row],[Tenure Years]]&lt;=5,"4-5 Years",IF(EmployeeData[[#This Row],[Tenure Years]]&lt;=10,"6-10 Years","More than 10 Years"))))</f>
        <v>1-3 Years</v>
      </c>
      <c r="AD679">
        <f>ROUND(AVERAGE(EmployeeData[[#This Row],[JobSatisfaction]],EmployeeData[[#This Row],[EnvironmentSatisfaction]],EmployeeData[[#This Row],[WorkLifeBalance]]),2)</f>
        <v>3.33</v>
      </c>
      <c r="AE679" t="str">
        <f>IF(EmployeeData[[#This Row],[Satisfaction Score]]&lt;2,"Low",IF(EmployeeData[[#This Row],[Satisfaction Score]]&lt;3,"Medium","High"))</f>
        <v>High</v>
      </c>
    </row>
    <row r="680" spans="1:31" x14ac:dyDescent="0.25">
      <c r="A680" t="s">
        <v>3214</v>
      </c>
      <c r="B680" t="s">
        <v>5459</v>
      </c>
      <c r="C680" t="s">
        <v>58</v>
      </c>
      <c r="D680">
        <v>32</v>
      </c>
      <c r="E680" t="s">
        <v>5461</v>
      </c>
      <c r="F680" t="s">
        <v>5463</v>
      </c>
      <c r="G680" s="1">
        <v>44486</v>
      </c>
      <c r="H680">
        <v>88202</v>
      </c>
      <c r="I680" t="s">
        <v>52</v>
      </c>
      <c r="J680" t="s">
        <v>143</v>
      </c>
      <c r="K680" t="s">
        <v>83</v>
      </c>
      <c r="L680" t="s">
        <v>5459</v>
      </c>
      <c r="M680">
        <v>21</v>
      </c>
      <c r="N680" t="s">
        <v>34</v>
      </c>
      <c r="O680">
        <v>2</v>
      </c>
      <c r="P680">
        <v>4</v>
      </c>
      <c r="Q680">
        <v>3</v>
      </c>
      <c r="R680">
        <v>3</v>
      </c>
      <c r="S680">
        <v>0</v>
      </c>
      <c r="T680">
        <v>5</v>
      </c>
      <c r="U680">
        <v>14</v>
      </c>
      <c r="V680" t="s">
        <v>3216</v>
      </c>
      <c r="W680" t="s">
        <v>34</v>
      </c>
      <c r="Y680" s="2" t="str">
        <f>IF(EmployeeData[[#This Row],[Age]]&lt;25,"Under 25",IF(EmployeeData[[#This Row],[Age]]&lt;=34,"25-34",IF(EmployeeData[[#This Row],[Age]]&lt;=44,"35-44",IF(EmployeeData[[#This Row],[Age]]&lt;=54,"45-54","55+"))))</f>
        <v>25-34</v>
      </c>
      <c r="Z680">
        <f ca="1">DATEDIF(EmployeeData[[#This Row],[DateOfJoining]],IF(AND(EmployeeData[[#This Row],[Attrition]]="Yes",EmployeeData[[#This Row],[LastWorkingDate]]&lt;&gt;""),EmployeeData[[#This Row],[LastWorkingDate]],TODAY()),"Y")</f>
        <v>4</v>
      </c>
      <c r="AA680" t="str">
        <f>IF(EmployeeData[[#This Row],[MonthlyIncome]]&lt;30000,"Low",IF(EmployeeData[[#This Row],[MonthlyIncome]]&lt;=60000,"Medium",IF(EmployeeData[[#This Row],[MonthlyIncome]]&lt;=100000,"High","Very High")))</f>
        <v>High</v>
      </c>
      <c r="AB680">
        <f>IF(EmployeeData[[#This Row],[Attrition]]="Yes",1,0)</f>
        <v>0</v>
      </c>
      <c r="AC680" t="str">
        <f ca="1">IF(EmployeeData[[#This Row],[Tenure Years]]&lt;1,"Less than 1 Year",IF(EmployeeData[[#This Row],[Tenure Years]]&lt;=3,"1-3 Years",IF(EmployeeData[[#This Row],[Tenure Years]]&lt;=5,"4-5 Years",IF(EmployeeData[[#This Row],[Tenure Years]]&lt;=10,"6-10 Years","More than 10 Years"))))</f>
        <v>4-5 Years</v>
      </c>
      <c r="AD680">
        <f>ROUND(AVERAGE(EmployeeData[[#This Row],[JobSatisfaction]],EmployeeData[[#This Row],[EnvironmentSatisfaction]],EmployeeData[[#This Row],[WorkLifeBalance]]),2)</f>
        <v>3</v>
      </c>
      <c r="AE680" t="str">
        <f>IF(EmployeeData[[#This Row],[Satisfaction Score]]&lt;2,"Low",IF(EmployeeData[[#This Row],[Satisfaction Score]]&lt;3,"Medium","High"))</f>
        <v>High</v>
      </c>
    </row>
    <row r="681" spans="1:31" x14ac:dyDescent="0.25">
      <c r="A681" t="s">
        <v>3217</v>
      </c>
      <c r="B681" t="s">
        <v>298</v>
      </c>
      <c r="C681" t="s">
        <v>58</v>
      </c>
      <c r="D681">
        <v>32</v>
      </c>
      <c r="E681" t="s">
        <v>27</v>
      </c>
      <c r="F681" t="s">
        <v>5459</v>
      </c>
      <c r="G681" s="1">
        <v>45921</v>
      </c>
      <c r="H681">
        <v>54222</v>
      </c>
      <c r="I681" t="s">
        <v>30</v>
      </c>
      <c r="J681" t="s">
        <v>53</v>
      </c>
      <c r="K681" t="s">
        <v>200</v>
      </c>
      <c r="L681" t="s">
        <v>33</v>
      </c>
      <c r="M681">
        <v>5</v>
      </c>
      <c r="N681" t="s">
        <v>34</v>
      </c>
      <c r="O681">
        <v>2</v>
      </c>
      <c r="P681">
        <v>3</v>
      </c>
      <c r="Q681">
        <v>2</v>
      </c>
      <c r="R681">
        <v>3</v>
      </c>
      <c r="S681">
        <v>4</v>
      </c>
      <c r="T681">
        <v>4</v>
      </c>
      <c r="U681">
        <v>11</v>
      </c>
      <c r="V681" t="s">
        <v>3220</v>
      </c>
      <c r="W681" t="s">
        <v>45</v>
      </c>
      <c r="X681" s="1">
        <v>45975</v>
      </c>
      <c r="Y681" s="2" t="str">
        <f>IF(EmployeeData[[#This Row],[Age]]&lt;25,"Under 25",IF(EmployeeData[[#This Row],[Age]]&lt;=34,"25-34",IF(EmployeeData[[#This Row],[Age]]&lt;=44,"35-44",IF(EmployeeData[[#This Row],[Age]]&lt;=54,"45-54","55+"))))</f>
        <v>25-34</v>
      </c>
      <c r="Z681">
        <f ca="1">DATEDIF(EmployeeData[[#This Row],[DateOfJoining]],IF(AND(EmployeeData[[#This Row],[Attrition]]="Yes",EmployeeData[[#This Row],[LastWorkingDate]]&lt;&gt;""),EmployeeData[[#This Row],[LastWorkingDate]],TODAY()),"Y")</f>
        <v>0</v>
      </c>
      <c r="AA681" t="str">
        <f>IF(EmployeeData[[#This Row],[MonthlyIncome]]&lt;30000,"Low",IF(EmployeeData[[#This Row],[MonthlyIncome]]&lt;=60000,"Medium",IF(EmployeeData[[#This Row],[MonthlyIncome]]&lt;=100000,"High","Very High")))</f>
        <v>Medium</v>
      </c>
      <c r="AB681">
        <f>IF(EmployeeData[[#This Row],[Attrition]]="Yes",1,0)</f>
        <v>1</v>
      </c>
      <c r="AC681" t="str">
        <f ca="1">IF(EmployeeData[[#This Row],[Tenure Years]]&lt;1,"Less than 1 Year",IF(EmployeeData[[#This Row],[Tenure Years]]&lt;=3,"1-3 Years",IF(EmployeeData[[#This Row],[Tenure Years]]&lt;=5,"4-5 Years",IF(EmployeeData[[#This Row],[Tenure Years]]&lt;=10,"6-10 Years","More than 10 Years"))))</f>
        <v>Less than 1 Year</v>
      </c>
      <c r="AD681">
        <f>ROUND(AVERAGE(EmployeeData[[#This Row],[JobSatisfaction]],EmployeeData[[#This Row],[EnvironmentSatisfaction]],EmployeeData[[#This Row],[WorkLifeBalance]]),2)</f>
        <v>2.33</v>
      </c>
      <c r="AE681" t="str">
        <f>IF(EmployeeData[[#This Row],[Satisfaction Score]]&lt;2,"Low",IF(EmployeeData[[#This Row],[Satisfaction Score]]&lt;3,"Medium","High"))</f>
        <v>Medium</v>
      </c>
    </row>
    <row r="682" spans="1:31" x14ac:dyDescent="0.25">
      <c r="A682" t="s">
        <v>3222</v>
      </c>
      <c r="B682" t="s">
        <v>3223</v>
      </c>
      <c r="C682" t="s">
        <v>49</v>
      </c>
      <c r="D682">
        <v>35</v>
      </c>
      <c r="E682" t="s">
        <v>128</v>
      </c>
      <c r="F682" t="s">
        <v>226</v>
      </c>
      <c r="G682" s="1">
        <v>42397</v>
      </c>
      <c r="H682">
        <v>102388</v>
      </c>
      <c r="I682" t="s">
        <v>42</v>
      </c>
      <c r="J682" t="s">
        <v>61</v>
      </c>
      <c r="K682" t="s">
        <v>77</v>
      </c>
      <c r="L682" t="s">
        <v>43</v>
      </c>
      <c r="M682">
        <v>33</v>
      </c>
      <c r="N682" t="s">
        <v>45</v>
      </c>
      <c r="O682">
        <v>2</v>
      </c>
      <c r="P682">
        <v>4</v>
      </c>
      <c r="Q682">
        <v>1</v>
      </c>
      <c r="R682">
        <v>4</v>
      </c>
      <c r="S682">
        <v>3</v>
      </c>
      <c r="T682">
        <v>0</v>
      </c>
      <c r="U682">
        <v>19</v>
      </c>
      <c r="V682" t="s">
        <v>3225</v>
      </c>
      <c r="W682" t="s">
        <v>45</v>
      </c>
      <c r="X682" s="1">
        <v>42889</v>
      </c>
      <c r="Y682" s="2" t="str">
        <f>IF(EmployeeData[[#This Row],[Age]]&lt;25,"Under 25",IF(EmployeeData[[#This Row],[Age]]&lt;=34,"25-34",IF(EmployeeData[[#This Row],[Age]]&lt;=44,"35-44",IF(EmployeeData[[#This Row],[Age]]&lt;=54,"45-54","55+"))))</f>
        <v>35-44</v>
      </c>
      <c r="Z682">
        <f ca="1">DATEDIF(EmployeeData[[#This Row],[DateOfJoining]],IF(AND(EmployeeData[[#This Row],[Attrition]]="Yes",EmployeeData[[#This Row],[LastWorkingDate]]&lt;&gt;""),EmployeeData[[#This Row],[LastWorkingDate]],TODAY()),"Y")</f>
        <v>1</v>
      </c>
      <c r="AA682" t="str">
        <f>IF(EmployeeData[[#This Row],[MonthlyIncome]]&lt;30000,"Low",IF(EmployeeData[[#This Row],[MonthlyIncome]]&lt;=60000,"Medium",IF(EmployeeData[[#This Row],[MonthlyIncome]]&lt;=100000,"High","Very High")))</f>
        <v>Very High</v>
      </c>
      <c r="AB682">
        <f>IF(EmployeeData[[#This Row],[Attrition]]="Yes",1,0)</f>
        <v>1</v>
      </c>
      <c r="AC682" t="str">
        <f ca="1">IF(EmployeeData[[#This Row],[Tenure Years]]&lt;1,"Less than 1 Year",IF(EmployeeData[[#This Row],[Tenure Years]]&lt;=3,"1-3 Years",IF(EmployeeData[[#This Row],[Tenure Years]]&lt;=5,"4-5 Years",IF(EmployeeData[[#This Row],[Tenure Years]]&lt;=10,"6-10 Years","More than 10 Years"))))</f>
        <v>1-3 Years</v>
      </c>
      <c r="AD682">
        <f>ROUND(AVERAGE(EmployeeData[[#This Row],[JobSatisfaction]],EmployeeData[[#This Row],[EnvironmentSatisfaction]],EmployeeData[[#This Row],[WorkLifeBalance]]),2)</f>
        <v>2.33</v>
      </c>
      <c r="AE682" t="str">
        <f>IF(EmployeeData[[#This Row],[Satisfaction Score]]&lt;2,"Low",IF(EmployeeData[[#This Row],[Satisfaction Score]]&lt;3,"Medium","High"))</f>
        <v>Medium</v>
      </c>
    </row>
    <row r="683" spans="1:31" x14ac:dyDescent="0.25">
      <c r="A683" t="s">
        <v>3227</v>
      </c>
      <c r="B683" t="s">
        <v>3228</v>
      </c>
      <c r="C683" t="s">
        <v>58</v>
      </c>
      <c r="D683">
        <v>28</v>
      </c>
      <c r="E683" t="s">
        <v>27</v>
      </c>
      <c r="F683" t="s">
        <v>59</v>
      </c>
      <c r="G683" s="1">
        <v>42987</v>
      </c>
      <c r="H683">
        <v>84295</v>
      </c>
      <c r="I683" t="s">
        <v>30</v>
      </c>
      <c r="J683" t="s">
        <v>31</v>
      </c>
      <c r="K683" t="s">
        <v>54</v>
      </c>
      <c r="L683" t="s">
        <v>33</v>
      </c>
      <c r="M683">
        <v>3</v>
      </c>
      <c r="N683" t="s">
        <v>45</v>
      </c>
      <c r="O683">
        <v>4</v>
      </c>
      <c r="P683">
        <v>1</v>
      </c>
      <c r="Q683">
        <v>4</v>
      </c>
      <c r="R683">
        <v>3</v>
      </c>
      <c r="S683">
        <v>0</v>
      </c>
      <c r="T683">
        <v>7</v>
      </c>
      <c r="U683">
        <v>23</v>
      </c>
      <c r="V683" t="s">
        <v>3230</v>
      </c>
      <c r="W683" t="s">
        <v>34</v>
      </c>
      <c r="Y683" s="2" t="str">
        <f>IF(EmployeeData[[#This Row],[Age]]&lt;25,"Under 25",IF(EmployeeData[[#This Row],[Age]]&lt;=34,"25-34",IF(EmployeeData[[#This Row],[Age]]&lt;=44,"35-44",IF(EmployeeData[[#This Row],[Age]]&lt;=54,"45-54","55+"))))</f>
        <v>25-34</v>
      </c>
      <c r="Z683">
        <f ca="1">DATEDIF(EmployeeData[[#This Row],[DateOfJoining]],IF(AND(EmployeeData[[#This Row],[Attrition]]="Yes",EmployeeData[[#This Row],[LastWorkingDate]]&lt;&gt;""),EmployeeData[[#This Row],[LastWorkingDate]],TODAY()),"Y")</f>
        <v>8</v>
      </c>
      <c r="AA683" t="str">
        <f>IF(EmployeeData[[#This Row],[MonthlyIncome]]&lt;30000,"Low",IF(EmployeeData[[#This Row],[MonthlyIncome]]&lt;=60000,"Medium",IF(EmployeeData[[#This Row],[MonthlyIncome]]&lt;=100000,"High","Very High")))</f>
        <v>High</v>
      </c>
      <c r="AB683">
        <f>IF(EmployeeData[[#This Row],[Attrition]]="Yes",1,0)</f>
        <v>0</v>
      </c>
      <c r="AC683" t="str">
        <f ca="1">IF(EmployeeData[[#This Row],[Tenure Years]]&lt;1,"Less than 1 Year",IF(EmployeeData[[#This Row],[Tenure Years]]&lt;=3,"1-3 Years",IF(EmployeeData[[#This Row],[Tenure Years]]&lt;=5,"4-5 Years",IF(EmployeeData[[#This Row],[Tenure Years]]&lt;=10,"6-10 Years","More than 10 Years"))))</f>
        <v>6-10 Years</v>
      </c>
      <c r="AD683">
        <f>ROUND(AVERAGE(EmployeeData[[#This Row],[JobSatisfaction]],EmployeeData[[#This Row],[EnvironmentSatisfaction]],EmployeeData[[#This Row],[WorkLifeBalance]]),2)</f>
        <v>3</v>
      </c>
      <c r="AE683" t="str">
        <f>IF(EmployeeData[[#This Row],[Satisfaction Score]]&lt;2,"Low",IF(EmployeeData[[#This Row],[Satisfaction Score]]&lt;3,"Medium","High"))</f>
        <v>High</v>
      </c>
    </row>
    <row r="684" spans="1:31" x14ac:dyDescent="0.25">
      <c r="A684" t="s">
        <v>3231</v>
      </c>
      <c r="B684" t="s">
        <v>3232</v>
      </c>
      <c r="C684" t="s">
        <v>49</v>
      </c>
      <c r="D684">
        <v>25</v>
      </c>
      <c r="E684" t="s">
        <v>27</v>
      </c>
      <c r="F684" t="s">
        <v>75</v>
      </c>
      <c r="G684" s="1">
        <v>45883</v>
      </c>
      <c r="H684">
        <v>45064</v>
      </c>
      <c r="I684" t="s">
        <v>52</v>
      </c>
      <c r="J684" t="s">
        <v>31</v>
      </c>
      <c r="K684" t="s">
        <v>83</v>
      </c>
      <c r="L684" t="s">
        <v>62</v>
      </c>
      <c r="M684">
        <v>34</v>
      </c>
      <c r="N684" t="s">
        <v>45</v>
      </c>
      <c r="O684">
        <v>3</v>
      </c>
      <c r="P684">
        <v>3</v>
      </c>
      <c r="Q684">
        <v>1</v>
      </c>
      <c r="R684">
        <v>4</v>
      </c>
      <c r="S684">
        <v>1</v>
      </c>
      <c r="T684">
        <v>0</v>
      </c>
      <c r="U684">
        <v>20</v>
      </c>
      <c r="V684" t="s">
        <v>3234</v>
      </c>
      <c r="W684" t="s">
        <v>45</v>
      </c>
      <c r="X684" s="1">
        <v>46124</v>
      </c>
      <c r="Y684" s="2" t="str">
        <f>IF(EmployeeData[[#This Row],[Age]]&lt;25,"Under 25",IF(EmployeeData[[#This Row],[Age]]&lt;=34,"25-34",IF(EmployeeData[[#This Row],[Age]]&lt;=44,"35-44",IF(EmployeeData[[#This Row],[Age]]&lt;=54,"45-54","55+"))))</f>
        <v>25-34</v>
      </c>
      <c r="Z684">
        <f ca="1">DATEDIF(EmployeeData[[#This Row],[DateOfJoining]],IF(AND(EmployeeData[[#This Row],[Attrition]]="Yes",EmployeeData[[#This Row],[LastWorkingDate]]&lt;&gt;""),EmployeeData[[#This Row],[LastWorkingDate]],TODAY()),"Y")</f>
        <v>0</v>
      </c>
      <c r="AA684" t="str">
        <f>IF(EmployeeData[[#This Row],[MonthlyIncome]]&lt;30000,"Low",IF(EmployeeData[[#This Row],[MonthlyIncome]]&lt;=60000,"Medium",IF(EmployeeData[[#This Row],[MonthlyIncome]]&lt;=100000,"High","Very High")))</f>
        <v>Medium</v>
      </c>
      <c r="AB684">
        <f>IF(EmployeeData[[#This Row],[Attrition]]="Yes",1,0)</f>
        <v>1</v>
      </c>
      <c r="AC684" t="str">
        <f ca="1">IF(EmployeeData[[#This Row],[Tenure Years]]&lt;1,"Less than 1 Year",IF(EmployeeData[[#This Row],[Tenure Years]]&lt;=3,"1-3 Years",IF(EmployeeData[[#This Row],[Tenure Years]]&lt;=5,"4-5 Years",IF(EmployeeData[[#This Row],[Tenure Years]]&lt;=10,"6-10 Years","More than 10 Years"))))</f>
        <v>Less than 1 Year</v>
      </c>
      <c r="AD684">
        <f>ROUND(AVERAGE(EmployeeData[[#This Row],[JobSatisfaction]],EmployeeData[[#This Row],[EnvironmentSatisfaction]],EmployeeData[[#This Row],[WorkLifeBalance]]),2)</f>
        <v>2.33</v>
      </c>
      <c r="AE684" t="str">
        <f>IF(EmployeeData[[#This Row],[Satisfaction Score]]&lt;2,"Low",IF(EmployeeData[[#This Row],[Satisfaction Score]]&lt;3,"Medium","High"))</f>
        <v>Medium</v>
      </c>
    </row>
    <row r="685" spans="1:31" x14ac:dyDescent="0.25">
      <c r="A685" t="s">
        <v>3236</v>
      </c>
      <c r="B685" t="s">
        <v>3237</v>
      </c>
      <c r="C685" t="s">
        <v>49</v>
      </c>
      <c r="D685">
        <v>37</v>
      </c>
      <c r="E685" t="s">
        <v>94</v>
      </c>
      <c r="F685" t="s">
        <v>266</v>
      </c>
      <c r="G685" s="1">
        <v>44236</v>
      </c>
      <c r="H685">
        <v>73116</v>
      </c>
      <c r="I685" t="s">
        <v>52</v>
      </c>
      <c r="J685" t="s">
        <v>61</v>
      </c>
      <c r="K685" t="s">
        <v>83</v>
      </c>
      <c r="L685" t="s">
        <v>33</v>
      </c>
      <c r="M685">
        <v>21</v>
      </c>
      <c r="N685" t="s">
        <v>34</v>
      </c>
      <c r="O685">
        <v>4</v>
      </c>
      <c r="P685">
        <v>3</v>
      </c>
      <c r="Q685">
        <v>3</v>
      </c>
      <c r="R685">
        <v>4</v>
      </c>
      <c r="S685">
        <v>4</v>
      </c>
      <c r="T685">
        <v>1</v>
      </c>
      <c r="U685">
        <v>18</v>
      </c>
      <c r="V685" t="s">
        <v>3239</v>
      </c>
      <c r="W685" t="s">
        <v>34</v>
      </c>
      <c r="Y685" s="2" t="str">
        <f>IF(EmployeeData[[#This Row],[Age]]&lt;25,"Under 25",IF(EmployeeData[[#This Row],[Age]]&lt;=34,"25-34",IF(EmployeeData[[#This Row],[Age]]&lt;=44,"35-44",IF(EmployeeData[[#This Row],[Age]]&lt;=54,"45-54","55+"))))</f>
        <v>35-44</v>
      </c>
      <c r="Z685">
        <f ca="1">DATEDIF(EmployeeData[[#This Row],[DateOfJoining]],IF(AND(EmployeeData[[#This Row],[Attrition]]="Yes",EmployeeData[[#This Row],[LastWorkingDate]]&lt;&gt;""),EmployeeData[[#This Row],[LastWorkingDate]],TODAY()),"Y")</f>
        <v>5</v>
      </c>
      <c r="AA685" t="str">
        <f>IF(EmployeeData[[#This Row],[MonthlyIncome]]&lt;30000,"Low",IF(EmployeeData[[#This Row],[MonthlyIncome]]&lt;=60000,"Medium",IF(EmployeeData[[#This Row],[MonthlyIncome]]&lt;=100000,"High","Very High")))</f>
        <v>High</v>
      </c>
      <c r="AB685">
        <f>IF(EmployeeData[[#This Row],[Attrition]]="Yes",1,0)</f>
        <v>0</v>
      </c>
      <c r="AC685" t="str">
        <f ca="1">IF(EmployeeData[[#This Row],[Tenure Years]]&lt;1,"Less than 1 Year",IF(EmployeeData[[#This Row],[Tenure Years]]&lt;=3,"1-3 Years",IF(EmployeeData[[#This Row],[Tenure Years]]&lt;=5,"4-5 Years",IF(EmployeeData[[#This Row],[Tenure Years]]&lt;=10,"6-10 Years","More than 10 Years"))))</f>
        <v>4-5 Years</v>
      </c>
      <c r="AD685">
        <f>ROUND(AVERAGE(EmployeeData[[#This Row],[JobSatisfaction]],EmployeeData[[#This Row],[EnvironmentSatisfaction]],EmployeeData[[#This Row],[WorkLifeBalance]]),2)</f>
        <v>3.33</v>
      </c>
      <c r="AE685" t="str">
        <f>IF(EmployeeData[[#This Row],[Satisfaction Score]]&lt;2,"Low",IF(EmployeeData[[#This Row],[Satisfaction Score]]&lt;3,"Medium","High"))</f>
        <v>High</v>
      </c>
    </row>
    <row r="686" spans="1:31" x14ac:dyDescent="0.25">
      <c r="A686" t="s">
        <v>3240</v>
      </c>
      <c r="B686" t="s">
        <v>3241</v>
      </c>
      <c r="C686" t="s">
        <v>49</v>
      </c>
      <c r="D686">
        <v>31</v>
      </c>
      <c r="E686" t="s">
        <v>5461</v>
      </c>
      <c r="F686" t="s">
        <v>483</v>
      </c>
      <c r="G686" s="1">
        <v>41570</v>
      </c>
      <c r="H686">
        <v>85135</v>
      </c>
      <c r="I686" t="s">
        <v>52</v>
      </c>
      <c r="J686" t="s">
        <v>31</v>
      </c>
      <c r="K686" t="s">
        <v>200</v>
      </c>
      <c r="L686" t="s">
        <v>62</v>
      </c>
      <c r="M686">
        <v>11</v>
      </c>
      <c r="N686" t="s">
        <v>34</v>
      </c>
      <c r="O686">
        <v>1</v>
      </c>
      <c r="P686">
        <v>1</v>
      </c>
      <c r="Q686">
        <v>4</v>
      </c>
      <c r="R686">
        <v>3</v>
      </c>
      <c r="S686">
        <v>1</v>
      </c>
      <c r="T686">
        <v>0</v>
      </c>
      <c r="U686">
        <v>16</v>
      </c>
      <c r="V686" t="s">
        <v>5459</v>
      </c>
      <c r="W686" t="s">
        <v>34</v>
      </c>
      <c r="Y686" s="2" t="str">
        <f>IF(EmployeeData[[#This Row],[Age]]&lt;25,"Under 25",IF(EmployeeData[[#This Row],[Age]]&lt;=34,"25-34",IF(EmployeeData[[#This Row],[Age]]&lt;=44,"35-44",IF(EmployeeData[[#This Row],[Age]]&lt;=54,"45-54","55+"))))</f>
        <v>25-34</v>
      </c>
      <c r="Z686">
        <f ca="1">DATEDIF(EmployeeData[[#This Row],[DateOfJoining]],IF(AND(EmployeeData[[#This Row],[Attrition]]="Yes",EmployeeData[[#This Row],[LastWorkingDate]]&lt;&gt;""),EmployeeData[[#This Row],[LastWorkingDate]],TODAY()),"Y")</f>
        <v>12</v>
      </c>
      <c r="AA686" t="str">
        <f>IF(EmployeeData[[#This Row],[MonthlyIncome]]&lt;30000,"Low",IF(EmployeeData[[#This Row],[MonthlyIncome]]&lt;=60000,"Medium",IF(EmployeeData[[#This Row],[MonthlyIncome]]&lt;=100000,"High","Very High")))</f>
        <v>High</v>
      </c>
      <c r="AB686">
        <f>IF(EmployeeData[[#This Row],[Attrition]]="Yes",1,0)</f>
        <v>0</v>
      </c>
      <c r="AC686" t="str">
        <f ca="1">IF(EmployeeData[[#This Row],[Tenure Years]]&lt;1,"Less than 1 Year",IF(EmployeeData[[#This Row],[Tenure Years]]&lt;=3,"1-3 Years",IF(EmployeeData[[#This Row],[Tenure Years]]&lt;=5,"4-5 Years",IF(EmployeeData[[#This Row],[Tenure Years]]&lt;=10,"6-10 Years","More than 10 Years"))))</f>
        <v>More than 10 Years</v>
      </c>
      <c r="AD686">
        <f>ROUND(AVERAGE(EmployeeData[[#This Row],[JobSatisfaction]],EmployeeData[[#This Row],[EnvironmentSatisfaction]],EmployeeData[[#This Row],[WorkLifeBalance]]),2)</f>
        <v>2</v>
      </c>
      <c r="AE686" t="str">
        <f>IF(EmployeeData[[#This Row],[Satisfaction Score]]&lt;2,"Low",IF(EmployeeData[[#This Row],[Satisfaction Score]]&lt;3,"Medium","High"))</f>
        <v>Medium</v>
      </c>
    </row>
    <row r="687" spans="1:31" x14ac:dyDescent="0.25">
      <c r="A687" t="s">
        <v>3243</v>
      </c>
      <c r="B687" t="s">
        <v>3244</v>
      </c>
      <c r="C687" t="s">
        <v>49</v>
      </c>
      <c r="D687">
        <v>30</v>
      </c>
      <c r="E687" t="s">
        <v>27</v>
      </c>
      <c r="F687" t="s">
        <v>75</v>
      </c>
      <c r="G687" s="1">
        <v>43432</v>
      </c>
      <c r="H687">
        <v>93720</v>
      </c>
      <c r="I687" t="s">
        <v>52</v>
      </c>
      <c r="J687" t="s">
        <v>31</v>
      </c>
      <c r="K687" t="s">
        <v>131</v>
      </c>
      <c r="L687" t="s">
        <v>62</v>
      </c>
      <c r="M687">
        <v>36</v>
      </c>
      <c r="N687" t="s">
        <v>34</v>
      </c>
      <c r="O687">
        <v>1</v>
      </c>
      <c r="P687">
        <v>3</v>
      </c>
      <c r="Q687">
        <v>1</v>
      </c>
      <c r="R687">
        <v>3</v>
      </c>
      <c r="S687">
        <v>2</v>
      </c>
      <c r="T687">
        <v>4</v>
      </c>
      <c r="U687">
        <v>14</v>
      </c>
      <c r="V687" t="s">
        <v>3247</v>
      </c>
      <c r="W687" t="s">
        <v>45</v>
      </c>
      <c r="X687" s="1">
        <v>44684</v>
      </c>
      <c r="Y687" s="2" t="str">
        <f>IF(EmployeeData[[#This Row],[Age]]&lt;25,"Under 25",IF(EmployeeData[[#This Row],[Age]]&lt;=34,"25-34",IF(EmployeeData[[#This Row],[Age]]&lt;=44,"35-44",IF(EmployeeData[[#This Row],[Age]]&lt;=54,"45-54","55+"))))</f>
        <v>25-34</v>
      </c>
      <c r="Z687">
        <f ca="1">DATEDIF(EmployeeData[[#This Row],[DateOfJoining]],IF(AND(EmployeeData[[#This Row],[Attrition]]="Yes",EmployeeData[[#This Row],[LastWorkingDate]]&lt;&gt;""),EmployeeData[[#This Row],[LastWorkingDate]],TODAY()),"Y")</f>
        <v>3</v>
      </c>
      <c r="AA687" t="str">
        <f>IF(EmployeeData[[#This Row],[MonthlyIncome]]&lt;30000,"Low",IF(EmployeeData[[#This Row],[MonthlyIncome]]&lt;=60000,"Medium",IF(EmployeeData[[#This Row],[MonthlyIncome]]&lt;=100000,"High","Very High")))</f>
        <v>High</v>
      </c>
      <c r="AB687">
        <f>IF(EmployeeData[[#This Row],[Attrition]]="Yes",1,0)</f>
        <v>1</v>
      </c>
      <c r="AC687" t="str">
        <f ca="1">IF(EmployeeData[[#This Row],[Tenure Years]]&lt;1,"Less than 1 Year",IF(EmployeeData[[#This Row],[Tenure Years]]&lt;=3,"1-3 Years",IF(EmployeeData[[#This Row],[Tenure Years]]&lt;=5,"4-5 Years",IF(EmployeeData[[#This Row],[Tenure Years]]&lt;=10,"6-10 Years","More than 10 Years"))))</f>
        <v>1-3 Years</v>
      </c>
      <c r="AD687">
        <f>ROUND(AVERAGE(EmployeeData[[#This Row],[JobSatisfaction]],EmployeeData[[#This Row],[EnvironmentSatisfaction]],EmployeeData[[#This Row],[WorkLifeBalance]]),2)</f>
        <v>1.67</v>
      </c>
      <c r="AE687" t="str">
        <f>IF(EmployeeData[[#This Row],[Satisfaction Score]]&lt;2,"Low",IF(EmployeeData[[#This Row],[Satisfaction Score]]&lt;3,"Medium","High"))</f>
        <v>Low</v>
      </c>
    </row>
    <row r="688" spans="1:31" x14ac:dyDescent="0.25">
      <c r="A688" t="s">
        <v>3249</v>
      </c>
      <c r="B688" t="s">
        <v>5459</v>
      </c>
      <c r="C688" t="s">
        <v>58</v>
      </c>
      <c r="D688">
        <v>52</v>
      </c>
      <c r="E688" t="s">
        <v>197</v>
      </c>
      <c r="F688" t="s">
        <v>235</v>
      </c>
      <c r="G688" s="1">
        <v>45182</v>
      </c>
      <c r="H688">
        <v>103384</v>
      </c>
      <c r="I688" t="s">
        <v>42</v>
      </c>
      <c r="J688" t="s">
        <v>53</v>
      </c>
      <c r="K688" t="s">
        <v>83</v>
      </c>
      <c r="L688" t="s">
        <v>33</v>
      </c>
      <c r="M688">
        <v>28</v>
      </c>
      <c r="N688" t="s">
        <v>34</v>
      </c>
      <c r="O688">
        <v>1</v>
      </c>
      <c r="P688">
        <v>2</v>
      </c>
      <c r="Q688">
        <v>4</v>
      </c>
      <c r="R688">
        <v>3</v>
      </c>
      <c r="S688">
        <v>2</v>
      </c>
      <c r="T688">
        <v>5</v>
      </c>
      <c r="U688">
        <v>24</v>
      </c>
      <c r="V688" t="s">
        <v>3251</v>
      </c>
      <c r="W688" t="s">
        <v>34</v>
      </c>
      <c r="Y688" s="2" t="str">
        <f>IF(EmployeeData[[#This Row],[Age]]&lt;25,"Under 25",IF(EmployeeData[[#This Row],[Age]]&lt;=34,"25-34",IF(EmployeeData[[#This Row],[Age]]&lt;=44,"35-44",IF(EmployeeData[[#This Row],[Age]]&lt;=54,"45-54","55+"))))</f>
        <v>45-54</v>
      </c>
      <c r="Z688">
        <f ca="1">DATEDIF(EmployeeData[[#This Row],[DateOfJoining]],IF(AND(EmployeeData[[#This Row],[Attrition]]="Yes",EmployeeData[[#This Row],[LastWorkingDate]]&lt;&gt;""),EmployeeData[[#This Row],[LastWorkingDate]],TODAY()),"Y")</f>
        <v>2</v>
      </c>
      <c r="AA688" t="str">
        <f>IF(EmployeeData[[#This Row],[MonthlyIncome]]&lt;30000,"Low",IF(EmployeeData[[#This Row],[MonthlyIncome]]&lt;=60000,"Medium",IF(EmployeeData[[#This Row],[MonthlyIncome]]&lt;=100000,"High","Very High")))</f>
        <v>Very High</v>
      </c>
      <c r="AB688">
        <f>IF(EmployeeData[[#This Row],[Attrition]]="Yes",1,0)</f>
        <v>0</v>
      </c>
      <c r="AC688" t="str">
        <f ca="1">IF(EmployeeData[[#This Row],[Tenure Years]]&lt;1,"Less than 1 Year",IF(EmployeeData[[#This Row],[Tenure Years]]&lt;=3,"1-3 Years",IF(EmployeeData[[#This Row],[Tenure Years]]&lt;=5,"4-5 Years",IF(EmployeeData[[#This Row],[Tenure Years]]&lt;=10,"6-10 Years","More than 10 Years"))))</f>
        <v>1-3 Years</v>
      </c>
      <c r="AD688">
        <f>ROUND(AVERAGE(EmployeeData[[#This Row],[JobSatisfaction]],EmployeeData[[#This Row],[EnvironmentSatisfaction]],EmployeeData[[#This Row],[WorkLifeBalance]]),2)</f>
        <v>2.33</v>
      </c>
      <c r="AE688" t="str">
        <f>IF(EmployeeData[[#This Row],[Satisfaction Score]]&lt;2,"Low",IF(EmployeeData[[#This Row],[Satisfaction Score]]&lt;3,"Medium","High"))</f>
        <v>Medium</v>
      </c>
    </row>
    <row r="689" spans="1:31" x14ac:dyDescent="0.25">
      <c r="A689" t="s">
        <v>3252</v>
      </c>
      <c r="B689" t="s">
        <v>3253</v>
      </c>
      <c r="C689" t="s">
        <v>58</v>
      </c>
      <c r="D689">
        <v>34</v>
      </c>
      <c r="E689" t="s">
        <v>128</v>
      </c>
      <c r="F689" t="s">
        <v>271</v>
      </c>
      <c r="G689" s="1">
        <v>40834</v>
      </c>
      <c r="H689">
        <v>72882</v>
      </c>
      <c r="I689" t="s">
        <v>30</v>
      </c>
      <c r="J689" t="s">
        <v>97</v>
      </c>
      <c r="K689" t="s">
        <v>32</v>
      </c>
      <c r="L689" t="s">
        <v>43</v>
      </c>
      <c r="M689">
        <v>2</v>
      </c>
      <c r="N689" t="s">
        <v>34</v>
      </c>
      <c r="O689">
        <v>3</v>
      </c>
      <c r="P689">
        <v>3</v>
      </c>
      <c r="Q689">
        <v>4</v>
      </c>
      <c r="R689">
        <v>3</v>
      </c>
      <c r="S689">
        <v>6</v>
      </c>
      <c r="T689">
        <v>6</v>
      </c>
      <c r="U689">
        <v>24</v>
      </c>
      <c r="V689" t="s">
        <v>3255</v>
      </c>
      <c r="W689" t="s">
        <v>34</v>
      </c>
      <c r="Y689" s="2" t="str">
        <f>IF(EmployeeData[[#This Row],[Age]]&lt;25,"Under 25",IF(EmployeeData[[#This Row],[Age]]&lt;=34,"25-34",IF(EmployeeData[[#This Row],[Age]]&lt;=44,"35-44",IF(EmployeeData[[#This Row],[Age]]&lt;=54,"45-54","55+"))))</f>
        <v>25-34</v>
      </c>
      <c r="Z689">
        <f ca="1">DATEDIF(EmployeeData[[#This Row],[DateOfJoining]],IF(AND(EmployeeData[[#This Row],[Attrition]]="Yes",EmployeeData[[#This Row],[LastWorkingDate]]&lt;&gt;""),EmployeeData[[#This Row],[LastWorkingDate]],TODAY()),"Y")</f>
        <v>14</v>
      </c>
      <c r="AA689" t="str">
        <f>IF(EmployeeData[[#This Row],[MonthlyIncome]]&lt;30000,"Low",IF(EmployeeData[[#This Row],[MonthlyIncome]]&lt;=60000,"Medium",IF(EmployeeData[[#This Row],[MonthlyIncome]]&lt;=100000,"High","Very High")))</f>
        <v>High</v>
      </c>
      <c r="AB689">
        <f>IF(EmployeeData[[#This Row],[Attrition]]="Yes",1,0)</f>
        <v>0</v>
      </c>
      <c r="AC689" t="str">
        <f ca="1">IF(EmployeeData[[#This Row],[Tenure Years]]&lt;1,"Less than 1 Year",IF(EmployeeData[[#This Row],[Tenure Years]]&lt;=3,"1-3 Years",IF(EmployeeData[[#This Row],[Tenure Years]]&lt;=5,"4-5 Years",IF(EmployeeData[[#This Row],[Tenure Years]]&lt;=10,"6-10 Years","More than 10 Years"))))</f>
        <v>More than 10 Years</v>
      </c>
      <c r="AD689">
        <f>ROUND(AVERAGE(EmployeeData[[#This Row],[JobSatisfaction]],EmployeeData[[#This Row],[EnvironmentSatisfaction]],EmployeeData[[#This Row],[WorkLifeBalance]]),2)</f>
        <v>3.33</v>
      </c>
      <c r="AE689" t="str">
        <f>IF(EmployeeData[[#This Row],[Satisfaction Score]]&lt;2,"Low",IF(EmployeeData[[#This Row],[Satisfaction Score]]&lt;3,"Medium","High"))</f>
        <v>High</v>
      </c>
    </row>
    <row r="690" spans="1:31" x14ac:dyDescent="0.25">
      <c r="A690" t="s">
        <v>3256</v>
      </c>
      <c r="B690" t="s">
        <v>3257</v>
      </c>
      <c r="C690" t="s">
        <v>49</v>
      </c>
      <c r="D690">
        <v>24</v>
      </c>
      <c r="E690" t="s">
        <v>27</v>
      </c>
      <c r="F690" t="s">
        <v>59</v>
      </c>
      <c r="G690" s="1">
        <v>43058</v>
      </c>
      <c r="H690">
        <v>50192</v>
      </c>
      <c r="I690" t="s">
        <v>30</v>
      </c>
      <c r="J690" t="s">
        <v>61</v>
      </c>
      <c r="K690" t="s">
        <v>113</v>
      </c>
      <c r="L690" t="s">
        <v>62</v>
      </c>
      <c r="M690">
        <v>2</v>
      </c>
      <c r="N690" t="s">
        <v>45</v>
      </c>
      <c r="O690">
        <v>3</v>
      </c>
      <c r="P690">
        <v>1</v>
      </c>
      <c r="Q690">
        <v>3</v>
      </c>
      <c r="R690">
        <v>4</v>
      </c>
      <c r="S690">
        <v>4</v>
      </c>
      <c r="T690">
        <v>4</v>
      </c>
      <c r="U690">
        <v>19</v>
      </c>
      <c r="V690" t="s">
        <v>5459</v>
      </c>
      <c r="W690" t="s">
        <v>34</v>
      </c>
      <c r="Y690" s="2" t="str">
        <f>IF(EmployeeData[[#This Row],[Age]]&lt;25,"Under 25",IF(EmployeeData[[#This Row],[Age]]&lt;=34,"25-34",IF(EmployeeData[[#This Row],[Age]]&lt;=44,"35-44",IF(EmployeeData[[#This Row],[Age]]&lt;=54,"45-54","55+"))))</f>
        <v>Under 25</v>
      </c>
      <c r="Z690">
        <f ca="1">DATEDIF(EmployeeData[[#This Row],[DateOfJoining]],IF(AND(EmployeeData[[#This Row],[Attrition]]="Yes",EmployeeData[[#This Row],[LastWorkingDate]]&lt;&gt;""),EmployeeData[[#This Row],[LastWorkingDate]],TODAY()),"Y")</f>
        <v>8</v>
      </c>
      <c r="AA690" t="str">
        <f>IF(EmployeeData[[#This Row],[MonthlyIncome]]&lt;30000,"Low",IF(EmployeeData[[#This Row],[MonthlyIncome]]&lt;=60000,"Medium",IF(EmployeeData[[#This Row],[MonthlyIncome]]&lt;=100000,"High","Very High")))</f>
        <v>Medium</v>
      </c>
      <c r="AB690">
        <f>IF(EmployeeData[[#This Row],[Attrition]]="Yes",1,0)</f>
        <v>0</v>
      </c>
      <c r="AC690" t="str">
        <f ca="1">IF(EmployeeData[[#This Row],[Tenure Years]]&lt;1,"Less than 1 Year",IF(EmployeeData[[#This Row],[Tenure Years]]&lt;=3,"1-3 Years",IF(EmployeeData[[#This Row],[Tenure Years]]&lt;=5,"4-5 Years",IF(EmployeeData[[#This Row],[Tenure Years]]&lt;=10,"6-10 Years","More than 10 Years"))))</f>
        <v>6-10 Years</v>
      </c>
      <c r="AD690">
        <f>ROUND(AVERAGE(EmployeeData[[#This Row],[JobSatisfaction]],EmployeeData[[#This Row],[EnvironmentSatisfaction]],EmployeeData[[#This Row],[WorkLifeBalance]]),2)</f>
        <v>2.33</v>
      </c>
      <c r="AE690" t="str">
        <f>IF(EmployeeData[[#This Row],[Satisfaction Score]]&lt;2,"Low",IF(EmployeeData[[#This Row],[Satisfaction Score]]&lt;3,"Medium","High"))</f>
        <v>Medium</v>
      </c>
    </row>
    <row r="691" spans="1:31" x14ac:dyDescent="0.25">
      <c r="A691" t="s">
        <v>3259</v>
      </c>
      <c r="B691" t="s">
        <v>3260</v>
      </c>
      <c r="C691" t="s">
        <v>58</v>
      </c>
      <c r="D691">
        <v>25</v>
      </c>
      <c r="E691" t="s">
        <v>27</v>
      </c>
      <c r="F691" t="s">
        <v>59</v>
      </c>
      <c r="G691" s="1">
        <v>43477</v>
      </c>
      <c r="H691">
        <v>88941</v>
      </c>
      <c r="I691" t="s">
        <v>52</v>
      </c>
      <c r="J691" t="s">
        <v>31</v>
      </c>
      <c r="K691" t="s">
        <v>54</v>
      </c>
      <c r="L691" t="s">
        <v>33</v>
      </c>
      <c r="M691">
        <v>20</v>
      </c>
      <c r="N691" t="s">
        <v>34</v>
      </c>
      <c r="O691">
        <v>1</v>
      </c>
      <c r="P691">
        <v>3</v>
      </c>
      <c r="Q691">
        <v>1</v>
      </c>
      <c r="R691">
        <v>3</v>
      </c>
      <c r="S691">
        <v>3</v>
      </c>
      <c r="T691">
        <v>7</v>
      </c>
      <c r="U691">
        <v>17</v>
      </c>
      <c r="V691" t="s">
        <v>3262</v>
      </c>
      <c r="W691" t="s">
        <v>45</v>
      </c>
      <c r="X691" s="1">
        <v>46093</v>
      </c>
      <c r="Y691" s="2" t="str">
        <f>IF(EmployeeData[[#This Row],[Age]]&lt;25,"Under 25",IF(EmployeeData[[#This Row],[Age]]&lt;=34,"25-34",IF(EmployeeData[[#This Row],[Age]]&lt;=44,"35-44",IF(EmployeeData[[#This Row],[Age]]&lt;=54,"45-54","55+"))))</f>
        <v>25-34</v>
      </c>
      <c r="Z691">
        <f ca="1">DATEDIF(EmployeeData[[#This Row],[DateOfJoining]],IF(AND(EmployeeData[[#This Row],[Attrition]]="Yes",EmployeeData[[#This Row],[LastWorkingDate]]&lt;&gt;""),EmployeeData[[#This Row],[LastWorkingDate]],TODAY()),"Y")</f>
        <v>7</v>
      </c>
      <c r="AA691" t="str">
        <f>IF(EmployeeData[[#This Row],[MonthlyIncome]]&lt;30000,"Low",IF(EmployeeData[[#This Row],[MonthlyIncome]]&lt;=60000,"Medium",IF(EmployeeData[[#This Row],[MonthlyIncome]]&lt;=100000,"High","Very High")))</f>
        <v>High</v>
      </c>
      <c r="AB691">
        <f>IF(EmployeeData[[#This Row],[Attrition]]="Yes",1,0)</f>
        <v>1</v>
      </c>
      <c r="AC691" t="str">
        <f ca="1">IF(EmployeeData[[#This Row],[Tenure Years]]&lt;1,"Less than 1 Year",IF(EmployeeData[[#This Row],[Tenure Years]]&lt;=3,"1-3 Years",IF(EmployeeData[[#This Row],[Tenure Years]]&lt;=5,"4-5 Years",IF(EmployeeData[[#This Row],[Tenure Years]]&lt;=10,"6-10 Years","More than 10 Years"))))</f>
        <v>6-10 Years</v>
      </c>
      <c r="AD691">
        <f>ROUND(AVERAGE(EmployeeData[[#This Row],[JobSatisfaction]],EmployeeData[[#This Row],[EnvironmentSatisfaction]],EmployeeData[[#This Row],[WorkLifeBalance]]),2)</f>
        <v>1.67</v>
      </c>
      <c r="AE691" t="str">
        <f>IF(EmployeeData[[#This Row],[Satisfaction Score]]&lt;2,"Low",IF(EmployeeData[[#This Row],[Satisfaction Score]]&lt;3,"Medium","High"))</f>
        <v>Low</v>
      </c>
    </row>
    <row r="692" spans="1:31" x14ac:dyDescent="0.25">
      <c r="A692" t="s">
        <v>3264</v>
      </c>
      <c r="B692" t="s">
        <v>3265</v>
      </c>
      <c r="C692" t="s">
        <v>49</v>
      </c>
      <c r="D692">
        <v>45</v>
      </c>
      <c r="E692" t="s">
        <v>128</v>
      </c>
      <c r="F692" t="s">
        <v>271</v>
      </c>
      <c r="G692" s="1">
        <v>44943</v>
      </c>
      <c r="H692">
        <v>60981</v>
      </c>
      <c r="I692" t="s">
        <v>30</v>
      </c>
      <c r="J692" t="s">
        <v>53</v>
      </c>
      <c r="K692" t="s">
        <v>77</v>
      </c>
      <c r="L692" t="s">
        <v>43</v>
      </c>
      <c r="M692">
        <v>26</v>
      </c>
      <c r="N692" t="s">
        <v>34</v>
      </c>
      <c r="O692">
        <v>1</v>
      </c>
      <c r="P692">
        <v>3</v>
      </c>
      <c r="Q692">
        <v>2</v>
      </c>
      <c r="R692">
        <v>4</v>
      </c>
      <c r="S692">
        <v>4</v>
      </c>
      <c r="T692">
        <v>8</v>
      </c>
      <c r="U692">
        <v>20</v>
      </c>
      <c r="V692" t="s">
        <v>3267</v>
      </c>
      <c r="W692" t="s">
        <v>45</v>
      </c>
      <c r="X692" s="1">
        <v>45185</v>
      </c>
      <c r="Y692" s="2" t="str">
        <f>IF(EmployeeData[[#This Row],[Age]]&lt;25,"Under 25",IF(EmployeeData[[#This Row],[Age]]&lt;=34,"25-34",IF(EmployeeData[[#This Row],[Age]]&lt;=44,"35-44",IF(EmployeeData[[#This Row],[Age]]&lt;=54,"45-54","55+"))))</f>
        <v>45-54</v>
      </c>
      <c r="Z692">
        <f ca="1">DATEDIF(EmployeeData[[#This Row],[DateOfJoining]],IF(AND(EmployeeData[[#This Row],[Attrition]]="Yes",EmployeeData[[#This Row],[LastWorkingDate]]&lt;&gt;""),EmployeeData[[#This Row],[LastWorkingDate]],TODAY()),"Y")</f>
        <v>0</v>
      </c>
      <c r="AA692" t="str">
        <f>IF(EmployeeData[[#This Row],[MonthlyIncome]]&lt;30000,"Low",IF(EmployeeData[[#This Row],[MonthlyIncome]]&lt;=60000,"Medium",IF(EmployeeData[[#This Row],[MonthlyIncome]]&lt;=100000,"High","Very High")))</f>
        <v>High</v>
      </c>
      <c r="AB692">
        <f>IF(EmployeeData[[#This Row],[Attrition]]="Yes",1,0)</f>
        <v>1</v>
      </c>
      <c r="AC692" t="str">
        <f ca="1">IF(EmployeeData[[#This Row],[Tenure Years]]&lt;1,"Less than 1 Year",IF(EmployeeData[[#This Row],[Tenure Years]]&lt;=3,"1-3 Years",IF(EmployeeData[[#This Row],[Tenure Years]]&lt;=5,"4-5 Years",IF(EmployeeData[[#This Row],[Tenure Years]]&lt;=10,"6-10 Years","More than 10 Years"))))</f>
        <v>Less than 1 Year</v>
      </c>
      <c r="AD692">
        <f>ROUND(AVERAGE(EmployeeData[[#This Row],[JobSatisfaction]],EmployeeData[[#This Row],[EnvironmentSatisfaction]],EmployeeData[[#This Row],[WorkLifeBalance]]),2)</f>
        <v>2</v>
      </c>
      <c r="AE692" t="str">
        <f>IF(EmployeeData[[#This Row],[Satisfaction Score]]&lt;2,"Low",IF(EmployeeData[[#This Row],[Satisfaction Score]]&lt;3,"Medium","High"))</f>
        <v>Medium</v>
      </c>
    </row>
    <row r="693" spans="1:31" x14ac:dyDescent="0.25">
      <c r="A693" t="s">
        <v>3269</v>
      </c>
      <c r="B693" t="s">
        <v>3270</v>
      </c>
      <c r="C693" t="s">
        <v>49</v>
      </c>
      <c r="D693">
        <v>42</v>
      </c>
      <c r="E693" t="s">
        <v>128</v>
      </c>
      <c r="F693" t="s">
        <v>271</v>
      </c>
      <c r="G693" s="1">
        <v>44411</v>
      </c>
      <c r="H693">
        <v>74120</v>
      </c>
      <c r="I693" t="s">
        <v>42</v>
      </c>
      <c r="J693" t="s">
        <v>53</v>
      </c>
      <c r="K693" t="s">
        <v>113</v>
      </c>
      <c r="L693" t="s">
        <v>62</v>
      </c>
      <c r="M693">
        <v>15</v>
      </c>
      <c r="N693" t="s">
        <v>34</v>
      </c>
      <c r="O693">
        <v>1</v>
      </c>
      <c r="P693">
        <v>2</v>
      </c>
      <c r="Q693">
        <v>3</v>
      </c>
      <c r="R693">
        <v>3</v>
      </c>
      <c r="S693">
        <v>0</v>
      </c>
      <c r="T693">
        <v>6</v>
      </c>
      <c r="U693">
        <v>22</v>
      </c>
      <c r="V693" t="s">
        <v>3272</v>
      </c>
      <c r="W693" t="s">
        <v>34</v>
      </c>
      <c r="Y693" s="2" t="str">
        <f>IF(EmployeeData[[#This Row],[Age]]&lt;25,"Under 25",IF(EmployeeData[[#This Row],[Age]]&lt;=34,"25-34",IF(EmployeeData[[#This Row],[Age]]&lt;=44,"35-44",IF(EmployeeData[[#This Row],[Age]]&lt;=54,"45-54","55+"))))</f>
        <v>35-44</v>
      </c>
      <c r="Z693">
        <f ca="1">DATEDIF(EmployeeData[[#This Row],[DateOfJoining]],IF(AND(EmployeeData[[#This Row],[Attrition]]="Yes",EmployeeData[[#This Row],[LastWorkingDate]]&lt;&gt;""),EmployeeData[[#This Row],[LastWorkingDate]],TODAY()),"Y")</f>
        <v>5</v>
      </c>
      <c r="AA693" t="str">
        <f>IF(EmployeeData[[#This Row],[MonthlyIncome]]&lt;30000,"Low",IF(EmployeeData[[#This Row],[MonthlyIncome]]&lt;=60000,"Medium",IF(EmployeeData[[#This Row],[MonthlyIncome]]&lt;=100000,"High","Very High")))</f>
        <v>High</v>
      </c>
      <c r="AB693">
        <f>IF(EmployeeData[[#This Row],[Attrition]]="Yes",1,0)</f>
        <v>0</v>
      </c>
      <c r="AC693" t="str">
        <f ca="1">IF(EmployeeData[[#This Row],[Tenure Years]]&lt;1,"Less than 1 Year",IF(EmployeeData[[#This Row],[Tenure Years]]&lt;=3,"1-3 Years",IF(EmployeeData[[#This Row],[Tenure Years]]&lt;=5,"4-5 Years",IF(EmployeeData[[#This Row],[Tenure Years]]&lt;=10,"6-10 Years","More than 10 Years"))))</f>
        <v>4-5 Years</v>
      </c>
      <c r="AD693">
        <f>ROUND(AVERAGE(EmployeeData[[#This Row],[JobSatisfaction]],EmployeeData[[#This Row],[EnvironmentSatisfaction]],EmployeeData[[#This Row],[WorkLifeBalance]]),2)</f>
        <v>2</v>
      </c>
      <c r="AE693" t="str">
        <f>IF(EmployeeData[[#This Row],[Satisfaction Score]]&lt;2,"Low",IF(EmployeeData[[#This Row],[Satisfaction Score]]&lt;3,"Medium","High"))</f>
        <v>Medium</v>
      </c>
    </row>
    <row r="694" spans="1:31" x14ac:dyDescent="0.25">
      <c r="A694" t="s">
        <v>3273</v>
      </c>
      <c r="B694" t="s">
        <v>3274</v>
      </c>
      <c r="C694" t="s">
        <v>49</v>
      </c>
      <c r="D694">
        <v>30</v>
      </c>
      <c r="E694" t="s">
        <v>27</v>
      </c>
      <c r="F694" t="s">
        <v>59</v>
      </c>
      <c r="G694" s="1">
        <v>43908</v>
      </c>
      <c r="H694">
        <v>111935</v>
      </c>
      <c r="I694" t="s">
        <v>30</v>
      </c>
      <c r="J694" t="s">
        <v>61</v>
      </c>
      <c r="K694" t="s">
        <v>98</v>
      </c>
      <c r="L694" t="s">
        <v>62</v>
      </c>
      <c r="M694">
        <v>26</v>
      </c>
      <c r="N694" t="s">
        <v>45</v>
      </c>
      <c r="O694">
        <v>2</v>
      </c>
      <c r="P694">
        <v>1</v>
      </c>
      <c r="Q694">
        <v>1</v>
      </c>
      <c r="R694">
        <v>3</v>
      </c>
      <c r="S694">
        <v>5</v>
      </c>
      <c r="T694">
        <v>7</v>
      </c>
      <c r="U694">
        <v>14</v>
      </c>
      <c r="V694" t="s">
        <v>3277</v>
      </c>
      <c r="W694" t="s">
        <v>45</v>
      </c>
      <c r="X694" s="1">
        <v>45257</v>
      </c>
      <c r="Y694" s="2" t="str">
        <f>IF(EmployeeData[[#This Row],[Age]]&lt;25,"Under 25",IF(EmployeeData[[#This Row],[Age]]&lt;=34,"25-34",IF(EmployeeData[[#This Row],[Age]]&lt;=44,"35-44",IF(EmployeeData[[#This Row],[Age]]&lt;=54,"45-54","55+"))))</f>
        <v>25-34</v>
      </c>
      <c r="Z694">
        <f ca="1">DATEDIF(EmployeeData[[#This Row],[DateOfJoining]],IF(AND(EmployeeData[[#This Row],[Attrition]]="Yes",EmployeeData[[#This Row],[LastWorkingDate]]&lt;&gt;""),EmployeeData[[#This Row],[LastWorkingDate]],TODAY()),"Y")</f>
        <v>3</v>
      </c>
      <c r="AA694" t="str">
        <f>IF(EmployeeData[[#This Row],[MonthlyIncome]]&lt;30000,"Low",IF(EmployeeData[[#This Row],[MonthlyIncome]]&lt;=60000,"Medium",IF(EmployeeData[[#This Row],[MonthlyIncome]]&lt;=100000,"High","Very High")))</f>
        <v>Very High</v>
      </c>
      <c r="AB694">
        <f>IF(EmployeeData[[#This Row],[Attrition]]="Yes",1,0)</f>
        <v>1</v>
      </c>
      <c r="AC694" t="str">
        <f ca="1">IF(EmployeeData[[#This Row],[Tenure Years]]&lt;1,"Less than 1 Year",IF(EmployeeData[[#This Row],[Tenure Years]]&lt;=3,"1-3 Years",IF(EmployeeData[[#This Row],[Tenure Years]]&lt;=5,"4-5 Years",IF(EmployeeData[[#This Row],[Tenure Years]]&lt;=10,"6-10 Years","More than 10 Years"))))</f>
        <v>1-3 Years</v>
      </c>
      <c r="AD694">
        <f>ROUND(AVERAGE(EmployeeData[[#This Row],[JobSatisfaction]],EmployeeData[[#This Row],[EnvironmentSatisfaction]],EmployeeData[[#This Row],[WorkLifeBalance]]),2)</f>
        <v>1.33</v>
      </c>
      <c r="AE694" t="str">
        <f>IF(EmployeeData[[#This Row],[Satisfaction Score]]&lt;2,"Low",IF(EmployeeData[[#This Row],[Satisfaction Score]]&lt;3,"Medium","High"))</f>
        <v>Low</v>
      </c>
    </row>
    <row r="695" spans="1:31" x14ac:dyDescent="0.25">
      <c r="A695" t="s">
        <v>3279</v>
      </c>
      <c r="B695" t="s">
        <v>3280</v>
      </c>
      <c r="C695" t="s">
        <v>49</v>
      </c>
      <c r="D695">
        <v>31</v>
      </c>
      <c r="E695" t="s">
        <v>5461</v>
      </c>
      <c r="F695" t="s">
        <v>5464</v>
      </c>
      <c r="G695" s="1">
        <v>41318</v>
      </c>
      <c r="H695">
        <v>63282</v>
      </c>
      <c r="I695" t="s">
        <v>52</v>
      </c>
      <c r="J695" t="s">
        <v>61</v>
      </c>
      <c r="K695" t="s">
        <v>113</v>
      </c>
      <c r="L695" t="s">
        <v>62</v>
      </c>
      <c r="M695">
        <v>4</v>
      </c>
      <c r="N695" t="s">
        <v>34</v>
      </c>
      <c r="O695">
        <v>4</v>
      </c>
      <c r="P695">
        <v>2</v>
      </c>
      <c r="Q695">
        <v>2</v>
      </c>
      <c r="R695">
        <v>3</v>
      </c>
      <c r="S695">
        <v>2</v>
      </c>
      <c r="T695">
        <v>0</v>
      </c>
      <c r="U695">
        <v>16</v>
      </c>
      <c r="V695" t="s">
        <v>3281</v>
      </c>
      <c r="W695" t="s">
        <v>34</v>
      </c>
      <c r="Y695" s="2" t="str">
        <f>IF(EmployeeData[[#This Row],[Age]]&lt;25,"Under 25",IF(EmployeeData[[#This Row],[Age]]&lt;=34,"25-34",IF(EmployeeData[[#This Row],[Age]]&lt;=44,"35-44",IF(EmployeeData[[#This Row],[Age]]&lt;=54,"45-54","55+"))))</f>
        <v>25-34</v>
      </c>
      <c r="Z695">
        <f ca="1">DATEDIF(EmployeeData[[#This Row],[DateOfJoining]],IF(AND(EmployeeData[[#This Row],[Attrition]]="Yes",EmployeeData[[#This Row],[LastWorkingDate]]&lt;&gt;""),EmployeeData[[#This Row],[LastWorkingDate]],TODAY()),"Y")</f>
        <v>13</v>
      </c>
      <c r="AA695" t="str">
        <f>IF(EmployeeData[[#This Row],[MonthlyIncome]]&lt;30000,"Low",IF(EmployeeData[[#This Row],[MonthlyIncome]]&lt;=60000,"Medium",IF(EmployeeData[[#This Row],[MonthlyIncome]]&lt;=100000,"High","Very High")))</f>
        <v>High</v>
      </c>
      <c r="AB695">
        <f>IF(EmployeeData[[#This Row],[Attrition]]="Yes",1,0)</f>
        <v>0</v>
      </c>
      <c r="AC695" t="str">
        <f ca="1">IF(EmployeeData[[#This Row],[Tenure Years]]&lt;1,"Less than 1 Year",IF(EmployeeData[[#This Row],[Tenure Years]]&lt;=3,"1-3 Years",IF(EmployeeData[[#This Row],[Tenure Years]]&lt;=5,"4-5 Years",IF(EmployeeData[[#This Row],[Tenure Years]]&lt;=10,"6-10 Years","More than 10 Years"))))</f>
        <v>More than 10 Years</v>
      </c>
      <c r="AD695">
        <f>ROUND(AVERAGE(EmployeeData[[#This Row],[JobSatisfaction]],EmployeeData[[#This Row],[EnvironmentSatisfaction]],EmployeeData[[#This Row],[WorkLifeBalance]]),2)</f>
        <v>2.67</v>
      </c>
      <c r="AE695" t="str">
        <f>IF(EmployeeData[[#This Row],[Satisfaction Score]]&lt;2,"Low",IF(EmployeeData[[#This Row],[Satisfaction Score]]&lt;3,"Medium","High"))</f>
        <v>Medium</v>
      </c>
    </row>
    <row r="696" spans="1:31" x14ac:dyDescent="0.25">
      <c r="A696" t="s">
        <v>3282</v>
      </c>
      <c r="B696" t="s">
        <v>3283</v>
      </c>
      <c r="C696" t="s">
        <v>49</v>
      </c>
      <c r="D696">
        <v>21</v>
      </c>
      <c r="E696" t="s">
        <v>128</v>
      </c>
      <c r="F696" t="s">
        <v>255</v>
      </c>
      <c r="G696" s="1">
        <v>44169</v>
      </c>
      <c r="H696">
        <v>97354</v>
      </c>
      <c r="I696" t="s">
        <v>42</v>
      </c>
      <c r="J696" t="s">
        <v>61</v>
      </c>
      <c r="K696" t="s">
        <v>113</v>
      </c>
      <c r="L696" t="s">
        <v>62</v>
      </c>
      <c r="M696">
        <v>6</v>
      </c>
      <c r="N696" t="s">
        <v>34</v>
      </c>
      <c r="O696">
        <v>2</v>
      </c>
      <c r="P696">
        <v>2</v>
      </c>
      <c r="Q696">
        <v>3</v>
      </c>
      <c r="R696">
        <v>3</v>
      </c>
      <c r="S696">
        <v>6</v>
      </c>
      <c r="T696">
        <v>3</v>
      </c>
      <c r="U696">
        <v>20</v>
      </c>
      <c r="V696" t="s">
        <v>3286</v>
      </c>
      <c r="W696" t="s">
        <v>34</v>
      </c>
      <c r="Y696" s="2" t="str">
        <f>IF(EmployeeData[[#This Row],[Age]]&lt;25,"Under 25",IF(EmployeeData[[#This Row],[Age]]&lt;=34,"25-34",IF(EmployeeData[[#This Row],[Age]]&lt;=44,"35-44",IF(EmployeeData[[#This Row],[Age]]&lt;=54,"45-54","55+"))))</f>
        <v>Under 25</v>
      </c>
      <c r="Z696">
        <f ca="1">DATEDIF(EmployeeData[[#This Row],[DateOfJoining]],IF(AND(EmployeeData[[#This Row],[Attrition]]="Yes",EmployeeData[[#This Row],[LastWorkingDate]]&lt;&gt;""),EmployeeData[[#This Row],[LastWorkingDate]],TODAY()),"Y")</f>
        <v>5</v>
      </c>
      <c r="AA696" t="str">
        <f>IF(EmployeeData[[#This Row],[MonthlyIncome]]&lt;30000,"Low",IF(EmployeeData[[#This Row],[MonthlyIncome]]&lt;=60000,"Medium",IF(EmployeeData[[#This Row],[MonthlyIncome]]&lt;=100000,"High","Very High")))</f>
        <v>High</v>
      </c>
      <c r="AB696">
        <f>IF(EmployeeData[[#This Row],[Attrition]]="Yes",1,0)</f>
        <v>0</v>
      </c>
      <c r="AC696" t="str">
        <f ca="1">IF(EmployeeData[[#This Row],[Tenure Years]]&lt;1,"Less than 1 Year",IF(EmployeeData[[#This Row],[Tenure Years]]&lt;=3,"1-3 Years",IF(EmployeeData[[#This Row],[Tenure Years]]&lt;=5,"4-5 Years",IF(EmployeeData[[#This Row],[Tenure Years]]&lt;=10,"6-10 Years","More than 10 Years"))))</f>
        <v>4-5 Years</v>
      </c>
      <c r="AD696">
        <f>ROUND(AVERAGE(EmployeeData[[#This Row],[JobSatisfaction]],EmployeeData[[#This Row],[EnvironmentSatisfaction]],EmployeeData[[#This Row],[WorkLifeBalance]]),2)</f>
        <v>2.33</v>
      </c>
      <c r="AE696" t="str">
        <f>IF(EmployeeData[[#This Row],[Satisfaction Score]]&lt;2,"Low",IF(EmployeeData[[#This Row],[Satisfaction Score]]&lt;3,"Medium","High"))</f>
        <v>Medium</v>
      </c>
    </row>
    <row r="697" spans="1:31" x14ac:dyDescent="0.25">
      <c r="A697" t="s">
        <v>3287</v>
      </c>
      <c r="B697" t="s">
        <v>3288</v>
      </c>
      <c r="C697" t="s">
        <v>49</v>
      </c>
      <c r="D697">
        <v>36</v>
      </c>
      <c r="E697" t="s">
        <v>128</v>
      </c>
      <c r="F697" t="s">
        <v>226</v>
      </c>
      <c r="G697" s="1">
        <v>43869</v>
      </c>
      <c r="H697">
        <v>59752</v>
      </c>
      <c r="I697" t="s">
        <v>42</v>
      </c>
      <c r="J697" t="s">
        <v>143</v>
      </c>
      <c r="K697" t="s">
        <v>113</v>
      </c>
      <c r="L697" t="s">
        <v>43</v>
      </c>
      <c r="M697">
        <v>9</v>
      </c>
      <c r="N697" t="s">
        <v>34</v>
      </c>
      <c r="O697">
        <v>2</v>
      </c>
      <c r="P697">
        <v>4</v>
      </c>
      <c r="Q697">
        <v>2</v>
      </c>
      <c r="R697">
        <v>4</v>
      </c>
      <c r="S697">
        <v>3</v>
      </c>
      <c r="T697">
        <v>7</v>
      </c>
      <c r="U697">
        <v>18</v>
      </c>
      <c r="V697" t="s">
        <v>3290</v>
      </c>
      <c r="W697" t="s">
        <v>45</v>
      </c>
      <c r="X697" s="1">
        <v>45767</v>
      </c>
      <c r="Y697" s="2" t="str">
        <f>IF(EmployeeData[[#This Row],[Age]]&lt;25,"Under 25",IF(EmployeeData[[#This Row],[Age]]&lt;=34,"25-34",IF(EmployeeData[[#This Row],[Age]]&lt;=44,"35-44",IF(EmployeeData[[#This Row],[Age]]&lt;=54,"45-54","55+"))))</f>
        <v>35-44</v>
      </c>
      <c r="Z697">
        <f ca="1">DATEDIF(EmployeeData[[#This Row],[DateOfJoining]],IF(AND(EmployeeData[[#This Row],[Attrition]]="Yes",EmployeeData[[#This Row],[LastWorkingDate]]&lt;&gt;""),EmployeeData[[#This Row],[LastWorkingDate]],TODAY()),"Y")</f>
        <v>5</v>
      </c>
      <c r="AA697" t="str">
        <f>IF(EmployeeData[[#This Row],[MonthlyIncome]]&lt;30000,"Low",IF(EmployeeData[[#This Row],[MonthlyIncome]]&lt;=60000,"Medium",IF(EmployeeData[[#This Row],[MonthlyIncome]]&lt;=100000,"High","Very High")))</f>
        <v>Medium</v>
      </c>
      <c r="AB697">
        <f>IF(EmployeeData[[#This Row],[Attrition]]="Yes",1,0)</f>
        <v>1</v>
      </c>
      <c r="AC697" t="str">
        <f ca="1">IF(EmployeeData[[#This Row],[Tenure Years]]&lt;1,"Less than 1 Year",IF(EmployeeData[[#This Row],[Tenure Years]]&lt;=3,"1-3 Years",IF(EmployeeData[[#This Row],[Tenure Years]]&lt;=5,"4-5 Years",IF(EmployeeData[[#This Row],[Tenure Years]]&lt;=10,"6-10 Years","More than 10 Years"))))</f>
        <v>4-5 Years</v>
      </c>
      <c r="AD697">
        <f>ROUND(AVERAGE(EmployeeData[[#This Row],[JobSatisfaction]],EmployeeData[[#This Row],[EnvironmentSatisfaction]],EmployeeData[[#This Row],[WorkLifeBalance]]),2)</f>
        <v>2.67</v>
      </c>
      <c r="AE697" t="str">
        <f>IF(EmployeeData[[#This Row],[Satisfaction Score]]&lt;2,"Low",IF(EmployeeData[[#This Row],[Satisfaction Score]]&lt;3,"Medium","High"))</f>
        <v>Medium</v>
      </c>
    </row>
    <row r="698" spans="1:31" x14ac:dyDescent="0.25">
      <c r="A698" t="s">
        <v>3292</v>
      </c>
      <c r="B698" t="s">
        <v>3293</v>
      </c>
      <c r="C698" t="s">
        <v>49</v>
      </c>
      <c r="D698">
        <v>34</v>
      </c>
      <c r="E698" t="s">
        <v>27</v>
      </c>
      <c r="F698" t="s">
        <v>188</v>
      </c>
      <c r="G698" s="1">
        <v>40871</v>
      </c>
      <c r="H698">
        <v>73891</v>
      </c>
      <c r="I698" t="s">
        <v>52</v>
      </c>
      <c r="J698" t="s">
        <v>53</v>
      </c>
      <c r="K698" t="s">
        <v>77</v>
      </c>
      <c r="L698" t="s">
        <v>62</v>
      </c>
      <c r="M698">
        <v>27</v>
      </c>
      <c r="N698" t="s">
        <v>34</v>
      </c>
      <c r="O698">
        <v>2</v>
      </c>
      <c r="P698">
        <v>4</v>
      </c>
      <c r="Q698">
        <v>3</v>
      </c>
      <c r="R698">
        <v>3</v>
      </c>
      <c r="S698">
        <v>3</v>
      </c>
      <c r="T698">
        <v>7</v>
      </c>
      <c r="U698">
        <v>19</v>
      </c>
      <c r="V698" t="s">
        <v>3295</v>
      </c>
      <c r="W698" t="s">
        <v>34</v>
      </c>
      <c r="Y698" s="2" t="str">
        <f>IF(EmployeeData[[#This Row],[Age]]&lt;25,"Under 25",IF(EmployeeData[[#This Row],[Age]]&lt;=34,"25-34",IF(EmployeeData[[#This Row],[Age]]&lt;=44,"35-44",IF(EmployeeData[[#This Row],[Age]]&lt;=54,"45-54","55+"))))</f>
        <v>25-34</v>
      </c>
      <c r="Z698">
        <f ca="1">DATEDIF(EmployeeData[[#This Row],[DateOfJoining]],IF(AND(EmployeeData[[#This Row],[Attrition]]="Yes",EmployeeData[[#This Row],[LastWorkingDate]]&lt;&gt;""),EmployeeData[[#This Row],[LastWorkingDate]],TODAY()),"Y")</f>
        <v>14</v>
      </c>
      <c r="AA698" t="str">
        <f>IF(EmployeeData[[#This Row],[MonthlyIncome]]&lt;30000,"Low",IF(EmployeeData[[#This Row],[MonthlyIncome]]&lt;=60000,"Medium",IF(EmployeeData[[#This Row],[MonthlyIncome]]&lt;=100000,"High","Very High")))</f>
        <v>High</v>
      </c>
      <c r="AB698">
        <f>IF(EmployeeData[[#This Row],[Attrition]]="Yes",1,0)</f>
        <v>0</v>
      </c>
      <c r="AC698" t="str">
        <f ca="1">IF(EmployeeData[[#This Row],[Tenure Years]]&lt;1,"Less than 1 Year",IF(EmployeeData[[#This Row],[Tenure Years]]&lt;=3,"1-3 Years",IF(EmployeeData[[#This Row],[Tenure Years]]&lt;=5,"4-5 Years",IF(EmployeeData[[#This Row],[Tenure Years]]&lt;=10,"6-10 Years","More than 10 Years"))))</f>
        <v>More than 10 Years</v>
      </c>
      <c r="AD698">
        <f>ROUND(AVERAGE(EmployeeData[[#This Row],[JobSatisfaction]],EmployeeData[[#This Row],[EnvironmentSatisfaction]],EmployeeData[[#This Row],[WorkLifeBalance]]),2)</f>
        <v>3</v>
      </c>
      <c r="AE698" t="str">
        <f>IF(EmployeeData[[#This Row],[Satisfaction Score]]&lt;2,"Low",IF(EmployeeData[[#This Row],[Satisfaction Score]]&lt;3,"Medium","High"))</f>
        <v>High</v>
      </c>
    </row>
    <row r="699" spans="1:31" x14ac:dyDescent="0.25">
      <c r="A699" t="s">
        <v>3296</v>
      </c>
      <c r="B699" t="s">
        <v>3297</v>
      </c>
      <c r="C699" t="s">
        <v>58</v>
      </c>
      <c r="D699">
        <v>42</v>
      </c>
      <c r="E699" t="s">
        <v>94</v>
      </c>
      <c r="F699" t="s">
        <v>639</v>
      </c>
      <c r="G699" s="1">
        <v>44028</v>
      </c>
      <c r="H699">
        <v>95382</v>
      </c>
      <c r="I699" t="s">
        <v>30</v>
      </c>
      <c r="J699" t="s">
        <v>61</v>
      </c>
      <c r="K699" t="s">
        <v>83</v>
      </c>
      <c r="L699" t="s">
        <v>62</v>
      </c>
      <c r="M699">
        <v>14</v>
      </c>
      <c r="N699" t="s">
        <v>34</v>
      </c>
      <c r="O699">
        <v>3</v>
      </c>
      <c r="P699">
        <v>4</v>
      </c>
      <c r="Q699">
        <v>4</v>
      </c>
      <c r="R699">
        <v>1</v>
      </c>
      <c r="S699">
        <v>5</v>
      </c>
      <c r="T699">
        <v>7</v>
      </c>
      <c r="U699">
        <v>12</v>
      </c>
      <c r="V699" t="s">
        <v>3300</v>
      </c>
      <c r="W699" t="s">
        <v>34</v>
      </c>
      <c r="Y699" s="2" t="str">
        <f>IF(EmployeeData[[#This Row],[Age]]&lt;25,"Under 25",IF(EmployeeData[[#This Row],[Age]]&lt;=34,"25-34",IF(EmployeeData[[#This Row],[Age]]&lt;=44,"35-44",IF(EmployeeData[[#This Row],[Age]]&lt;=54,"45-54","55+"))))</f>
        <v>35-44</v>
      </c>
      <c r="Z699">
        <f ca="1">DATEDIF(EmployeeData[[#This Row],[DateOfJoining]],IF(AND(EmployeeData[[#This Row],[Attrition]]="Yes",EmployeeData[[#This Row],[LastWorkingDate]]&lt;&gt;""),EmployeeData[[#This Row],[LastWorkingDate]],TODAY()),"Y")</f>
        <v>6</v>
      </c>
      <c r="AA699" t="str">
        <f>IF(EmployeeData[[#This Row],[MonthlyIncome]]&lt;30000,"Low",IF(EmployeeData[[#This Row],[MonthlyIncome]]&lt;=60000,"Medium",IF(EmployeeData[[#This Row],[MonthlyIncome]]&lt;=100000,"High","Very High")))</f>
        <v>High</v>
      </c>
      <c r="AB699">
        <f>IF(EmployeeData[[#This Row],[Attrition]]="Yes",1,0)</f>
        <v>0</v>
      </c>
      <c r="AC699" t="str">
        <f ca="1">IF(EmployeeData[[#This Row],[Tenure Years]]&lt;1,"Less than 1 Year",IF(EmployeeData[[#This Row],[Tenure Years]]&lt;=3,"1-3 Years",IF(EmployeeData[[#This Row],[Tenure Years]]&lt;=5,"4-5 Years",IF(EmployeeData[[#This Row],[Tenure Years]]&lt;=10,"6-10 Years","More than 10 Years"))))</f>
        <v>6-10 Years</v>
      </c>
      <c r="AD699">
        <f>ROUND(AVERAGE(EmployeeData[[#This Row],[JobSatisfaction]],EmployeeData[[#This Row],[EnvironmentSatisfaction]],EmployeeData[[#This Row],[WorkLifeBalance]]),2)</f>
        <v>3.67</v>
      </c>
      <c r="AE699" t="str">
        <f>IF(EmployeeData[[#This Row],[Satisfaction Score]]&lt;2,"Low",IF(EmployeeData[[#This Row],[Satisfaction Score]]&lt;3,"Medium","High"))</f>
        <v>High</v>
      </c>
    </row>
    <row r="700" spans="1:31" x14ac:dyDescent="0.25">
      <c r="A700" t="s">
        <v>3301</v>
      </c>
      <c r="B700" t="s">
        <v>3302</v>
      </c>
      <c r="C700" t="s">
        <v>49</v>
      </c>
      <c r="D700">
        <v>19</v>
      </c>
      <c r="E700" t="s">
        <v>27</v>
      </c>
      <c r="F700" t="s">
        <v>59</v>
      </c>
      <c r="G700" s="1">
        <v>42867</v>
      </c>
      <c r="H700">
        <v>113152</v>
      </c>
      <c r="I700" t="s">
        <v>52</v>
      </c>
      <c r="J700" t="s">
        <v>53</v>
      </c>
      <c r="K700" t="s">
        <v>32</v>
      </c>
      <c r="L700" t="s">
        <v>62</v>
      </c>
      <c r="M700">
        <v>5</v>
      </c>
      <c r="N700" t="s">
        <v>34</v>
      </c>
      <c r="O700">
        <v>4</v>
      </c>
      <c r="P700">
        <v>1</v>
      </c>
      <c r="Q700">
        <v>2</v>
      </c>
      <c r="R700">
        <v>1</v>
      </c>
      <c r="S700">
        <v>0</v>
      </c>
      <c r="T700">
        <v>8</v>
      </c>
      <c r="U700">
        <v>12</v>
      </c>
      <c r="V700" t="s">
        <v>3304</v>
      </c>
      <c r="W700" t="s">
        <v>34</v>
      </c>
      <c r="Y700" s="2" t="str">
        <f>IF(EmployeeData[[#This Row],[Age]]&lt;25,"Under 25",IF(EmployeeData[[#This Row],[Age]]&lt;=34,"25-34",IF(EmployeeData[[#This Row],[Age]]&lt;=44,"35-44",IF(EmployeeData[[#This Row],[Age]]&lt;=54,"45-54","55+"))))</f>
        <v>Under 25</v>
      </c>
      <c r="Z700">
        <f ca="1">DATEDIF(EmployeeData[[#This Row],[DateOfJoining]],IF(AND(EmployeeData[[#This Row],[Attrition]]="Yes",EmployeeData[[#This Row],[LastWorkingDate]]&lt;&gt;""),EmployeeData[[#This Row],[LastWorkingDate]],TODAY()),"Y")</f>
        <v>9</v>
      </c>
      <c r="AA700" t="str">
        <f>IF(EmployeeData[[#This Row],[MonthlyIncome]]&lt;30000,"Low",IF(EmployeeData[[#This Row],[MonthlyIncome]]&lt;=60000,"Medium",IF(EmployeeData[[#This Row],[MonthlyIncome]]&lt;=100000,"High","Very High")))</f>
        <v>Very High</v>
      </c>
      <c r="AB700">
        <f>IF(EmployeeData[[#This Row],[Attrition]]="Yes",1,0)</f>
        <v>0</v>
      </c>
      <c r="AC700" t="str">
        <f ca="1">IF(EmployeeData[[#This Row],[Tenure Years]]&lt;1,"Less than 1 Year",IF(EmployeeData[[#This Row],[Tenure Years]]&lt;=3,"1-3 Years",IF(EmployeeData[[#This Row],[Tenure Years]]&lt;=5,"4-5 Years",IF(EmployeeData[[#This Row],[Tenure Years]]&lt;=10,"6-10 Years","More than 10 Years"))))</f>
        <v>6-10 Years</v>
      </c>
      <c r="AD700">
        <f>ROUND(AVERAGE(EmployeeData[[#This Row],[JobSatisfaction]],EmployeeData[[#This Row],[EnvironmentSatisfaction]],EmployeeData[[#This Row],[WorkLifeBalance]]),2)</f>
        <v>2.33</v>
      </c>
      <c r="AE700" t="str">
        <f>IF(EmployeeData[[#This Row],[Satisfaction Score]]&lt;2,"Low",IF(EmployeeData[[#This Row],[Satisfaction Score]]&lt;3,"Medium","High"))</f>
        <v>Medium</v>
      </c>
    </row>
    <row r="701" spans="1:31" x14ac:dyDescent="0.25">
      <c r="A701" t="s">
        <v>3305</v>
      </c>
      <c r="B701" t="s">
        <v>3306</v>
      </c>
      <c r="C701" t="s">
        <v>5459</v>
      </c>
      <c r="D701">
        <v>30</v>
      </c>
      <c r="E701" t="s">
        <v>38</v>
      </c>
      <c r="F701" t="s">
        <v>792</v>
      </c>
      <c r="G701" s="1">
        <v>42832</v>
      </c>
      <c r="H701">
        <v>74829</v>
      </c>
      <c r="I701" t="s">
        <v>52</v>
      </c>
      <c r="J701" t="s">
        <v>31</v>
      </c>
      <c r="K701" t="s">
        <v>32</v>
      </c>
      <c r="L701" t="s">
        <v>62</v>
      </c>
      <c r="M701">
        <v>17</v>
      </c>
      <c r="N701" t="s">
        <v>45</v>
      </c>
      <c r="O701">
        <v>2</v>
      </c>
      <c r="P701">
        <v>4</v>
      </c>
      <c r="Q701">
        <v>3</v>
      </c>
      <c r="R701">
        <v>3</v>
      </c>
      <c r="S701">
        <v>6</v>
      </c>
      <c r="T701">
        <v>8</v>
      </c>
      <c r="U701">
        <v>23</v>
      </c>
      <c r="V701" t="s">
        <v>5459</v>
      </c>
      <c r="W701" t="s">
        <v>45</v>
      </c>
      <c r="X701" s="1">
        <v>45673</v>
      </c>
      <c r="Y701" s="2" t="str">
        <f>IF(EmployeeData[[#This Row],[Age]]&lt;25,"Under 25",IF(EmployeeData[[#This Row],[Age]]&lt;=34,"25-34",IF(EmployeeData[[#This Row],[Age]]&lt;=44,"35-44",IF(EmployeeData[[#This Row],[Age]]&lt;=54,"45-54","55+"))))</f>
        <v>25-34</v>
      </c>
      <c r="Z701">
        <f ca="1">DATEDIF(EmployeeData[[#This Row],[DateOfJoining]],IF(AND(EmployeeData[[#This Row],[Attrition]]="Yes",EmployeeData[[#This Row],[LastWorkingDate]]&lt;&gt;""),EmployeeData[[#This Row],[LastWorkingDate]],TODAY()),"Y")</f>
        <v>7</v>
      </c>
      <c r="AA701" t="str">
        <f>IF(EmployeeData[[#This Row],[MonthlyIncome]]&lt;30000,"Low",IF(EmployeeData[[#This Row],[MonthlyIncome]]&lt;=60000,"Medium",IF(EmployeeData[[#This Row],[MonthlyIncome]]&lt;=100000,"High","Very High")))</f>
        <v>High</v>
      </c>
      <c r="AB701">
        <f>IF(EmployeeData[[#This Row],[Attrition]]="Yes",1,0)</f>
        <v>1</v>
      </c>
      <c r="AC701" t="str">
        <f ca="1">IF(EmployeeData[[#This Row],[Tenure Years]]&lt;1,"Less than 1 Year",IF(EmployeeData[[#This Row],[Tenure Years]]&lt;=3,"1-3 Years",IF(EmployeeData[[#This Row],[Tenure Years]]&lt;=5,"4-5 Years",IF(EmployeeData[[#This Row],[Tenure Years]]&lt;=10,"6-10 Years","More than 10 Years"))))</f>
        <v>6-10 Years</v>
      </c>
      <c r="AD701">
        <f>ROUND(AVERAGE(EmployeeData[[#This Row],[JobSatisfaction]],EmployeeData[[#This Row],[EnvironmentSatisfaction]],EmployeeData[[#This Row],[WorkLifeBalance]]),2)</f>
        <v>3</v>
      </c>
      <c r="AE701" t="str">
        <f>IF(EmployeeData[[#This Row],[Satisfaction Score]]&lt;2,"Low",IF(EmployeeData[[#This Row],[Satisfaction Score]]&lt;3,"Medium","High"))</f>
        <v>High</v>
      </c>
    </row>
    <row r="702" spans="1:31" x14ac:dyDescent="0.25">
      <c r="A702" t="s">
        <v>3309</v>
      </c>
      <c r="B702" t="s">
        <v>146</v>
      </c>
      <c r="C702" t="s">
        <v>58</v>
      </c>
      <c r="D702">
        <v>28</v>
      </c>
      <c r="E702" t="s">
        <v>5459</v>
      </c>
      <c r="F702" t="s">
        <v>5465</v>
      </c>
      <c r="G702" s="1">
        <v>41938</v>
      </c>
      <c r="H702">
        <v>54798</v>
      </c>
      <c r="I702" t="s">
        <v>30</v>
      </c>
      <c r="J702" t="s">
        <v>31</v>
      </c>
      <c r="K702" t="s">
        <v>131</v>
      </c>
      <c r="L702" t="s">
        <v>33</v>
      </c>
      <c r="M702">
        <v>43</v>
      </c>
      <c r="N702" t="s">
        <v>34</v>
      </c>
      <c r="O702">
        <v>2</v>
      </c>
      <c r="P702">
        <v>3</v>
      </c>
      <c r="Q702">
        <v>4</v>
      </c>
      <c r="R702">
        <v>1</v>
      </c>
      <c r="S702">
        <v>4</v>
      </c>
      <c r="T702">
        <v>3</v>
      </c>
      <c r="U702">
        <v>17</v>
      </c>
      <c r="V702" t="s">
        <v>3311</v>
      </c>
      <c r="W702" t="s">
        <v>34</v>
      </c>
      <c r="Y702" s="2" t="str">
        <f>IF(EmployeeData[[#This Row],[Age]]&lt;25,"Under 25",IF(EmployeeData[[#This Row],[Age]]&lt;=34,"25-34",IF(EmployeeData[[#This Row],[Age]]&lt;=44,"35-44",IF(EmployeeData[[#This Row],[Age]]&lt;=54,"45-54","55+"))))</f>
        <v>25-34</v>
      </c>
      <c r="Z702">
        <f ca="1">DATEDIF(EmployeeData[[#This Row],[DateOfJoining]],IF(AND(EmployeeData[[#This Row],[Attrition]]="Yes",EmployeeData[[#This Row],[LastWorkingDate]]&lt;&gt;""),EmployeeData[[#This Row],[LastWorkingDate]],TODAY()),"Y")</f>
        <v>11</v>
      </c>
      <c r="AA702" t="str">
        <f>IF(EmployeeData[[#This Row],[MonthlyIncome]]&lt;30000,"Low",IF(EmployeeData[[#This Row],[MonthlyIncome]]&lt;=60000,"Medium",IF(EmployeeData[[#This Row],[MonthlyIncome]]&lt;=100000,"High","Very High")))</f>
        <v>Medium</v>
      </c>
      <c r="AB702">
        <f>IF(EmployeeData[[#This Row],[Attrition]]="Yes",1,0)</f>
        <v>0</v>
      </c>
      <c r="AC702" t="str">
        <f ca="1">IF(EmployeeData[[#This Row],[Tenure Years]]&lt;1,"Less than 1 Year",IF(EmployeeData[[#This Row],[Tenure Years]]&lt;=3,"1-3 Years",IF(EmployeeData[[#This Row],[Tenure Years]]&lt;=5,"4-5 Years",IF(EmployeeData[[#This Row],[Tenure Years]]&lt;=10,"6-10 Years","More than 10 Years"))))</f>
        <v>More than 10 Years</v>
      </c>
      <c r="AD702">
        <f>ROUND(AVERAGE(EmployeeData[[#This Row],[JobSatisfaction]],EmployeeData[[#This Row],[EnvironmentSatisfaction]],EmployeeData[[#This Row],[WorkLifeBalance]]),2)</f>
        <v>3</v>
      </c>
      <c r="AE702" t="str">
        <f>IF(EmployeeData[[#This Row],[Satisfaction Score]]&lt;2,"Low",IF(EmployeeData[[#This Row],[Satisfaction Score]]&lt;3,"Medium","High"))</f>
        <v>High</v>
      </c>
    </row>
    <row r="703" spans="1:31" x14ac:dyDescent="0.25">
      <c r="A703" t="s">
        <v>3312</v>
      </c>
      <c r="B703" t="s">
        <v>3313</v>
      </c>
      <c r="C703" t="s">
        <v>49</v>
      </c>
      <c r="D703">
        <v>19</v>
      </c>
      <c r="E703" t="s">
        <v>27</v>
      </c>
      <c r="F703" t="s">
        <v>188</v>
      </c>
      <c r="G703" s="1">
        <v>42591</v>
      </c>
      <c r="H703">
        <v>59226</v>
      </c>
      <c r="I703" t="s">
        <v>30</v>
      </c>
      <c r="J703" t="s">
        <v>61</v>
      </c>
      <c r="K703" t="s">
        <v>167</v>
      </c>
      <c r="L703" t="s">
        <v>62</v>
      </c>
      <c r="M703">
        <v>8</v>
      </c>
      <c r="N703" t="s">
        <v>34</v>
      </c>
      <c r="O703">
        <v>3</v>
      </c>
      <c r="P703">
        <v>1</v>
      </c>
      <c r="Q703">
        <v>3</v>
      </c>
      <c r="R703">
        <v>4</v>
      </c>
      <c r="S703">
        <v>3</v>
      </c>
      <c r="T703">
        <v>6</v>
      </c>
      <c r="U703">
        <v>13</v>
      </c>
      <c r="V703" t="s">
        <v>5459</v>
      </c>
      <c r="W703" t="s">
        <v>34</v>
      </c>
      <c r="Y703" s="2" t="str">
        <f>IF(EmployeeData[[#This Row],[Age]]&lt;25,"Under 25",IF(EmployeeData[[#This Row],[Age]]&lt;=34,"25-34",IF(EmployeeData[[#This Row],[Age]]&lt;=44,"35-44",IF(EmployeeData[[#This Row],[Age]]&lt;=54,"45-54","55+"))))</f>
        <v>Under 25</v>
      </c>
      <c r="Z703">
        <f ca="1">DATEDIF(EmployeeData[[#This Row],[DateOfJoining]],IF(AND(EmployeeData[[#This Row],[Attrition]]="Yes",EmployeeData[[#This Row],[LastWorkingDate]]&lt;&gt;""),EmployeeData[[#This Row],[LastWorkingDate]],TODAY()),"Y")</f>
        <v>10</v>
      </c>
      <c r="AA703" t="str">
        <f>IF(EmployeeData[[#This Row],[MonthlyIncome]]&lt;30000,"Low",IF(EmployeeData[[#This Row],[MonthlyIncome]]&lt;=60000,"Medium",IF(EmployeeData[[#This Row],[MonthlyIncome]]&lt;=100000,"High","Very High")))</f>
        <v>Medium</v>
      </c>
      <c r="AB703">
        <f>IF(EmployeeData[[#This Row],[Attrition]]="Yes",1,0)</f>
        <v>0</v>
      </c>
      <c r="AC703" t="str">
        <f ca="1">IF(EmployeeData[[#This Row],[Tenure Years]]&lt;1,"Less than 1 Year",IF(EmployeeData[[#This Row],[Tenure Years]]&lt;=3,"1-3 Years",IF(EmployeeData[[#This Row],[Tenure Years]]&lt;=5,"4-5 Years",IF(EmployeeData[[#This Row],[Tenure Years]]&lt;=10,"6-10 Years","More than 10 Years"))))</f>
        <v>6-10 Years</v>
      </c>
      <c r="AD703">
        <f>ROUND(AVERAGE(EmployeeData[[#This Row],[JobSatisfaction]],EmployeeData[[#This Row],[EnvironmentSatisfaction]],EmployeeData[[#This Row],[WorkLifeBalance]]),2)</f>
        <v>2.33</v>
      </c>
      <c r="AE703" t="str">
        <f>IF(EmployeeData[[#This Row],[Satisfaction Score]]&lt;2,"Low",IF(EmployeeData[[#This Row],[Satisfaction Score]]&lt;3,"Medium","High"))</f>
        <v>Medium</v>
      </c>
    </row>
    <row r="704" spans="1:31" x14ac:dyDescent="0.25">
      <c r="A704" t="s">
        <v>3315</v>
      </c>
      <c r="B704" t="s">
        <v>3316</v>
      </c>
      <c r="C704" t="s">
        <v>58</v>
      </c>
      <c r="D704">
        <v>51</v>
      </c>
      <c r="E704" t="s">
        <v>94</v>
      </c>
      <c r="F704" t="s">
        <v>306</v>
      </c>
      <c r="G704" s="1">
        <v>46140</v>
      </c>
      <c r="H704">
        <v>48052</v>
      </c>
      <c r="I704" t="s">
        <v>30</v>
      </c>
      <c r="J704" t="s">
        <v>143</v>
      </c>
      <c r="K704" t="s">
        <v>200</v>
      </c>
      <c r="L704" t="s">
        <v>62</v>
      </c>
      <c r="M704">
        <v>29</v>
      </c>
      <c r="N704" t="s">
        <v>34</v>
      </c>
      <c r="O704">
        <v>1</v>
      </c>
      <c r="P704">
        <v>1</v>
      </c>
      <c r="Q704">
        <v>2</v>
      </c>
      <c r="R704">
        <v>3</v>
      </c>
      <c r="S704">
        <v>6</v>
      </c>
      <c r="T704">
        <v>4</v>
      </c>
      <c r="U704">
        <v>19</v>
      </c>
      <c r="V704" t="s">
        <v>3319</v>
      </c>
      <c r="W704" t="s">
        <v>45</v>
      </c>
      <c r="X704" s="1">
        <v>46156</v>
      </c>
      <c r="Y704" s="2" t="str">
        <f>IF(EmployeeData[[#This Row],[Age]]&lt;25,"Under 25",IF(EmployeeData[[#This Row],[Age]]&lt;=34,"25-34",IF(EmployeeData[[#This Row],[Age]]&lt;=44,"35-44",IF(EmployeeData[[#This Row],[Age]]&lt;=54,"45-54","55+"))))</f>
        <v>45-54</v>
      </c>
      <c r="Z704">
        <f ca="1">DATEDIF(EmployeeData[[#This Row],[DateOfJoining]],IF(AND(EmployeeData[[#This Row],[Attrition]]="Yes",EmployeeData[[#This Row],[LastWorkingDate]]&lt;&gt;""),EmployeeData[[#This Row],[LastWorkingDate]],TODAY()),"Y")</f>
        <v>0</v>
      </c>
      <c r="AA704" t="str">
        <f>IF(EmployeeData[[#This Row],[MonthlyIncome]]&lt;30000,"Low",IF(EmployeeData[[#This Row],[MonthlyIncome]]&lt;=60000,"Medium",IF(EmployeeData[[#This Row],[MonthlyIncome]]&lt;=100000,"High","Very High")))</f>
        <v>Medium</v>
      </c>
      <c r="AB704">
        <f>IF(EmployeeData[[#This Row],[Attrition]]="Yes",1,0)</f>
        <v>1</v>
      </c>
      <c r="AC704" t="str">
        <f ca="1">IF(EmployeeData[[#This Row],[Tenure Years]]&lt;1,"Less than 1 Year",IF(EmployeeData[[#This Row],[Tenure Years]]&lt;=3,"1-3 Years",IF(EmployeeData[[#This Row],[Tenure Years]]&lt;=5,"4-5 Years",IF(EmployeeData[[#This Row],[Tenure Years]]&lt;=10,"6-10 Years","More than 10 Years"))))</f>
        <v>Less than 1 Year</v>
      </c>
      <c r="AD704">
        <f>ROUND(AVERAGE(EmployeeData[[#This Row],[JobSatisfaction]],EmployeeData[[#This Row],[EnvironmentSatisfaction]],EmployeeData[[#This Row],[WorkLifeBalance]]),2)</f>
        <v>1.33</v>
      </c>
      <c r="AE704" t="str">
        <f>IF(EmployeeData[[#This Row],[Satisfaction Score]]&lt;2,"Low",IF(EmployeeData[[#This Row],[Satisfaction Score]]&lt;3,"Medium","High"))</f>
        <v>Low</v>
      </c>
    </row>
    <row r="705" spans="1:31" x14ac:dyDescent="0.25">
      <c r="A705" t="s">
        <v>3320</v>
      </c>
      <c r="B705" t="s">
        <v>3321</v>
      </c>
      <c r="C705" t="s">
        <v>49</v>
      </c>
      <c r="D705">
        <v>31</v>
      </c>
      <c r="E705" t="s">
        <v>412</v>
      </c>
      <c r="F705" t="s">
        <v>828</v>
      </c>
      <c r="G705" s="1">
        <v>41203</v>
      </c>
      <c r="H705">
        <v>74912</v>
      </c>
      <c r="I705" t="s">
        <v>52</v>
      </c>
      <c r="J705" t="s">
        <v>143</v>
      </c>
      <c r="K705" t="s">
        <v>83</v>
      </c>
      <c r="L705" t="s">
        <v>43</v>
      </c>
      <c r="M705">
        <v>41</v>
      </c>
      <c r="N705" t="s">
        <v>45</v>
      </c>
      <c r="O705">
        <v>1</v>
      </c>
      <c r="P705">
        <v>3</v>
      </c>
      <c r="Q705">
        <v>2</v>
      </c>
      <c r="R705">
        <v>3</v>
      </c>
      <c r="S705">
        <v>4</v>
      </c>
      <c r="T705">
        <v>8</v>
      </c>
      <c r="U705">
        <v>20</v>
      </c>
      <c r="V705" t="s">
        <v>3323</v>
      </c>
      <c r="W705" t="s">
        <v>45</v>
      </c>
      <c r="X705" s="1">
        <v>41431</v>
      </c>
      <c r="Y705" s="2" t="str">
        <f>IF(EmployeeData[[#This Row],[Age]]&lt;25,"Under 25",IF(EmployeeData[[#This Row],[Age]]&lt;=34,"25-34",IF(EmployeeData[[#This Row],[Age]]&lt;=44,"35-44",IF(EmployeeData[[#This Row],[Age]]&lt;=54,"45-54","55+"))))</f>
        <v>25-34</v>
      </c>
      <c r="Z705">
        <f ca="1">DATEDIF(EmployeeData[[#This Row],[DateOfJoining]],IF(AND(EmployeeData[[#This Row],[Attrition]]="Yes",EmployeeData[[#This Row],[LastWorkingDate]]&lt;&gt;""),EmployeeData[[#This Row],[LastWorkingDate]],TODAY()),"Y")</f>
        <v>0</v>
      </c>
      <c r="AA705" t="str">
        <f>IF(EmployeeData[[#This Row],[MonthlyIncome]]&lt;30000,"Low",IF(EmployeeData[[#This Row],[MonthlyIncome]]&lt;=60000,"Medium",IF(EmployeeData[[#This Row],[MonthlyIncome]]&lt;=100000,"High","Very High")))</f>
        <v>High</v>
      </c>
      <c r="AB705">
        <f>IF(EmployeeData[[#This Row],[Attrition]]="Yes",1,0)</f>
        <v>1</v>
      </c>
      <c r="AC705" t="str">
        <f ca="1">IF(EmployeeData[[#This Row],[Tenure Years]]&lt;1,"Less than 1 Year",IF(EmployeeData[[#This Row],[Tenure Years]]&lt;=3,"1-3 Years",IF(EmployeeData[[#This Row],[Tenure Years]]&lt;=5,"4-5 Years",IF(EmployeeData[[#This Row],[Tenure Years]]&lt;=10,"6-10 Years","More than 10 Years"))))</f>
        <v>Less than 1 Year</v>
      </c>
      <c r="AD705">
        <f>ROUND(AVERAGE(EmployeeData[[#This Row],[JobSatisfaction]],EmployeeData[[#This Row],[EnvironmentSatisfaction]],EmployeeData[[#This Row],[WorkLifeBalance]]),2)</f>
        <v>2</v>
      </c>
      <c r="AE705" t="str">
        <f>IF(EmployeeData[[#This Row],[Satisfaction Score]]&lt;2,"Low",IF(EmployeeData[[#This Row],[Satisfaction Score]]&lt;3,"Medium","High"))</f>
        <v>Medium</v>
      </c>
    </row>
    <row r="706" spans="1:31" x14ac:dyDescent="0.25">
      <c r="A706" t="s">
        <v>3325</v>
      </c>
      <c r="B706" t="s">
        <v>3326</v>
      </c>
      <c r="C706" t="s">
        <v>58</v>
      </c>
      <c r="D706">
        <v>48</v>
      </c>
      <c r="E706" t="s">
        <v>94</v>
      </c>
      <c r="F706" t="s">
        <v>356</v>
      </c>
      <c r="G706" s="1">
        <v>43901</v>
      </c>
      <c r="H706">
        <v>132811</v>
      </c>
      <c r="I706" t="s">
        <v>52</v>
      </c>
      <c r="J706" t="s">
        <v>61</v>
      </c>
      <c r="K706" t="s">
        <v>98</v>
      </c>
      <c r="L706" t="s">
        <v>33</v>
      </c>
      <c r="M706">
        <v>12</v>
      </c>
      <c r="N706" t="s">
        <v>34</v>
      </c>
      <c r="O706">
        <v>2</v>
      </c>
      <c r="P706">
        <v>3</v>
      </c>
      <c r="Q706">
        <v>1</v>
      </c>
      <c r="R706">
        <v>4</v>
      </c>
      <c r="S706">
        <v>6</v>
      </c>
      <c r="T706">
        <v>0</v>
      </c>
      <c r="U706">
        <v>22</v>
      </c>
      <c r="V706" t="s">
        <v>3328</v>
      </c>
      <c r="W706" t="s">
        <v>45</v>
      </c>
      <c r="X706" s="1">
        <v>43996</v>
      </c>
      <c r="Y706" s="2" t="str">
        <f>IF(EmployeeData[[#This Row],[Age]]&lt;25,"Under 25",IF(EmployeeData[[#This Row],[Age]]&lt;=34,"25-34",IF(EmployeeData[[#This Row],[Age]]&lt;=44,"35-44",IF(EmployeeData[[#This Row],[Age]]&lt;=54,"45-54","55+"))))</f>
        <v>45-54</v>
      </c>
      <c r="Z706">
        <f ca="1">DATEDIF(EmployeeData[[#This Row],[DateOfJoining]],IF(AND(EmployeeData[[#This Row],[Attrition]]="Yes",EmployeeData[[#This Row],[LastWorkingDate]]&lt;&gt;""),EmployeeData[[#This Row],[LastWorkingDate]],TODAY()),"Y")</f>
        <v>0</v>
      </c>
      <c r="AA706" t="str">
        <f>IF(EmployeeData[[#This Row],[MonthlyIncome]]&lt;30000,"Low",IF(EmployeeData[[#This Row],[MonthlyIncome]]&lt;=60000,"Medium",IF(EmployeeData[[#This Row],[MonthlyIncome]]&lt;=100000,"High","Very High")))</f>
        <v>Very High</v>
      </c>
      <c r="AB706">
        <f>IF(EmployeeData[[#This Row],[Attrition]]="Yes",1,0)</f>
        <v>1</v>
      </c>
      <c r="AC706" t="str">
        <f ca="1">IF(EmployeeData[[#This Row],[Tenure Years]]&lt;1,"Less than 1 Year",IF(EmployeeData[[#This Row],[Tenure Years]]&lt;=3,"1-3 Years",IF(EmployeeData[[#This Row],[Tenure Years]]&lt;=5,"4-5 Years",IF(EmployeeData[[#This Row],[Tenure Years]]&lt;=10,"6-10 Years","More than 10 Years"))))</f>
        <v>Less than 1 Year</v>
      </c>
      <c r="AD706">
        <f>ROUND(AVERAGE(EmployeeData[[#This Row],[JobSatisfaction]],EmployeeData[[#This Row],[EnvironmentSatisfaction]],EmployeeData[[#This Row],[WorkLifeBalance]]),2)</f>
        <v>2</v>
      </c>
      <c r="AE706" t="str">
        <f>IF(EmployeeData[[#This Row],[Satisfaction Score]]&lt;2,"Low",IF(EmployeeData[[#This Row],[Satisfaction Score]]&lt;3,"Medium","High"))</f>
        <v>Medium</v>
      </c>
    </row>
    <row r="707" spans="1:31" x14ac:dyDescent="0.25">
      <c r="A707" t="s">
        <v>3330</v>
      </c>
      <c r="B707" t="s">
        <v>3331</v>
      </c>
      <c r="C707" t="s">
        <v>49</v>
      </c>
      <c r="D707">
        <v>29</v>
      </c>
      <c r="E707" t="s">
        <v>128</v>
      </c>
      <c r="F707" t="s">
        <v>255</v>
      </c>
      <c r="G707" s="1">
        <v>44069</v>
      </c>
      <c r="H707">
        <v>71864</v>
      </c>
      <c r="I707" t="s">
        <v>52</v>
      </c>
      <c r="J707" t="s">
        <v>61</v>
      </c>
      <c r="K707" t="s">
        <v>106</v>
      </c>
      <c r="L707" t="s">
        <v>33</v>
      </c>
      <c r="M707">
        <v>22</v>
      </c>
      <c r="N707" t="s">
        <v>34</v>
      </c>
      <c r="O707">
        <v>2</v>
      </c>
      <c r="P707">
        <v>2</v>
      </c>
      <c r="Q707">
        <v>1</v>
      </c>
      <c r="R707">
        <v>5</v>
      </c>
      <c r="S707">
        <v>5</v>
      </c>
      <c r="T707">
        <v>5</v>
      </c>
      <c r="U707">
        <v>24</v>
      </c>
      <c r="V707" t="s">
        <v>5459</v>
      </c>
      <c r="W707" t="s">
        <v>45</v>
      </c>
      <c r="X707" s="1">
        <v>45004</v>
      </c>
      <c r="Y707" s="2" t="str">
        <f>IF(EmployeeData[[#This Row],[Age]]&lt;25,"Under 25",IF(EmployeeData[[#This Row],[Age]]&lt;=34,"25-34",IF(EmployeeData[[#This Row],[Age]]&lt;=44,"35-44",IF(EmployeeData[[#This Row],[Age]]&lt;=54,"45-54","55+"))))</f>
        <v>25-34</v>
      </c>
      <c r="Z707">
        <f ca="1">DATEDIF(EmployeeData[[#This Row],[DateOfJoining]],IF(AND(EmployeeData[[#This Row],[Attrition]]="Yes",EmployeeData[[#This Row],[LastWorkingDate]]&lt;&gt;""),EmployeeData[[#This Row],[LastWorkingDate]],TODAY()),"Y")</f>
        <v>2</v>
      </c>
      <c r="AA707" t="str">
        <f>IF(EmployeeData[[#This Row],[MonthlyIncome]]&lt;30000,"Low",IF(EmployeeData[[#This Row],[MonthlyIncome]]&lt;=60000,"Medium",IF(EmployeeData[[#This Row],[MonthlyIncome]]&lt;=100000,"High","Very High")))</f>
        <v>High</v>
      </c>
      <c r="AB707">
        <f>IF(EmployeeData[[#This Row],[Attrition]]="Yes",1,0)</f>
        <v>1</v>
      </c>
      <c r="AC707" t="str">
        <f ca="1">IF(EmployeeData[[#This Row],[Tenure Years]]&lt;1,"Less than 1 Year",IF(EmployeeData[[#This Row],[Tenure Years]]&lt;=3,"1-3 Years",IF(EmployeeData[[#This Row],[Tenure Years]]&lt;=5,"4-5 Years",IF(EmployeeData[[#This Row],[Tenure Years]]&lt;=10,"6-10 Years","More than 10 Years"))))</f>
        <v>1-3 Years</v>
      </c>
      <c r="AD707">
        <f>ROUND(AVERAGE(EmployeeData[[#This Row],[JobSatisfaction]],EmployeeData[[#This Row],[EnvironmentSatisfaction]],EmployeeData[[#This Row],[WorkLifeBalance]]),2)</f>
        <v>1.67</v>
      </c>
      <c r="AE707" t="str">
        <f>IF(EmployeeData[[#This Row],[Satisfaction Score]]&lt;2,"Low",IF(EmployeeData[[#This Row],[Satisfaction Score]]&lt;3,"Medium","High"))</f>
        <v>Low</v>
      </c>
    </row>
    <row r="708" spans="1:31" x14ac:dyDescent="0.25">
      <c r="A708" t="s">
        <v>3334</v>
      </c>
      <c r="B708" t="s">
        <v>3335</v>
      </c>
      <c r="C708" t="s">
        <v>49</v>
      </c>
      <c r="D708">
        <v>36</v>
      </c>
      <c r="E708" t="s">
        <v>94</v>
      </c>
      <c r="F708" t="s">
        <v>306</v>
      </c>
      <c r="G708" s="1">
        <v>41450</v>
      </c>
      <c r="H708">
        <v>79431</v>
      </c>
      <c r="I708" t="s">
        <v>42</v>
      </c>
      <c r="J708" t="s">
        <v>31</v>
      </c>
      <c r="K708" t="s">
        <v>106</v>
      </c>
      <c r="L708" t="s">
        <v>62</v>
      </c>
      <c r="M708">
        <v>33</v>
      </c>
      <c r="N708" t="s">
        <v>34</v>
      </c>
      <c r="O708">
        <v>1</v>
      </c>
      <c r="P708">
        <v>4</v>
      </c>
      <c r="Q708">
        <v>1</v>
      </c>
      <c r="R708">
        <v>2</v>
      </c>
      <c r="S708">
        <v>3</v>
      </c>
      <c r="T708">
        <v>6</v>
      </c>
      <c r="U708">
        <v>22</v>
      </c>
      <c r="V708" t="s">
        <v>3338</v>
      </c>
      <c r="W708" t="s">
        <v>45</v>
      </c>
      <c r="X708" s="1">
        <v>45148</v>
      </c>
      <c r="Y708" s="2" t="str">
        <f>IF(EmployeeData[[#This Row],[Age]]&lt;25,"Under 25",IF(EmployeeData[[#This Row],[Age]]&lt;=34,"25-34",IF(EmployeeData[[#This Row],[Age]]&lt;=44,"35-44",IF(EmployeeData[[#This Row],[Age]]&lt;=54,"45-54","55+"))))</f>
        <v>35-44</v>
      </c>
      <c r="Z708">
        <f ca="1">DATEDIF(EmployeeData[[#This Row],[DateOfJoining]],IF(AND(EmployeeData[[#This Row],[Attrition]]="Yes",EmployeeData[[#This Row],[LastWorkingDate]]&lt;&gt;""),EmployeeData[[#This Row],[LastWorkingDate]],TODAY()),"Y")</f>
        <v>10</v>
      </c>
      <c r="AA708" t="str">
        <f>IF(EmployeeData[[#This Row],[MonthlyIncome]]&lt;30000,"Low",IF(EmployeeData[[#This Row],[MonthlyIncome]]&lt;=60000,"Medium",IF(EmployeeData[[#This Row],[MonthlyIncome]]&lt;=100000,"High","Very High")))</f>
        <v>High</v>
      </c>
      <c r="AB708">
        <f>IF(EmployeeData[[#This Row],[Attrition]]="Yes",1,0)</f>
        <v>1</v>
      </c>
      <c r="AC708" t="str">
        <f ca="1">IF(EmployeeData[[#This Row],[Tenure Years]]&lt;1,"Less than 1 Year",IF(EmployeeData[[#This Row],[Tenure Years]]&lt;=3,"1-3 Years",IF(EmployeeData[[#This Row],[Tenure Years]]&lt;=5,"4-5 Years",IF(EmployeeData[[#This Row],[Tenure Years]]&lt;=10,"6-10 Years","More than 10 Years"))))</f>
        <v>6-10 Years</v>
      </c>
      <c r="AD708">
        <f>ROUND(AVERAGE(EmployeeData[[#This Row],[JobSatisfaction]],EmployeeData[[#This Row],[EnvironmentSatisfaction]],EmployeeData[[#This Row],[WorkLifeBalance]]),2)</f>
        <v>2</v>
      </c>
      <c r="AE708" t="str">
        <f>IF(EmployeeData[[#This Row],[Satisfaction Score]]&lt;2,"Low",IF(EmployeeData[[#This Row],[Satisfaction Score]]&lt;3,"Medium","High"))</f>
        <v>Medium</v>
      </c>
    </row>
    <row r="709" spans="1:31" x14ac:dyDescent="0.25">
      <c r="A709" t="s">
        <v>3340</v>
      </c>
      <c r="B709" t="s">
        <v>3341</v>
      </c>
      <c r="C709" t="s">
        <v>58</v>
      </c>
      <c r="D709">
        <v>43</v>
      </c>
      <c r="E709" t="s">
        <v>27</v>
      </c>
      <c r="F709" t="s">
        <v>75</v>
      </c>
      <c r="G709" s="1">
        <v>44914</v>
      </c>
      <c r="H709">
        <v>98891</v>
      </c>
      <c r="I709" t="s">
        <v>52</v>
      </c>
      <c r="J709" t="s">
        <v>31</v>
      </c>
      <c r="K709" t="s">
        <v>83</v>
      </c>
      <c r="L709" t="s">
        <v>43</v>
      </c>
      <c r="M709">
        <v>45</v>
      </c>
      <c r="N709" t="s">
        <v>34</v>
      </c>
      <c r="O709">
        <v>2</v>
      </c>
      <c r="P709">
        <v>4</v>
      </c>
      <c r="Q709">
        <v>4</v>
      </c>
      <c r="R709">
        <v>2</v>
      </c>
      <c r="S709">
        <v>0</v>
      </c>
      <c r="T709">
        <v>5</v>
      </c>
      <c r="U709">
        <v>19</v>
      </c>
      <c r="V709" t="s">
        <v>3343</v>
      </c>
      <c r="W709" t="s">
        <v>34</v>
      </c>
      <c r="Y709" s="2" t="str">
        <f>IF(EmployeeData[[#This Row],[Age]]&lt;25,"Under 25",IF(EmployeeData[[#This Row],[Age]]&lt;=34,"25-34",IF(EmployeeData[[#This Row],[Age]]&lt;=44,"35-44",IF(EmployeeData[[#This Row],[Age]]&lt;=54,"45-54","55+"))))</f>
        <v>35-44</v>
      </c>
      <c r="Z709">
        <f ca="1">DATEDIF(EmployeeData[[#This Row],[DateOfJoining]],IF(AND(EmployeeData[[#This Row],[Attrition]]="Yes",EmployeeData[[#This Row],[LastWorkingDate]]&lt;&gt;""),EmployeeData[[#This Row],[LastWorkingDate]],TODAY()),"Y")</f>
        <v>3</v>
      </c>
      <c r="AA709" t="str">
        <f>IF(EmployeeData[[#This Row],[MonthlyIncome]]&lt;30000,"Low",IF(EmployeeData[[#This Row],[MonthlyIncome]]&lt;=60000,"Medium",IF(EmployeeData[[#This Row],[MonthlyIncome]]&lt;=100000,"High","Very High")))</f>
        <v>High</v>
      </c>
      <c r="AB709">
        <f>IF(EmployeeData[[#This Row],[Attrition]]="Yes",1,0)</f>
        <v>0</v>
      </c>
      <c r="AC709" t="str">
        <f ca="1">IF(EmployeeData[[#This Row],[Tenure Years]]&lt;1,"Less than 1 Year",IF(EmployeeData[[#This Row],[Tenure Years]]&lt;=3,"1-3 Years",IF(EmployeeData[[#This Row],[Tenure Years]]&lt;=5,"4-5 Years",IF(EmployeeData[[#This Row],[Tenure Years]]&lt;=10,"6-10 Years","More than 10 Years"))))</f>
        <v>1-3 Years</v>
      </c>
      <c r="AD709">
        <f>ROUND(AVERAGE(EmployeeData[[#This Row],[JobSatisfaction]],EmployeeData[[#This Row],[EnvironmentSatisfaction]],EmployeeData[[#This Row],[WorkLifeBalance]]),2)</f>
        <v>3.33</v>
      </c>
      <c r="AE709" t="str">
        <f>IF(EmployeeData[[#This Row],[Satisfaction Score]]&lt;2,"Low",IF(EmployeeData[[#This Row],[Satisfaction Score]]&lt;3,"Medium","High"))</f>
        <v>High</v>
      </c>
    </row>
    <row r="710" spans="1:31" x14ac:dyDescent="0.25">
      <c r="A710" t="s">
        <v>3344</v>
      </c>
      <c r="B710" t="s">
        <v>3345</v>
      </c>
      <c r="C710" t="s">
        <v>58</v>
      </c>
      <c r="D710">
        <v>35</v>
      </c>
      <c r="E710" t="s">
        <v>94</v>
      </c>
      <c r="F710" t="s">
        <v>356</v>
      </c>
      <c r="G710" s="1">
        <v>46203</v>
      </c>
      <c r="H710">
        <v>52819</v>
      </c>
      <c r="I710" t="s">
        <v>42</v>
      </c>
      <c r="J710" t="s">
        <v>61</v>
      </c>
      <c r="K710" t="s">
        <v>32</v>
      </c>
      <c r="L710" t="s">
        <v>43</v>
      </c>
      <c r="M710">
        <v>42</v>
      </c>
      <c r="N710" t="s">
        <v>45</v>
      </c>
      <c r="O710">
        <v>3</v>
      </c>
      <c r="P710">
        <v>1</v>
      </c>
      <c r="Q710">
        <v>4</v>
      </c>
      <c r="R710">
        <v>2</v>
      </c>
      <c r="S710">
        <v>0</v>
      </c>
      <c r="T710">
        <v>5</v>
      </c>
      <c r="U710">
        <v>23</v>
      </c>
      <c r="V710" t="s">
        <v>3347</v>
      </c>
      <c r="W710" t="s">
        <v>45</v>
      </c>
      <c r="X710" s="1">
        <v>46218</v>
      </c>
      <c r="Y710" s="2" t="str">
        <f>IF(EmployeeData[[#This Row],[Age]]&lt;25,"Under 25",IF(EmployeeData[[#This Row],[Age]]&lt;=34,"25-34",IF(EmployeeData[[#This Row],[Age]]&lt;=44,"35-44",IF(EmployeeData[[#This Row],[Age]]&lt;=54,"45-54","55+"))))</f>
        <v>35-44</v>
      </c>
      <c r="Z710">
        <f ca="1">DATEDIF(EmployeeData[[#This Row],[DateOfJoining]],IF(AND(EmployeeData[[#This Row],[Attrition]]="Yes",EmployeeData[[#This Row],[LastWorkingDate]]&lt;&gt;""),EmployeeData[[#This Row],[LastWorkingDate]],TODAY()),"Y")</f>
        <v>0</v>
      </c>
      <c r="AA710" t="str">
        <f>IF(EmployeeData[[#This Row],[MonthlyIncome]]&lt;30000,"Low",IF(EmployeeData[[#This Row],[MonthlyIncome]]&lt;=60000,"Medium",IF(EmployeeData[[#This Row],[MonthlyIncome]]&lt;=100000,"High","Very High")))</f>
        <v>Medium</v>
      </c>
      <c r="AB710">
        <f>IF(EmployeeData[[#This Row],[Attrition]]="Yes",1,0)</f>
        <v>1</v>
      </c>
      <c r="AC710" t="str">
        <f ca="1">IF(EmployeeData[[#This Row],[Tenure Years]]&lt;1,"Less than 1 Year",IF(EmployeeData[[#This Row],[Tenure Years]]&lt;=3,"1-3 Years",IF(EmployeeData[[#This Row],[Tenure Years]]&lt;=5,"4-5 Years",IF(EmployeeData[[#This Row],[Tenure Years]]&lt;=10,"6-10 Years","More than 10 Years"))))</f>
        <v>Less than 1 Year</v>
      </c>
      <c r="AD710">
        <f>ROUND(AVERAGE(EmployeeData[[#This Row],[JobSatisfaction]],EmployeeData[[#This Row],[EnvironmentSatisfaction]],EmployeeData[[#This Row],[WorkLifeBalance]]),2)</f>
        <v>2.67</v>
      </c>
      <c r="AE710" t="str">
        <f>IF(EmployeeData[[#This Row],[Satisfaction Score]]&lt;2,"Low",IF(EmployeeData[[#This Row],[Satisfaction Score]]&lt;3,"Medium","High"))</f>
        <v>Medium</v>
      </c>
    </row>
    <row r="711" spans="1:31" x14ac:dyDescent="0.25">
      <c r="A711" t="s">
        <v>3349</v>
      </c>
      <c r="B711" t="s">
        <v>5459</v>
      </c>
      <c r="C711" t="s">
        <v>49</v>
      </c>
      <c r="D711">
        <v>51</v>
      </c>
      <c r="E711" t="s">
        <v>94</v>
      </c>
      <c r="F711" t="s">
        <v>356</v>
      </c>
      <c r="G711" s="1">
        <v>41937</v>
      </c>
      <c r="H711">
        <v>117087</v>
      </c>
      <c r="I711" t="s">
        <v>30</v>
      </c>
      <c r="J711" t="s">
        <v>97</v>
      </c>
      <c r="K711" t="s">
        <v>106</v>
      </c>
      <c r="L711" t="s">
        <v>62</v>
      </c>
      <c r="M711">
        <v>27</v>
      </c>
      <c r="N711" t="s">
        <v>45</v>
      </c>
      <c r="O711">
        <v>3</v>
      </c>
      <c r="P711">
        <v>3</v>
      </c>
      <c r="Q711">
        <v>3</v>
      </c>
      <c r="R711">
        <v>5</v>
      </c>
      <c r="S711">
        <v>2</v>
      </c>
      <c r="T711">
        <v>4</v>
      </c>
      <c r="U711">
        <v>12</v>
      </c>
      <c r="V711" t="s">
        <v>3351</v>
      </c>
      <c r="W711" t="s">
        <v>34</v>
      </c>
      <c r="Y711" s="2" t="str">
        <f>IF(EmployeeData[[#This Row],[Age]]&lt;25,"Under 25",IF(EmployeeData[[#This Row],[Age]]&lt;=34,"25-34",IF(EmployeeData[[#This Row],[Age]]&lt;=44,"35-44",IF(EmployeeData[[#This Row],[Age]]&lt;=54,"45-54","55+"))))</f>
        <v>45-54</v>
      </c>
      <c r="Z711">
        <f ca="1">DATEDIF(EmployeeData[[#This Row],[DateOfJoining]],IF(AND(EmployeeData[[#This Row],[Attrition]]="Yes",EmployeeData[[#This Row],[LastWorkingDate]]&lt;&gt;""),EmployeeData[[#This Row],[LastWorkingDate]],TODAY()),"Y")</f>
        <v>11</v>
      </c>
      <c r="AA711" t="str">
        <f>IF(EmployeeData[[#This Row],[MonthlyIncome]]&lt;30000,"Low",IF(EmployeeData[[#This Row],[MonthlyIncome]]&lt;=60000,"Medium",IF(EmployeeData[[#This Row],[MonthlyIncome]]&lt;=100000,"High","Very High")))</f>
        <v>Very High</v>
      </c>
      <c r="AB711">
        <f>IF(EmployeeData[[#This Row],[Attrition]]="Yes",1,0)</f>
        <v>0</v>
      </c>
      <c r="AC711" t="str">
        <f ca="1">IF(EmployeeData[[#This Row],[Tenure Years]]&lt;1,"Less than 1 Year",IF(EmployeeData[[#This Row],[Tenure Years]]&lt;=3,"1-3 Years",IF(EmployeeData[[#This Row],[Tenure Years]]&lt;=5,"4-5 Years",IF(EmployeeData[[#This Row],[Tenure Years]]&lt;=10,"6-10 Years","More than 10 Years"))))</f>
        <v>More than 10 Years</v>
      </c>
      <c r="AD711">
        <f>ROUND(AVERAGE(EmployeeData[[#This Row],[JobSatisfaction]],EmployeeData[[#This Row],[EnvironmentSatisfaction]],EmployeeData[[#This Row],[WorkLifeBalance]]),2)</f>
        <v>3</v>
      </c>
      <c r="AE711" t="str">
        <f>IF(EmployeeData[[#This Row],[Satisfaction Score]]&lt;2,"Low",IF(EmployeeData[[#This Row],[Satisfaction Score]]&lt;3,"Medium","High"))</f>
        <v>High</v>
      </c>
    </row>
    <row r="712" spans="1:31" x14ac:dyDescent="0.25">
      <c r="A712" t="s">
        <v>3352</v>
      </c>
      <c r="B712" t="s">
        <v>3353</v>
      </c>
      <c r="C712" t="s">
        <v>49</v>
      </c>
      <c r="D712">
        <v>34</v>
      </c>
      <c r="E712" t="s">
        <v>94</v>
      </c>
      <c r="F712" t="s">
        <v>639</v>
      </c>
      <c r="G712" s="1">
        <v>41352</v>
      </c>
      <c r="H712">
        <v>130885</v>
      </c>
      <c r="I712" t="s">
        <v>42</v>
      </c>
      <c r="J712" t="s">
        <v>143</v>
      </c>
      <c r="K712" t="s">
        <v>32</v>
      </c>
      <c r="L712" t="s">
        <v>43</v>
      </c>
      <c r="M712">
        <v>24</v>
      </c>
      <c r="N712" t="s">
        <v>45</v>
      </c>
      <c r="O712">
        <v>1</v>
      </c>
      <c r="P712">
        <v>2</v>
      </c>
      <c r="Q712">
        <v>4</v>
      </c>
      <c r="R712">
        <v>1</v>
      </c>
      <c r="S712">
        <v>2</v>
      </c>
      <c r="T712">
        <v>4</v>
      </c>
      <c r="U712">
        <v>13</v>
      </c>
      <c r="V712" t="s">
        <v>3355</v>
      </c>
      <c r="W712" t="s">
        <v>45</v>
      </c>
      <c r="X712" s="1">
        <v>43993</v>
      </c>
      <c r="Y712" s="2" t="str">
        <f>IF(EmployeeData[[#This Row],[Age]]&lt;25,"Under 25",IF(EmployeeData[[#This Row],[Age]]&lt;=34,"25-34",IF(EmployeeData[[#This Row],[Age]]&lt;=44,"35-44",IF(EmployeeData[[#This Row],[Age]]&lt;=54,"45-54","55+"))))</f>
        <v>25-34</v>
      </c>
      <c r="Z712">
        <f ca="1">DATEDIF(EmployeeData[[#This Row],[DateOfJoining]],IF(AND(EmployeeData[[#This Row],[Attrition]]="Yes",EmployeeData[[#This Row],[LastWorkingDate]]&lt;&gt;""),EmployeeData[[#This Row],[LastWorkingDate]],TODAY()),"Y")</f>
        <v>7</v>
      </c>
      <c r="AA712" t="str">
        <f>IF(EmployeeData[[#This Row],[MonthlyIncome]]&lt;30000,"Low",IF(EmployeeData[[#This Row],[MonthlyIncome]]&lt;=60000,"Medium",IF(EmployeeData[[#This Row],[MonthlyIncome]]&lt;=100000,"High","Very High")))</f>
        <v>Very High</v>
      </c>
      <c r="AB712">
        <f>IF(EmployeeData[[#This Row],[Attrition]]="Yes",1,0)</f>
        <v>1</v>
      </c>
      <c r="AC712" t="str">
        <f ca="1">IF(EmployeeData[[#This Row],[Tenure Years]]&lt;1,"Less than 1 Year",IF(EmployeeData[[#This Row],[Tenure Years]]&lt;=3,"1-3 Years",IF(EmployeeData[[#This Row],[Tenure Years]]&lt;=5,"4-5 Years",IF(EmployeeData[[#This Row],[Tenure Years]]&lt;=10,"6-10 Years","More than 10 Years"))))</f>
        <v>6-10 Years</v>
      </c>
      <c r="AD712">
        <f>ROUND(AVERAGE(EmployeeData[[#This Row],[JobSatisfaction]],EmployeeData[[#This Row],[EnvironmentSatisfaction]],EmployeeData[[#This Row],[WorkLifeBalance]]),2)</f>
        <v>2.33</v>
      </c>
      <c r="AE712" t="str">
        <f>IF(EmployeeData[[#This Row],[Satisfaction Score]]&lt;2,"Low",IF(EmployeeData[[#This Row],[Satisfaction Score]]&lt;3,"Medium","High"))</f>
        <v>Medium</v>
      </c>
    </row>
    <row r="713" spans="1:31" x14ac:dyDescent="0.25">
      <c r="A713" t="s">
        <v>3357</v>
      </c>
      <c r="B713" t="s">
        <v>3358</v>
      </c>
      <c r="C713" t="s">
        <v>49</v>
      </c>
      <c r="D713">
        <v>42</v>
      </c>
      <c r="E713" t="s">
        <v>27</v>
      </c>
      <c r="F713" t="s">
        <v>188</v>
      </c>
      <c r="G713" s="1">
        <v>41511</v>
      </c>
      <c r="H713">
        <v>106453</v>
      </c>
      <c r="I713" t="s">
        <v>30</v>
      </c>
      <c r="J713" t="s">
        <v>61</v>
      </c>
      <c r="K713" t="s">
        <v>131</v>
      </c>
      <c r="L713" t="s">
        <v>62</v>
      </c>
      <c r="M713">
        <v>2</v>
      </c>
      <c r="N713" t="s">
        <v>34</v>
      </c>
      <c r="O713">
        <v>2</v>
      </c>
      <c r="P713">
        <v>4</v>
      </c>
      <c r="Q713">
        <v>1</v>
      </c>
      <c r="R713">
        <v>3</v>
      </c>
      <c r="S713">
        <v>2</v>
      </c>
      <c r="T713">
        <v>3</v>
      </c>
      <c r="U713">
        <v>25</v>
      </c>
      <c r="V713" t="s">
        <v>3360</v>
      </c>
      <c r="W713" t="s">
        <v>34</v>
      </c>
      <c r="Y713" s="2" t="str">
        <f>IF(EmployeeData[[#This Row],[Age]]&lt;25,"Under 25",IF(EmployeeData[[#This Row],[Age]]&lt;=34,"25-34",IF(EmployeeData[[#This Row],[Age]]&lt;=44,"35-44",IF(EmployeeData[[#This Row],[Age]]&lt;=54,"45-54","55+"))))</f>
        <v>35-44</v>
      </c>
      <c r="Z713">
        <f ca="1">DATEDIF(EmployeeData[[#This Row],[DateOfJoining]],IF(AND(EmployeeData[[#This Row],[Attrition]]="Yes",EmployeeData[[#This Row],[LastWorkingDate]]&lt;&gt;""),EmployeeData[[#This Row],[LastWorkingDate]],TODAY()),"Y")</f>
        <v>13</v>
      </c>
      <c r="AA713" t="str">
        <f>IF(EmployeeData[[#This Row],[MonthlyIncome]]&lt;30000,"Low",IF(EmployeeData[[#This Row],[MonthlyIncome]]&lt;=60000,"Medium",IF(EmployeeData[[#This Row],[MonthlyIncome]]&lt;=100000,"High","Very High")))</f>
        <v>Very High</v>
      </c>
      <c r="AB713">
        <f>IF(EmployeeData[[#This Row],[Attrition]]="Yes",1,0)</f>
        <v>0</v>
      </c>
      <c r="AC713" t="str">
        <f ca="1">IF(EmployeeData[[#This Row],[Tenure Years]]&lt;1,"Less than 1 Year",IF(EmployeeData[[#This Row],[Tenure Years]]&lt;=3,"1-3 Years",IF(EmployeeData[[#This Row],[Tenure Years]]&lt;=5,"4-5 Years",IF(EmployeeData[[#This Row],[Tenure Years]]&lt;=10,"6-10 Years","More than 10 Years"))))</f>
        <v>More than 10 Years</v>
      </c>
      <c r="AD713">
        <f>ROUND(AVERAGE(EmployeeData[[#This Row],[JobSatisfaction]],EmployeeData[[#This Row],[EnvironmentSatisfaction]],EmployeeData[[#This Row],[WorkLifeBalance]]),2)</f>
        <v>2.33</v>
      </c>
      <c r="AE713" t="str">
        <f>IF(EmployeeData[[#This Row],[Satisfaction Score]]&lt;2,"Low",IF(EmployeeData[[#This Row],[Satisfaction Score]]&lt;3,"Medium","High"))</f>
        <v>Medium</v>
      </c>
    </row>
    <row r="714" spans="1:31" x14ac:dyDescent="0.25">
      <c r="A714" t="s">
        <v>3361</v>
      </c>
      <c r="B714" t="s">
        <v>3362</v>
      </c>
      <c r="C714" t="s">
        <v>58</v>
      </c>
      <c r="D714">
        <v>42</v>
      </c>
      <c r="E714" t="s">
        <v>27</v>
      </c>
      <c r="F714" t="s">
        <v>50</v>
      </c>
      <c r="G714" s="1">
        <v>42059</v>
      </c>
      <c r="H714">
        <v>114877</v>
      </c>
      <c r="I714" t="s">
        <v>42</v>
      </c>
      <c r="J714" t="s">
        <v>31</v>
      </c>
      <c r="K714" t="s">
        <v>5459</v>
      </c>
      <c r="L714" t="s">
        <v>43</v>
      </c>
      <c r="M714">
        <v>36</v>
      </c>
      <c r="N714" t="s">
        <v>34</v>
      </c>
      <c r="O714">
        <v>4</v>
      </c>
      <c r="P714">
        <v>2</v>
      </c>
      <c r="Q714">
        <v>1</v>
      </c>
      <c r="R714">
        <v>3</v>
      </c>
      <c r="S714">
        <v>4</v>
      </c>
      <c r="T714">
        <v>3</v>
      </c>
      <c r="U714">
        <v>19</v>
      </c>
      <c r="V714" t="s">
        <v>3364</v>
      </c>
      <c r="W714" t="s">
        <v>34</v>
      </c>
      <c r="Y714" s="2" t="str">
        <f>IF(EmployeeData[[#This Row],[Age]]&lt;25,"Under 25",IF(EmployeeData[[#This Row],[Age]]&lt;=34,"25-34",IF(EmployeeData[[#This Row],[Age]]&lt;=44,"35-44",IF(EmployeeData[[#This Row],[Age]]&lt;=54,"45-54","55+"))))</f>
        <v>35-44</v>
      </c>
      <c r="Z714">
        <f ca="1">DATEDIF(EmployeeData[[#This Row],[DateOfJoining]],IF(AND(EmployeeData[[#This Row],[Attrition]]="Yes",EmployeeData[[#This Row],[LastWorkingDate]]&lt;&gt;""),EmployeeData[[#This Row],[LastWorkingDate]],TODAY()),"Y")</f>
        <v>11</v>
      </c>
      <c r="AA714" t="str">
        <f>IF(EmployeeData[[#This Row],[MonthlyIncome]]&lt;30000,"Low",IF(EmployeeData[[#This Row],[MonthlyIncome]]&lt;=60000,"Medium",IF(EmployeeData[[#This Row],[MonthlyIncome]]&lt;=100000,"High","Very High")))</f>
        <v>Very High</v>
      </c>
      <c r="AB714">
        <f>IF(EmployeeData[[#This Row],[Attrition]]="Yes",1,0)</f>
        <v>0</v>
      </c>
      <c r="AC714" t="str">
        <f ca="1">IF(EmployeeData[[#This Row],[Tenure Years]]&lt;1,"Less than 1 Year",IF(EmployeeData[[#This Row],[Tenure Years]]&lt;=3,"1-3 Years",IF(EmployeeData[[#This Row],[Tenure Years]]&lt;=5,"4-5 Years",IF(EmployeeData[[#This Row],[Tenure Years]]&lt;=10,"6-10 Years","More than 10 Years"))))</f>
        <v>More than 10 Years</v>
      </c>
      <c r="AD714">
        <f>ROUND(AVERAGE(EmployeeData[[#This Row],[JobSatisfaction]],EmployeeData[[#This Row],[EnvironmentSatisfaction]],EmployeeData[[#This Row],[WorkLifeBalance]]),2)</f>
        <v>2.33</v>
      </c>
      <c r="AE714" t="str">
        <f>IF(EmployeeData[[#This Row],[Satisfaction Score]]&lt;2,"Low",IF(EmployeeData[[#This Row],[Satisfaction Score]]&lt;3,"Medium","High"))</f>
        <v>Medium</v>
      </c>
    </row>
    <row r="715" spans="1:31" x14ac:dyDescent="0.25">
      <c r="A715" t="s">
        <v>3365</v>
      </c>
      <c r="B715" t="s">
        <v>1883</v>
      </c>
      <c r="C715" t="s">
        <v>5459</v>
      </c>
      <c r="D715">
        <v>40</v>
      </c>
      <c r="E715" t="s">
        <v>27</v>
      </c>
      <c r="F715" t="s">
        <v>59</v>
      </c>
      <c r="G715" s="1">
        <v>41131</v>
      </c>
      <c r="H715">
        <v>56921</v>
      </c>
      <c r="I715" t="s">
        <v>52</v>
      </c>
      <c r="J715" t="s">
        <v>61</v>
      </c>
      <c r="K715" t="s">
        <v>106</v>
      </c>
      <c r="L715" t="s">
        <v>43</v>
      </c>
      <c r="M715">
        <v>16</v>
      </c>
      <c r="N715" t="s">
        <v>34</v>
      </c>
      <c r="O715">
        <v>2</v>
      </c>
      <c r="P715">
        <v>3</v>
      </c>
      <c r="Q715">
        <v>4</v>
      </c>
      <c r="R715">
        <v>2</v>
      </c>
      <c r="S715">
        <v>4</v>
      </c>
      <c r="T715">
        <v>8</v>
      </c>
      <c r="U715">
        <v>22</v>
      </c>
      <c r="V715" t="s">
        <v>3367</v>
      </c>
      <c r="W715" t="s">
        <v>34</v>
      </c>
      <c r="Y715" s="2" t="str">
        <f>IF(EmployeeData[[#This Row],[Age]]&lt;25,"Under 25",IF(EmployeeData[[#This Row],[Age]]&lt;=34,"25-34",IF(EmployeeData[[#This Row],[Age]]&lt;=44,"35-44",IF(EmployeeData[[#This Row],[Age]]&lt;=54,"45-54","55+"))))</f>
        <v>35-44</v>
      </c>
      <c r="Z715">
        <f ca="1">DATEDIF(EmployeeData[[#This Row],[DateOfJoining]],IF(AND(EmployeeData[[#This Row],[Attrition]]="Yes",EmployeeData[[#This Row],[LastWorkingDate]]&lt;&gt;""),EmployeeData[[#This Row],[LastWorkingDate]],TODAY()),"Y")</f>
        <v>14</v>
      </c>
      <c r="AA715" t="str">
        <f>IF(EmployeeData[[#This Row],[MonthlyIncome]]&lt;30000,"Low",IF(EmployeeData[[#This Row],[MonthlyIncome]]&lt;=60000,"Medium",IF(EmployeeData[[#This Row],[MonthlyIncome]]&lt;=100000,"High","Very High")))</f>
        <v>Medium</v>
      </c>
      <c r="AB715">
        <f>IF(EmployeeData[[#This Row],[Attrition]]="Yes",1,0)</f>
        <v>0</v>
      </c>
      <c r="AC715" t="str">
        <f ca="1">IF(EmployeeData[[#This Row],[Tenure Years]]&lt;1,"Less than 1 Year",IF(EmployeeData[[#This Row],[Tenure Years]]&lt;=3,"1-3 Years",IF(EmployeeData[[#This Row],[Tenure Years]]&lt;=5,"4-5 Years",IF(EmployeeData[[#This Row],[Tenure Years]]&lt;=10,"6-10 Years","More than 10 Years"))))</f>
        <v>More than 10 Years</v>
      </c>
      <c r="AD715">
        <f>ROUND(AVERAGE(EmployeeData[[#This Row],[JobSatisfaction]],EmployeeData[[#This Row],[EnvironmentSatisfaction]],EmployeeData[[#This Row],[WorkLifeBalance]]),2)</f>
        <v>3</v>
      </c>
      <c r="AE715" t="str">
        <f>IF(EmployeeData[[#This Row],[Satisfaction Score]]&lt;2,"Low",IF(EmployeeData[[#This Row],[Satisfaction Score]]&lt;3,"Medium","High"))</f>
        <v>High</v>
      </c>
    </row>
    <row r="716" spans="1:31" x14ac:dyDescent="0.25">
      <c r="A716" t="s">
        <v>3368</v>
      </c>
      <c r="B716" t="s">
        <v>3369</v>
      </c>
      <c r="C716" t="s">
        <v>58</v>
      </c>
      <c r="D716">
        <v>45</v>
      </c>
      <c r="E716" t="s">
        <v>38</v>
      </c>
      <c r="F716" t="s">
        <v>5460</v>
      </c>
      <c r="G716" s="1">
        <v>43048</v>
      </c>
      <c r="H716">
        <v>48565</v>
      </c>
      <c r="I716" t="s">
        <v>30</v>
      </c>
      <c r="J716" t="s">
        <v>31</v>
      </c>
      <c r="K716" t="s">
        <v>54</v>
      </c>
      <c r="L716" t="s">
        <v>33</v>
      </c>
      <c r="M716">
        <v>6</v>
      </c>
      <c r="N716" t="s">
        <v>34</v>
      </c>
      <c r="O716">
        <v>1</v>
      </c>
      <c r="P716">
        <v>4</v>
      </c>
      <c r="Q716">
        <v>1</v>
      </c>
      <c r="R716">
        <v>3</v>
      </c>
      <c r="S716">
        <v>0</v>
      </c>
      <c r="T716">
        <v>7</v>
      </c>
      <c r="U716">
        <v>12</v>
      </c>
      <c r="V716" t="s">
        <v>3371</v>
      </c>
      <c r="W716" t="s">
        <v>34</v>
      </c>
      <c r="Y716" s="2" t="str">
        <f>IF(EmployeeData[[#This Row],[Age]]&lt;25,"Under 25",IF(EmployeeData[[#This Row],[Age]]&lt;=34,"25-34",IF(EmployeeData[[#This Row],[Age]]&lt;=44,"35-44",IF(EmployeeData[[#This Row],[Age]]&lt;=54,"45-54","55+"))))</f>
        <v>45-54</v>
      </c>
      <c r="Z716">
        <f ca="1">DATEDIF(EmployeeData[[#This Row],[DateOfJoining]],IF(AND(EmployeeData[[#This Row],[Attrition]]="Yes",EmployeeData[[#This Row],[LastWorkingDate]]&lt;&gt;""),EmployeeData[[#This Row],[LastWorkingDate]],TODAY()),"Y")</f>
        <v>8</v>
      </c>
      <c r="AA716" t="str">
        <f>IF(EmployeeData[[#This Row],[MonthlyIncome]]&lt;30000,"Low",IF(EmployeeData[[#This Row],[MonthlyIncome]]&lt;=60000,"Medium",IF(EmployeeData[[#This Row],[MonthlyIncome]]&lt;=100000,"High","Very High")))</f>
        <v>Medium</v>
      </c>
      <c r="AB716">
        <f>IF(EmployeeData[[#This Row],[Attrition]]="Yes",1,0)</f>
        <v>0</v>
      </c>
      <c r="AC716" t="str">
        <f ca="1">IF(EmployeeData[[#This Row],[Tenure Years]]&lt;1,"Less than 1 Year",IF(EmployeeData[[#This Row],[Tenure Years]]&lt;=3,"1-3 Years",IF(EmployeeData[[#This Row],[Tenure Years]]&lt;=5,"4-5 Years",IF(EmployeeData[[#This Row],[Tenure Years]]&lt;=10,"6-10 Years","More than 10 Years"))))</f>
        <v>6-10 Years</v>
      </c>
      <c r="AD716">
        <f>ROUND(AVERAGE(EmployeeData[[#This Row],[JobSatisfaction]],EmployeeData[[#This Row],[EnvironmentSatisfaction]],EmployeeData[[#This Row],[WorkLifeBalance]]),2)</f>
        <v>2</v>
      </c>
      <c r="AE716" t="str">
        <f>IF(EmployeeData[[#This Row],[Satisfaction Score]]&lt;2,"Low",IF(EmployeeData[[#This Row],[Satisfaction Score]]&lt;3,"Medium","High"))</f>
        <v>Medium</v>
      </c>
    </row>
    <row r="717" spans="1:31" x14ac:dyDescent="0.25">
      <c r="A717" t="s">
        <v>3372</v>
      </c>
      <c r="B717" t="s">
        <v>3373</v>
      </c>
      <c r="C717" t="s">
        <v>58</v>
      </c>
      <c r="D717">
        <v>45</v>
      </c>
      <c r="E717" t="s">
        <v>128</v>
      </c>
      <c r="F717" t="s">
        <v>255</v>
      </c>
      <c r="G717" s="1">
        <v>41248</v>
      </c>
      <c r="H717">
        <v>109129</v>
      </c>
      <c r="I717" t="s">
        <v>30</v>
      </c>
      <c r="J717" t="s">
        <v>61</v>
      </c>
      <c r="K717" t="s">
        <v>32</v>
      </c>
      <c r="L717" t="s">
        <v>33</v>
      </c>
      <c r="M717">
        <v>11</v>
      </c>
      <c r="N717" t="s">
        <v>45</v>
      </c>
      <c r="O717">
        <v>1</v>
      </c>
      <c r="P717">
        <v>4</v>
      </c>
      <c r="Q717">
        <v>4</v>
      </c>
      <c r="R717">
        <v>3</v>
      </c>
      <c r="S717">
        <v>1</v>
      </c>
      <c r="T717">
        <v>2</v>
      </c>
      <c r="U717">
        <v>20</v>
      </c>
      <c r="V717" t="s">
        <v>3376</v>
      </c>
      <c r="W717" t="s">
        <v>34</v>
      </c>
      <c r="Y717" s="2" t="str">
        <f>IF(EmployeeData[[#This Row],[Age]]&lt;25,"Under 25",IF(EmployeeData[[#This Row],[Age]]&lt;=34,"25-34",IF(EmployeeData[[#This Row],[Age]]&lt;=44,"35-44",IF(EmployeeData[[#This Row],[Age]]&lt;=54,"45-54","55+"))))</f>
        <v>45-54</v>
      </c>
      <c r="Z717">
        <f ca="1">DATEDIF(EmployeeData[[#This Row],[DateOfJoining]],IF(AND(EmployeeData[[#This Row],[Attrition]]="Yes",EmployeeData[[#This Row],[LastWorkingDate]]&lt;&gt;""),EmployeeData[[#This Row],[LastWorkingDate]],TODAY()),"Y")</f>
        <v>13</v>
      </c>
      <c r="AA717" t="str">
        <f>IF(EmployeeData[[#This Row],[MonthlyIncome]]&lt;30000,"Low",IF(EmployeeData[[#This Row],[MonthlyIncome]]&lt;=60000,"Medium",IF(EmployeeData[[#This Row],[MonthlyIncome]]&lt;=100000,"High","Very High")))</f>
        <v>Very High</v>
      </c>
      <c r="AB717">
        <f>IF(EmployeeData[[#This Row],[Attrition]]="Yes",1,0)</f>
        <v>0</v>
      </c>
      <c r="AC717" t="str">
        <f ca="1">IF(EmployeeData[[#This Row],[Tenure Years]]&lt;1,"Less than 1 Year",IF(EmployeeData[[#This Row],[Tenure Years]]&lt;=3,"1-3 Years",IF(EmployeeData[[#This Row],[Tenure Years]]&lt;=5,"4-5 Years",IF(EmployeeData[[#This Row],[Tenure Years]]&lt;=10,"6-10 Years","More than 10 Years"))))</f>
        <v>More than 10 Years</v>
      </c>
      <c r="AD717">
        <f>ROUND(AVERAGE(EmployeeData[[#This Row],[JobSatisfaction]],EmployeeData[[#This Row],[EnvironmentSatisfaction]],EmployeeData[[#This Row],[WorkLifeBalance]]),2)</f>
        <v>3</v>
      </c>
      <c r="AE717" t="str">
        <f>IF(EmployeeData[[#This Row],[Satisfaction Score]]&lt;2,"Low",IF(EmployeeData[[#This Row],[Satisfaction Score]]&lt;3,"Medium","High"))</f>
        <v>High</v>
      </c>
    </row>
    <row r="718" spans="1:31" x14ac:dyDescent="0.25">
      <c r="A718" t="s">
        <v>3377</v>
      </c>
      <c r="B718" t="s">
        <v>3378</v>
      </c>
      <c r="C718" t="s">
        <v>49</v>
      </c>
      <c r="D718">
        <v>30</v>
      </c>
      <c r="E718" t="s">
        <v>5461</v>
      </c>
      <c r="F718" t="s">
        <v>89</v>
      </c>
      <c r="G718" s="1">
        <v>41325</v>
      </c>
      <c r="H718">
        <v>129520</v>
      </c>
      <c r="I718" t="s">
        <v>42</v>
      </c>
      <c r="J718" t="s">
        <v>61</v>
      </c>
      <c r="K718" t="s">
        <v>131</v>
      </c>
      <c r="L718" t="s">
        <v>43</v>
      </c>
      <c r="M718">
        <v>26</v>
      </c>
      <c r="N718" t="s">
        <v>34</v>
      </c>
      <c r="O718">
        <v>3</v>
      </c>
      <c r="P718">
        <v>3</v>
      </c>
      <c r="Q718">
        <v>3</v>
      </c>
      <c r="R718">
        <v>4</v>
      </c>
      <c r="S718">
        <v>6</v>
      </c>
      <c r="T718">
        <v>2</v>
      </c>
      <c r="U718">
        <v>18</v>
      </c>
      <c r="V718" t="s">
        <v>3380</v>
      </c>
      <c r="W718" t="s">
        <v>34</v>
      </c>
      <c r="Y718" s="2" t="str">
        <f>IF(EmployeeData[[#This Row],[Age]]&lt;25,"Under 25",IF(EmployeeData[[#This Row],[Age]]&lt;=34,"25-34",IF(EmployeeData[[#This Row],[Age]]&lt;=44,"35-44",IF(EmployeeData[[#This Row],[Age]]&lt;=54,"45-54","55+"))))</f>
        <v>25-34</v>
      </c>
      <c r="Z718">
        <f ca="1">DATEDIF(EmployeeData[[#This Row],[DateOfJoining]],IF(AND(EmployeeData[[#This Row],[Attrition]]="Yes",EmployeeData[[#This Row],[LastWorkingDate]]&lt;&gt;""),EmployeeData[[#This Row],[LastWorkingDate]],TODAY()),"Y")</f>
        <v>13</v>
      </c>
      <c r="AA718" t="str">
        <f>IF(EmployeeData[[#This Row],[MonthlyIncome]]&lt;30000,"Low",IF(EmployeeData[[#This Row],[MonthlyIncome]]&lt;=60000,"Medium",IF(EmployeeData[[#This Row],[MonthlyIncome]]&lt;=100000,"High","Very High")))</f>
        <v>Very High</v>
      </c>
      <c r="AB718">
        <f>IF(EmployeeData[[#This Row],[Attrition]]="Yes",1,0)</f>
        <v>0</v>
      </c>
      <c r="AC718" t="str">
        <f ca="1">IF(EmployeeData[[#This Row],[Tenure Years]]&lt;1,"Less than 1 Year",IF(EmployeeData[[#This Row],[Tenure Years]]&lt;=3,"1-3 Years",IF(EmployeeData[[#This Row],[Tenure Years]]&lt;=5,"4-5 Years",IF(EmployeeData[[#This Row],[Tenure Years]]&lt;=10,"6-10 Years","More than 10 Years"))))</f>
        <v>More than 10 Years</v>
      </c>
      <c r="AD718">
        <f>ROUND(AVERAGE(EmployeeData[[#This Row],[JobSatisfaction]],EmployeeData[[#This Row],[EnvironmentSatisfaction]],EmployeeData[[#This Row],[WorkLifeBalance]]),2)</f>
        <v>3</v>
      </c>
      <c r="AE718" t="str">
        <f>IF(EmployeeData[[#This Row],[Satisfaction Score]]&lt;2,"Low",IF(EmployeeData[[#This Row],[Satisfaction Score]]&lt;3,"Medium","High"))</f>
        <v>High</v>
      </c>
    </row>
    <row r="719" spans="1:31" x14ac:dyDescent="0.25">
      <c r="A719" t="s">
        <v>3381</v>
      </c>
      <c r="B719" t="s">
        <v>3382</v>
      </c>
      <c r="C719" t="s">
        <v>49</v>
      </c>
      <c r="D719">
        <v>37</v>
      </c>
      <c r="E719" t="s">
        <v>5461</v>
      </c>
      <c r="F719" t="s">
        <v>89</v>
      </c>
      <c r="G719" s="1">
        <v>41085</v>
      </c>
      <c r="H719">
        <v>99142</v>
      </c>
      <c r="I719" t="s">
        <v>30</v>
      </c>
      <c r="J719" t="s">
        <v>143</v>
      </c>
      <c r="K719" t="s">
        <v>98</v>
      </c>
      <c r="L719" t="s">
        <v>33</v>
      </c>
      <c r="M719">
        <v>44</v>
      </c>
      <c r="N719" t="s">
        <v>34</v>
      </c>
      <c r="O719">
        <v>2</v>
      </c>
      <c r="P719">
        <v>4</v>
      </c>
      <c r="Q719">
        <v>3</v>
      </c>
      <c r="R719">
        <v>3</v>
      </c>
      <c r="S719">
        <v>1</v>
      </c>
      <c r="T719">
        <v>8</v>
      </c>
      <c r="U719">
        <v>12</v>
      </c>
      <c r="V719" t="s">
        <v>3384</v>
      </c>
      <c r="W719" t="s">
        <v>34</v>
      </c>
      <c r="Y719" s="2" t="str">
        <f>IF(EmployeeData[[#This Row],[Age]]&lt;25,"Under 25",IF(EmployeeData[[#This Row],[Age]]&lt;=34,"25-34",IF(EmployeeData[[#This Row],[Age]]&lt;=44,"35-44",IF(EmployeeData[[#This Row],[Age]]&lt;=54,"45-54","55+"))))</f>
        <v>35-44</v>
      </c>
      <c r="Z719">
        <f ca="1">DATEDIF(EmployeeData[[#This Row],[DateOfJoining]],IF(AND(EmployeeData[[#This Row],[Attrition]]="Yes",EmployeeData[[#This Row],[LastWorkingDate]]&lt;&gt;""),EmployeeData[[#This Row],[LastWorkingDate]],TODAY()),"Y")</f>
        <v>14</v>
      </c>
      <c r="AA719" t="str">
        <f>IF(EmployeeData[[#This Row],[MonthlyIncome]]&lt;30000,"Low",IF(EmployeeData[[#This Row],[MonthlyIncome]]&lt;=60000,"Medium",IF(EmployeeData[[#This Row],[MonthlyIncome]]&lt;=100000,"High","Very High")))</f>
        <v>High</v>
      </c>
      <c r="AB719">
        <f>IF(EmployeeData[[#This Row],[Attrition]]="Yes",1,0)</f>
        <v>0</v>
      </c>
      <c r="AC719" t="str">
        <f ca="1">IF(EmployeeData[[#This Row],[Tenure Years]]&lt;1,"Less than 1 Year",IF(EmployeeData[[#This Row],[Tenure Years]]&lt;=3,"1-3 Years",IF(EmployeeData[[#This Row],[Tenure Years]]&lt;=5,"4-5 Years",IF(EmployeeData[[#This Row],[Tenure Years]]&lt;=10,"6-10 Years","More than 10 Years"))))</f>
        <v>More than 10 Years</v>
      </c>
      <c r="AD719">
        <f>ROUND(AVERAGE(EmployeeData[[#This Row],[JobSatisfaction]],EmployeeData[[#This Row],[EnvironmentSatisfaction]],EmployeeData[[#This Row],[WorkLifeBalance]]),2)</f>
        <v>3</v>
      </c>
      <c r="AE719" t="str">
        <f>IF(EmployeeData[[#This Row],[Satisfaction Score]]&lt;2,"Low",IF(EmployeeData[[#This Row],[Satisfaction Score]]&lt;3,"Medium","High"))</f>
        <v>High</v>
      </c>
    </row>
    <row r="720" spans="1:31" x14ac:dyDescent="0.25">
      <c r="A720" t="s">
        <v>3385</v>
      </c>
      <c r="B720" t="s">
        <v>3386</v>
      </c>
      <c r="C720" t="s">
        <v>58</v>
      </c>
      <c r="D720">
        <v>36</v>
      </c>
      <c r="E720" t="s">
        <v>5461</v>
      </c>
      <c r="F720" t="s">
        <v>483</v>
      </c>
      <c r="G720" s="1">
        <v>46046</v>
      </c>
      <c r="H720">
        <v>59637</v>
      </c>
      <c r="I720" t="s">
        <v>52</v>
      </c>
      <c r="J720" t="s">
        <v>61</v>
      </c>
      <c r="K720" t="s">
        <v>167</v>
      </c>
      <c r="L720" t="s">
        <v>43</v>
      </c>
      <c r="M720">
        <v>11</v>
      </c>
      <c r="N720" t="s">
        <v>34</v>
      </c>
      <c r="O720">
        <v>3</v>
      </c>
      <c r="P720">
        <v>4</v>
      </c>
      <c r="Q720">
        <v>1</v>
      </c>
      <c r="R720">
        <v>2</v>
      </c>
      <c r="S720">
        <v>0</v>
      </c>
      <c r="T720">
        <v>6</v>
      </c>
      <c r="U720">
        <v>21</v>
      </c>
      <c r="V720" t="s">
        <v>3388</v>
      </c>
      <c r="W720" t="s">
        <v>34</v>
      </c>
      <c r="Y720" s="2" t="str">
        <f>IF(EmployeeData[[#This Row],[Age]]&lt;25,"Under 25",IF(EmployeeData[[#This Row],[Age]]&lt;=34,"25-34",IF(EmployeeData[[#This Row],[Age]]&lt;=44,"35-44",IF(EmployeeData[[#This Row],[Age]]&lt;=54,"45-54","55+"))))</f>
        <v>35-44</v>
      </c>
      <c r="Z720">
        <f ca="1">DATEDIF(EmployeeData[[#This Row],[DateOfJoining]],IF(AND(EmployeeData[[#This Row],[Attrition]]="Yes",EmployeeData[[#This Row],[LastWorkingDate]]&lt;&gt;""),EmployeeData[[#This Row],[LastWorkingDate]],TODAY()),"Y")</f>
        <v>0</v>
      </c>
      <c r="AA720" t="str">
        <f>IF(EmployeeData[[#This Row],[MonthlyIncome]]&lt;30000,"Low",IF(EmployeeData[[#This Row],[MonthlyIncome]]&lt;=60000,"Medium",IF(EmployeeData[[#This Row],[MonthlyIncome]]&lt;=100000,"High","Very High")))</f>
        <v>Medium</v>
      </c>
      <c r="AB720">
        <f>IF(EmployeeData[[#This Row],[Attrition]]="Yes",1,0)</f>
        <v>0</v>
      </c>
      <c r="AC720" t="str">
        <f ca="1">IF(EmployeeData[[#This Row],[Tenure Years]]&lt;1,"Less than 1 Year",IF(EmployeeData[[#This Row],[Tenure Years]]&lt;=3,"1-3 Years",IF(EmployeeData[[#This Row],[Tenure Years]]&lt;=5,"4-5 Years",IF(EmployeeData[[#This Row],[Tenure Years]]&lt;=10,"6-10 Years","More than 10 Years"))))</f>
        <v>Less than 1 Year</v>
      </c>
      <c r="AD720">
        <f>ROUND(AVERAGE(EmployeeData[[#This Row],[JobSatisfaction]],EmployeeData[[#This Row],[EnvironmentSatisfaction]],EmployeeData[[#This Row],[WorkLifeBalance]]),2)</f>
        <v>2.67</v>
      </c>
      <c r="AE720" t="str">
        <f>IF(EmployeeData[[#This Row],[Satisfaction Score]]&lt;2,"Low",IF(EmployeeData[[#This Row],[Satisfaction Score]]&lt;3,"Medium","High"))</f>
        <v>Medium</v>
      </c>
    </row>
    <row r="721" spans="1:31" x14ac:dyDescent="0.25">
      <c r="A721" t="s">
        <v>3389</v>
      </c>
      <c r="B721" t="s">
        <v>3390</v>
      </c>
      <c r="C721" t="s">
        <v>58</v>
      </c>
      <c r="D721">
        <v>43</v>
      </c>
      <c r="E721" t="s">
        <v>128</v>
      </c>
      <c r="F721" t="s">
        <v>226</v>
      </c>
      <c r="G721" s="1">
        <v>41597</v>
      </c>
      <c r="H721">
        <v>53561</v>
      </c>
      <c r="I721" t="s">
        <v>52</v>
      </c>
      <c r="J721" t="s">
        <v>31</v>
      </c>
      <c r="K721" t="s">
        <v>200</v>
      </c>
      <c r="L721" t="s">
        <v>43</v>
      </c>
      <c r="M721">
        <v>21</v>
      </c>
      <c r="N721" t="s">
        <v>45</v>
      </c>
      <c r="O721">
        <v>3</v>
      </c>
      <c r="P721">
        <v>2</v>
      </c>
      <c r="Q721">
        <v>1</v>
      </c>
      <c r="R721">
        <v>4</v>
      </c>
      <c r="S721">
        <v>3</v>
      </c>
      <c r="T721">
        <v>3</v>
      </c>
      <c r="U721">
        <v>23</v>
      </c>
      <c r="V721" t="s">
        <v>3392</v>
      </c>
      <c r="W721" t="s">
        <v>45</v>
      </c>
      <c r="X721" s="1">
        <v>42492</v>
      </c>
      <c r="Y721" s="2" t="str">
        <f>IF(EmployeeData[[#This Row],[Age]]&lt;25,"Under 25",IF(EmployeeData[[#This Row],[Age]]&lt;=34,"25-34",IF(EmployeeData[[#This Row],[Age]]&lt;=44,"35-44",IF(EmployeeData[[#This Row],[Age]]&lt;=54,"45-54","55+"))))</f>
        <v>35-44</v>
      </c>
      <c r="Z721">
        <f ca="1">DATEDIF(EmployeeData[[#This Row],[DateOfJoining]],IF(AND(EmployeeData[[#This Row],[Attrition]]="Yes",EmployeeData[[#This Row],[LastWorkingDate]]&lt;&gt;""),EmployeeData[[#This Row],[LastWorkingDate]],TODAY()),"Y")</f>
        <v>2</v>
      </c>
      <c r="AA721" t="str">
        <f>IF(EmployeeData[[#This Row],[MonthlyIncome]]&lt;30000,"Low",IF(EmployeeData[[#This Row],[MonthlyIncome]]&lt;=60000,"Medium",IF(EmployeeData[[#This Row],[MonthlyIncome]]&lt;=100000,"High","Very High")))</f>
        <v>Medium</v>
      </c>
      <c r="AB721">
        <f>IF(EmployeeData[[#This Row],[Attrition]]="Yes",1,0)</f>
        <v>1</v>
      </c>
      <c r="AC721" t="str">
        <f ca="1">IF(EmployeeData[[#This Row],[Tenure Years]]&lt;1,"Less than 1 Year",IF(EmployeeData[[#This Row],[Tenure Years]]&lt;=3,"1-3 Years",IF(EmployeeData[[#This Row],[Tenure Years]]&lt;=5,"4-5 Years",IF(EmployeeData[[#This Row],[Tenure Years]]&lt;=10,"6-10 Years","More than 10 Years"))))</f>
        <v>1-3 Years</v>
      </c>
      <c r="AD721">
        <f>ROUND(AVERAGE(EmployeeData[[#This Row],[JobSatisfaction]],EmployeeData[[#This Row],[EnvironmentSatisfaction]],EmployeeData[[#This Row],[WorkLifeBalance]]),2)</f>
        <v>2</v>
      </c>
      <c r="AE721" t="str">
        <f>IF(EmployeeData[[#This Row],[Satisfaction Score]]&lt;2,"Low",IF(EmployeeData[[#This Row],[Satisfaction Score]]&lt;3,"Medium","High"))</f>
        <v>Medium</v>
      </c>
    </row>
    <row r="722" spans="1:31" x14ac:dyDescent="0.25">
      <c r="A722" t="s">
        <v>3394</v>
      </c>
      <c r="B722" t="s">
        <v>3395</v>
      </c>
      <c r="C722" t="s">
        <v>49</v>
      </c>
      <c r="D722">
        <v>30</v>
      </c>
      <c r="E722" t="s">
        <v>38</v>
      </c>
      <c r="F722" t="s">
        <v>5460</v>
      </c>
      <c r="G722" s="1">
        <v>45486</v>
      </c>
      <c r="H722">
        <v>54987</v>
      </c>
      <c r="I722" t="s">
        <v>42</v>
      </c>
      <c r="J722" t="s">
        <v>31</v>
      </c>
      <c r="K722" t="s">
        <v>98</v>
      </c>
      <c r="L722" t="s">
        <v>5459</v>
      </c>
      <c r="M722">
        <v>11</v>
      </c>
      <c r="N722" t="s">
        <v>34</v>
      </c>
      <c r="O722">
        <v>3</v>
      </c>
      <c r="P722">
        <v>2</v>
      </c>
      <c r="Q722">
        <v>3</v>
      </c>
      <c r="R722">
        <v>3</v>
      </c>
      <c r="S722">
        <v>6</v>
      </c>
      <c r="T722">
        <v>2</v>
      </c>
      <c r="U722">
        <v>19</v>
      </c>
      <c r="V722" t="s">
        <v>3397</v>
      </c>
      <c r="W722" t="s">
        <v>34</v>
      </c>
      <c r="Y722" s="2" t="str">
        <f>IF(EmployeeData[[#This Row],[Age]]&lt;25,"Under 25",IF(EmployeeData[[#This Row],[Age]]&lt;=34,"25-34",IF(EmployeeData[[#This Row],[Age]]&lt;=44,"35-44",IF(EmployeeData[[#This Row],[Age]]&lt;=54,"45-54","55+"))))</f>
        <v>25-34</v>
      </c>
      <c r="Z722">
        <f ca="1">DATEDIF(EmployeeData[[#This Row],[DateOfJoining]],IF(AND(EmployeeData[[#This Row],[Attrition]]="Yes",EmployeeData[[#This Row],[LastWorkingDate]]&lt;&gt;""),EmployeeData[[#This Row],[LastWorkingDate]],TODAY()),"Y")</f>
        <v>2</v>
      </c>
      <c r="AA722" t="str">
        <f>IF(EmployeeData[[#This Row],[MonthlyIncome]]&lt;30000,"Low",IF(EmployeeData[[#This Row],[MonthlyIncome]]&lt;=60000,"Medium",IF(EmployeeData[[#This Row],[MonthlyIncome]]&lt;=100000,"High","Very High")))</f>
        <v>Medium</v>
      </c>
      <c r="AB722">
        <f>IF(EmployeeData[[#This Row],[Attrition]]="Yes",1,0)</f>
        <v>0</v>
      </c>
      <c r="AC722" t="str">
        <f ca="1">IF(EmployeeData[[#This Row],[Tenure Years]]&lt;1,"Less than 1 Year",IF(EmployeeData[[#This Row],[Tenure Years]]&lt;=3,"1-3 Years",IF(EmployeeData[[#This Row],[Tenure Years]]&lt;=5,"4-5 Years",IF(EmployeeData[[#This Row],[Tenure Years]]&lt;=10,"6-10 Years","More than 10 Years"))))</f>
        <v>1-3 Years</v>
      </c>
      <c r="AD722">
        <f>ROUND(AVERAGE(EmployeeData[[#This Row],[JobSatisfaction]],EmployeeData[[#This Row],[EnvironmentSatisfaction]],EmployeeData[[#This Row],[WorkLifeBalance]]),2)</f>
        <v>2.67</v>
      </c>
      <c r="AE722" t="str">
        <f>IF(EmployeeData[[#This Row],[Satisfaction Score]]&lt;2,"Low",IF(EmployeeData[[#This Row],[Satisfaction Score]]&lt;3,"Medium","High"))</f>
        <v>Medium</v>
      </c>
    </row>
    <row r="723" spans="1:31" x14ac:dyDescent="0.25">
      <c r="A723" t="s">
        <v>3398</v>
      </c>
      <c r="B723" t="s">
        <v>3399</v>
      </c>
      <c r="C723" t="s">
        <v>58</v>
      </c>
      <c r="D723">
        <v>31</v>
      </c>
      <c r="E723" t="s">
        <v>94</v>
      </c>
      <c r="F723" t="s">
        <v>266</v>
      </c>
      <c r="G723" s="1">
        <v>44064</v>
      </c>
      <c r="H723">
        <v>90100</v>
      </c>
      <c r="I723" t="s">
        <v>30</v>
      </c>
      <c r="J723" t="s">
        <v>31</v>
      </c>
      <c r="K723" t="s">
        <v>77</v>
      </c>
      <c r="L723" t="s">
        <v>62</v>
      </c>
      <c r="M723">
        <v>3</v>
      </c>
      <c r="N723" t="s">
        <v>34</v>
      </c>
      <c r="O723">
        <v>2</v>
      </c>
      <c r="P723">
        <v>4</v>
      </c>
      <c r="Q723">
        <v>2</v>
      </c>
      <c r="R723">
        <v>4</v>
      </c>
      <c r="S723">
        <v>4</v>
      </c>
      <c r="T723">
        <v>7</v>
      </c>
      <c r="U723">
        <v>16</v>
      </c>
      <c r="V723" t="s">
        <v>3401</v>
      </c>
      <c r="W723" t="s">
        <v>34</v>
      </c>
      <c r="Y723" s="2" t="str">
        <f>IF(EmployeeData[[#This Row],[Age]]&lt;25,"Under 25",IF(EmployeeData[[#This Row],[Age]]&lt;=34,"25-34",IF(EmployeeData[[#This Row],[Age]]&lt;=44,"35-44",IF(EmployeeData[[#This Row],[Age]]&lt;=54,"45-54","55+"))))</f>
        <v>25-34</v>
      </c>
      <c r="Z723">
        <f ca="1">DATEDIF(EmployeeData[[#This Row],[DateOfJoining]],IF(AND(EmployeeData[[#This Row],[Attrition]]="Yes",EmployeeData[[#This Row],[LastWorkingDate]]&lt;&gt;""),EmployeeData[[#This Row],[LastWorkingDate]],TODAY()),"Y")</f>
        <v>6</v>
      </c>
      <c r="AA723" t="str">
        <f>IF(EmployeeData[[#This Row],[MonthlyIncome]]&lt;30000,"Low",IF(EmployeeData[[#This Row],[MonthlyIncome]]&lt;=60000,"Medium",IF(EmployeeData[[#This Row],[MonthlyIncome]]&lt;=100000,"High","Very High")))</f>
        <v>High</v>
      </c>
      <c r="AB723">
        <f>IF(EmployeeData[[#This Row],[Attrition]]="Yes",1,0)</f>
        <v>0</v>
      </c>
      <c r="AC723" t="str">
        <f ca="1">IF(EmployeeData[[#This Row],[Tenure Years]]&lt;1,"Less than 1 Year",IF(EmployeeData[[#This Row],[Tenure Years]]&lt;=3,"1-3 Years",IF(EmployeeData[[#This Row],[Tenure Years]]&lt;=5,"4-5 Years",IF(EmployeeData[[#This Row],[Tenure Years]]&lt;=10,"6-10 Years","More than 10 Years"))))</f>
        <v>6-10 Years</v>
      </c>
      <c r="AD723">
        <f>ROUND(AVERAGE(EmployeeData[[#This Row],[JobSatisfaction]],EmployeeData[[#This Row],[EnvironmentSatisfaction]],EmployeeData[[#This Row],[WorkLifeBalance]]),2)</f>
        <v>2.67</v>
      </c>
      <c r="AE723" t="str">
        <f>IF(EmployeeData[[#This Row],[Satisfaction Score]]&lt;2,"Low",IF(EmployeeData[[#This Row],[Satisfaction Score]]&lt;3,"Medium","High"))</f>
        <v>Medium</v>
      </c>
    </row>
    <row r="724" spans="1:31" x14ac:dyDescent="0.25">
      <c r="A724" t="s">
        <v>3402</v>
      </c>
      <c r="B724" t="s">
        <v>3403</v>
      </c>
      <c r="C724" t="s">
        <v>49</v>
      </c>
      <c r="D724">
        <v>42</v>
      </c>
      <c r="E724" t="s">
        <v>27</v>
      </c>
      <c r="F724" t="s">
        <v>75</v>
      </c>
      <c r="G724" s="1">
        <v>42864</v>
      </c>
      <c r="H724">
        <v>62056</v>
      </c>
      <c r="I724" t="s">
        <v>30</v>
      </c>
      <c r="J724" t="s">
        <v>61</v>
      </c>
      <c r="K724" t="s">
        <v>113</v>
      </c>
      <c r="L724" t="s">
        <v>62</v>
      </c>
      <c r="M724">
        <v>38</v>
      </c>
      <c r="N724" t="s">
        <v>45</v>
      </c>
      <c r="O724">
        <v>3</v>
      </c>
      <c r="P724">
        <v>3</v>
      </c>
      <c r="Q724">
        <v>2</v>
      </c>
      <c r="R724">
        <v>2</v>
      </c>
      <c r="S724">
        <v>0</v>
      </c>
      <c r="T724">
        <v>7</v>
      </c>
      <c r="U724">
        <v>16</v>
      </c>
      <c r="V724" t="s">
        <v>3405</v>
      </c>
      <c r="W724" t="s">
        <v>45</v>
      </c>
      <c r="X724" s="1">
        <v>44220</v>
      </c>
      <c r="Y724" s="2" t="str">
        <f>IF(EmployeeData[[#This Row],[Age]]&lt;25,"Under 25",IF(EmployeeData[[#This Row],[Age]]&lt;=34,"25-34",IF(EmployeeData[[#This Row],[Age]]&lt;=44,"35-44",IF(EmployeeData[[#This Row],[Age]]&lt;=54,"45-54","55+"))))</f>
        <v>35-44</v>
      </c>
      <c r="Z724">
        <f ca="1">DATEDIF(EmployeeData[[#This Row],[DateOfJoining]],IF(AND(EmployeeData[[#This Row],[Attrition]]="Yes",EmployeeData[[#This Row],[LastWorkingDate]]&lt;&gt;""),EmployeeData[[#This Row],[LastWorkingDate]],TODAY()),"Y")</f>
        <v>3</v>
      </c>
      <c r="AA724" t="str">
        <f>IF(EmployeeData[[#This Row],[MonthlyIncome]]&lt;30000,"Low",IF(EmployeeData[[#This Row],[MonthlyIncome]]&lt;=60000,"Medium",IF(EmployeeData[[#This Row],[MonthlyIncome]]&lt;=100000,"High","Very High")))</f>
        <v>High</v>
      </c>
      <c r="AB724">
        <f>IF(EmployeeData[[#This Row],[Attrition]]="Yes",1,0)</f>
        <v>1</v>
      </c>
      <c r="AC724" t="str">
        <f ca="1">IF(EmployeeData[[#This Row],[Tenure Years]]&lt;1,"Less than 1 Year",IF(EmployeeData[[#This Row],[Tenure Years]]&lt;=3,"1-3 Years",IF(EmployeeData[[#This Row],[Tenure Years]]&lt;=5,"4-5 Years",IF(EmployeeData[[#This Row],[Tenure Years]]&lt;=10,"6-10 Years","More than 10 Years"))))</f>
        <v>1-3 Years</v>
      </c>
      <c r="AD724">
        <f>ROUND(AVERAGE(EmployeeData[[#This Row],[JobSatisfaction]],EmployeeData[[#This Row],[EnvironmentSatisfaction]],EmployeeData[[#This Row],[WorkLifeBalance]]),2)</f>
        <v>2.67</v>
      </c>
      <c r="AE724" t="str">
        <f>IF(EmployeeData[[#This Row],[Satisfaction Score]]&lt;2,"Low",IF(EmployeeData[[#This Row],[Satisfaction Score]]&lt;3,"Medium","High"))</f>
        <v>Medium</v>
      </c>
    </row>
    <row r="725" spans="1:31" x14ac:dyDescent="0.25">
      <c r="A725" t="s">
        <v>3407</v>
      </c>
      <c r="B725" t="s">
        <v>3408</v>
      </c>
      <c r="C725" t="s">
        <v>49</v>
      </c>
      <c r="D725">
        <v>20</v>
      </c>
      <c r="E725" t="s">
        <v>27</v>
      </c>
      <c r="F725" t="s">
        <v>188</v>
      </c>
      <c r="G725" s="1">
        <v>42303</v>
      </c>
      <c r="H725">
        <v>51950</v>
      </c>
      <c r="I725" t="s">
        <v>52</v>
      </c>
      <c r="J725" t="s">
        <v>31</v>
      </c>
      <c r="K725" t="s">
        <v>113</v>
      </c>
      <c r="L725" t="s">
        <v>62</v>
      </c>
      <c r="M725">
        <v>31</v>
      </c>
      <c r="N725" t="s">
        <v>45</v>
      </c>
      <c r="O725">
        <v>3</v>
      </c>
      <c r="P725">
        <v>3</v>
      </c>
      <c r="Q725">
        <v>3</v>
      </c>
      <c r="R725">
        <v>3</v>
      </c>
      <c r="S725">
        <v>6</v>
      </c>
      <c r="T725">
        <v>5</v>
      </c>
      <c r="U725">
        <v>21</v>
      </c>
      <c r="V725" t="s">
        <v>3410</v>
      </c>
      <c r="W725" t="s">
        <v>34</v>
      </c>
      <c r="Y725" s="2" t="str">
        <f>IF(EmployeeData[[#This Row],[Age]]&lt;25,"Under 25",IF(EmployeeData[[#This Row],[Age]]&lt;=34,"25-34",IF(EmployeeData[[#This Row],[Age]]&lt;=44,"35-44",IF(EmployeeData[[#This Row],[Age]]&lt;=54,"45-54","55+"))))</f>
        <v>Under 25</v>
      </c>
      <c r="Z725">
        <f ca="1">DATEDIF(EmployeeData[[#This Row],[DateOfJoining]],IF(AND(EmployeeData[[#This Row],[Attrition]]="Yes",EmployeeData[[#This Row],[LastWorkingDate]]&lt;&gt;""),EmployeeData[[#This Row],[LastWorkingDate]],TODAY()),"Y")</f>
        <v>10</v>
      </c>
      <c r="AA725" t="str">
        <f>IF(EmployeeData[[#This Row],[MonthlyIncome]]&lt;30000,"Low",IF(EmployeeData[[#This Row],[MonthlyIncome]]&lt;=60000,"Medium",IF(EmployeeData[[#This Row],[MonthlyIncome]]&lt;=100000,"High","Very High")))</f>
        <v>Medium</v>
      </c>
      <c r="AB725">
        <f>IF(EmployeeData[[#This Row],[Attrition]]="Yes",1,0)</f>
        <v>0</v>
      </c>
      <c r="AC725" t="str">
        <f ca="1">IF(EmployeeData[[#This Row],[Tenure Years]]&lt;1,"Less than 1 Year",IF(EmployeeData[[#This Row],[Tenure Years]]&lt;=3,"1-3 Years",IF(EmployeeData[[#This Row],[Tenure Years]]&lt;=5,"4-5 Years",IF(EmployeeData[[#This Row],[Tenure Years]]&lt;=10,"6-10 Years","More than 10 Years"))))</f>
        <v>6-10 Years</v>
      </c>
      <c r="AD725">
        <f>ROUND(AVERAGE(EmployeeData[[#This Row],[JobSatisfaction]],EmployeeData[[#This Row],[EnvironmentSatisfaction]],EmployeeData[[#This Row],[WorkLifeBalance]]),2)</f>
        <v>3</v>
      </c>
      <c r="AE725" t="str">
        <f>IF(EmployeeData[[#This Row],[Satisfaction Score]]&lt;2,"Low",IF(EmployeeData[[#This Row],[Satisfaction Score]]&lt;3,"Medium","High"))</f>
        <v>High</v>
      </c>
    </row>
    <row r="726" spans="1:31" x14ac:dyDescent="0.25">
      <c r="A726" t="s">
        <v>3411</v>
      </c>
      <c r="B726" t="s">
        <v>3412</v>
      </c>
      <c r="C726" t="s">
        <v>49</v>
      </c>
      <c r="D726">
        <v>40</v>
      </c>
      <c r="E726" t="s">
        <v>27</v>
      </c>
      <c r="F726" t="s">
        <v>5459</v>
      </c>
      <c r="G726" s="1">
        <v>42454</v>
      </c>
      <c r="H726">
        <v>104759</v>
      </c>
      <c r="I726" t="s">
        <v>42</v>
      </c>
      <c r="J726" t="s">
        <v>61</v>
      </c>
      <c r="K726" t="s">
        <v>77</v>
      </c>
      <c r="L726" t="s">
        <v>33</v>
      </c>
      <c r="M726">
        <v>14</v>
      </c>
      <c r="N726" t="s">
        <v>34</v>
      </c>
      <c r="O726">
        <v>4</v>
      </c>
      <c r="P726">
        <v>1</v>
      </c>
      <c r="Q726">
        <v>3</v>
      </c>
      <c r="R726">
        <v>2</v>
      </c>
      <c r="S726">
        <v>5</v>
      </c>
      <c r="T726">
        <v>8</v>
      </c>
      <c r="U726">
        <v>15</v>
      </c>
      <c r="V726" t="s">
        <v>3415</v>
      </c>
      <c r="W726" t="s">
        <v>34</v>
      </c>
      <c r="Y726" s="2" t="str">
        <f>IF(EmployeeData[[#This Row],[Age]]&lt;25,"Under 25",IF(EmployeeData[[#This Row],[Age]]&lt;=34,"25-34",IF(EmployeeData[[#This Row],[Age]]&lt;=44,"35-44",IF(EmployeeData[[#This Row],[Age]]&lt;=54,"45-54","55+"))))</f>
        <v>35-44</v>
      </c>
      <c r="Z726">
        <f ca="1">DATEDIF(EmployeeData[[#This Row],[DateOfJoining]],IF(AND(EmployeeData[[#This Row],[Attrition]]="Yes",EmployeeData[[#This Row],[LastWorkingDate]]&lt;&gt;""),EmployeeData[[#This Row],[LastWorkingDate]],TODAY()),"Y")</f>
        <v>10</v>
      </c>
      <c r="AA726" t="str">
        <f>IF(EmployeeData[[#This Row],[MonthlyIncome]]&lt;30000,"Low",IF(EmployeeData[[#This Row],[MonthlyIncome]]&lt;=60000,"Medium",IF(EmployeeData[[#This Row],[MonthlyIncome]]&lt;=100000,"High","Very High")))</f>
        <v>Very High</v>
      </c>
      <c r="AB726">
        <f>IF(EmployeeData[[#This Row],[Attrition]]="Yes",1,0)</f>
        <v>0</v>
      </c>
      <c r="AC726" t="str">
        <f ca="1">IF(EmployeeData[[#This Row],[Tenure Years]]&lt;1,"Less than 1 Year",IF(EmployeeData[[#This Row],[Tenure Years]]&lt;=3,"1-3 Years",IF(EmployeeData[[#This Row],[Tenure Years]]&lt;=5,"4-5 Years",IF(EmployeeData[[#This Row],[Tenure Years]]&lt;=10,"6-10 Years","More than 10 Years"))))</f>
        <v>6-10 Years</v>
      </c>
      <c r="AD726">
        <f>ROUND(AVERAGE(EmployeeData[[#This Row],[JobSatisfaction]],EmployeeData[[#This Row],[EnvironmentSatisfaction]],EmployeeData[[#This Row],[WorkLifeBalance]]),2)</f>
        <v>2.67</v>
      </c>
      <c r="AE726" t="str">
        <f>IF(EmployeeData[[#This Row],[Satisfaction Score]]&lt;2,"Low",IF(EmployeeData[[#This Row],[Satisfaction Score]]&lt;3,"Medium","High"))</f>
        <v>Medium</v>
      </c>
    </row>
    <row r="727" spans="1:31" x14ac:dyDescent="0.25">
      <c r="A727" t="s">
        <v>3416</v>
      </c>
      <c r="B727" t="s">
        <v>3417</v>
      </c>
      <c r="C727" t="s">
        <v>49</v>
      </c>
      <c r="D727">
        <v>35</v>
      </c>
      <c r="E727" t="s">
        <v>5461</v>
      </c>
      <c r="F727" t="s">
        <v>483</v>
      </c>
      <c r="G727" s="1">
        <v>43804</v>
      </c>
      <c r="H727">
        <v>138499</v>
      </c>
      <c r="I727" t="s">
        <v>52</v>
      </c>
      <c r="J727" t="s">
        <v>61</v>
      </c>
      <c r="K727" t="s">
        <v>106</v>
      </c>
      <c r="L727" t="s">
        <v>33</v>
      </c>
      <c r="M727">
        <v>23</v>
      </c>
      <c r="N727" t="s">
        <v>34</v>
      </c>
      <c r="O727">
        <v>3</v>
      </c>
      <c r="P727">
        <v>4</v>
      </c>
      <c r="Q727">
        <v>2</v>
      </c>
      <c r="R727">
        <v>4</v>
      </c>
      <c r="S727">
        <v>2</v>
      </c>
      <c r="T727">
        <v>3</v>
      </c>
      <c r="U727">
        <v>22</v>
      </c>
      <c r="V727" t="s">
        <v>2096</v>
      </c>
      <c r="W727" t="s">
        <v>34</v>
      </c>
      <c r="Y727" s="2" t="str">
        <f>IF(EmployeeData[[#This Row],[Age]]&lt;25,"Under 25",IF(EmployeeData[[#This Row],[Age]]&lt;=34,"25-34",IF(EmployeeData[[#This Row],[Age]]&lt;=44,"35-44",IF(EmployeeData[[#This Row],[Age]]&lt;=54,"45-54","55+"))))</f>
        <v>35-44</v>
      </c>
      <c r="Z727">
        <f ca="1">DATEDIF(EmployeeData[[#This Row],[DateOfJoining]],IF(AND(EmployeeData[[#This Row],[Attrition]]="Yes",EmployeeData[[#This Row],[LastWorkingDate]]&lt;&gt;""),EmployeeData[[#This Row],[LastWorkingDate]],TODAY()),"Y")</f>
        <v>6</v>
      </c>
      <c r="AA727" t="str">
        <f>IF(EmployeeData[[#This Row],[MonthlyIncome]]&lt;30000,"Low",IF(EmployeeData[[#This Row],[MonthlyIncome]]&lt;=60000,"Medium",IF(EmployeeData[[#This Row],[MonthlyIncome]]&lt;=100000,"High","Very High")))</f>
        <v>Very High</v>
      </c>
      <c r="AB727">
        <f>IF(EmployeeData[[#This Row],[Attrition]]="Yes",1,0)</f>
        <v>0</v>
      </c>
      <c r="AC727" t="str">
        <f ca="1">IF(EmployeeData[[#This Row],[Tenure Years]]&lt;1,"Less than 1 Year",IF(EmployeeData[[#This Row],[Tenure Years]]&lt;=3,"1-3 Years",IF(EmployeeData[[#This Row],[Tenure Years]]&lt;=5,"4-5 Years",IF(EmployeeData[[#This Row],[Tenure Years]]&lt;=10,"6-10 Years","More than 10 Years"))))</f>
        <v>6-10 Years</v>
      </c>
      <c r="AD727">
        <f>ROUND(AVERAGE(EmployeeData[[#This Row],[JobSatisfaction]],EmployeeData[[#This Row],[EnvironmentSatisfaction]],EmployeeData[[#This Row],[WorkLifeBalance]]),2)</f>
        <v>3</v>
      </c>
      <c r="AE727" t="str">
        <f>IF(EmployeeData[[#This Row],[Satisfaction Score]]&lt;2,"Low",IF(EmployeeData[[#This Row],[Satisfaction Score]]&lt;3,"Medium","High"))</f>
        <v>High</v>
      </c>
    </row>
    <row r="728" spans="1:31" x14ac:dyDescent="0.25">
      <c r="A728" t="s">
        <v>3419</v>
      </c>
      <c r="B728" t="s">
        <v>3420</v>
      </c>
      <c r="C728" t="s">
        <v>49</v>
      </c>
      <c r="D728">
        <v>26</v>
      </c>
      <c r="E728" t="s">
        <v>94</v>
      </c>
      <c r="F728" t="s">
        <v>639</v>
      </c>
      <c r="G728" s="1">
        <v>45421</v>
      </c>
      <c r="H728">
        <v>60152</v>
      </c>
      <c r="I728" t="s">
        <v>30</v>
      </c>
      <c r="J728" t="s">
        <v>61</v>
      </c>
      <c r="K728" t="s">
        <v>83</v>
      </c>
      <c r="L728" t="s">
        <v>62</v>
      </c>
      <c r="M728">
        <v>33</v>
      </c>
      <c r="N728" t="s">
        <v>34</v>
      </c>
      <c r="O728">
        <v>1</v>
      </c>
      <c r="P728">
        <v>1</v>
      </c>
      <c r="Q728">
        <v>4</v>
      </c>
      <c r="R728">
        <v>3</v>
      </c>
      <c r="S728">
        <v>0</v>
      </c>
      <c r="T728">
        <v>6</v>
      </c>
      <c r="U728">
        <v>17</v>
      </c>
      <c r="V728" t="s">
        <v>3422</v>
      </c>
      <c r="W728" t="s">
        <v>34</v>
      </c>
      <c r="Y728" s="2" t="str">
        <f>IF(EmployeeData[[#This Row],[Age]]&lt;25,"Under 25",IF(EmployeeData[[#This Row],[Age]]&lt;=34,"25-34",IF(EmployeeData[[#This Row],[Age]]&lt;=44,"35-44",IF(EmployeeData[[#This Row],[Age]]&lt;=54,"45-54","55+"))))</f>
        <v>25-34</v>
      </c>
      <c r="Z728">
        <f ca="1">DATEDIF(EmployeeData[[#This Row],[DateOfJoining]],IF(AND(EmployeeData[[#This Row],[Attrition]]="Yes",EmployeeData[[#This Row],[LastWorkingDate]]&lt;&gt;""),EmployeeData[[#This Row],[LastWorkingDate]],TODAY()),"Y")</f>
        <v>2</v>
      </c>
      <c r="AA728" t="str">
        <f>IF(EmployeeData[[#This Row],[MonthlyIncome]]&lt;30000,"Low",IF(EmployeeData[[#This Row],[MonthlyIncome]]&lt;=60000,"Medium",IF(EmployeeData[[#This Row],[MonthlyIncome]]&lt;=100000,"High","Very High")))</f>
        <v>High</v>
      </c>
      <c r="AB728">
        <f>IF(EmployeeData[[#This Row],[Attrition]]="Yes",1,0)</f>
        <v>0</v>
      </c>
      <c r="AC728" t="str">
        <f ca="1">IF(EmployeeData[[#This Row],[Tenure Years]]&lt;1,"Less than 1 Year",IF(EmployeeData[[#This Row],[Tenure Years]]&lt;=3,"1-3 Years",IF(EmployeeData[[#This Row],[Tenure Years]]&lt;=5,"4-5 Years",IF(EmployeeData[[#This Row],[Tenure Years]]&lt;=10,"6-10 Years","More than 10 Years"))))</f>
        <v>1-3 Years</v>
      </c>
      <c r="AD728">
        <f>ROUND(AVERAGE(EmployeeData[[#This Row],[JobSatisfaction]],EmployeeData[[#This Row],[EnvironmentSatisfaction]],EmployeeData[[#This Row],[WorkLifeBalance]]),2)</f>
        <v>2</v>
      </c>
      <c r="AE728" t="str">
        <f>IF(EmployeeData[[#This Row],[Satisfaction Score]]&lt;2,"Low",IF(EmployeeData[[#This Row],[Satisfaction Score]]&lt;3,"Medium","High"))</f>
        <v>Medium</v>
      </c>
    </row>
    <row r="729" spans="1:31" x14ac:dyDescent="0.25">
      <c r="A729" t="s">
        <v>3423</v>
      </c>
      <c r="B729" t="s">
        <v>3424</v>
      </c>
      <c r="C729" t="s">
        <v>49</v>
      </c>
      <c r="D729">
        <v>34</v>
      </c>
      <c r="E729" t="s">
        <v>27</v>
      </c>
      <c r="F729" t="s">
        <v>75</v>
      </c>
      <c r="G729" s="1">
        <v>44514</v>
      </c>
      <c r="H729">
        <v>42336</v>
      </c>
      <c r="I729" t="s">
        <v>52</v>
      </c>
      <c r="J729" t="s">
        <v>61</v>
      </c>
      <c r="K729" t="s">
        <v>83</v>
      </c>
      <c r="L729" t="s">
        <v>43</v>
      </c>
      <c r="M729">
        <v>13</v>
      </c>
      <c r="N729" t="s">
        <v>34</v>
      </c>
      <c r="O729">
        <v>4</v>
      </c>
      <c r="P729">
        <v>2</v>
      </c>
      <c r="Q729">
        <v>3</v>
      </c>
      <c r="R729">
        <v>4</v>
      </c>
      <c r="S729">
        <v>6</v>
      </c>
      <c r="T729">
        <v>6</v>
      </c>
      <c r="U729">
        <v>12</v>
      </c>
      <c r="V729" t="s">
        <v>3426</v>
      </c>
      <c r="W729" t="s">
        <v>34</v>
      </c>
      <c r="Y729" s="2" t="str">
        <f>IF(EmployeeData[[#This Row],[Age]]&lt;25,"Under 25",IF(EmployeeData[[#This Row],[Age]]&lt;=34,"25-34",IF(EmployeeData[[#This Row],[Age]]&lt;=44,"35-44",IF(EmployeeData[[#This Row],[Age]]&lt;=54,"45-54","55+"))))</f>
        <v>25-34</v>
      </c>
      <c r="Z729">
        <f ca="1">DATEDIF(EmployeeData[[#This Row],[DateOfJoining]],IF(AND(EmployeeData[[#This Row],[Attrition]]="Yes",EmployeeData[[#This Row],[LastWorkingDate]]&lt;&gt;""),EmployeeData[[#This Row],[LastWorkingDate]],TODAY()),"Y")</f>
        <v>4</v>
      </c>
      <c r="AA729" t="str">
        <f>IF(EmployeeData[[#This Row],[MonthlyIncome]]&lt;30000,"Low",IF(EmployeeData[[#This Row],[MonthlyIncome]]&lt;=60000,"Medium",IF(EmployeeData[[#This Row],[MonthlyIncome]]&lt;=100000,"High","Very High")))</f>
        <v>Medium</v>
      </c>
      <c r="AB729">
        <f>IF(EmployeeData[[#This Row],[Attrition]]="Yes",1,0)</f>
        <v>0</v>
      </c>
      <c r="AC729" t="str">
        <f ca="1">IF(EmployeeData[[#This Row],[Tenure Years]]&lt;1,"Less than 1 Year",IF(EmployeeData[[#This Row],[Tenure Years]]&lt;=3,"1-3 Years",IF(EmployeeData[[#This Row],[Tenure Years]]&lt;=5,"4-5 Years",IF(EmployeeData[[#This Row],[Tenure Years]]&lt;=10,"6-10 Years","More than 10 Years"))))</f>
        <v>4-5 Years</v>
      </c>
      <c r="AD729">
        <f>ROUND(AVERAGE(EmployeeData[[#This Row],[JobSatisfaction]],EmployeeData[[#This Row],[EnvironmentSatisfaction]],EmployeeData[[#This Row],[WorkLifeBalance]]),2)</f>
        <v>3</v>
      </c>
      <c r="AE729" t="str">
        <f>IF(EmployeeData[[#This Row],[Satisfaction Score]]&lt;2,"Low",IF(EmployeeData[[#This Row],[Satisfaction Score]]&lt;3,"Medium","High"))</f>
        <v>High</v>
      </c>
    </row>
    <row r="730" spans="1:31" x14ac:dyDescent="0.25">
      <c r="A730" t="s">
        <v>3427</v>
      </c>
      <c r="B730" t="s">
        <v>3428</v>
      </c>
      <c r="C730" t="s">
        <v>58</v>
      </c>
      <c r="D730">
        <v>30</v>
      </c>
      <c r="E730" t="s">
        <v>5461</v>
      </c>
      <c r="F730" t="s">
        <v>5464</v>
      </c>
      <c r="G730" s="1">
        <v>42082</v>
      </c>
      <c r="H730">
        <v>127654</v>
      </c>
      <c r="I730" t="s">
        <v>30</v>
      </c>
      <c r="J730" t="s">
        <v>31</v>
      </c>
      <c r="K730" t="s">
        <v>167</v>
      </c>
      <c r="L730" t="s">
        <v>43</v>
      </c>
      <c r="M730">
        <v>17</v>
      </c>
      <c r="N730" t="s">
        <v>34</v>
      </c>
      <c r="O730">
        <v>1</v>
      </c>
      <c r="P730">
        <v>2</v>
      </c>
      <c r="Q730">
        <v>3</v>
      </c>
      <c r="R730">
        <v>3</v>
      </c>
      <c r="S730">
        <v>4</v>
      </c>
      <c r="T730">
        <v>5</v>
      </c>
      <c r="U730">
        <v>15</v>
      </c>
      <c r="V730" t="s">
        <v>3430</v>
      </c>
      <c r="W730" t="s">
        <v>34</v>
      </c>
      <c r="Y730" s="2" t="str">
        <f>IF(EmployeeData[[#This Row],[Age]]&lt;25,"Under 25",IF(EmployeeData[[#This Row],[Age]]&lt;=34,"25-34",IF(EmployeeData[[#This Row],[Age]]&lt;=44,"35-44",IF(EmployeeData[[#This Row],[Age]]&lt;=54,"45-54","55+"))))</f>
        <v>25-34</v>
      </c>
      <c r="Z730">
        <f ca="1">DATEDIF(EmployeeData[[#This Row],[DateOfJoining]],IF(AND(EmployeeData[[#This Row],[Attrition]]="Yes",EmployeeData[[#This Row],[LastWorkingDate]]&lt;&gt;""),EmployeeData[[#This Row],[LastWorkingDate]],TODAY()),"Y")</f>
        <v>11</v>
      </c>
      <c r="AA730" t="str">
        <f>IF(EmployeeData[[#This Row],[MonthlyIncome]]&lt;30000,"Low",IF(EmployeeData[[#This Row],[MonthlyIncome]]&lt;=60000,"Medium",IF(EmployeeData[[#This Row],[MonthlyIncome]]&lt;=100000,"High","Very High")))</f>
        <v>Very High</v>
      </c>
      <c r="AB730">
        <f>IF(EmployeeData[[#This Row],[Attrition]]="Yes",1,0)</f>
        <v>0</v>
      </c>
      <c r="AC730" t="str">
        <f ca="1">IF(EmployeeData[[#This Row],[Tenure Years]]&lt;1,"Less than 1 Year",IF(EmployeeData[[#This Row],[Tenure Years]]&lt;=3,"1-3 Years",IF(EmployeeData[[#This Row],[Tenure Years]]&lt;=5,"4-5 Years",IF(EmployeeData[[#This Row],[Tenure Years]]&lt;=10,"6-10 Years","More than 10 Years"))))</f>
        <v>More than 10 Years</v>
      </c>
      <c r="AD730">
        <f>ROUND(AVERAGE(EmployeeData[[#This Row],[JobSatisfaction]],EmployeeData[[#This Row],[EnvironmentSatisfaction]],EmployeeData[[#This Row],[WorkLifeBalance]]),2)</f>
        <v>2</v>
      </c>
      <c r="AE730" t="str">
        <f>IF(EmployeeData[[#This Row],[Satisfaction Score]]&lt;2,"Low",IF(EmployeeData[[#This Row],[Satisfaction Score]]&lt;3,"Medium","High"))</f>
        <v>Medium</v>
      </c>
    </row>
    <row r="731" spans="1:31" x14ac:dyDescent="0.25">
      <c r="A731" t="s">
        <v>3431</v>
      </c>
      <c r="B731" t="s">
        <v>3432</v>
      </c>
      <c r="C731" t="s">
        <v>58</v>
      </c>
      <c r="D731">
        <v>51</v>
      </c>
      <c r="E731" t="s">
        <v>128</v>
      </c>
      <c r="F731" t="s">
        <v>271</v>
      </c>
      <c r="G731" s="1">
        <v>45994</v>
      </c>
      <c r="H731">
        <v>41978</v>
      </c>
      <c r="I731" t="s">
        <v>52</v>
      </c>
      <c r="J731" t="s">
        <v>31</v>
      </c>
      <c r="K731" t="s">
        <v>200</v>
      </c>
      <c r="L731" t="s">
        <v>43</v>
      </c>
      <c r="M731">
        <v>44</v>
      </c>
      <c r="N731" t="s">
        <v>45</v>
      </c>
      <c r="O731">
        <v>2</v>
      </c>
      <c r="P731">
        <v>2</v>
      </c>
      <c r="Q731">
        <v>3</v>
      </c>
      <c r="R731">
        <v>1</v>
      </c>
      <c r="S731">
        <v>4</v>
      </c>
      <c r="T731">
        <v>6</v>
      </c>
      <c r="U731">
        <v>18</v>
      </c>
      <c r="V731" t="s">
        <v>3434</v>
      </c>
      <c r="W731" t="s">
        <v>45</v>
      </c>
      <c r="X731" s="1">
        <v>46090</v>
      </c>
      <c r="Y731" s="2" t="str">
        <f>IF(EmployeeData[[#This Row],[Age]]&lt;25,"Under 25",IF(EmployeeData[[#This Row],[Age]]&lt;=34,"25-34",IF(EmployeeData[[#This Row],[Age]]&lt;=44,"35-44",IF(EmployeeData[[#This Row],[Age]]&lt;=54,"45-54","55+"))))</f>
        <v>45-54</v>
      </c>
      <c r="Z731">
        <f ca="1">DATEDIF(EmployeeData[[#This Row],[DateOfJoining]],IF(AND(EmployeeData[[#This Row],[Attrition]]="Yes",EmployeeData[[#This Row],[LastWorkingDate]]&lt;&gt;""),EmployeeData[[#This Row],[LastWorkingDate]],TODAY()),"Y")</f>
        <v>0</v>
      </c>
      <c r="AA731" t="str">
        <f>IF(EmployeeData[[#This Row],[MonthlyIncome]]&lt;30000,"Low",IF(EmployeeData[[#This Row],[MonthlyIncome]]&lt;=60000,"Medium",IF(EmployeeData[[#This Row],[MonthlyIncome]]&lt;=100000,"High","Very High")))</f>
        <v>Medium</v>
      </c>
      <c r="AB731">
        <f>IF(EmployeeData[[#This Row],[Attrition]]="Yes",1,0)</f>
        <v>1</v>
      </c>
      <c r="AC731" t="str">
        <f ca="1">IF(EmployeeData[[#This Row],[Tenure Years]]&lt;1,"Less than 1 Year",IF(EmployeeData[[#This Row],[Tenure Years]]&lt;=3,"1-3 Years",IF(EmployeeData[[#This Row],[Tenure Years]]&lt;=5,"4-5 Years",IF(EmployeeData[[#This Row],[Tenure Years]]&lt;=10,"6-10 Years","More than 10 Years"))))</f>
        <v>Less than 1 Year</v>
      </c>
      <c r="AD731">
        <f>ROUND(AVERAGE(EmployeeData[[#This Row],[JobSatisfaction]],EmployeeData[[#This Row],[EnvironmentSatisfaction]],EmployeeData[[#This Row],[WorkLifeBalance]]),2)</f>
        <v>2.33</v>
      </c>
      <c r="AE731" t="str">
        <f>IF(EmployeeData[[#This Row],[Satisfaction Score]]&lt;2,"Low",IF(EmployeeData[[#This Row],[Satisfaction Score]]&lt;3,"Medium","High"))</f>
        <v>Medium</v>
      </c>
    </row>
    <row r="732" spans="1:31" x14ac:dyDescent="0.25">
      <c r="A732" t="s">
        <v>3436</v>
      </c>
      <c r="B732" t="s">
        <v>3437</v>
      </c>
      <c r="C732" t="s">
        <v>49</v>
      </c>
      <c r="D732">
        <v>34</v>
      </c>
      <c r="E732" t="s">
        <v>27</v>
      </c>
      <c r="F732" t="s">
        <v>75</v>
      </c>
      <c r="G732" s="1">
        <v>46099</v>
      </c>
      <c r="H732">
        <v>100527</v>
      </c>
      <c r="I732" t="s">
        <v>52</v>
      </c>
      <c r="J732" t="s">
        <v>31</v>
      </c>
      <c r="K732" t="s">
        <v>32</v>
      </c>
      <c r="L732" t="s">
        <v>62</v>
      </c>
      <c r="M732">
        <v>13</v>
      </c>
      <c r="N732" t="s">
        <v>34</v>
      </c>
      <c r="O732">
        <v>1</v>
      </c>
      <c r="P732">
        <v>2</v>
      </c>
      <c r="Q732">
        <v>4</v>
      </c>
      <c r="R732">
        <v>3</v>
      </c>
      <c r="S732">
        <v>2</v>
      </c>
      <c r="T732">
        <v>2</v>
      </c>
      <c r="U732">
        <v>23</v>
      </c>
      <c r="V732" t="s">
        <v>3439</v>
      </c>
      <c r="W732" t="s">
        <v>34</v>
      </c>
      <c r="Y732" s="2" t="str">
        <f>IF(EmployeeData[[#This Row],[Age]]&lt;25,"Under 25",IF(EmployeeData[[#This Row],[Age]]&lt;=34,"25-34",IF(EmployeeData[[#This Row],[Age]]&lt;=44,"35-44",IF(EmployeeData[[#This Row],[Age]]&lt;=54,"45-54","55+"))))</f>
        <v>25-34</v>
      </c>
      <c r="Z732">
        <f ca="1">DATEDIF(EmployeeData[[#This Row],[DateOfJoining]],IF(AND(EmployeeData[[#This Row],[Attrition]]="Yes",EmployeeData[[#This Row],[LastWorkingDate]]&lt;&gt;""),EmployeeData[[#This Row],[LastWorkingDate]],TODAY()),"Y")</f>
        <v>0</v>
      </c>
      <c r="AA732" t="str">
        <f>IF(EmployeeData[[#This Row],[MonthlyIncome]]&lt;30000,"Low",IF(EmployeeData[[#This Row],[MonthlyIncome]]&lt;=60000,"Medium",IF(EmployeeData[[#This Row],[MonthlyIncome]]&lt;=100000,"High","Very High")))</f>
        <v>Very High</v>
      </c>
      <c r="AB732">
        <f>IF(EmployeeData[[#This Row],[Attrition]]="Yes",1,0)</f>
        <v>0</v>
      </c>
      <c r="AC732" t="str">
        <f ca="1">IF(EmployeeData[[#This Row],[Tenure Years]]&lt;1,"Less than 1 Year",IF(EmployeeData[[#This Row],[Tenure Years]]&lt;=3,"1-3 Years",IF(EmployeeData[[#This Row],[Tenure Years]]&lt;=5,"4-5 Years",IF(EmployeeData[[#This Row],[Tenure Years]]&lt;=10,"6-10 Years","More than 10 Years"))))</f>
        <v>Less than 1 Year</v>
      </c>
      <c r="AD732">
        <f>ROUND(AVERAGE(EmployeeData[[#This Row],[JobSatisfaction]],EmployeeData[[#This Row],[EnvironmentSatisfaction]],EmployeeData[[#This Row],[WorkLifeBalance]]),2)</f>
        <v>2.33</v>
      </c>
      <c r="AE732" t="str">
        <f>IF(EmployeeData[[#This Row],[Satisfaction Score]]&lt;2,"Low",IF(EmployeeData[[#This Row],[Satisfaction Score]]&lt;3,"Medium","High"))</f>
        <v>Medium</v>
      </c>
    </row>
    <row r="733" spans="1:31" x14ac:dyDescent="0.25">
      <c r="A733" t="s">
        <v>3440</v>
      </c>
      <c r="B733" t="s">
        <v>3441</v>
      </c>
      <c r="C733" t="s">
        <v>58</v>
      </c>
      <c r="D733">
        <v>30</v>
      </c>
      <c r="E733" t="s">
        <v>5461</v>
      </c>
      <c r="F733" t="s">
        <v>483</v>
      </c>
      <c r="G733" s="1">
        <v>44233</v>
      </c>
      <c r="H733">
        <v>55590</v>
      </c>
      <c r="I733" t="s">
        <v>30</v>
      </c>
      <c r="J733" t="s">
        <v>61</v>
      </c>
      <c r="K733" t="s">
        <v>131</v>
      </c>
      <c r="L733" t="s">
        <v>43</v>
      </c>
      <c r="M733">
        <v>19</v>
      </c>
      <c r="N733" t="s">
        <v>34</v>
      </c>
      <c r="O733">
        <v>3</v>
      </c>
      <c r="P733">
        <v>4</v>
      </c>
      <c r="Q733">
        <v>2</v>
      </c>
      <c r="R733">
        <v>5</v>
      </c>
      <c r="S733">
        <v>5</v>
      </c>
      <c r="T733">
        <v>6</v>
      </c>
      <c r="U733">
        <v>18</v>
      </c>
      <c r="V733" t="s">
        <v>3443</v>
      </c>
      <c r="W733" t="s">
        <v>34</v>
      </c>
      <c r="Y733" s="2" t="str">
        <f>IF(EmployeeData[[#This Row],[Age]]&lt;25,"Under 25",IF(EmployeeData[[#This Row],[Age]]&lt;=34,"25-34",IF(EmployeeData[[#This Row],[Age]]&lt;=44,"35-44",IF(EmployeeData[[#This Row],[Age]]&lt;=54,"45-54","55+"))))</f>
        <v>25-34</v>
      </c>
      <c r="Z733">
        <f ca="1">DATEDIF(EmployeeData[[#This Row],[DateOfJoining]],IF(AND(EmployeeData[[#This Row],[Attrition]]="Yes",EmployeeData[[#This Row],[LastWorkingDate]]&lt;&gt;""),EmployeeData[[#This Row],[LastWorkingDate]],TODAY()),"Y")</f>
        <v>5</v>
      </c>
      <c r="AA733" t="str">
        <f>IF(EmployeeData[[#This Row],[MonthlyIncome]]&lt;30000,"Low",IF(EmployeeData[[#This Row],[MonthlyIncome]]&lt;=60000,"Medium",IF(EmployeeData[[#This Row],[MonthlyIncome]]&lt;=100000,"High","Very High")))</f>
        <v>Medium</v>
      </c>
      <c r="AB733">
        <f>IF(EmployeeData[[#This Row],[Attrition]]="Yes",1,0)</f>
        <v>0</v>
      </c>
      <c r="AC733" t="str">
        <f ca="1">IF(EmployeeData[[#This Row],[Tenure Years]]&lt;1,"Less than 1 Year",IF(EmployeeData[[#This Row],[Tenure Years]]&lt;=3,"1-3 Years",IF(EmployeeData[[#This Row],[Tenure Years]]&lt;=5,"4-5 Years",IF(EmployeeData[[#This Row],[Tenure Years]]&lt;=10,"6-10 Years","More than 10 Years"))))</f>
        <v>4-5 Years</v>
      </c>
      <c r="AD733">
        <f>ROUND(AVERAGE(EmployeeData[[#This Row],[JobSatisfaction]],EmployeeData[[#This Row],[EnvironmentSatisfaction]],EmployeeData[[#This Row],[WorkLifeBalance]]),2)</f>
        <v>3</v>
      </c>
      <c r="AE733" t="str">
        <f>IF(EmployeeData[[#This Row],[Satisfaction Score]]&lt;2,"Low",IF(EmployeeData[[#This Row],[Satisfaction Score]]&lt;3,"Medium","High"))</f>
        <v>High</v>
      </c>
    </row>
    <row r="734" spans="1:31" x14ac:dyDescent="0.25">
      <c r="A734" t="s">
        <v>3444</v>
      </c>
      <c r="B734" t="s">
        <v>3445</v>
      </c>
      <c r="C734" t="s">
        <v>49</v>
      </c>
      <c r="D734">
        <v>29</v>
      </c>
      <c r="E734" t="s">
        <v>5461</v>
      </c>
      <c r="F734" t="s">
        <v>483</v>
      </c>
      <c r="G734" s="1">
        <v>42129</v>
      </c>
      <c r="H734">
        <v>121271</v>
      </c>
      <c r="I734" t="s">
        <v>30</v>
      </c>
      <c r="J734" t="s">
        <v>31</v>
      </c>
      <c r="K734" t="s">
        <v>54</v>
      </c>
      <c r="L734" t="s">
        <v>33</v>
      </c>
      <c r="M734">
        <v>40</v>
      </c>
      <c r="N734" t="s">
        <v>34</v>
      </c>
      <c r="O734">
        <v>2</v>
      </c>
      <c r="P734">
        <v>1</v>
      </c>
      <c r="Q734">
        <v>3</v>
      </c>
      <c r="R734">
        <v>3</v>
      </c>
      <c r="S734">
        <v>2</v>
      </c>
      <c r="T734">
        <v>8</v>
      </c>
      <c r="U734">
        <v>15</v>
      </c>
      <c r="V734" t="s">
        <v>3447</v>
      </c>
      <c r="W734" t="s">
        <v>34</v>
      </c>
      <c r="Y734" s="2" t="str">
        <f>IF(EmployeeData[[#This Row],[Age]]&lt;25,"Under 25",IF(EmployeeData[[#This Row],[Age]]&lt;=34,"25-34",IF(EmployeeData[[#This Row],[Age]]&lt;=44,"35-44",IF(EmployeeData[[#This Row],[Age]]&lt;=54,"45-54","55+"))))</f>
        <v>25-34</v>
      </c>
      <c r="Z734">
        <f ca="1">DATEDIF(EmployeeData[[#This Row],[DateOfJoining]],IF(AND(EmployeeData[[#This Row],[Attrition]]="Yes",EmployeeData[[#This Row],[LastWorkingDate]]&lt;&gt;""),EmployeeData[[#This Row],[LastWorkingDate]],TODAY()),"Y")</f>
        <v>11</v>
      </c>
      <c r="AA734" t="str">
        <f>IF(EmployeeData[[#This Row],[MonthlyIncome]]&lt;30000,"Low",IF(EmployeeData[[#This Row],[MonthlyIncome]]&lt;=60000,"Medium",IF(EmployeeData[[#This Row],[MonthlyIncome]]&lt;=100000,"High","Very High")))</f>
        <v>Very High</v>
      </c>
      <c r="AB734">
        <f>IF(EmployeeData[[#This Row],[Attrition]]="Yes",1,0)</f>
        <v>0</v>
      </c>
      <c r="AC734" t="str">
        <f ca="1">IF(EmployeeData[[#This Row],[Tenure Years]]&lt;1,"Less than 1 Year",IF(EmployeeData[[#This Row],[Tenure Years]]&lt;=3,"1-3 Years",IF(EmployeeData[[#This Row],[Tenure Years]]&lt;=5,"4-5 Years",IF(EmployeeData[[#This Row],[Tenure Years]]&lt;=10,"6-10 Years","More than 10 Years"))))</f>
        <v>More than 10 Years</v>
      </c>
      <c r="AD734">
        <f>ROUND(AVERAGE(EmployeeData[[#This Row],[JobSatisfaction]],EmployeeData[[#This Row],[EnvironmentSatisfaction]],EmployeeData[[#This Row],[WorkLifeBalance]]),2)</f>
        <v>2</v>
      </c>
      <c r="AE734" t="str">
        <f>IF(EmployeeData[[#This Row],[Satisfaction Score]]&lt;2,"Low",IF(EmployeeData[[#This Row],[Satisfaction Score]]&lt;3,"Medium","High"))</f>
        <v>Medium</v>
      </c>
    </row>
    <row r="735" spans="1:31" x14ac:dyDescent="0.25">
      <c r="A735" t="s">
        <v>3448</v>
      </c>
      <c r="B735" t="s">
        <v>3449</v>
      </c>
      <c r="C735" t="s">
        <v>58</v>
      </c>
      <c r="D735">
        <v>45</v>
      </c>
      <c r="E735" t="s">
        <v>128</v>
      </c>
      <c r="F735" t="s">
        <v>123</v>
      </c>
      <c r="G735" s="1">
        <v>42871</v>
      </c>
      <c r="H735">
        <v>105354</v>
      </c>
      <c r="I735" t="s">
        <v>42</v>
      </c>
      <c r="J735" t="s">
        <v>31</v>
      </c>
      <c r="K735" t="s">
        <v>106</v>
      </c>
      <c r="L735" t="s">
        <v>43</v>
      </c>
      <c r="M735">
        <v>30</v>
      </c>
      <c r="N735" t="s">
        <v>34</v>
      </c>
      <c r="O735">
        <v>3</v>
      </c>
      <c r="P735">
        <v>1</v>
      </c>
      <c r="Q735">
        <v>4</v>
      </c>
      <c r="R735">
        <v>1</v>
      </c>
      <c r="S735">
        <v>6</v>
      </c>
      <c r="T735">
        <v>3</v>
      </c>
      <c r="U735">
        <v>21</v>
      </c>
      <c r="V735" t="s">
        <v>3451</v>
      </c>
      <c r="W735" t="s">
        <v>34</v>
      </c>
      <c r="Y735" s="2" t="str">
        <f>IF(EmployeeData[[#This Row],[Age]]&lt;25,"Under 25",IF(EmployeeData[[#This Row],[Age]]&lt;=34,"25-34",IF(EmployeeData[[#This Row],[Age]]&lt;=44,"35-44",IF(EmployeeData[[#This Row],[Age]]&lt;=54,"45-54","55+"))))</f>
        <v>45-54</v>
      </c>
      <c r="Z735">
        <f ca="1">DATEDIF(EmployeeData[[#This Row],[DateOfJoining]],IF(AND(EmployeeData[[#This Row],[Attrition]]="Yes",EmployeeData[[#This Row],[LastWorkingDate]]&lt;&gt;""),EmployeeData[[#This Row],[LastWorkingDate]],TODAY()),"Y")</f>
        <v>9</v>
      </c>
      <c r="AA735" t="str">
        <f>IF(EmployeeData[[#This Row],[MonthlyIncome]]&lt;30000,"Low",IF(EmployeeData[[#This Row],[MonthlyIncome]]&lt;=60000,"Medium",IF(EmployeeData[[#This Row],[MonthlyIncome]]&lt;=100000,"High","Very High")))</f>
        <v>Very High</v>
      </c>
      <c r="AB735">
        <f>IF(EmployeeData[[#This Row],[Attrition]]="Yes",1,0)</f>
        <v>0</v>
      </c>
      <c r="AC735" t="str">
        <f ca="1">IF(EmployeeData[[#This Row],[Tenure Years]]&lt;1,"Less than 1 Year",IF(EmployeeData[[#This Row],[Tenure Years]]&lt;=3,"1-3 Years",IF(EmployeeData[[#This Row],[Tenure Years]]&lt;=5,"4-5 Years",IF(EmployeeData[[#This Row],[Tenure Years]]&lt;=10,"6-10 Years","More than 10 Years"))))</f>
        <v>6-10 Years</v>
      </c>
      <c r="AD735">
        <f>ROUND(AVERAGE(EmployeeData[[#This Row],[JobSatisfaction]],EmployeeData[[#This Row],[EnvironmentSatisfaction]],EmployeeData[[#This Row],[WorkLifeBalance]]),2)</f>
        <v>2.67</v>
      </c>
      <c r="AE735" t="str">
        <f>IF(EmployeeData[[#This Row],[Satisfaction Score]]&lt;2,"Low",IF(EmployeeData[[#This Row],[Satisfaction Score]]&lt;3,"Medium","High"))</f>
        <v>Medium</v>
      </c>
    </row>
    <row r="736" spans="1:31" x14ac:dyDescent="0.25">
      <c r="A736" t="s">
        <v>3452</v>
      </c>
      <c r="B736" t="s">
        <v>3453</v>
      </c>
      <c r="C736" t="s">
        <v>49</v>
      </c>
      <c r="D736">
        <v>35</v>
      </c>
      <c r="E736" t="s">
        <v>27</v>
      </c>
      <c r="F736" t="s">
        <v>188</v>
      </c>
      <c r="G736" s="1">
        <v>43828</v>
      </c>
      <c r="H736">
        <v>62654</v>
      </c>
      <c r="I736" t="s">
        <v>30</v>
      </c>
      <c r="J736" t="s">
        <v>53</v>
      </c>
      <c r="K736" t="s">
        <v>32</v>
      </c>
      <c r="L736" t="s">
        <v>33</v>
      </c>
      <c r="M736">
        <v>28</v>
      </c>
      <c r="N736" t="s">
        <v>34</v>
      </c>
      <c r="O736">
        <v>3</v>
      </c>
      <c r="P736">
        <v>1</v>
      </c>
      <c r="Q736">
        <v>4</v>
      </c>
      <c r="R736">
        <v>3</v>
      </c>
      <c r="S736">
        <v>6</v>
      </c>
      <c r="T736">
        <v>3</v>
      </c>
      <c r="U736">
        <v>22</v>
      </c>
      <c r="V736" t="s">
        <v>3455</v>
      </c>
      <c r="W736" t="s">
        <v>34</v>
      </c>
      <c r="Y736" s="2" t="str">
        <f>IF(EmployeeData[[#This Row],[Age]]&lt;25,"Under 25",IF(EmployeeData[[#This Row],[Age]]&lt;=34,"25-34",IF(EmployeeData[[#This Row],[Age]]&lt;=44,"35-44",IF(EmployeeData[[#This Row],[Age]]&lt;=54,"45-54","55+"))))</f>
        <v>35-44</v>
      </c>
      <c r="Z736">
        <f ca="1">DATEDIF(EmployeeData[[#This Row],[DateOfJoining]],IF(AND(EmployeeData[[#This Row],[Attrition]]="Yes",EmployeeData[[#This Row],[LastWorkingDate]]&lt;&gt;""),EmployeeData[[#This Row],[LastWorkingDate]],TODAY()),"Y")</f>
        <v>6</v>
      </c>
      <c r="AA736" t="str">
        <f>IF(EmployeeData[[#This Row],[MonthlyIncome]]&lt;30000,"Low",IF(EmployeeData[[#This Row],[MonthlyIncome]]&lt;=60000,"Medium",IF(EmployeeData[[#This Row],[MonthlyIncome]]&lt;=100000,"High","Very High")))</f>
        <v>High</v>
      </c>
      <c r="AB736">
        <f>IF(EmployeeData[[#This Row],[Attrition]]="Yes",1,0)</f>
        <v>0</v>
      </c>
      <c r="AC736" t="str">
        <f ca="1">IF(EmployeeData[[#This Row],[Tenure Years]]&lt;1,"Less than 1 Year",IF(EmployeeData[[#This Row],[Tenure Years]]&lt;=3,"1-3 Years",IF(EmployeeData[[#This Row],[Tenure Years]]&lt;=5,"4-5 Years",IF(EmployeeData[[#This Row],[Tenure Years]]&lt;=10,"6-10 Years","More than 10 Years"))))</f>
        <v>6-10 Years</v>
      </c>
      <c r="AD736">
        <f>ROUND(AVERAGE(EmployeeData[[#This Row],[JobSatisfaction]],EmployeeData[[#This Row],[EnvironmentSatisfaction]],EmployeeData[[#This Row],[WorkLifeBalance]]),2)</f>
        <v>2.67</v>
      </c>
      <c r="AE736" t="str">
        <f>IF(EmployeeData[[#This Row],[Satisfaction Score]]&lt;2,"Low",IF(EmployeeData[[#This Row],[Satisfaction Score]]&lt;3,"Medium","High"))</f>
        <v>Medium</v>
      </c>
    </row>
    <row r="737" spans="1:31" x14ac:dyDescent="0.25">
      <c r="A737" t="s">
        <v>3456</v>
      </c>
      <c r="B737" t="s">
        <v>3457</v>
      </c>
      <c r="C737" t="s">
        <v>49</v>
      </c>
      <c r="D737">
        <v>35</v>
      </c>
      <c r="E737" t="s">
        <v>128</v>
      </c>
      <c r="F737" t="s">
        <v>226</v>
      </c>
      <c r="G737" s="1">
        <v>42127</v>
      </c>
      <c r="H737">
        <v>94811</v>
      </c>
      <c r="I737" t="s">
        <v>52</v>
      </c>
      <c r="J737" t="s">
        <v>143</v>
      </c>
      <c r="K737" t="s">
        <v>200</v>
      </c>
      <c r="L737" t="s">
        <v>43</v>
      </c>
      <c r="M737">
        <v>26</v>
      </c>
      <c r="N737" t="s">
        <v>34</v>
      </c>
      <c r="O737">
        <v>2</v>
      </c>
      <c r="P737">
        <v>3</v>
      </c>
      <c r="Q737">
        <v>1</v>
      </c>
      <c r="R737">
        <v>3</v>
      </c>
      <c r="S737">
        <v>0</v>
      </c>
      <c r="T737">
        <v>5</v>
      </c>
      <c r="U737">
        <v>20</v>
      </c>
      <c r="V737" t="s">
        <v>2900</v>
      </c>
      <c r="W737" t="s">
        <v>34</v>
      </c>
      <c r="Y737" s="2" t="str">
        <f>IF(EmployeeData[[#This Row],[Age]]&lt;25,"Under 25",IF(EmployeeData[[#This Row],[Age]]&lt;=34,"25-34",IF(EmployeeData[[#This Row],[Age]]&lt;=44,"35-44",IF(EmployeeData[[#This Row],[Age]]&lt;=54,"45-54","55+"))))</f>
        <v>35-44</v>
      </c>
      <c r="Z737">
        <f ca="1">DATEDIF(EmployeeData[[#This Row],[DateOfJoining]],IF(AND(EmployeeData[[#This Row],[Attrition]]="Yes",EmployeeData[[#This Row],[LastWorkingDate]]&lt;&gt;""),EmployeeData[[#This Row],[LastWorkingDate]],TODAY()),"Y")</f>
        <v>11</v>
      </c>
      <c r="AA737" t="str">
        <f>IF(EmployeeData[[#This Row],[MonthlyIncome]]&lt;30000,"Low",IF(EmployeeData[[#This Row],[MonthlyIncome]]&lt;=60000,"Medium",IF(EmployeeData[[#This Row],[MonthlyIncome]]&lt;=100000,"High","Very High")))</f>
        <v>High</v>
      </c>
      <c r="AB737">
        <f>IF(EmployeeData[[#This Row],[Attrition]]="Yes",1,0)</f>
        <v>0</v>
      </c>
      <c r="AC737" t="str">
        <f ca="1">IF(EmployeeData[[#This Row],[Tenure Years]]&lt;1,"Less than 1 Year",IF(EmployeeData[[#This Row],[Tenure Years]]&lt;=3,"1-3 Years",IF(EmployeeData[[#This Row],[Tenure Years]]&lt;=5,"4-5 Years",IF(EmployeeData[[#This Row],[Tenure Years]]&lt;=10,"6-10 Years","More than 10 Years"))))</f>
        <v>More than 10 Years</v>
      </c>
      <c r="AD737">
        <f>ROUND(AVERAGE(EmployeeData[[#This Row],[JobSatisfaction]],EmployeeData[[#This Row],[EnvironmentSatisfaction]],EmployeeData[[#This Row],[WorkLifeBalance]]),2)</f>
        <v>2</v>
      </c>
      <c r="AE737" t="str">
        <f>IF(EmployeeData[[#This Row],[Satisfaction Score]]&lt;2,"Low",IF(EmployeeData[[#This Row],[Satisfaction Score]]&lt;3,"Medium","High"))</f>
        <v>Medium</v>
      </c>
    </row>
    <row r="738" spans="1:31" x14ac:dyDescent="0.25">
      <c r="A738" t="s">
        <v>3459</v>
      </c>
      <c r="B738" t="s">
        <v>3460</v>
      </c>
      <c r="C738" t="s">
        <v>58</v>
      </c>
      <c r="D738">
        <v>32</v>
      </c>
      <c r="E738" t="s">
        <v>94</v>
      </c>
      <c r="F738" t="s">
        <v>639</v>
      </c>
      <c r="G738" s="1">
        <v>42649</v>
      </c>
      <c r="H738">
        <v>93236</v>
      </c>
      <c r="I738" t="s">
        <v>42</v>
      </c>
      <c r="J738" t="s">
        <v>143</v>
      </c>
      <c r="K738" t="s">
        <v>54</v>
      </c>
      <c r="L738" t="s">
        <v>43</v>
      </c>
      <c r="M738">
        <v>3</v>
      </c>
      <c r="N738" t="s">
        <v>34</v>
      </c>
      <c r="O738">
        <v>4</v>
      </c>
      <c r="P738">
        <v>2</v>
      </c>
      <c r="Q738">
        <v>3</v>
      </c>
      <c r="R738">
        <v>3</v>
      </c>
      <c r="S738">
        <v>4</v>
      </c>
      <c r="T738">
        <v>2</v>
      </c>
      <c r="U738">
        <v>14</v>
      </c>
      <c r="V738" t="s">
        <v>3462</v>
      </c>
      <c r="W738" t="s">
        <v>34</v>
      </c>
      <c r="Y738" s="2" t="str">
        <f>IF(EmployeeData[[#This Row],[Age]]&lt;25,"Under 25",IF(EmployeeData[[#This Row],[Age]]&lt;=34,"25-34",IF(EmployeeData[[#This Row],[Age]]&lt;=44,"35-44",IF(EmployeeData[[#This Row],[Age]]&lt;=54,"45-54","55+"))))</f>
        <v>25-34</v>
      </c>
      <c r="Z738">
        <f ca="1">DATEDIF(EmployeeData[[#This Row],[DateOfJoining]],IF(AND(EmployeeData[[#This Row],[Attrition]]="Yes",EmployeeData[[#This Row],[LastWorkingDate]]&lt;&gt;""),EmployeeData[[#This Row],[LastWorkingDate]],TODAY()),"Y")</f>
        <v>9</v>
      </c>
      <c r="AA738" t="str">
        <f>IF(EmployeeData[[#This Row],[MonthlyIncome]]&lt;30000,"Low",IF(EmployeeData[[#This Row],[MonthlyIncome]]&lt;=60000,"Medium",IF(EmployeeData[[#This Row],[MonthlyIncome]]&lt;=100000,"High","Very High")))</f>
        <v>High</v>
      </c>
      <c r="AB738">
        <f>IF(EmployeeData[[#This Row],[Attrition]]="Yes",1,0)</f>
        <v>0</v>
      </c>
      <c r="AC738" t="str">
        <f ca="1">IF(EmployeeData[[#This Row],[Tenure Years]]&lt;1,"Less than 1 Year",IF(EmployeeData[[#This Row],[Tenure Years]]&lt;=3,"1-3 Years",IF(EmployeeData[[#This Row],[Tenure Years]]&lt;=5,"4-5 Years",IF(EmployeeData[[#This Row],[Tenure Years]]&lt;=10,"6-10 Years","More than 10 Years"))))</f>
        <v>6-10 Years</v>
      </c>
      <c r="AD738">
        <f>ROUND(AVERAGE(EmployeeData[[#This Row],[JobSatisfaction]],EmployeeData[[#This Row],[EnvironmentSatisfaction]],EmployeeData[[#This Row],[WorkLifeBalance]]),2)</f>
        <v>3</v>
      </c>
      <c r="AE738" t="str">
        <f>IF(EmployeeData[[#This Row],[Satisfaction Score]]&lt;2,"Low",IF(EmployeeData[[#This Row],[Satisfaction Score]]&lt;3,"Medium","High"))</f>
        <v>High</v>
      </c>
    </row>
    <row r="739" spans="1:31" x14ac:dyDescent="0.25">
      <c r="A739" t="s">
        <v>3463</v>
      </c>
      <c r="B739" t="s">
        <v>3464</v>
      </c>
      <c r="C739" t="s">
        <v>49</v>
      </c>
      <c r="D739">
        <v>20</v>
      </c>
      <c r="E739" t="s">
        <v>38</v>
      </c>
      <c r="F739" t="s">
        <v>5460</v>
      </c>
      <c r="G739" s="1">
        <v>44423</v>
      </c>
      <c r="H739">
        <v>69412</v>
      </c>
      <c r="I739" t="s">
        <v>42</v>
      </c>
      <c r="J739" t="s">
        <v>143</v>
      </c>
      <c r="K739" t="s">
        <v>167</v>
      </c>
      <c r="L739" t="s">
        <v>33</v>
      </c>
      <c r="M739">
        <v>44</v>
      </c>
      <c r="N739" t="s">
        <v>34</v>
      </c>
      <c r="O739">
        <v>2</v>
      </c>
      <c r="P739">
        <v>3</v>
      </c>
      <c r="Q739">
        <v>3</v>
      </c>
      <c r="R739">
        <v>2</v>
      </c>
      <c r="S739">
        <v>6</v>
      </c>
      <c r="T739">
        <v>5</v>
      </c>
      <c r="U739">
        <v>11</v>
      </c>
      <c r="V739" t="s">
        <v>3466</v>
      </c>
      <c r="W739" t="s">
        <v>34</v>
      </c>
      <c r="Y739" s="2" t="str">
        <f>IF(EmployeeData[[#This Row],[Age]]&lt;25,"Under 25",IF(EmployeeData[[#This Row],[Age]]&lt;=34,"25-34",IF(EmployeeData[[#This Row],[Age]]&lt;=44,"35-44",IF(EmployeeData[[#This Row],[Age]]&lt;=54,"45-54","55+"))))</f>
        <v>Under 25</v>
      </c>
      <c r="Z739">
        <f ca="1">DATEDIF(EmployeeData[[#This Row],[DateOfJoining]],IF(AND(EmployeeData[[#This Row],[Attrition]]="Yes",EmployeeData[[#This Row],[LastWorkingDate]]&lt;&gt;""),EmployeeData[[#This Row],[LastWorkingDate]],TODAY()),"Y")</f>
        <v>5</v>
      </c>
      <c r="AA739" t="str">
        <f>IF(EmployeeData[[#This Row],[MonthlyIncome]]&lt;30000,"Low",IF(EmployeeData[[#This Row],[MonthlyIncome]]&lt;=60000,"Medium",IF(EmployeeData[[#This Row],[MonthlyIncome]]&lt;=100000,"High","Very High")))</f>
        <v>High</v>
      </c>
      <c r="AB739">
        <f>IF(EmployeeData[[#This Row],[Attrition]]="Yes",1,0)</f>
        <v>0</v>
      </c>
      <c r="AC739" t="str">
        <f ca="1">IF(EmployeeData[[#This Row],[Tenure Years]]&lt;1,"Less than 1 Year",IF(EmployeeData[[#This Row],[Tenure Years]]&lt;=3,"1-3 Years",IF(EmployeeData[[#This Row],[Tenure Years]]&lt;=5,"4-5 Years",IF(EmployeeData[[#This Row],[Tenure Years]]&lt;=10,"6-10 Years","More than 10 Years"))))</f>
        <v>4-5 Years</v>
      </c>
      <c r="AD739">
        <f>ROUND(AVERAGE(EmployeeData[[#This Row],[JobSatisfaction]],EmployeeData[[#This Row],[EnvironmentSatisfaction]],EmployeeData[[#This Row],[WorkLifeBalance]]),2)</f>
        <v>2.67</v>
      </c>
      <c r="AE739" t="str">
        <f>IF(EmployeeData[[#This Row],[Satisfaction Score]]&lt;2,"Low",IF(EmployeeData[[#This Row],[Satisfaction Score]]&lt;3,"Medium","High"))</f>
        <v>Medium</v>
      </c>
    </row>
    <row r="740" spans="1:31" x14ac:dyDescent="0.25">
      <c r="A740" t="s">
        <v>3467</v>
      </c>
      <c r="B740" t="s">
        <v>3468</v>
      </c>
      <c r="C740" t="s">
        <v>58</v>
      </c>
      <c r="D740">
        <v>21</v>
      </c>
      <c r="E740" t="s">
        <v>27</v>
      </c>
      <c r="F740" t="s">
        <v>188</v>
      </c>
      <c r="G740" s="1">
        <v>41222</v>
      </c>
      <c r="H740">
        <v>115066</v>
      </c>
      <c r="I740" t="s">
        <v>42</v>
      </c>
      <c r="J740" t="s">
        <v>31</v>
      </c>
      <c r="K740" t="s">
        <v>54</v>
      </c>
      <c r="L740" t="s">
        <v>43</v>
      </c>
      <c r="M740">
        <v>29</v>
      </c>
      <c r="N740" t="s">
        <v>45</v>
      </c>
      <c r="O740">
        <v>3</v>
      </c>
      <c r="P740">
        <v>1</v>
      </c>
      <c r="Q740">
        <v>1</v>
      </c>
      <c r="R740">
        <v>5</v>
      </c>
      <c r="S740">
        <v>3</v>
      </c>
      <c r="T740">
        <v>1</v>
      </c>
      <c r="U740">
        <v>16</v>
      </c>
      <c r="V740" t="s">
        <v>2472</v>
      </c>
      <c r="W740" t="s">
        <v>34</v>
      </c>
      <c r="Y740" s="2" t="str">
        <f>IF(EmployeeData[[#This Row],[Age]]&lt;25,"Under 25",IF(EmployeeData[[#This Row],[Age]]&lt;=34,"25-34",IF(EmployeeData[[#This Row],[Age]]&lt;=44,"35-44",IF(EmployeeData[[#This Row],[Age]]&lt;=54,"45-54","55+"))))</f>
        <v>Under 25</v>
      </c>
      <c r="Z740">
        <f ca="1">DATEDIF(EmployeeData[[#This Row],[DateOfJoining]],IF(AND(EmployeeData[[#This Row],[Attrition]]="Yes",EmployeeData[[#This Row],[LastWorkingDate]]&lt;&gt;""),EmployeeData[[#This Row],[LastWorkingDate]],TODAY()),"Y")</f>
        <v>13</v>
      </c>
      <c r="AA740" t="str">
        <f>IF(EmployeeData[[#This Row],[MonthlyIncome]]&lt;30000,"Low",IF(EmployeeData[[#This Row],[MonthlyIncome]]&lt;=60000,"Medium",IF(EmployeeData[[#This Row],[MonthlyIncome]]&lt;=100000,"High","Very High")))</f>
        <v>Very High</v>
      </c>
      <c r="AB740">
        <f>IF(EmployeeData[[#This Row],[Attrition]]="Yes",1,0)</f>
        <v>0</v>
      </c>
      <c r="AC740" t="str">
        <f ca="1">IF(EmployeeData[[#This Row],[Tenure Years]]&lt;1,"Less than 1 Year",IF(EmployeeData[[#This Row],[Tenure Years]]&lt;=3,"1-3 Years",IF(EmployeeData[[#This Row],[Tenure Years]]&lt;=5,"4-5 Years",IF(EmployeeData[[#This Row],[Tenure Years]]&lt;=10,"6-10 Years","More than 10 Years"))))</f>
        <v>More than 10 Years</v>
      </c>
      <c r="AD740">
        <f>ROUND(AVERAGE(EmployeeData[[#This Row],[JobSatisfaction]],EmployeeData[[#This Row],[EnvironmentSatisfaction]],EmployeeData[[#This Row],[WorkLifeBalance]]),2)</f>
        <v>1.67</v>
      </c>
      <c r="AE740" t="str">
        <f>IF(EmployeeData[[#This Row],[Satisfaction Score]]&lt;2,"Low",IF(EmployeeData[[#This Row],[Satisfaction Score]]&lt;3,"Medium","High"))</f>
        <v>Low</v>
      </c>
    </row>
    <row r="741" spans="1:31" x14ac:dyDescent="0.25">
      <c r="A741" t="s">
        <v>3471</v>
      </c>
      <c r="B741" t="s">
        <v>3472</v>
      </c>
      <c r="C741" t="s">
        <v>58</v>
      </c>
      <c r="D741">
        <v>42</v>
      </c>
      <c r="E741" t="s">
        <v>197</v>
      </c>
      <c r="F741" t="s">
        <v>235</v>
      </c>
      <c r="G741" s="1">
        <v>45214</v>
      </c>
      <c r="H741">
        <v>77630</v>
      </c>
      <c r="I741" t="s">
        <v>42</v>
      </c>
      <c r="J741" t="s">
        <v>97</v>
      </c>
      <c r="K741" t="s">
        <v>131</v>
      </c>
      <c r="L741" t="s">
        <v>33</v>
      </c>
      <c r="M741">
        <v>27</v>
      </c>
      <c r="N741" t="s">
        <v>45</v>
      </c>
      <c r="O741">
        <v>3</v>
      </c>
      <c r="P741">
        <v>3</v>
      </c>
      <c r="Q741">
        <v>3</v>
      </c>
      <c r="R741">
        <v>2</v>
      </c>
      <c r="S741">
        <v>1</v>
      </c>
      <c r="T741">
        <v>5</v>
      </c>
      <c r="U741">
        <v>12</v>
      </c>
      <c r="V741" t="s">
        <v>3474</v>
      </c>
      <c r="W741" t="s">
        <v>34</v>
      </c>
      <c r="Y741" s="2" t="str">
        <f>IF(EmployeeData[[#This Row],[Age]]&lt;25,"Under 25",IF(EmployeeData[[#This Row],[Age]]&lt;=34,"25-34",IF(EmployeeData[[#This Row],[Age]]&lt;=44,"35-44",IF(EmployeeData[[#This Row],[Age]]&lt;=54,"45-54","55+"))))</f>
        <v>35-44</v>
      </c>
      <c r="Z741">
        <f ca="1">DATEDIF(EmployeeData[[#This Row],[DateOfJoining]],IF(AND(EmployeeData[[#This Row],[Attrition]]="Yes",EmployeeData[[#This Row],[LastWorkingDate]]&lt;&gt;""),EmployeeData[[#This Row],[LastWorkingDate]],TODAY()),"Y")</f>
        <v>2</v>
      </c>
      <c r="AA741" t="str">
        <f>IF(EmployeeData[[#This Row],[MonthlyIncome]]&lt;30000,"Low",IF(EmployeeData[[#This Row],[MonthlyIncome]]&lt;=60000,"Medium",IF(EmployeeData[[#This Row],[MonthlyIncome]]&lt;=100000,"High","Very High")))</f>
        <v>High</v>
      </c>
      <c r="AB741">
        <f>IF(EmployeeData[[#This Row],[Attrition]]="Yes",1,0)</f>
        <v>0</v>
      </c>
      <c r="AC741" t="str">
        <f ca="1">IF(EmployeeData[[#This Row],[Tenure Years]]&lt;1,"Less than 1 Year",IF(EmployeeData[[#This Row],[Tenure Years]]&lt;=3,"1-3 Years",IF(EmployeeData[[#This Row],[Tenure Years]]&lt;=5,"4-5 Years",IF(EmployeeData[[#This Row],[Tenure Years]]&lt;=10,"6-10 Years","More than 10 Years"))))</f>
        <v>1-3 Years</v>
      </c>
      <c r="AD741">
        <f>ROUND(AVERAGE(EmployeeData[[#This Row],[JobSatisfaction]],EmployeeData[[#This Row],[EnvironmentSatisfaction]],EmployeeData[[#This Row],[WorkLifeBalance]]),2)</f>
        <v>3</v>
      </c>
      <c r="AE741" t="str">
        <f>IF(EmployeeData[[#This Row],[Satisfaction Score]]&lt;2,"Low",IF(EmployeeData[[#This Row],[Satisfaction Score]]&lt;3,"Medium","High"))</f>
        <v>High</v>
      </c>
    </row>
    <row r="742" spans="1:31" x14ac:dyDescent="0.25">
      <c r="A742" t="s">
        <v>3475</v>
      </c>
      <c r="B742" t="s">
        <v>3476</v>
      </c>
      <c r="C742" t="s">
        <v>49</v>
      </c>
      <c r="D742">
        <v>33</v>
      </c>
      <c r="E742" t="s">
        <v>128</v>
      </c>
      <c r="F742" t="s">
        <v>255</v>
      </c>
      <c r="G742" s="1">
        <v>45181</v>
      </c>
      <c r="H742">
        <v>85242</v>
      </c>
      <c r="I742" t="s">
        <v>52</v>
      </c>
      <c r="J742" t="s">
        <v>31</v>
      </c>
      <c r="K742" t="s">
        <v>113</v>
      </c>
      <c r="L742" t="s">
        <v>43</v>
      </c>
      <c r="M742">
        <v>14</v>
      </c>
      <c r="N742" t="s">
        <v>45</v>
      </c>
      <c r="O742">
        <v>1</v>
      </c>
      <c r="P742">
        <v>4</v>
      </c>
      <c r="Q742">
        <v>1</v>
      </c>
      <c r="R742">
        <v>3</v>
      </c>
      <c r="S742">
        <v>2</v>
      </c>
      <c r="T742">
        <v>3</v>
      </c>
      <c r="U742">
        <v>19</v>
      </c>
      <c r="V742" t="s">
        <v>5459</v>
      </c>
      <c r="W742" t="s">
        <v>45</v>
      </c>
      <c r="X742" s="1">
        <v>45537</v>
      </c>
      <c r="Y742" s="2" t="str">
        <f>IF(EmployeeData[[#This Row],[Age]]&lt;25,"Under 25",IF(EmployeeData[[#This Row],[Age]]&lt;=34,"25-34",IF(EmployeeData[[#This Row],[Age]]&lt;=44,"35-44",IF(EmployeeData[[#This Row],[Age]]&lt;=54,"45-54","55+"))))</f>
        <v>25-34</v>
      </c>
      <c r="Z742">
        <f ca="1">DATEDIF(EmployeeData[[#This Row],[DateOfJoining]],IF(AND(EmployeeData[[#This Row],[Attrition]]="Yes",EmployeeData[[#This Row],[LastWorkingDate]]&lt;&gt;""),EmployeeData[[#This Row],[LastWorkingDate]],TODAY()),"Y")</f>
        <v>0</v>
      </c>
      <c r="AA742" t="str">
        <f>IF(EmployeeData[[#This Row],[MonthlyIncome]]&lt;30000,"Low",IF(EmployeeData[[#This Row],[MonthlyIncome]]&lt;=60000,"Medium",IF(EmployeeData[[#This Row],[MonthlyIncome]]&lt;=100000,"High","Very High")))</f>
        <v>High</v>
      </c>
      <c r="AB742">
        <f>IF(EmployeeData[[#This Row],[Attrition]]="Yes",1,0)</f>
        <v>1</v>
      </c>
      <c r="AC742" t="str">
        <f ca="1">IF(EmployeeData[[#This Row],[Tenure Years]]&lt;1,"Less than 1 Year",IF(EmployeeData[[#This Row],[Tenure Years]]&lt;=3,"1-3 Years",IF(EmployeeData[[#This Row],[Tenure Years]]&lt;=5,"4-5 Years",IF(EmployeeData[[#This Row],[Tenure Years]]&lt;=10,"6-10 Years","More than 10 Years"))))</f>
        <v>Less than 1 Year</v>
      </c>
      <c r="AD742">
        <f>ROUND(AVERAGE(EmployeeData[[#This Row],[JobSatisfaction]],EmployeeData[[#This Row],[EnvironmentSatisfaction]],EmployeeData[[#This Row],[WorkLifeBalance]]),2)</f>
        <v>2</v>
      </c>
      <c r="AE742" t="str">
        <f>IF(EmployeeData[[#This Row],[Satisfaction Score]]&lt;2,"Low",IF(EmployeeData[[#This Row],[Satisfaction Score]]&lt;3,"Medium","High"))</f>
        <v>Medium</v>
      </c>
    </row>
    <row r="743" spans="1:31" x14ac:dyDescent="0.25">
      <c r="A743" t="s">
        <v>3479</v>
      </c>
      <c r="B743" t="s">
        <v>3480</v>
      </c>
      <c r="C743" t="s">
        <v>58</v>
      </c>
      <c r="D743">
        <v>29</v>
      </c>
      <c r="E743" t="s">
        <v>27</v>
      </c>
      <c r="F743" t="s">
        <v>5459</v>
      </c>
      <c r="G743" s="1">
        <v>46129</v>
      </c>
      <c r="H743">
        <v>68517</v>
      </c>
      <c r="I743" t="s">
        <v>42</v>
      </c>
      <c r="J743" t="s">
        <v>61</v>
      </c>
      <c r="K743" t="s">
        <v>77</v>
      </c>
      <c r="L743" t="s">
        <v>62</v>
      </c>
      <c r="M743">
        <v>12</v>
      </c>
      <c r="N743" t="s">
        <v>34</v>
      </c>
      <c r="O743">
        <v>1</v>
      </c>
      <c r="P743">
        <v>3</v>
      </c>
      <c r="Q743">
        <v>2</v>
      </c>
      <c r="R743">
        <v>3</v>
      </c>
      <c r="S743">
        <v>4</v>
      </c>
      <c r="T743">
        <v>2</v>
      </c>
      <c r="U743">
        <v>23</v>
      </c>
      <c r="V743" t="s">
        <v>3482</v>
      </c>
      <c r="W743" t="s">
        <v>45</v>
      </c>
      <c r="X743" s="1">
        <v>46207</v>
      </c>
      <c r="Y743" s="2" t="str">
        <f>IF(EmployeeData[[#This Row],[Age]]&lt;25,"Under 25",IF(EmployeeData[[#This Row],[Age]]&lt;=34,"25-34",IF(EmployeeData[[#This Row],[Age]]&lt;=44,"35-44",IF(EmployeeData[[#This Row],[Age]]&lt;=54,"45-54","55+"))))</f>
        <v>25-34</v>
      </c>
      <c r="Z743">
        <f ca="1">DATEDIF(EmployeeData[[#This Row],[DateOfJoining]],IF(AND(EmployeeData[[#This Row],[Attrition]]="Yes",EmployeeData[[#This Row],[LastWorkingDate]]&lt;&gt;""),EmployeeData[[#This Row],[LastWorkingDate]],TODAY()),"Y")</f>
        <v>0</v>
      </c>
      <c r="AA743" t="str">
        <f>IF(EmployeeData[[#This Row],[MonthlyIncome]]&lt;30000,"Low",IF(EmployeeData[[#This Row],[MonthlyIncome]]&lt;=60000,"Medium",IF(EmployeeData[[#This Row],[MonthlyIncome]]&lt;=100000,"High","Very High")))</f>
        <v>High</v>
      </c>
      <c r="AB743">
        <f>IF(EmployeeData[[#This Row],[Attrition]]="Yes",1,0)</f>
        <v>1</v>
      </c>
      <c r="AC743" t="str">
        <f ca="1">IF(EmployeeData[[#This Row],[Tenure Years]]&lt;1,"Less than 1 Year",IF(EmployeeData[[#This Row],[Tenure Years]]&lt;=3,"1-3 Years",IF(EmployeeData[[#This Row],[Tenure Years]]&lt;=5,"4-5 Years",IF(EmployeeData[[#This Row],[Tenure Years]]&lt;=10,"6-10 Years","More than 10 Years"))))</f>
        <v>Less than 1 Year</v>
      </c>
      <c r="AD743">
        <f>ROUND(AVERAGE(EmployeeData[[#This Row],[JobSatisfaction]],EmployeeData[[#This Row],[EnvironmentSatisfaction]],EmployeeData[[#This Row],[WorkLifeBalance]]),2)</f>
        <v>2</v>
      </c>
      <c r="AE743" t="str">
        <f>IF(EmployeeData[[#This Row],[Satisfaction Score]]&lt;2,"Low",IF(EmployeeData[[#This Row],[Satisfaction Score]]&lt;3,"Medium","High"))</f>
        <v>Medium</v>
      </c>
    </row>
    <row r="744" spans="1:31" x14ac:dyDescent="0.25">
      <c r="A744" t="s">
        <v>3484</v>
      </c>
      <c r="B744" t="s">
        <v>3485</v>
      </c>
      <c r="C744" t="s">
        <v>5459</v>
      </c>
      <c r="D744">
        <v>35</v>
      </c>
      <c r="E744" t="s">
        <v>197</v>
      </c>
      <c r="F744" t="s">
        <v>323</v>
      </c>
      <c r="G744" s="1">
        <v>44678</v>
      </c>
      <c r="H744">
        <v>84499</v>
      </c>
      <c r="I744" t="s">
        <v>52</v>
      </c>
      <c r="J744" t="s">
        <v>61</v>
      </c>
      <c r="K744" t="s">
        <v>54</v>
      </c>
      <c r="L744" t="s">
        <v>43</v>
      </c>
      <c r="M744">
        <v>25</v>
      </c>
      <c r="N744" t="s">
        <v>34</v>
      </c>
      <c r="O744">
        <v>2</v>
      </c>
      <c r="P744">
        <v>2</v>
      </c>
      <c r="Q744">
        <v>4</v>
      </c>
      <c r="R744">
        <v>5</v>
      </c>
      <c r="S744">
        <v>2</v>
      </c>
      <c r="T744">
        <v>1</v>
      </c>
      <c r="U744">
        <v>16</v>
      </c>
      <c r="V744" t="s">
        <v>3486</v>
      </c>
      <c r="W744" t="s">
        <v>34</v>
      </c>
      <c r="Y744" s="2" t="str">
        <f>IF(EmployeeData[[#This Row],[Age]]&lt;25,"Under 25",IF(EmployeeData[[#This Row],[Age]]&lt;=34,"25-34",IF(EmployeeData[[#This Row],[Age]]&lt;=44,"35-44",IF(EmployeeData[[#This Row],[Age]]&lt;=54,"45-54","55+"))))</f>
        <v>35-44</v>
      </c>
      <c r="Z744">
        <f ca="1">DATEDIF(EmployeeData[[#This Row],[DateOfJoining]],IF(AND(EmployeeData[[#This Row],[Attrition]]="Yes",EmployeeData[[#This Row],[LastWorkingDate]]&lt;&gt;""),EmployeeData[[#This Row],[LastWorkingDate]],TODAY()),"Y")</f>
        <v>4</v>
      </c>
      <c r="AA744" t="str">
        <f>IF(EmployeeData[[#This Row],[MonthlyIncome]]&lt;30000,"Low",IF(EmployeeData[[#This Row],[MonthlyIncome]]&lt;=60000,"Medium",IF(EmployeeData[[#This Row],[MonthlyIncome]]&lt;=100000,"High","Very High")))</f>
        <v>High</v>
      </c>
      <c r="AB744">
        <f>IF(EmployeeData[[#This Row],[Attrition]]="Yes",1,0)</f>
        <v>0</v>
      </c>
      <c r="AC744" t="str">
        <f ca="1">IF(EmployeeData[[#This Row],[Tenure Years]]&lt;1,"Less than 1 Year",IF(EmployeeData[[#This Row],[Tenure Years]]&lt;=3,"1-3 Years",IF(EmployeeData[[#This Row],[Tenure Years]]&lt;=5,"4-5 Years",IF(EmployeeData[[#This Row],[Tenure Years]]&lt;=10,"6-10 Years","More than 10 Years"))))</f>
        <v>4-5 Years</v>
      </c>
      <c r="AD744">
        <f>ROUND(AVERAGE(EmployeeData[[#This Row],[JobSatisfaction]],EmployeeData[[#This Row],[EnvironmentSatisfaction]],EmployeeData[[#This Row],[WorkLifeBalance]]),2)</f>
        <v>2.67</v>
      </c>
      <c r="AE744" t="str">
        <f>IF(EmployeeData[[#This Row],[Satisfaction Score]]&lt;2,"Low",IF(EmployeeData[[#This Row],[Satisfaction Score]]&lt;3,"Medium","High"))</f>
        <v>Medium</v>
      </c>
    </row>
    <row r="745" spans="1:31" x14ac:dyDescent="0.25">
      <c r="A745" t="s">
        <v>3487</v>
      </c>
      <c r="B745" t="s">
        <v>3488</v>
      </c>
      <c r="C745" t="s">
        <v>58</v>
      </c>
      <c r="D745">
        <v>38</v>
      </c>
      <c r="E745" t="s">
        <v>94</v>
      </c>
      <c r="F745" t="s">
        <v>266</v>
      </c>
      <c r="G745" s="1">
        <v>45933</v>
      </c>
      <c r="H745">
        <v>61363</v>
      </c>
      <c r="I745" t="s">
        <v>52</v>
      </c>
      <c r="J745" t="s">
        <v>61</v>
      </c>
      <c r="K745" t="s">
        <v>113</v>
      </c>
      <c r="L745" t="s">
        <v>33</v>
      </c>
      <c r="M745">
        <v>8</v>
      </c>
      <c r="N745" t="s">
        <v>45</v>
      </c>
      <c r="O745">
        <v>4</v>
      </c>
      <c r="P745">
        <v>3</v>
      </c>
      <c r="Q745">
        <v>3</v>
      </c>
      <c r="R745">
        <v>3</v>
      </c>
      <c r="S745">
        <v>4</v>
      </c>
      <c r="T745">
        <v>6</v>
      </c>
      <c r="U745">
        <v>25</v>
      </c>
      <c r="V745" t="s">
        <v>3490</v>
      </c>
      <c r="W745" t="s">
        <v>34</v>
      </c>
      <c r="Y745" s="2" t="str">
        <f>IF(EmployeeData[[#This Row],[Age]]&lt;25,"Under 25",IF(EmployeeData[[#This Row],[Age]]&lt;=34,"25-34",IF(EmployeeData[[#This Row],[Age]]&lt;=44,"35-44",IF(EmployeeData[[#This Row],[Age]]&lt;=54,"45-54","55+"))))</f>
        <v>35-44</v>
      </c>
      <c r="Z745">
        <f ca="1">DATEDIF(EmployeeData[[#This Row],[DateOfJoining]],IF(AND(EmployeeData[[#This Row],[Attrition]]="Yes",EmployeeData[[#This Row],[LastWorkingDate]]&lt;&gt;""),EmployeeData[[#This Row],[LastWorkingDate]],TODAY()),"Y")</f>
        <v>0</v>
      </c>
      <c r="AA745" t="str">
        <f>IF(EmployeeData[[#This Row],[MonthlyIncome]]&lt;30000,"Low",IF(EmployeeData[[#This Row],[MonthlyIncome]]&lt;=60000,"Medium",IF(EmployeeData[[#This Row],[MonthlyIncome]]&lt;=100000,"High","Very High")))</f>
        <v>High</v>
      </c>
      <c r="AB745">
        <f>IF(EmployeeData[[#This Row],[Attrition]]="Yes",1,0)</f>
        <v>0</v>
      </c>
      <c r="AC745" t="str">
        <f ca="1">IF(EmployeeData[[#This Row],[Tenure Years]]&lt;1,"Less than 1 Year",IF(EmployeeData[[#This Row],[Tenure Years]]&lt;=3,"1-3 Years",IF(EmployeeData[[#This Row],[Tenure Years]]&lt;=5,"4-5 Years",IF(EmployeeData[[#This Row],[Tenure Years]]&lt;=10,"6-10 Years","More than 10 Years"))))</f>
        <v>Less than 1 Year</v>
      </c>
      <c r="AD745">
        <f>ROUND(AVERAGE(EmployeeData[[#This Row],[JobSatisfaction]],EmployeeData[[#This Row],[EnvironmentSatisfaction]],EmployeeData[[#This Row],[WorkLifeBalance]]),2)</f>
        <v>3.33</v>
      </c>
      <c r="AE745" t="str">
        <f>IF(EmployeeData[[#This Row],[Satisfaction Score]]&lt;2,"Low",IF(EmployeeData[[#This Row],[Satisfaction Score]]&lt;3,"Medium","High"))</f>
        <v>High</v>
      </c>
    </row>
    <row r="746" spans="1:31" x14ac:dyDescent="0.25">
      <c r="A746" t="s">
        <v>3491</v>
      </c>
      <c r="B746" t="s">
        <v>3492</v>
      </c>
      <c r="C746" t="s">
        <v>58</v>
      </c>
      <c r="D746">
        <v>37</v>
      </c>
      <c r="E746" t="s">
        <v>94</v>
      </c>
      <c r="F746" t="s">
        <v>266</v>
      </c>
      <c r="G746" s="1">
        <v>44556</v>
      </c>
      <c r="H746">
        <v>102427</v>
      </c>
      <c r="I746" t="s">
        <v>52</v>
      </c>
      <c r="J746" t="s">
        <v>5459</v>
      </c>
      <c r="K746" t="s">
        <v>113</v>
      </c>
      <c r="L746" t="s">
        <v>62</v>
      </c>
      <c r="M746">
        <v>42</v>
      </c>
      <c r="N746" t="s">
        <v>34</v>
      </c>
      <c r="O746">
        <v>1</v>
      </c>
      <c r="P746">
        <v>3</v>
      </c>
      <c r="Q746">
        <v>2</v>
      </c>
      <c r="R746">
        <v>1</v>
      </c>
      <c r="S746">
        <v>6</v>
      </c>
      <c r="T746">
        <v>3</v>
      </c>
      <c r="U746">
        <v>15</v>
      </c>
      <c r="V746" t="s">
        <v>3494</v>
      </c>
      <c r="W746" t="s">
        <v>45</v>
      </c>
      <c r="X746" s="1">
        <v>45628</v>
      </c>
      <c r="Y746" s="2" t="str">
        <f>IF(EmployeeData[[#This Row],[Age]]&lt;25,"Under 25",IF(EmployeeData[[#This Row],[Age]]&lt;=34,"25-34",IF(EmployeeData[[#This Row],[Age]]&lt;=44,"35-44",IF(EmployeeData[[#This Row],[Age]]&lt;=54,"45-54","55+"))))</f>
        <v>35-44</v>
      </c>
      <c r="Z746">
        <f ca="1">DATEDIF(EmployeeData[[#This Row],[DateOfJoining]],IF(AND(EmployeeData[[#This Row],[Attrition]]="Yes",EmployeeData[[#This Row],[LastWorkingDate]]&lt;&gt;""),EmployeeData[[#This Row],[LastWorkingDate]],TODAY()),"Y")</f>
        <v>2</v>
      </c>
      <c r="AA746" t="str">
        <f>IF(EmployeeData[[#This Row],[MonthlyIncome]]&lt;30000,"Low",IF(EmployeeData[[#This Row],[MonthlyIncome]]&lt;=60000,"Medium",IF(EmployeeData[[#This Row],[MonthlyIncome]]&lt;=100000,"High","Very High")))</f>
        <v>Very High</v>
      </c>
      <c r="AB746">
        <f>IF(EmployeeData[[#This Row],[Attrition]]="Yes",1,0)</f>
        <v>1</v>
      </c>
      <c r="AC746" t="str">
        <f ca="1">IF(EmployeeData[[#This Row],[Tenure Years]]&lt;1,"Less than 1 Year",IF(EmployeeData[[#This Row],[Tenure Years]]&lt;=3,"1-3 Years",IF(EmployeeData[[#This Row],[Tenure Years]]&lt;=5,"4-5 Years",IF(EmployeeData[[#This Row],[Tenure Years]]&lt;=10,"6-10 Years","More than 10 Years"))))</f>
        <v>1-3 Years</v>
      </c>
      <c r="AD746">
        <f>ROUND(AVERAGE(EmployeeData[[#This Row],[JobSatisfaction]],EmployeeData[[#This Row],[EnvironmentSatisfaction]],EmployeeData[[#This Row],[WorkLifeBalance]]),2)</f>
        <v>2</v>
      </c>
      <c r="AE746" t="str">
        <f>IF(EmployeeData[[#This Row],[Satisfaction Score]]&lt;2,"Low",IF(EmployeeData[[#This Row],[Satisfaction Score]]&lt;3,"Medium","High"))</f>
        <v>Medium</v>
      </c>
    </row>
    <row r="747" spans="1:31" x14ac:dyDescent="0.25">
      <c r="A747" t="s">
        <v>3495</v>
      </c>
      <c r="B747" t="s">
        <v>3496</v>
      </c>
      <c r="C747" t="s">
        <v>58</v>
      </c>
      <c r="D747">
        <v>36</v>
      </c>
      <c r="E747" t="s">
        <v>27</v>
      </c>
      <c r="F747" t="s">
        <v>188</v>
      </c>
      <c r="G747" s="1">
        <v>44583</v>
      </c>
      <c r="H747">
        <v>107898</v>
      </c>
      <c r="I747" t="s">
        <v>30</v>
      </c>
      <c r="J747" t="s">
        <v>61</v>
      </c>
      <c r="K747" t="s">
        <v>106</v>
      </c>
      <c r="L747" t="s">
        <v>62</v>
      </c>
      <c r="M747">
        <v>43</v>
      </c>
      <c r="N747" t="s">
        <v>45</v>
      </c>
      <c r="O747">
        <v>4</v>
      </c>
      <c r="P747">
        <v>2</v>
      </c>
      <c r="Q747">
        <v>3</v>
      </c>
      <c r="R747">
        <v>3</v>
      </c>
      <c r="S747">
        <v>5</v>
      </c>
      <c r="T747">
        <v>2</v>
      </c>
      <c r="U747">
        <v>11</v>
      </c>
      <c r="V747" t="s">
        <v>3498</v>
      </c>
      <c r="W747" t="s">
        <v>34</v>
      </c>
      <c r="Y747" s="2" t="str">
        <f>IF(EmployeeData[[#This Row],[Age]]&lt;25,"Under 25",IF(EmployeeData[[#This Row],[Age]]&lt;=34,"25-34",IF(EmployeeData[[#This Row],[Age]]&lt;=44,"35-44",IF(EmployeeData[[#This Row],[Age]]&lt;=54,"45-54","55+"))))</f>
        <v>35-44</v>
      </c>
      <c r="Z747">
        <f ca="1">DATEDIF(EmployeeData[[#This Row],[DateOfJoining]],IF(AND(EmployeeData[[#This Row],[Attrition]]="Yes",EmployeeData[[#This Row],[LastWorkingDate]]&lt;&gt;""),EmployeeData[[#This Row],[LastWorkingDate]],TODAY()),"Y")</f>
        <v>4</v>
      </c>
      <c r="AA747" t="str">
        <f>IF(EmployeeData[[#This Row],[MonthlyIncome]]&lt;30000,"Low",IF(EmployeeData[[#This Row],[MonthlyIncome]]&lt;=60000,"Medium",IF(EmployeeData[[#This Row],[MonthlyIncome]]&lt;=100000,"High","Very High")))</f>
        <v>Very High</v>
      </c>
      <c r="AB747">
        <f>IF(EmployeeData[[#This Row],[Attrition]]="Yes",1,0)</f>
        <v>0</v>
      </c>
      <c r="AC747" t="str">
        <f ca="1">IF(EmployeeData[[#This Row],[Tenure Years]]&lt;1,"Less than 1 Year",IF(EmployeeData[[#This Row],[Tenure Years]]&lt;=3,"1-3 Years",IF(EmployeeData[[#This Row],[Tenure Years]]&lt;=5,"4-5 Years",IF(EmployeeData[[#This Row],[Tenure Years]]&lt;=10,"6-10 Years","More than 10 Years"))))</f>
        <v>4-5 Years</v>
      </c>
      <c r="AD747">
        <f>ROUND(AVERAGE(EmployeeData[[#This Row],[JobSatisfaction]],EmployeeData[[#This Row],[EnvironmentSatisfaction]],EmployeeData[[#This Row],[WorkLifeBalance]]),2)</f>
        <v>3</v>
      </c>
      <c r="AE747" t="str">
        <f>IF(EmployeeData[[#This Row],[Satisfaction Score]]&lt;2,"Low",IF(EmployeeData[[#This Row],[Satisfaction Score]]&lt;3,"Medium","High"))</f>
        <v>High</v>
      </c>
    </row>
    <row r="748" spans="1:31" x14ac:dyDescent="0.25">
      <c r="A748" t="s">
        <v>3499</v>
      </c>
      <c r="B748" t="s">
        <v>3500</v>
      </c>
      <c r="C748" t="s">
        <v>49</v>
      </c>
      <c r="D748">
        <v>25</v>
      </c>
      <c r="E748" t="s">
        <v>5461</v>
      </c>
      <c r="F748" t="s">
        <v>5464</v>
      </c>
      <c r="G748" s="1">
        <v>42441</v>
      </c>
      <c r="H748">
        <v>114607</v>
      </c>
      <c r="I748" t="s">
        <v>30</v>
      </c>
      <c r="J748" t="s">
        <v>61</v>
      </c>
      <c r="K748" t="s">
        <v>32</v>
      </c>
      <c r="L748" t="s">
        <v>43</v>
      </c>
      <c r="M748">
        <v>15</v>
      </c>
      <c r="N748" t="s">
        <v>34</v>
      </c>
      <c r="O748">
        <v>2</v>
      </c>
      <c r="P748">
        <v>3</v>
      </c>
      <c r="Q748">
        <v>1</v>
      </c>
      <c r="R748">
        <v>5</v>
      </c>
      <c r="S748">
        <v>6</v>
      </c>
      <c r="T748">
        <v>5</v>
      </c>
      <c r="U748">
        <v>16</v>
      </c>
      <c r="V748" t="s">
        <v>3502</v>
      </c>
      <c r="W748" t="s">
        <v>34</v>
      </c>
      <c r="Y748" s="2" t="str">
        <f>IF(EmployeeData[[#This Row],[Age]]&lt;25,"Under 25",IF(EmployeeData[[#This Row],[Age]]&lt;=34,"25-34",IF(EmployeeData[[#This Row],[Age]]&lt;=44,"35-44",IF(EmployeeData[[#This Row],[Age]]&lt;=54,"45-54","55+"))))</f>
        <v>25-34</v>
      </c>
      <c r="Z748">
        <f ca="1">DATEDIF(EmployeeData[[#This Row],[DateOfJoining]],IF(AND(EmployeeData[[#This Row],[Attrition]]="Yes",EmployeeData[[#This Row],[LastWorkingDate]]&lt;&gt;""),EmployeeData[[#This Row],[LastWorkingDate]],TODAY()),"Y")</f>
        <v>10</v>
      </c>
      <c r="AA748" t="str">
        <f>IF(EmployeeData[[#This Row],[MonthlyIncome]]&lt;30000,"Low",IF(EmployeeData[[#This Row],[MonthlyIncome]]&lt;=60000,"Medium",IF(EmployeeData[[#This Row],[MonthlyIncome]]&lt;=100000,"High","Very High")))</f>
        <v>Very High</v>
      </c>
      <c r="AB748">
        <f>IF(EmployeeData[[#This Row],[Attrition]]="Yes",1,0)</f>
        <v>0</v>
      </c>
      <c r="AC748" t="str">
        <f ca="1">IF(EmployeeData[[#This Row],[Tenure Years]]&lt;1,"Less than 1 Year",IF(EmployeeData[[#This Row],[Tenure Years]]&lt;=3,"1-3 Years",IF(EmployeeData[[#This Row],[Tenure Years]]&lt;=5,"4-5 Years",IF(EmployeeData[[#This Row],[Tenure Years]]&lt;=10,"6-10 Years","More than 10 Years"))))</f>
        <v>6-10 Years</v>
      </c>
      <c r="AD748">
        <f>ROUND(AVERAGE(EmployeeData[[#This Row],[JobSatisfaction]],EmployeeData[[#This Row],[EnvironmentSatisfaction]],EmployeeData[[#This Row],[WorkLifeBalance]]),2)</f>
        <v>2</v>
      </c>
      <c r="AE748" t="str">
        <f>IF(EmployeeData[[#This Row],[Satisfaction Score]]&lt;2,"Low",IF(EmployeeData[[#This Row],[Satisfaction Score]]&lt;3,"Medium","High"))</f>
        <v>Medium</v>
      </c>
    </row>
    <row r="749" spans="1:31" x14ac:dyDescent="0.25">
      <c r="A749" t="s">
        <v>3503</v>
      </c>
      <c r="B749" t="s">
        <v>3504</v>
      </c>
      <c r="C749" t="s">
        <v>58</v>
      </c>
      <c r="D749">
        <v>36</v>
      </c>
      <c r="E749" t="s">
        <v>27</v>
      </c>
      <c r="F749" t="s">
        <v>75</v>
      </c>
      <c r="G749" s="1">
        <v>42573</v>
      </c>
      <c r="H749">
        <v>116469</v>
      </c>
      <c r="I749" t="s">
        <v>30</v>
      </c>
      <c r="J749" t="s">
        <v>97</v>
      </c>
      <c r="K749" t="s">
        <v>98</v>
      </c>
      <c r="L749" t="s">
        <v>43</v>
      </c>
      <c r="M749">
        <v>11</v>
      </c>
      <c r="N749" t="s">
        <v>34</v>
      </c>
      <c r="O749">
        <v>2</v>
      </c>
      <c r="P749">
        <v>4</v>
      </c>
      <c r="Q749">
        <v>4</v>
      </c>
      <c r="R749">
        <v>2</v>
      </c>
      <c r="S749">
        <v>0</v>
      </c>
      <c r="T749">
        <v>5</v>
      </c>
      <c r="U749">
        <v>16</v>
      </c>
      <c r="V749" t="s">
        <v>3506</v>
      </c>
      <c r="W749" t="s">
        <v>34</v>
      </c>
      <c r="Y749" s="2" t="str">
        <f>IF(EmployeeData[[#This Row],[Age]]&lt;25,"Under 25",IF(EmployeeData[[#This Row],[Age]]&lt;=34,"25-34",IF(EmployeeData[[#This Row],[Age]]&lt;=44,"35-44",IF(EmployeeData[[#This Row],[Age]]&lt;=54,"45-54","55+"))))</f>
        <v>35-44</v>
      </c>
      <c r="Z749">
        <f ca="1">DATEDIF(EmployeeData[[#This Row],[DateOfJoining]],IF(AND(EmployeeData[[#This Row],[Attrition]]="Yes",EmployeeData[[#This Row],[LastWorkingDate]]&lt;&gt;""),EmployeeData[[#This Row],[LastWorkingDate]],TODAY()),"Y")</f>
        <v>10</v>
      </c>
      <c r="AA749" t="str">
        <f>IF(EmployeeData[[#This Row],[MonthlyIncome]]&lt;30000,"Low",IF(EmployeeData[[#This Row],[MonthlyIncome]]&lt;=60000,"Medium",IF(EmployeeData[[#This Row],[MonthlyIncome]]&lt;=100000,"High","Very High")))</f>
        <v>Very High</v>
      </c>
      <c r="AB749">
        <f>IF(EmployeeData[[#This Row],[Attrition]]="Yes",1,0)</f>
        <v>0</v>
      </c>
      <c r="AC749" t="str">
        <f ca="1">IF(EmployeeData[[#This Row],[Tenure Years]]&lt;1,"Less than 1 Year",IF(EmployeeData[[#This Row],[Tenure Years]]&lt;=3,"1-3 Years",IF(EmployeeData[[#This Row],[Tenure Years]]&lt;=5,"4-5 Years",IF(EmployeeData[[#This Row],[Tenure Years]]&lt;=10,"6-10 Years","More than 10 Years"))))</f>
        <v>6-10 Years</v>
      </c>
      <c r="AD749">
        <f>ROUND(AVERAGE(EmployeeData[[#This Row],[JobSatisfaction]],EmployeeData[[#This Row],[EnvironmentSatisfaction]],EmployeeData[[#This Row],[WorkLifeBalance]]),2)</f>
        <v>3.33</v>
      </c>
      <c r="AE749" t="str">
        <f>IF(EmployeeData[[#This Row],[Satisfaction Score]]&lt;2,"Low",IF(EmployeeData[[#This Row],[Satisfaction Score]]&lt;3,"Medium","High"))</f>
        <v>High</v>
      </c>
    </row>
    <row r="750" spans="1:31" x14ac:dyDescent="0.25">
      <c r="A750" t="s">
        <v>3507</v>
      </c>
      <c r="B750" t="s">
        <v>3508</v>
      </c>
      <c r="C750" t="s">
        <v>49</v>
      </c>
      <c r="D750">
        <v>50</v>
      </c>
      <c r="E750" t="s">
        <v>197</v>
      </c>
      <c r="F750" t="s">
        <v>235</v>
      </c>
      <c r="G750" s="1">
        <v>41645</v>
      </c>
      <c r="H750">
        <v>98836</v>
      </c>
      <c r="I750" t="s">
        <v>42</v>
      </c>
      <c r="J750" t="s">
        <v>31</v>
      </c>
      <c r="K750" t="s">
        <v>32</v>
      </c>
      <c r="L750" t="s">
        <v>33</v>
      </c>
      <c r="M750">
        <v>45</v>
      </c>
      <c r="N750" t="s">
        <v>45</v>
      </c>
      <c r="O750">
        <v>3</v>
      </c>
      <c r="P750">
        <v>4</v>
      </c>
      <c r="Q750">
        <v>3</v>
      </c>
      <c r="R750">
        <v>4</v>
      </c>
      <c r="S750">
        <v>1</v>
      </c>
      <c r="T750">
        <v>7</v>
      </c>
      <c r="U750">
        <v>23</v>
      </c>
      <c r="V750" t="s">
        <v>3510</v>
      </c>
      <c r="W750" t="s">
        <v>34</v>
      </c>
      <c r="Y750" s="2" t="str">
        <f>IF(EmployeeData[[#This Row],[Age]]&lt;25,"Under 25",IF(EmployeeData[[#This Row],[Age]]&lt;=34,"25-34",IF(EmployeeData[[#This Row],[Age]]&lt;=44,"35-44",IF(EmployeeData[[#This Row],[Age]]&lt;=54,"45-54","55+"))))</f>
        <v>45-54</v>
      </c>
      <c r="Z750">
        <f ca="1">DATEDIF(EmployeeData[[#This Row],[DateOfJoining]],IF(AND(EmployeeData[[#This Row],[Attrition]]="Yes",EmployeeData[[#This Row],[LastWorkingDate]]&lt;&gt;""),EmployeeData[[#This Row],[LastWorkingDate]],TODAY()),"Y")</f>
        <v>12</v>
      </c>
      <c r="AA750" t="str">
        <f>IF(EmployeeData[[#This Row],[MonthlyIncome]]&lt;30000,"Low",IF(EmployeeData[[#This Row],[MonthlyIncome]]&lt;=60000,"Medium",IF(EmployeeData[[#This Row],[MonthlyIncome]]&lt;=100000,"High","Very High")))</f>
        <v>High</v>
      </c>
      <c r="AB750">
        <f>IF(EmployeeData[[#This Row],[Attrition]]="Yes",1,0)</f>
        <v>0</v>
      </c>
      <c r="AC750" t="str">
        <f ca="1">IF(EmployeeData[[#This Row],[Tenure Years]]&lt;1,"Less than 1 Year",IF(EmployeeData[[#This Row],[Tenure Years]]&lt;=3,"1-3 Years",IF(EmployeeData[[#This Row],[Tenure Years]]&lt;=5,"4-5 Years",IF(EmployeeData[[#This Row],[Tenure Years]]&lt;=10,"6-10 Years","More than 10 Years"))))</f>
        <v>More than 10 Years</v>
      </c>
      <c r="AD750">
        <f>ROUND(AVERAGE(EmployeeData[[#This Row],[JobSatisfaction]],EmployeeData[[#This Row],[EnvironmentSatisfaction]],EmployeeData[[#This Row],[WorkLifeBalance]]),2)</f>
        <v>3.33</v>
      </c>
      <c r="AE750" t="str">
        <f>IF(EmployeeData[[#This Row],[Satisfaction Score]]&lt;2,"Low",IF(EmployeeData[[#This Row],[Satisfaction Score]]&lt;3,"Medium","High"))</f>
        <v>High</v>
      </c>
    </row>
    <row r="751" spans="1:31" x14ac:dyDescent="0.25">
      <c r="A751" t="s">
        <v>3511</v>
      </c>
      <c r="B751" t="s">
        <v>3512</v>
      </c>
      <c r="C751" t="s">
        <v>58</v>
      </c>
      <c r="D751">
        <v>29</v>
      </c>
      <c r="E751" t="s">
        <v>27</v>
      </c>
      <c r="F751" t="s">
        <v>75</v>
      </c>
      <c r="G751" s="1">
        <v>41462</v>
      </c>
      <c r="H751">
        <v>111738</v>
      </c>
      <c r="I751" t="s">
        <v>5459</v>
      </c>
      <c r="J751" t="s">
        <v>31</v>
      </c>
      <c r="K751" t="s">
        <v>131</v>
      </c>
      <c r="L751" t="s">
        <v>43</v>
      </c>
      <c r="M751">
        <v>20</v>
      </c>
      <c r="N751" t="s">
        <v>34</v>
      </c>
      <c r="O751">
        <v>2</v>
      </c>
      <c r="P751">
        <v>2</v>
      </c>
      <c r="Q751">
        <v>2</v>
      </c>
      <c r="R751">
        <v>3</v>
      </c>
      <c r="S751">
        <v>6</v>
      </c>
      <c r="T751">
        <v>7</v>
      </c>
      <c r="U751">
        <v>12</v>
      </c>
      <c r="V751" t="s">
        <v>3514</v>
      </c>
      <c r="W751" t="s">
        <v>34</v>
      </c>
      <c r="Y751" s="2" t="str">
        <f>IF(EmployeeData[[#This Row],[Age]]&lt;25,"Under 25",IF(EmployeeData[[#This Row],[Age]]&lt;=34,"25-34",IF(EmployeeData[[#This Row],[Age]]&lt;=44,"35-44",IF(EmployeeData[[#This Row],[Age]]&lt;=54,"45-54","55+"))))</f>
        <v>25-34</v>
      </c>
      <c r="Z751">
        <f ca="1">DATEDIF(EmployeeData[[#This Row],[DateOfJoining]],IF(AND(EmployeeData[[#This Row],[Attrition]]="Yes",EmployeeData[[#This Row],[LastWorkingDate]]&lt;&gt;""),EmployeeData[[#This Row],[LastWorkingDate]],TODAY()),"Y")</f>
        <v>13</v>
      </c>
      <c r="AA751" t="str">
        <f>IF(EmployeeData[[#This Row],[MonthlyIncome]]&lt;30000,"Low",IF(EmployeeData[[#This Row],[MonthlyIncome]]&lt;=60000,"Medium",IF(EmployeeData[[#This Row],[MonthlyIncome]]&lt;=100000,"High","Very High")))</f>
        <v>Very High</v>
      </c>
      <c r="AB751">
        <f>IF(EmployeeData[[#This Row],[Attrition]]="Yes",1,0)</f>
        <v>0</v>
      </c>
      <c r="AC751" t="str">
        <f ca="1">IF(EmployeeData[[#This Row],[Tenure Years]]&lt;1,"Less than 1 Year",IF(EmployeeData[[#This Row],[Tenure Years]]&lt;=3,"1-3 Years",IF(EmployeeData[[#This Row],[Tenure Years]]&lt;=5,"4-5 Years",IF(EmployeeData[[#This Row],[Tenure Years]]&lt;=10,"6-10 Years","More than 10 Years"))))</f>
        <v>More than 10 Years</v>
      </c>
      <c r="AD751">
        <f>ROUND(AVERAGE(EmployeeData[[#This Row],[JobSatisfaction]],EmployeeData[[#This Row],[EnvironmentSatisfaction]],EmployeeData[[#This Row],[WorkLifeBalance]]),2)</f>
        <v>2</v>
      </c>
      <c r="AE751" t="str">
        <f>IF(EmployeeData[[#This Row],[Satisfaction Score]]&lt;2,"Low",IF(EmployeeData[[#This Row],[Satisfaction Score]]&lt;3,"Medium","High"))</f>
        <v>Medium</v>
      </c>
    </row>
    <row r="752" spans="1:31" x14ac:dyDescent="0.25">
      <c r="A752" t="s">
        <v>3515</v>
      </c>
      <c r="B752" t="s">
        <v>3516</v>
      </c>
      <c r="C752" t="s">
        <v>58</v>
      </c>
      <c r="D752">
        <v>29</v>
      </c>
      <c r="E752" t="s">
        <v>5461</v>
      </c>
      <c r="F752" t="s">
        <v>261</v>
      </c>
      <c r="G752" s="1">
        <v>46202</v>
      </c>
      <c r="H752">
        <v>121647</v>
      </c>
      <c r="I752" t="s">
        <v>30</v>
      </c>
      <c r="J752" t="s">
        <v>61</v>
      </c>
      <c r="K752" t="s">
        <v>83</v>
      </c>
      <c r="L752" t="s">
        <v>33</v>
      </c>
      <c r="M752">
        <v>20</v>
      </c>
      <c r="N752" t="s">
        <v>34</v>
      </c>
      <c r="O752">
        <v>4</v>
      </c>
      <c r="P752">
        <v>1</v>
      </c>
      <c r="Q752">
        <v>1</v>
      </c>
      <c r="R752">
        <v>1</v>
      </c>
      <c r="S752">
        <v>4</v>
      </c>
      <c r="T752">
        <v>2</v>
      </c>
      <c r="U752">
        <v>25</v>
      </c>
      <c r="V752" t="s">
        <v>3518</v>
      </c>
      <c r="W752" t="s">
        <v>34</v>
      </c>
      <c r="Y752" s="2" t="str">
        <f>IF(EmployeeData[[#This Row],[Age]]&lt;25,"Under 25",IF(EmployeeData[[#This Row],[Age]]&lt;=34,"25-34",IF(EmployeeData[[#This Row],[Age]]&lt;=44,"35-44",IF(EmployeeData[[#This Row],[Age]]&lt;=54,"45-54","55+"))))</f>
        <v>25-34</v>
      </c>
      <c r="Z752">
        <f ca="1">DATEDIF(EmployeeData[[#This Row],[DateOfJoining]],IF(AND(EmployeeData[[#This Row],[Attrition]]="Yes",EmployeeData[[#This Row],[LastWorkingDate]]&lt;&gt;""),EmployeeData[[#This Row],[LastWorkingDate]],TODAY()),"Y")</f>
        <v>0</v>
      </c>
      <c r="AA752" t="str">
        <f>IF(EmployeeData[[#This Row],[MonthlyIncome]]&lt;30000,"Low",IF(EmployeeData[[#This Row],[MonthlyIncome]]&lt;=60000,"Medium",IF(EmployeeData[[#This Row],[MonthlyIncome]]&lt;=100000,"High","Very High")))</f>
        <v>Very High</v>
      </c>
      <c r="AB752">
        <f>IF(EmployeeData[[#This Row],[Attrition]]="Yes",1,0)</f>
        <v>0</v>
      </c>
      <c r="AC752" t="str">
        <f ca="1">IF(EmployeeData[[#This Row],[Tenure Years]]&lt;1,"Less than 1 Year",IF(EmployeeData[[#This Row],[Tenure Years]]&lt;=3,"1-3 Years",IF(EmployeeData[[#This Row],[Tenure Years]]&lt;=5,"4-5 Years",IF(EmployeeData[[#This Row],[Tenure Years]]&lt;=10,"6-10 Years","More than 10 Years"))))</f>
        <v>Less than 1 Year</v>
      </c>
      <c r="AD752">
        <f>ROUND(AVERAGE(EmployeeData[[#This Row],[JobSatisfaction]],EmployeeData[[#This Row],[EnvironmentSatisfaction]],EmployeeData[[#This Row],[WorkLifeBalance]]),2)</f>
        <v>2</v>
      </c>
      <c r="AE752" t="str">
        <f>IF(EmployeeData[[#This Row],[Satisfaction Score]]&lt;2,"Low",IF(EmployeeData[[#This Row],[Satisfaction Score]]&lt;3,"Medium","High"))</f>
        <v>Medium</v>
      </c>
    </row>
    <row r="753" spans="1:31" x14ac:dyDescent="0.25">
      <c r="A753" t="s">
        <v>3519</v>
      </c>
      <c r="B753" t="s">
        <v>3520</v>
      </c>
      <c r="C753" t="s">
        <v>58</v>
      </c>
      <c r="D753">
        <v>22</v>
      </c>
      <c r="E753" t="s">
        <v>128</v>
      </c>
      <c r="F753" t="s">
        <v>226</v>
      </c>
      <c r="G753" s="1">
        <v>43046</v>
      </c>
      <c r="H753">
        <v>105105</v>
      </c>
      <c r="I753" t="s">
        <v>52</v>
      </c>
      <c r="J753" t="s">
        <v>97</v>
      </c>
      <c r="K753" t="s">
        <v>83</v>
      </c>
      <c r="L753" t="s">
        <v>62</v>
      </c>
      <c r="M753">
        <v>11</v>
      </c>
      <c r="N753" t="s">
        <v>34</v>
      </c>
      <c r="O753">
        <v>2</v>
      </c>
      <c r="P753">
        <v>4</v>
      </c>
      <c r="Q753">
        <v>1</v>
      </c>
      <c r="R753">
        <v>3</v>
      </c>
      <c r="S753">
        <v>6</v>
      </c>
      <c r="T753">
        <v>2</v>
      </c>
      <c r="U753">
        <v>13</v>
      </c>
      <c r="V753" t="s">
        <v>3522</v>
      </c>
      <c r="W753" t="s">
        <v>45</v>
      </c>
      <c r="X753" s="1">
        <v>43364</v>
      </c>
      <c r="Y753" s="2" t="str">
        <f>IF(EmployeeData[[#This Row],[Age]]&lt;25,"Under 25",IF(EmployeeData[[#This Row],[Age]]&lt;=34,"25-34",IF(EmployeeData[[#This Row],[Age]]&lt;=44,"35-44",IF(EmployeeData[[#This Row],[Age]]&lt;=54,"45-54","55+"))))</f>
        <v>Under 25</v>
      </c>
      <c r="Z753">
        <f ca="1">DATEDIF(EmployeeData[[#This Row],[DateOfJoining]],IF(AND(EmployeeData[[#This Row],[Attrition]]="Yes",EmployeeData[[#This Row],[LastWorkingDate]]&lt;&gt;""),EmployeeData[[#This Row],[LastWorkingDate]],TODAY()),"Y")</f>
        <v>0</v>
      </c>
      <c r="AA753" t="str">
        <f>IF(EmployeeData[[#This Row],[MonthlyIncome]]&lt;30000,"Low",IF(EmployeeData[[#This Row],[MonthlyIncome]]&lt;=60000,"Medium",IF(EmployeeData[[#This Row],[MonthlyIncome]]&lt;=100000,"High","Very High")))</f>
        <v>Very High</v>
      </c>
      <c r="AB753">
        <f>IF(EmployeeData[[#This Row],[Attrition]]="Yes",1,0)</f>
        <v>1</v>
      </c>
      <c r="AC753" t="str">
        <f ca="1">IF(EmployeeData[[#This Row],[Tenure Years]]&lt;1,"Less than 1 Year",IF(EmployeeData[[#This Row],[Tenure Years]]&lt;=3,"1-3 Years",IF(EmployeeData[[#This Row],[Tenure Years]]&lt;=5,"4-5 Years",IF(EmployeeData[[#This Row],[Tenure Years]]&lt;=10,"6-10 Years","More than 10 Years"))))</f>
        <v>Less than 1 Year</v>
      </c>
      <c r="AD753">
        <f>ROUND(AVERAGE(EmployeeData[[#This Row],[JobSatisfaction]],EmployeeData[[#This Row],[EnvironmentSatisfaction]],EmployeeData[[#This Row],[WorkLifeBalance]]),2)</f>
        <v>2.33</v>
      </c>
      <c r="AE753" t="str">
        <f>IF(EmployeeData[[#This Row],[Satisfaction Score]]&lt;2,"Low",IF(EmployeeData[[#This Row],[Satisfaction Score]]&lt;3,"Medium","High"))</f>
        <v>Medium</v>
      </c>
    </row>
    <row r="754" spans="1:31" x14ac:dyDescent="0.25">
      <c r="A754" t="s">
        <v>3524</v>
      </c>
      <c r="B754" t="s">
        <v>3525</v>
      </c>
      <c r="C754" t="s">
        <v>58</v>
      </c>
      <c r="D754">
        <v>41</v>
      </c>
      <c r="E754" t="s">
        <v>38</v>
      </c>
      <c r="F754" t="s">
        <v>792</v>
      </c>
      <c r="G754" s="1">
        <v>44491</v>
      </c>
      <c r="H754">
        <v>47907</v>
      </c>
      <c r="I754" t="s">
        <v>52</v>
      </c>
      <c r="J754" t="s">
        <v>53</v>
      </c>
      <c r="K754" t="s">
        <v>131</v>
      </c>
      <c r="L754" t="s">
        <v>62</v>
      </c>
      <c r="M754">
        <v>21</v>
      </c>
      <c r="N754" t="s">
        <v>34</v>
      </c>
      <c r="O754">
        <v>4</v>
      </c>
      <c r="P754">
        <v>3</v>
      </c>
      <c r="Q754">
        <v>4</v>
      </c>
      <c r="R754">
        <v>3</v>
      </c>
      <c r="S754">
        <v>4</v>
      </c>
      <c r="T754">
        <v>2</v>
      </c>
      <c r="U754">
        <v>11</v>
      </c>
      <c r="V754" t="s">
        <v>3527</v>
      </c>
      <c r="W754" t="s">
        <v>34</v>
      </c>
      <c r="Y754" s="2" t="str">
        <f>IF(EmployeeData[[#This Row],[Age]]&lt;25,"Under 25",IF(EmployeeData[[#This Row],[Age]]&lt;=34,"25-34",IF(EmployeeData[[#This Row],[Age]]&lt;=44,"35-44",IF(EmployeeData[[#This Row],[Age]]&lt;=54,"45-54","55+"))))</f>
        <v>35-44</v>
      </c>
      <c r="Z754">
        <f ca="1">DATEDIF(EmployeeData[[#This Row],[DateOfJoining]],IF(AND(EmployeeData[[#This Row],[Attrition]]="Yes",EmployeeData[[#This Row],[LastWorkingDate]]&lt;&gt;""),EmployeeData[[#This Row],[LastWorkingDate]],TODAY()),"Y")</f>
        <v>4</v>
      </c>
      <c r="AA754" t="str">
        <f>IF(EmployeeData[[#This Row],[MonthlyIncome]]&lt;30000,"Low",IF(EmployeeData[[#This Row],[MonthlyIncome]]&lt;=60000,"Medium",IF(EmployeeData[[#This Row],[MonthlyIncome]]&lt;=100000,"High","Very High")))</f>
        <v>Medium</v>
      </c>
      <c r="AB754">
        <f>IF(EmployeeData[[#This Row],[Attrition]]="Yes",1,0)</f>
        <v>0</v>
      </c>
      <c r="AC754" t="str">
        <f ca="1">IF(EmployeeData[[#This Row],[Tenure Years]]&lt;1,"Less than 1 Year",IF(EmployeeData[[#This Row],[Tenure Years]]&lt;=3,"1-3 Years",IF(EmployeeData[[#This Row],[Tenure Years]]&lt;=5,"4-5 Years",IF(EmployeeData[[#This Row],[Tenure Years]]&lt;=10,"6-10 Years","More than 10 Years"))))</f>
        <v>4-5 Years</v>
      </c>
      <c r="AD754">
        <f>ROUND(AVERAGE(EmployeeData[[#This Row],[JobSatisfaction]],EmployeeData[[#This Row],[EnvironmentSatisfaction]],EmployeeData[[#This Row],[WorkLifeBalance]]),2)</f>
        <v>3.67</v>
      </c>
      <c r="AE754" t="str">
        <f>IF(EmployeeData[[#This Row],[Satisfaction Score]]&lt;2,"Low",IF(EmployeeData[[#This Row],[Satisfaction Score]]&lt;3,"Medium","High"))</f>
        <v>High</v>
      </c>
    </row>
    <row r="755" spans="1:31" x14ac:dyDescent="0.25">
      <c r="A755" t="s">
        <v>3528</v>
      </c>
      <c r="B755" t="s">
        <v>3529</v>
      </c>
      <c r="C755" t="s">
        <v>58</v>
      </c>
      <c r="D755">
        <v>32</v>
      </c>
      <c r="E755" t="s">
        <v>5461</v>
      </c>
      <c r="F755" t="s">
        <v>89</v>
      </c>
      <c r="G755" s="1">
        <v>44361</v>
      </c>
      <c r="H755">
        <v>139467</v>
      </c>
      <c r="I755" t="s">
        <v>30</v>
      </c>
      <c r="J755" t="s">
        <v>61</v>
      </c>
      <c r="K755" t="s">
        <v>77</v>
      </c>
      <c r="L755" t="s">
        <v>43</v>
      </c>
      <c r="M755">
        <v>5</v>
      </c>
      <c r="N755" t="s">
        <v>34</v>
      </c>
      <c r="O755">
        <v>2</v>
      </c>
      <c r="P755">
        <v>4</v>
      </c>
      <c r="Q755">
        <v>3</v>
      </c>
      <c r="R755">
        <v>3</v>
      </c>
      <c r="S755">
        <v>3</v>
      </c>
      <c r="T755">
        <v>1</v>
      </c>
      <c r="U755">
        <v>15</v>
      </c>
      <c r="V755" t="s">
        <v>3531</v>
      </c>
      <c r="W755" t="s">
        <v>34</v>
      </c>
      <c r="Y755" s="2" t="str">
        <f>IF(EmployeeData[[#This Row],[Age]]&lt;25,"Under 25",IF(EmployeeData[[#This Row],[Age]]&lt;=34,"25-34",IF(EmployeeData[[#This Row],[Age]]&lt;=44,"35-44",IF(EmployeeData[[#This Row],[Age]]&lt;=54,"45-54","55+"))))</f>
        <v>25-34</v>
      </c>
      <c r="Z755">
        <f ca="1">DATEDIF(EmployeeData[[#This Row],[DateOfJoining]],IF(AND(EmployeeData[[#This Row],[Attrition]]="Yes",EmployeeData[[#This Row],[LastWorkingDate]]&lt;&gt;""),EmployeeData[[#This Row],[LastWorkingDate]],TODAY()),"Y")</f>
        <v>5</v>
      </c>
      <c r="AA755" t="str">
        <f>IF(EmployeeData[[#This Row],[MonthlyIncome]]&lt;30000,"Low",IF(EmployeeData[[#This Row],[MonthlyIncome]]&lt;=60000,"Medium",IF(EmployeeData[[#This Row],[MonthlyIncome]]&lt;=100000,"High","Very High")))</f>
        <v>Very High</v>
      </c>
      <c r="AB755">
        <f>IF(EmployeeData[[#This Row],[Attrition]]="Yes",1,0)</f>
        <v>0</v>
      </c>
      <c r="AC755" t="str">
        <f ca="1">IF(EmployeeData[[#This Row],[Tenure Years]]&lt;1,"Less than 1 Year",IF(EmployeeData[[#This Row],[Tenure Years]]&lt;=3,"1-3 Years",IF(EmployeeData[[#This Row],[Tenure Years]]&lt;=5,"4-5 Years",IF(EmployeeData[[#This Row],[Tenure Years]]&lt;=10,"6-10 Years","More than 10 Years"))))</f>
        <v>4-5 Years</v>
      </c>
      <c r="AD755">
        <f>ROUND(AVERAGE(EmployeeData[[#This Row],[JobSatisfaction]],EmployeeData[[#This Row],[EnvironmentSatisfaction]],EmployeeData[[#This Row],[WorkLifeBalance]]),2)</f>
        <v>3</v>
      </c>
      <c r="AE755" t="str">
        <f>IF(EmployeeData[[#This Row],[Satisfaction Score]]&lt;2,"Low",IF(EmployeeData[[#This Row],[Satisfaction Score]]&lt;3,"Medium","High"))</f>
        <v>High</v>
      </c>
    </row>
    <row r="756" spans="1:31" x14ac:dyDescent="0.25">
      <c r="A756" t="s">
        <v>3532</v>
      </c>
      <c r="B756" t="s">
        <v>3533</v>
      </c>
      <c r="C756" t="s">
        <v>49</v>
      </c>
      <c r="D756">
        <v>37</v>
      </c>
      <c r="E756" t="s">
        <v>27</v>
      </c>
      <c r="F756" t="s">
        <v>50</v>
      </c>
      <c r="G756" s="1">
        <v>41718</v>
      </c>
      <c r="H756">
        <v>86084</v>
      </c>
      <c r="I756" t="s">
        <v>30</v>
      </c>
      <c r="J756" t="s">
        <v>61</v>
      </c>
      <c r="K756" t="s">
        <v>106</v>
      </c>
      <c r="L756" t="s">
        <v>33</v>
      </c>
      <c r="M756">
        <v>5</v>
      </c>
      <c r="N756" t="s">
        <v>45</v>
      </c>
      <c r="O756">
        <v>2</v>
      </c>
      <c r="P756">
        <v>2</v>
      </c>
      <c r="Q756">
        <v>3</v>
      </c>
      <c r="R756">
        <v>3</v>
      </c>
      <c r="S756">
        <v>5</v>
      </c>
      <c r="T756">
        <v>4</v>
      </c>
      <c r="U756">
        <v>20</v>
      </c>
      <c r="V756" t="s">
        <v>3534</v>
      </c>
      <c r="W756" t="s">
        <v>45</v>
      </c>
      <c r="X756" s="1">
        <v>45033</v>
      </c>
      <c r="Y756" s="2" t="str">
        <f>IF(EmployeeData[[#This Row],[Age]]&lt;25,"Under 25",IF(EmployeeData[[#This Row],[Age]]&lt;=34,"25-34",IF(EmployeeData[[#This Row],[Age]]&lt;=44,"35-44",IF(EmployeeData[[#This Row],[Age]]&lt;=54,"45-54","55+"))))</f>
        <v>35-44</v>
      </c>
      <c r="Z756">
        <f ca="1">DATEDIF(EmployeeData[[#This Row],[DateOfJoining]],IF(AND(EmployeeData[[#This Row],[Attrition]]="Yes",EmployeeData[[#This Row],[LastWorkingDate]]&lt;&gt;""),EmployeeData[[#This Row],[LastWorkingDate]],TODAY()),"Y")</f>
        <v>9</v>
      </c>
      <c r="AA756" t="str">
        <f>IF(EmployeeData[[#This Row],[MonthlyIncome]]&lt;30000,"Low",IF(EmployeeData[[#This Row],[MonthlyIncome]]&lt;=60000,"Medium",IF(EmployeeData[[#This Row],[MonthlyIncome]]&lt;=100000,"High","Very High")))</f>
        <v>High</v>
      </c>
      <c r="AB756">
        <f>IF(EmployeeData[[#This Row],[Attrition]]="Yes",1,0)</f>
        <v>1</v>
      </c>
      <c r="AC756" t="str">
        <f ca="1">IF(EmployeeData[[#This Row],[Tenure Years]]&lt;1,"Less than 1 Year",IF(EmployeeData[[#This Row],[Tenure Years]]&lt;=3,"1-3 Years",IF(EmployeeData[[#This Row],[Tenure Years]]&lt;=5,"4-5 Years",IF(EmployeeData[[#This Row],[Tenure Years]]&lt;=10,"6-10 Years","More than 10 Years"))))</f>
        <v>6-10 Years</v>
      </c>
      <c r="AD756">
        <f>ROUND(AVERAGE(EmployeeData[[#This Row],[JobSatisfaction]],EmployeeData[[#This Row],[EnvironmentSatisfaction]],EmployeeData[[#This Row],[WorkLifeBalance]]),2)</f>
        <v>2.33</v>
      </c>
      <c r="AE756" t="str">
        <f>IF(EmployeeData[[#This Row],[Satisfaction Score]]&lt;2,"Low",IF(EmployeeData[[#This Row],[Satisfaction Score]]&lt;3,"Medium","High"))</f>
        <v>Medium</v>
      </c>
    </row>
    <row r="757" spans="1:31" x14ac:dyDescent="0.25">
      <c r="A757" t="s">
        <v>3535</v>
      </c>
      <c r="B757" t="s">
        <v>3536</v>
      </c>
      <c r="C757" t="s">
        <v>49</v>
      </c>
      <c r="D757">
        <v>45</v>
      </c>
      <c r="E757" t="s">
        <v>5461</v>
      </c>
      <c r="F757" t="s">
        <v>483</v>
      </c>
      <c r="G757" s="1">
        <v>42355</v>
      </c>
      <c r="H757">
        <v>106625</v>
      </c>
      <c r="I757" t="s">
        <v>52</v>
      </c>
      <c r="J757" t="s">
        <v>97</v>
      </c>
      <c r="K757" t="s">
        <v>77</v>
      </c>
      <c r="L757" t="s">
        <v>33</v>
      </c>
      <c r="M757">
        <v>29</v>
      </c>
      <c r="N757" t="s">
        <v>45</v>
      </c>
      <c r="O757">
        <v>2</v>
      </c>
      <c r="P757">
        <v>1</v>
      </c>
      <c r="Q757">
        <v>4</v>
      </c>
      <c r="R757">
        <v>3</v>
      </c>
      <c r="S757">
        <v>4</v>
      </c>
      <c r="T757">
        <v>2</v>
      </c>
      <c r="U757">
        <v>15</v>
      </c>
      <c r="V757" t="s">
        <v>3538</v>
      </c>
      <c r="W757" t="s">
        <v>45</v>
      </c>
      <c r="X757" s="1">
        <v>44287</v>
      </c>
      <c r="Y757" s="2" t="str">
        <f>IF(EmployeeData[[#This Row],[Age]]&lt;25,"Under 25",IF(EmployeeData[[#This Row],[Age]]&lt;=34,"25-34",IF(EmployeeData[[#This Row],[Age]]&lt;=44,"35-44",IF(EmployeeData[[#This Row],[Age]]&lt;=54,"45-54","55+"))))</f>
        <v>45-54</v>
      </c>
      <c r="Z757">
        <f ca="1">DATEDIF(EmployeeData[[#This Row],[DateOfJoining]],IF(AND(EmployeeData[[#This Row],[Attrition]]="Yes",EmployeeData[[#This Row],[LastWorkingDate]]&lt;&gt;""),EmployeeData[[#This Row],[LastWorkingDate]],TODAY()),"Y")</f>
        <v>5</v>
      </c>
      <c r="AA757" t="str">
        <f>IF(EmployeeData[[#This Row],[MonthlyIncome]]&lt;30000,"Low",IF(EmployeeData[[#This Row],[MonthlyIncome]]&lt;=60000,"Medium",IF(EmployeeData[[#This Row],[MonthlyIncome]]&lt;=100000,"High","Very High")))</f>
        <v>Very High</v>
      </c>
      <c r="AB757">
        <f>IF(EmployeeData[[#This Row],[Attrition]]="Yes",1,0)</f>
        <v>1</v>
      </c>
      <c r="AC757" t="str">
        <f ca="1">IF(EmployeeData[[#This Row],[Tenure Years]]&lt;1,"Less than 1 Year",IF(EmployeeData[[#This Row],[Tenure Years]]&lt;=3,"1-3 Years",IF(EmployeeData[[#This Row],[Tenure Years]]&lt;=5,"4-5 Years",IF(EmployeeData[[#This Row],[Tenure Years]]&lt;=10,"6-10 Years","More than 10 Years"))))</f>
        <v>4-5 Years</v>
      </c>
      <c r="AD757">
        <f>ROUND(AVERAGE(EmployeeData[[#This Row],[JobSatisfaction]],EmployeeData[[#This Row],[EnvironmentSatisfaction]],EmployeeData[[#This Row],[WorkLifeBalance]]),2)</f>
        <v>2.33</v>
      </c>
      <c r="AE757" t="str">
        <f>IF(EmployeeData[[#This Row],[Satisfaction Score]]&lt;2,"Low",IF(EmployeeData[[#This Row],[Satisfaction Score]]&lt;3,"Medium","High"))</f>
        <v>Medium</v>
      </c>
    </row>
    <row r="758" spans="1:31" x14ac:dyDescent="0.25">
      <c r="A758" t="s">
        <v>3540</v>
      </c>
      <c r="B758" t="s">
        <v>3541</v>
      </c>
      <c r="C758" t="s">
        <v>5459</v>
      </c>
      <c r="D758">
        <v>30</v>
      </c>
      <c r="E758" t="s">
        <v>27</v>
      </c>
      <c r="F758" t="s">
        <v>75</v>
      </c>
      <c r="G758" s="1">
        <v>44132</v>
      </c>
      <c r="H758">
        <v>82761</v>
      </c>
      <c r="I758" t="s">
        <v>5459</v>
      </c>
      <c r="J758" t="s">
        <v>31</v>
      </c>
      <c r="K758" t="s">
        <v>98</v>
      </c>
      <c r="L758" t="s">
        <v>33</v>
      </c>
      <c r="M758">
        <v>28</v>
      </c>
      <c r="N758" t="s">
        <v>34</v>
      </c>
      <c r="O758">
        <v>3</v>
      </c>
      <c r="P758">
        <v>2</v>
      </c>
      <c r="Q758">
        <v>3</v>
      </c>
      <c r="R758">
        <v>4</v>
      </c>
      <c r="S758">
        <v>6</v>
      </c>
      <c r="T758">
        <v>0</v>
      </c>
      <c r="U758">
        <v>22</v>
      </c>
      <c r="V758" t="s">
        <v>3543</v>
      </c>
      <c r="W758" t="s">
        <v>34</v>
      </c>
      <c r="Y758" s="2" t="str">
        <f>IF(EmployeeData[[#This Row],[Age]]&lt;25,"Under 25",IF(EmployeeData[[#This Row],[Age]]&lt;=34,"25-34",IF(EmployeeData[[#This Row],[Age]]&lt;=44,"35-44",IF(EmployeeData[[#This Row],[Age]]&lt;=54,"45-54","55+"))))</f>
        <v>25-34</v>
      </c>
      <c r="Z758">
        <f ca="1">DATEDIF(EmployeeData[[#This Row],[DateOfJoining]],IF(AND(EmployeeData[[#This Row],[Attrition]]="Yes",EmployeeData[[#This Row],[LastWorkingDate]]&lt;&gt;""),EmployeeData[[#This Row],[LastWorkingDate]],TODAY()),"Y")</f>
        <v>5</v>
      </c>
      <c r="AA758" t="str">
        <f>IF(EmployeeData[[#This Row],[MonthlyIncome]]&lt;30000,"Low",IF(EmployeeData[[#This Row],[MonthlyIncome]]&lt;=60000,"Medium",IF(EmployeeData[[#This Row],[MonthlyIncome]]&lt;=100000,"High","Very High")))</f>
        <v>High</v>
      </c>
      <c r="AB758">
        <f>IF(EmployeeData[[#This Row],[Attrition]]="Yes",1,0)</f>
        <v>0</v>
      </c>
      <c r="AC758" t="str">
        <f ca="1">IF(EmployeeData[[#This Row],[Tenure Years]]&lt;1,"Less than 1 Year",IF(EmployeeData[[#This Row],[Tenure Years]]&lt;=3,"1-3 Years",IF(EmployeeData[[#This Row],[Tenure Years]]&lt;=5,"4-5 Years",IF(EmployeeData[[#This Row],[Tenure Years]]&lt;=10,"6-10 Years","More than 10 Years"))))</f>
        <v>4-5 Years</v>
      </c>
      <c r="AD758">
        <f>ROUND(AVERAGE(EmployeeData[[#This Row],[JobSatisfaction]],EmployeeData[[#This Row],[EnvironmentSatisfaction]],EmployeeData[[#This Row],[WorkLifeBalance]]),2)</f>
        <v>2.67</v>
      </c>
      <c r="AE758" t="str">
        <f>IF(EmployeeData[[#This Row],[Satisfaction Score]]&lt;2,"Low",IF(EmployeeData[[#This Row],[Satisfaction Score]]&lt;3,"Medium","High"))</f>
        <v>Medium</v>
      </c>
    </row>
    <row r="759" spans="1:31" x14ac:dyDescent="0.25">
      <c r="A759" t="s">
        <v>3544</v>
      </c>
      <c r="B759" t="s">
        <v>3545</v>
      </c>
      <c r="C759" t="s">
        <v>49</v>
      </c>
      <c r="D759">
        <v>49</v>
      </c>
      <c r="E759" t="s">
        <v>128</v>
      </c>
      <c r="F759" t="s">
        <v>271</v>
      </c>
      <c r="G759" s="1">
        <v>45315</v>
      </c>
      <c r="H759">
        <v>35723</v>
      </c>
      <c r="I759" t="s">
        <v>30</v>
      </c>
      <c r="J759" t="s">
        <v>61</v>
      </c>
      <c r="K759" t="s">
        <v>83</v>
      </c>
      <c r="L759" t="s">
        <v>62</v>
      </c>
      <c r="M759">
        <v>29</v>
      </c>
      <c r="N759" t="s">
        <v>34</v>
      </c>
      <c r="O759">
        <v>2</v>
      </c>
      <c r="P759">
        <v>3</v>
      </c>
      <c r="Q759">
        <v>1</v>
      </c>
      <c r="R759">
        <v>3</v>
      </c>
      <c r="S759">
        <v>2</v>
      </c>
      <c r="T759">
        <v>2</v>
      </c>
      <c r="U759">
        <v>19</v>
      </c>
      <c r="V759" t="s">
        <v>3548</v>
      </c>
      <c r="W759" t="s">
        <v>45</v>
      </c>
      <c r="X759" s="1">
        <v>46200</v>
      </c>
      <c r="Y759" s="2" t="str">
        <f>IF(EmployeeData[[#This Row],[Age]]&lt;25,"Under 25",IF(EmployeeData[[#This Row],[Age]]&lt;=34,"25-34",IF(EmployeeData[[#This Row],[Age]]&lt;=44,"35-44",IF(EmployeeData[[#This Row],[Age]]&lt;=54,"45-54","55+"))))</f>
        <v>45-54</v>
      </c>
      <c r="Z759">
        <f ca="1">DATEDIF(EmployeeData[[#This Row],[DateOfJoining]],IF(AND(EmployeeData[[#This Row],[Attrition]]="Yes",EmployeeData[[#This Row],[LastWorkingDate]]&lt;&gt;""),EmployeeData[[#This Row],[LastWorkingDate]],TODAY()),"Y")</f>
        <v>2</v>
      </c>
      <c r="AA759" t="str">
        <f>IF(EmployeeData[[#This Row],[MonthlyIncome]]&lt;30000,"Low",IF(EmployeeData[[#This Row],[MonthlyIncome]]&lt;=60000,"Medium",IF(EmployeeData[[#This Row],[MonthlyIncome]]&lt;=100000,"High","Very High")))</f>
        <v>Medium</v>
      </c>
      <c r="AB759">
        <f>IF(EmployeeData[[#This Row],[Attrition]]="Yes",1,0)</f>
        <v>1</v>
      </c>
      <c r="AC759" t="str">
        <f ca="1">IF(EmployeeData[[#This Row],[Tenure Years]]&lt;1,"Less than 1 Year",IF(EmployeeData[[#This Row],[Tenure Years]]&lt;=3,"1-3 Years",IF(EmployeeData[[#This Row],[Tenure Years]]&lt;=5,"4-5 Years",IF(EmployeeData[[#This Row],[Tenure Years]]&lt;=10,"6-10 Years","More than 10 Years"))))</f>
        <v>1-3 Years</v>
      </c>
      <c r="AD759">
        <f>ROUND(AVERAGE(EmployeeData[[#This Row],[JobSatisfaction]],EmployeeData[[#This Row],[EnvironmentSatisfaction]],EmployeeData[[#This Row],[WorkLifeBalance]]),2)</f>
        <v>2</v>
      </c>
      <c r="AE759" t="str">
        <f>IF(EmployeeData[[#This Row],[Satisfaction Score]]&lt;2,"Low",IF(EmployeeData[[#This Row],[Satisfaction Score]]&lt;3,"Medium","High"))</f>
        <v>Medium</v>
      </c>
    </row>
    <row r="760" spans="1:31" x14ac:dyDescent="0.25">
      <c r="A760" t="s">
        <v>3550</v>
      </c>
      <c r="B760" t="s">
        <v>3551</v>
      </c>
      <c r="C760" t="s">
        <v>58</v>
      </c>
      <c r="D760">
        <v>47</v>
      </c>
      <c r="E760" t="s">
        <v>128</v>
      </c>
      <c r="F760" t="s">
        <v>226</v>
      </c>
      <c r="G760" s="1">
        <v>41542</v>
      </c>
      <c r="H760">
        <v>44320</v>
      </c>
      <c r="I760" t="s">
        <v>42</v>
      </c>
      <c r="J760" t="s">
        <v>31</v>
      </c>
      <c r="K760" t="s">
        <v>77</v>
      </c>
      <c r="L760" t="s">
        <v>62</v>
      </c>
      <c r="M760">
        <v>29</v>
      </c>
      <c r="N760" t="s">
        <v>34</v>
      </c>
      <c r="O760">
        <v>4</v>
      </c>
      <c r="P760">
        <v>3</v>
      </c>
      <c r="Q760">
        <v>1</v>
      </c>
      <c r="R760">
        <v>4</v>
      </c>
      <c r="S760">
        <v>0</v>
      </c>
      <c r="T760">
        <v>4</v>
      </c>
      <c r="U760">
        <v>16</v>
      </c>
      <c r="V760" t="s">
        <v>3553</v>
      </c>
      <c r="W760" t="s">
        <v>34</v>
      </c>
      <c r="Y760" s="2" t="str">
        <f>IF(EmployeeData[[#This Row],[Age]]&lt;25,"Under 25",IF(EmployeeData[[#This Row],[Age]]&lt;=34,"25-34",IF(EmployeeData[[#This Row],[Age]]&lt;=44,"35-44",IF(EmployeeData[[#This Row],[Age]]&lt;=54,"45-54","55+"))))</f>
        <v>45-54</v>
      </c>
      <c r="Z760">
        <f ca="1">DATEDIF(EmployeeData[[#This Row],[DateOfJoining]],IF(AND(EmployeeData[[#This Row],[Attrition]]="Yes",EmployeeData[[#This Row],[LastWorkingDate]]&lt;&gt;""),EmployeeData[[#This Row],[LastWorkingDate]],TODAY()),"Y")</f>
        <v>12</v>
      </c>
      <c r="AA760" t="str">
        <f>IF(EmployeeData[[#This Row],[MonthlyIncome]]&lt;30000,"Low",IF(EmployeeData[[#This Row],[MonthlyIncome]]&lt;=60000,"Medium",IF(EmployeeData[[#This Row],[MonthlyIncome]]&lt;=100000,"High","Very High")))</f>
        <v>Medium</v>
      </c>
      <c r="AB760">
        <f>IF(EmployeeData[[#This Row],[Attrition]]="Yes",1,0)</f>
        <v>0</v>
      </c>
      <c r="AC760" t="str">
        <f ca="1">IF(EmployeeData[[#This Row],[Tenure Years]]&lt;1,"Less than 1 Year",IF(EmployeeData[[#This Row],[Tenure Years]]&lt;=3,"1-3 Years",IF(EmployeeData[[#This Row],[Tenure Years]]&lt;=5,"4-5 Years",IF(EmployeeData[[#This Row],[Tenure Years]]&lt;=10,"6-10 Years","More than 10 Years"))))</f>
        <v>More than 10 Years</v>
      </c>
      <c r="AD760">
        <f>ROUND(AVERAGE(EmployeeData[[#This Row],[JobSatisfaction]],EmployeeData[[#This Row],[EnvironmentSatisfaction]],EmployeeData[[#This Row],[WorkLifeBalance]]),2)</f>
        <v>2.67</v>
      </c>
      <c r="AE760" t="str">
        <f>IF(EmployeeData[[#This Row],[Satisfaction Score]]&lt;2,"Low",IF(EmployeeData[[#This Row],[Satisfaction Score]]&lt;3,"Medium","High"))</f>
        <v>Medium</v>
      </c>
    </row>
    <row r="761" spans="1:31" x14ac:dyDescent="0.25">
      <c r="A761" t="s">
        <v>3554</v>
      </c>
      <c r="B761" t="s">
        <v>3555</v>
      </c>
      <c r="C761" t="s">
        <v>49</v>
      </c>
      <c r="D761">
        <v>35</v>
      </c>
      <c r="E761" t="s">
        <v>128</v>
      </c>
      <c r="F761" t="s">
        <v>123</v>
      </c>
      <c r="G761" s="1">
        <v>44914</v>
      </c>
      <c r="H761">
        <v>45121</v>
      </c>
      <c r="I761" t="s">
        <v>42</v>
      </c>
      <c r="J761" t="s">
        <v>31</v>
      </c>
      <c r="K761" t="s">
        <v>200</v>
      </c>
      <c r="L761" t="s">
        <v>62</v>
      </c>
      <c r="M761">
        <v>24</v>
      </c>
      <c r="N761" t="s">
        <v>45</v>
      </c>
      <c r="O761">
        <v>3</v>
      </c>
      <c r="P761">
        <v>1</v>
      </c>
      <c r="Q761">
        <v>2</v>
      </c>
      <c r="R761">
        <v>4</v>
      </c>
      <c r="S761">
        <v>0</v>
      </c>
      <c r="T761">
        <v>5</v>
      </c>
      <c r="U761">
        <v>15</v>
      </c>
      <c r="V761" t="s">
        <v>3557</v>
      </c>
      <c r="W761" t="s">
        <v>34</v>
      </c>
      <c r="Y761" s="2" t="str">
        <f>IF(EmployeeData[[#This Row],[Age]]&lt;25,"Under 25",IF(EmployeeData[[#This Row],[Age]]&lt;=34,"25-34",IF(EmployeeData[[#This Row],[Age]]&lt;=44,"35-44",IF(EmployeeData[[#This Row],[Age]]&lt;=54,"45-54","55+"))))</f>
        <v>35-44</v>
      </c>
      <c r="Z761">
        <f ca="1">DATEDIF(EmployeeData[[#This Row],[DateOfJoining]],IF(AND(EmployeeData[[#This Row],[Attrition]]="Yes",EmployeeData[[#This Row],[LastWorkingDate]]&lt;&gt;""),EmployeeData[[#This Row],[LastWorkingDate]],TODAY()),"Y")</f>
        <v>3</v>
      </c>
      <c r="AA761" t="str">
        <f>IF(EmployeeData[[#This Row],[MonthlyIncome]]&lt;30000,"Low",IF(EmployeeData[[#This Row],[MonthlyIncome]]&lt;=60000,"Medium",IF(EmployeeData[[#This Row],[MonthlyIncome]]&lt;=100000,"High","Very High")))</f>
        <v>Medium</v>
      </c>
      <c r="AB761">
        <f>IF(EmployeeData[[#This Row],[Attrition]]="Yes",1,0)</f>
        <v>0</v>
      </c>
      <c r="AC761" t="str">
        <f ca="1">IF(EmployeeData[[#This Row],[Tenure Years]]&lt;1,"Less than 1 Year",IF(EmployeeData[[#This Row],[Tenure Years]]&lt;=3,"1-3 Years",IF(EmployeeData[[#This Row],[Tenure Years]]&lt;=5,"4-5 Years",IF(EmployeeData[[#This Row],[Tenure Years]]&lt;=10,"6-10 Years","More than 10 Years"))))</f>
        <v>1-3 Years</v>
      </c>
      <c r="AD761">
        <f>ROUND(AVERAGE(EmployeeData[[#This Row],[JobSatisfaction]],EmployeeData[[#This Row],[EnvironmentSatisfaction]],EmployeeData[[#This Row],[WorkLifeBalance]]),2)</f>
        <v>2</v>
      </c>
      <c r="AE761" t="str">
        <f>IF(EmployeeData[[#This Row],[Satisfaction Score]]&lt;2,"Low",IF(EmployeeData[[#This Row],[Satisfaction Score]]&lt;3,"Medium","High"))</f>
        <v>Medium</v>
      </c>
    </row>
    <row r="762" spans="1:31" x14ac:dyDescent="0.25">
      <c r="A762" t="s">
        <v>3558</v>
      </c>
      <c r="B762" t="s">
        <v>3559</v>
      </c>
      <c r="C762" t="s">
        <v>49</v>
      </c>
      <c r="D762">
        <v>29</v>
      </c>
      <c r="E762" t="s">
        <v>5461</v>
      </c>
      <c r="F762" t="s">
        <v>89</v>
      </c>
      <c r="G762" s="1">
        <v>40969</v>
      </c>
      <c r="H762">
        <v>152646</v>
      </c>
      <c r="I762" t="s">
        <v>52</v>
      </c>
      <c r="J762" t="s">
        <v>31</v>
      </c>
      <c r="K762" t="s">
        <v>83</v>
      </c>
      <c r="L762" t="s">
        <v>43</v>
      </c>
      <c r="M762">
        <v>31</v>
      </c>
      <c r="N762" t="s">
        <v>45</v>
      </c>
      <c r="O762">
        <v>2</v>
      </c>
      <c r="P762">
        <v>3</v>
      </c>
      <c r="Q762">
        <v>4</v>
      </c>
      <c r="R762">
        <v>1</v>
      </c>
      <c r="S762">
        <v>2</v>
      </c>
      <c r="T762">
        <v>3</v>
      </c>
      <c r="U762">
        <v>24</v>
      </c>
      <c r="V762" t="s">
        <v>3562</v>
      </c>
      <c r="W762" t="s">
        <v>45</v>
      </c>
      <c r="X762" s="1">
        <v>44144</v>
      </c>
      <c r="Y762" s="2" t="str">
        <f>IF(EmployeeData[[#This Row],[Age]]&lt;25,"Under 25",IF(EmployeeData[[#This Row],[Age]]&lt;=34,"25-34",IF(EmployeeData[[#This Row],[Age]]&lt;=44,"35-44",IF(EmployeeData[[#This Row],[Age]]&lt;=54,"45-54","55+"))))</f>
        <v>25-34</v>
      </c>
      <c r="Z762">
        <f ca="1">DATEDIF(EmployeeData[[#This Row],[DateOfJoining]],IF(AND(EmployeeData[[#This Row],[Attrition]]="Yes",EmployeeData[[#This Row],[LastWorkingDate]]&lt;&gt;""),EmployeeData[[#This Row],[LastWorkingDate]],TODAY()),"Y")</f>
        <v>8</v>
      </c>
      <c r="AA762" t="str">
        <f>IF(EmployeeData[[#This Row],[MonthlyIncome]]&lt;30000,"Low",IF(EmployeeData[[#This Row],[MonthlyIncome]]&lt;=60000,"Medium",IF(EmployeeData[[#This Row],[MonthlyIncome]]&lt;=100000,"High","Very High")))</f>
        <v>Very High</v>
      </c>
      <c r="AB762">
        <f>IF(EmployeeData[[#This Row],[Attrition]]="Yes",1,0)</f>
        <v>1</v>
      </c>
      <c r="AC762" t="str">
        <f ca="1">IF(EmployeeData[[#This Row],[Tenure Years]]&lt;1,"Less than 1 Year",IF(EmployeeData[[#This Row],[Tenure Years]]&lt;=3,"1-3 Years",IF(EmployeeData[[#This Row],[Tenure Years]]&lt;=5,"4-5 Years",IF(EmployeeData[[#This Row],[Tenure Years]]&lt;=10,"6-10 Years","More than 10 Years"))))</f>
        <v>6-10 Years</v>
      </c>
      <c r="AD762">
        <f>ROUND(AVERAGE(EmployeeData[[#This Row],[JobSatisfaction]],EmployeeData[[#This Row],[EnvironmentSatisfaction]],EmployeeData[[#This Row],[WorkLifeBalance]]),2)</f>
        <v>3</v>
      </c>
      <c r="AE762" t="str">
        <f>IF(EmployeeData[[#This Row],[Satisfaction Score]]&lt;2,"Low",IF(EmployeeData[[#This Row],[Satisfaction Score]]&lt;3,"Medium","High"))</f>
        <v>High</v>
      </c>
    </row>
    <row r="763" spans="1:31" x14ac:dyDescent="0.25">
      <c r="A763" t="s">
        <v>3564</v>
      </c>
      <c r="B763" t="s">
        <v>3565</v>
      </c>
      <c r="C763" t="s">
        <v>58</v>
      </c>
      <c r="D763">
        <v>40</v>
      </c>
      <c r="E763" t="s">
        <v>5461</v>
      </c>
      <c r="F763" t="s">
        <v>5463</v>
      </c>
      <c r="G763" s="1">
        <v>41368</v>
      </c>
      <c r="H763">
        <v>123722</v>
      </c>
      <c r="I763" t="s">
        <v>42</v>
      </c>
      <c r="J763" t="s">
        <v>31</v>
      </c>
      <c r="K763" t="s">
        <v>113</v>
      </c>
      <c r="L763" t="s">
        <v>43</v>
      </c>
      <c r="M763">
        <v>19</v>
      </c>
      <c r="N763" t="s">
        <v>34</v>
      </c>
      <c r="O763">
        <v>4</v>
      </c>
      <c r="P763">
        <v>2</v>
      </c>
      <c r="Q763">
        <v>4</v>
      </c>
      <c r="R763">
        <v>2</v>
      </c>
      <c r="S763">
        <v>5</v>
      </c>
      <c r="T763">
        <v>2</v>
      </c>
      <c r="U763">
        <v>21</v>
      </c>
      <c r="V763" t="s">
        <v>3567</v>
      </c>
      <c r="W763" t="s">
        <v>34</v>
      </c>
      <c r="Y763" s="2" t="str">
        <f>IF(EmployeeData[[#This Row],[Age]]&lt;25,"Under 25",IF(EmployeeData[[#This Row],[Age]]&lt;=34,"25-34",IF(EmployeeData[[#This Row],[Age]]&lt;=44,"35-44",IF(EmployeeData[[#This Row],[Age]]&lt;=54,"45-54","55+"))))</f>
        <v>35-44</v>
      </c>
      <c r="Z763">
        <f ca="1">DATEDIF(EmployeeData[[#This Row],[DateOfJoining]],IF(AND(EmployeeData[[#This Row],[Attrition]]="Yes",EmployeeData[[#This Row],[LastWorkingDate]]&lt;&gt;""),EmployeeData[[#This Row],[LastWorkingDate]],TODAY()),"Y")</f>
        <v>13</v>
      </c>
      <c r="AA763" t="str">
        <f>IF(EmployeeData[[#This Row],[MonthlyIncome]]&lt;30000,"Low",IF(EmployeeData[[#This Row],[MonthlyIncome]]&lt;=60000,"Medium",IF(EmployeeData[[#This Row],[MonthlyIncome]]&lt;=100000,"High","Very High")))</f>
        <v>Very High</v>
      </c>
      <c r="AB763">
        <f>IF(EmployeeData[[#This Row],[Attrition]]="Yes",1,0)</f>
        <v>0</v>
      </c>
      <c r="AC763" t="str">
        <f ca="1">IF(EmployeeData[[#This Row],[Tenure Years]]&lt;1,"Less than 1 Year",IF(EmployeeData[[#This Row],[Tenure Years]]&lt;=3,"1-3 Years",IF(EmployeeData[[#This Row],[Tenure Years]]&lt;=5,"4-5 Years",IF(EmployeeData[[#This Row],[Tenure Years]]&lt;=10,"6-10 Years","More than 10 Years"))))</f>
        <v>More than 10 Years</v>
      </c>
      <c r="AD763">
        <f>ROUND(AVERAGE(EmployeeData[[#This Row],[JobSatisfaction]],EmployeeData[[#This Row],[EnvironmentSatisfaction]],EmployeeData[[#This Row],[WorkLifeBalance]]),2)</f>
        <v>3.33</v>
      </c>
      <c r="AE763" t="str">
        <f>IF(EmployeeData[[#This Row],[Satisfaction Score]]&lt;2,"Low",IF(EmployeeData[[#This Row],[Satisfaction Score]]&lt;3,"Medium","High"))</f>
        <v>High</v>
      </c>
    </row>
    <row r="764" spans="1:31" x14ac:dyDescent="0.25">
      <c r="A764" t="s">
        <v>3568</v>
      </c>
      <c r="B764" t="s">
        <v>3569</v>
      </c>
      <c r="C764" t="s">
        <v>49</v>
      </c>
      <c r="D764">
        <v>30</v>
      </c>
      <c r="E764" t="s">
        <v>128</v>
      </c>
      <c r="F764" t="s">
        <v>123</v>
      </c>
      <c r="G764" s="1">
        <v>41222</v>
      </c>
      <c r="H764">
        <v>62103</v>
      </c>
      <c r="I764" t="s">
        <v>52</v>
      </c>
      <c r="J764" t="s">
        <v>31</v>
      </c>
      <c r="K764" t="s">
        <v>200</v>
      </c>
      <c r="L764" t="s">
        <v>62</v>
      </c>
      <c r="M764">
        <v>21</v>
      </c>
      <c r="N764" t="s">
        <v>34</v>
      </c>
      <c r="O764">
        <v>4</v>
      </c>
      <c r="P764">
        <v>3</v>
      </c>
      <c r="Q764">
        <v>3</v>
      </c>
      <c r="R764">
        <v>3</v>
      </c>
      <c r="S764">
        <v>1</v>
      </c>
      <c r="T764">
        <v>0</v>
      </c>
      <c r="U764">
        <v>21</v>
      </c>
      <c r="V764" t="s">
        <v>5459</v>
      </c>
      <c r="W764" t="s">
        <v>34</v>
      </c>
      <c r="Y764" s="2" t="str">
        <f>IF(EmployeeData[[#This Row],[Age]]&lt;25,"Under 25",IF(EmployeeData[[#This Row],[Age]]&lt;=34,"25-34",IF(EmployeeData[[#This Row],[Age]]&lt;=44,"35-44",IF(EmployeeData[[#This Row],[Age]]&lt;=54,"45-54","55+"))))</f>
        <v>25-34</v>
      </c>
      <c r="Z764">
        <f ca="1">DATEDIF(EmployeeData[[#This Row],[DateOfJoining]],IF(AND(EmployeeData[[#This Row],[Attrition]]="Yes",EmployeeData[[#This Row],[LastWorkingDate]]&lt;&gt;""),EmployeeData[[#This Row],[LastWorkingDate]],TODAY()),"Y")</f>
        <v>13</v>
      </c>
      <c r="AA764" t="str">
        <f>IF(EmployeeData[[#This Row],[MonthlyIncome]]&lt;30000,"Low",IF(EmployeeData[[#This Row],[MonthlyIncome]]&lt;=60000,"Medium",IF(EmployeeData[[#This Row],[MonthlyIncome]]&lt;=100000,"High","Very High")))</f>
        <v>High</v>
      </c>
      <c r="AB764">
        <f>IF(EmployeeData[[#This Row],[Attrition]]="Yes",1,0)</f>
        <v>0</v>
      </c>
      <c r="AC764" t="str">
        <f ca="1">IF(EmployeeData[[#This Row],[Tenure Years]]&lt;1,"Less than 1 Year",IF(EmployeeData[[#This Row],[Tenure Years]]&lt;=3,"1-3 Years",IF(EmployeeData[[#This Row],[Tenure Years]]&lt;=5,"4-5 Years",IF(EmployeeData[[#This Row],[Tenure Years]]&lt;=10,"6-10 Years","More than 10 Years"))))</f>
        <v>More than 10 Years</v>
      </c>
      <c r="AD764">
        <f>ROUND(AVERAGE(EmployeeData[[#This Row],[JobSatisfaction]],EmployeeData[[#This Row],[EnvironmentSatisfaction]],EmployeeData[[#This Row],[WorkLifeBalance]]),2)</f>
        <v>3.33</v>
      </c>
      <c r="AE764" t="str">
        <f>IF(EmployeeData[[#This Row],[Satisfaction Score]]&lt;2,"Low",IF(EmployeeData[[#This Row],[Satisfaction Score]]&lt;3,"Medium","High"))</f>
        <v>High</v>
      </c>
    </row>
    <row r="765" spans="1:31" x14ac:dyDescent="0.25">
      <c r="A765" t="s">
        <v>3571</v>
      </c>
      <c r="B765" t="s">
        <v>3572</v>
      </c>
      <c r="C765" t="s">
        <v>49</v>
      </c>
      <c r="D765">
        <v>43</v>
      </c>
      <c r="E765" t="s">
        <v>412</v>
      </c>
      <c r="F765" t="s">
        <v>945</v>
      </c>
      <c r="G765" s="1">
        <v>44944</v>
      </c>
      <c r="H765">
        <v>63638</v>
      </c>
      <c r="I765" t="s">
        <v>30</v>
      </c>
      <c r="J765" t="s">
        <v>31</v>
      </c>
      <c r="K765" t="s">
        <v>98</v>
      </c>
      <c r="L765" t="s">
        <v>43</v>
      </c>
      <c r="M765">
        <v>5</v>
      </c>
      <c r="N765" t="s">
        <v>34</v>
      </c>
      <c r="O765">
        <v>4</v>
      </c>
      <c r="P765">
        <v>2</v>
      </c>
      <c r="Q765">
        <v>2</v>
      </c>
      <c r="R765">
        <v>3</v>
      </c>
      <c r="S765">
        <v>6</v>
      </c>
      <c r="T765">
        <v>0</v>
      </c>
      <c r="U765">
        <v>14</v>
      </c>
      <c r="V765" t="s">
        <v>3574</v>
      </c>
      <c r="W765" t="s">
        <v>34</v>
      </c>
      <c r="Y765" s="2" t="str">
        <f>IF(EmployeeData[[#This Row],[Age]]&lt;25,"Under 25",IF(EmployeeData[[#This Row],[Age]]&lt;=34,"25-34",IF(EmployeeData[[#This Row],[Age]]&lt;=44,"35-44",IF(EmployeeData[[#This Row],[Age]]&lt;=54,"45-54","55+"))))</f>
        <v>35-44</v>
      </c>
      <c r="Z765">
        <f ca="1">DATEDIF(EmployeeData[[#This Row],[DateOfJoining]],IF(AND(EmployeeData[[#This Row],[Attrition]]="Yes",EmployeeData[[#This Row],[LastWorkingDate]]&lt;&gt;""),EmployeeData[[#This Row],[LastWorkingDate]],TODAY()),"Y")</f>
        <v>3</v>
      </c>
      <c r="AA765" t="str">
        <f>IF(EmployeeData[[#This Row],[MonthlyIncome]]&lt;30000,"Low",IF(EmployeeData[[#This Row],[MonthlyIncome]]&lt;=60000,"Medium",IF(EmployeeData[[#This Row],[MonthlyIncome]]&lt;=100000,"High","Very High")))</f>
        <v>High</v>
      </c>
      <c r="AB765">
        <f>IF(EmployeeData[[#This Row],[Attrition]]="Yes",1,0)</f>
        <v>0</v>
      </c>
      <c r="AC765" t="str">
        <f ca="1">IF(EmployeeData[[#This Row],[Tenure Years]]&lt;1,"Less than 1 Year",IF(EmployeeData[[#This Row],[Tenure Years]]&lt;=3,"1-3 Years",IF(EmployeeData[[#This Row],[Tenure Years]]&lt;=5,"4-5 Years",IF(EmployeeData[[#This Row],[Tenure Years]]&lt;=10,"6-10 Years","More than 10 Years"))))</f>
        <v>1-3 Years</v>
      </c>
      <c r="AD765">
        <f>ROUND(AVERAGE(EmployeeData[[#This Row],[JobSatisfaction]],EmployeeData[[#This Row],[EnvironmentSatisfaction]],EmployeeData[[#This Row],[WorkLifeBalance]]),2)</f>
        <v>2.67</v>
      </c>
      <c r="AE765" t="str">
        <f>IF(EmployeeData[[#This Row],[Satisfaction Score]]&lt;2,"Low",IF(EmployeeData[[#This Row],[Satisfaction Score]]&lt;3,"Medium","High"))</f>
        <v>Medium</v>
      </c>
    </row>
    <row r="766" spans="1:31" x14ac:dyDescent="0.25">
      <c r="A766" t="s">
        <v>3575</v>
      </c>
      <c r="B766" t="s">
        <v>3576</v>
      </c>
      <c r="C766" t="s">
        <v>58</v>
      </c>
      <c r="D766">
        <v>49</v>
      </c>
      <c r="E766" t="s">
        <v>38</v>
      </c>
      <c r="F766" t="s">
        <v>5462</v>
      </c>
      <c r="G766" s="1">
        <v>44628</v>
      </c>
      <c r="H766">
        <v>67087</v>
      </c>
      <c r="I766" t="s">
        <v>52</v>
      </c>
      <c r="J766" t="s">
        <v>5459</v>
      </c>
      <c r="K766" t="s">
        <v>106</v>
      </c>
      <c r="L766" t="s">
        <v>62</v>
      </c>
      <c r="M766">
        <v>23</v>
      </c>
      <c r="N766" t="s">
        <v>34</v>
      </c>
      <c r="O766">
        <v>1</v>
      </c>
      <c r="P766">
        <v>1</v>
      </c>
      <c r="Q766">
        <v>2</v>
      </c>
      <c r="R766">
        <v>4</v>
      </c>
      <c r="S766">
        <v>2</v>
      </c>
      <c r="T766">
        <v>1</v>
      </c>
      <c r="U766">
        <v>12</v>
      </c>
      <c r="V766" t="s">
        <v>3579</v>
      </c>
      <c r="W766" t="s">
        <v>34</v>
      </c>
      <c r="Y766" s="2" t="str">
        <f>IF(EmployeeData[[#This Row],[Age]]&lt;25,"Under 25",IF(EmployeeData[[#This Row],[Age]]&lt;=34,"25-34",IF(EmployeeData[[#This Row],[Age]]&lt;=44,"35-44",IF(EmployeeData[[#This Row],[Age]]&lt;=54,"45-54","55+"))))</f>
        <v>45-54</v>
      </c>
      <c r="Z766">
        <f ca="1">DATEDIF(EmployeeData[[#This Row],[DateOfJoining]],IF(AND(EmployeeData[[#This Row],[Attrition]]="Yes",EmployeeData[[#This Row],[LastWorkingDate]]&lt;&gt;""),EmployeeData[[#This Row],[LastWorkingDate]],TODAY()),"Y")</f>
        <v>4</v>
      </c>
      <c r="AA766" t="str">
        <f>IF(EmployeeData[[#This Row],[MonthlyIncome]]&lt;30000,"Low",IF(EmployeeData[[#This Row],[MonthlyIncome]]&lt;=60000,"Medium",IF(EmployeeData[[#This Row],[MonthlyIncome]]&lt;=100000,"High","Very High")))</f>
        <v>High</v>
      </c>
      <c r="AB766">
        <f>IF(EmployeeData[[#This Row],[Attrition]]="Yes",1,0)</f>
        <v>0</v>
      </c>
      <c r="AC766" t="str">
        <f ca="1">IF(EmployeeData[[#This Row],[Tenure Years]]&lt;1,"Less than 1 Year",IF(EmployeeData[[#This Row],[Tenure Years]]&lt;=3,"1-3 Years",IF(EmployeeData[[#This Row],[Tenure Years]]&lt;=5,"4-5 Years",IF(EmployeeData[[#This Row],[Tenure Years]]&lt;=10,"6-10 Years","More than 10 Years"))))</f>
        <v>4-5 Years</v>
      </c>
      <c r="AD766">
        <f>ROUND(AVERAGE(EmployeeData[[#This Row],[JobSatisfaction]],EmployeeData[[#This Row],[EnvironmentSatisfaction]],EmployeeData[[#This Row],[WorkLifeBalance]]),2)</f>
        <v>1.33</v>
      </c>
      <c r="AE766" t="str">
        <f>IF(EmployeeData[[#This Row],[Satisfaction Score]]&lt;2,"Low",IF(EmployeeData[[#This Row],[Satisfaction Score]]&lt;3,"Medium","High"))</f>
        <v>Low</v>
      </c>
    </row>
    <row r="767" spans="1:31" x14ac:dyDescent="0.25">
      <c r="A767" t="s">
        <v>3580</v>
      </c>
      <c r="B767" t="s">
        <v>3581</v>
      </c>
      <c r="C767" t="s">
        <v>58</v>
      </c>
      <c r="D767">
        <v>59</v>
      </c>
      <c r="E767" t="s">
        <v>94</v>
      </c>
      <c r="F767" t="s">
        <v>639</v>
      </c>
      <c r="G767" s="1">
        <v>42622</v>
      </c>
      <c r="H767">
        <v>74606</v>
      </c>
      <c r="I767" t="s">
        <v>42</v>
      </c>
      <c r="J767" t="s">
        <v>97</v>
      </c>
      <c r="K767" t="s">
        <v>83</v>
      </c>
      <c r="L767" t="s">
        <v>43</v>
      </c>
      <c r="M767">
        <v>44</v>
      </c>
      <c r="N767" t="s">
        <v>34</v>
      </c>
      <c r="O767">
        <v>1</v>
      </c>
      <c r="P767">
        <v>1</v>
      </c>
      <c r="Q767">
        <v>3</v>
      </c>
      <c r="R767">
        <v>3</v>
      </c>
      <c r="S767">
        <v>0</v>
      </c>
      <c r="T767">
        <v>1</v>
      </c>
      <c r="U767">
        <v>23</v>
      </c>
      <c r="V767" t="s">
        <v>3584</v>
      </c>
      <c r="W767" t="s">
        <v>34</v>
      </c>
      <c r="Y767" s="2" t="str">
        <f>IF(EmployeeData[[#This Row],[Age]]&lt;25,"Under 25",IF(EmployeeData[[#This Row],[Age]]&lt;=34,"25-34",IF(EmployeeData[[#This Row],[Age]]&lt;=44,"35-44",IF(EmployeeData[[#This Row],[Age]]&lt;=54,"45-54","55+"))))</f>
        <v>55+</v>
      </c>
      <c r="Z767">
        <f ca="1">DATEDIF(EmployeeData[[#This Row],[DateOfJoining]],IF(AND(EmployeeData[[#This Row],[Attrition]]="Yes",EmployeeData[[#This Row],[LastWorkingDate]]&lt;&gt;""),EmployeeData[[#This Row],[LastWorkingDate]],TODAY()),"Y")</f>
        <v>9</v>
      </c>
      <c r="AA767" t="str">
        <f>IF(EmployeeData[[#This Row],[MonthlyIncome]]&lt;30000,"Low",IF(EmployeeData[[#This Row],[MonthlyIncome]]&lt;=60000,"Medium",IF(EmployeeData[[#This Row],[MonthlyIncome]]&lt;=100000,"High","Very High")))</f>
        <v>High</v>
      </c>
      <c r="AB767">
        <f>IF(EmployeeData[[#This Row],[Attrition]]="Yes",1,0)</f>
        <v>0</v>
      </c>
      <c r="AC767" t="str">
        <f ca="1">IF(EmployeeData[[#This Row],[Tenure Years]]&lt;1,"Less than 1 Year",IF(EmployeeData[[#This Row],[Tenure Years]]&lt;=3,"1-3 Years",IF(EmployeeData[[#This Row],[Tenure Years]]&lt;=5,"4-5 Years",IF(EmployeeData[[#This Row],[Tenure Years]]&lt;=10,"6-10 Years","More than 10 Years"))))</f>
        <v>6-10 Years</v>
      </c>
      <c r="AD767">
        <f>ROUND(AVERAGE(EmployeeData[[#This Row],[JobSatisfaction]],EmployeeData[[#This Row],[EnvironmentSatisfaction]],EmployeeData[[#This Row],[WorkLifeBalance]]),2)</f>
        <v>1.67</v>
      </c>
      <c r="AE767" t="str">
        <f>IF(EmployeeData[[#This Row],[Satisfaction Score]]&lt;2,"Low",IF(EmployeeData[[#This Row],[Satisfaction Score]]&lt;3,"Medium","High"))</f>
        <v>Low</v>
      </c>
    </row>
    <row r="768" spans="1:31" x14ac:dyDescent="0.25">
      <c r="A768" t="s">
        <v>3585</v>
      </c>
      <c r="B768" t="s">
        <v>3586</v>
      </c>
      <c r="C768" t="s">
        <v>49</v>
      </c>
      <c r="D768">
        <v>57</v>
      </c>
      <c r="E768" t="s">
        <v>27</v>
      </c>
      <c r="F768" t="s">
        <v>75</v>
      </c>
      <c r="G768" s="1">
        <v>42353</v>
      </c>
      <c r="H768">
        <v>48562</v>
      </c>
      <c r="I768" t="s">
        <v>30</v>
      </c>
      <c r="J768" t="s">
        <v>61</v>
      </c>
      <c r="K768" t="s">
        <v>77</v>
      </c>
      <c r="L768" t="s">
        <v>43</v>
      </c>
      <c r="M768">
        <v>9</v>
      </c>
      <c r="N768" t="s">
        <v>34</v>
      </c>
      <c r="O768">
        <v>3</v>
      </c>
      <c r="P768">
        <v>3</v>
      </c>
      <c r="Q768">
        <v>3</v>
      </c>
      <c r="R768">
        <v>2</v>
      </c>
      <c r="S768">
        <v>1</v>
      </c>
      <c r="T768">
        <v>3</v>
      </c>
      <c r="U768">
        <v>24</v>
      </c>
      <c r="V768" t="s">
        <v>3589</v>
      </c>
      <c r="W768" t="s">
        <v>34</v>
      </c>
      <c r="Y768" s="2" t="str">
        <f>IF(EmployeeData[[#This Row],[Age]]&lt;25,"Under 25",IF(EmployeeData[[#This Row],[Age]]&lt;=34,"25-34",IF(EmployeeData[[#This Row],[Age]]&lt;=44,"35-44",IF(EmployeeData[[#This Row],[Age]]&lt;=54,"45-54","55+"))))</f>
        <v>55+</v>
      </c>
      <c r="Z768">
        <f ca="1">DATEDIF(EmployeeData[[#This Row],[DateOfJoining]],IF(AND(EmployeeData[[#This Row],[Attrition]]="Yes",EmployeeData[[#This Row],[LastWorkingDate]]&lt;&gt;""),EmployeeData[[#This Row],[LastWorkingDate]],TODAY()),"Y")</f>
        <v>10</v>
      </c>
      <c r="AA768" t="str">
        <f>IF(EmployeeData[[#This Row],[MonthlyIncome]]&lt;30000,"Low",IF(EmployeeData[[#This Row],[MonthlyIncome]]&lt;=60000,"Medium",IF(EmployeeData[[#This Row],[MonthlyIncome]]&lt;=100000,"High","Very High")))</f>
        <v>Medium</v>
      </c>
      <c r="AB768">
        <f>IF(EmployeeData[[#This Row],[Attrition]]="Yes",1,0)</f>
        <v>0</v>
      </c>
      <c r="AC768" t="str">
        <f ca="1">IF(EmployeeData[[#This Row],[Tenure Years]]&lt;1,"Less than 1 Year",IF(EmployeeData[[#This Row],[Tenure Years]]&lt;=3,"1-3 Years",IF(EmployeeData[[#This Row],[Tenure Years]]&lt;=5,"4-5 Years",IF(EmployeeData[[#This Row],[Tenure Years]]&lt;=10,"6-10 Years","More than 10 Years"))))</f>
        <v>6-10 Years</v>
      </c>
      <c r="AD768">
        <f>ROUND(AVERAGE(EmployeeData[[#This Row],[JobSatisfaction]],EmployeeData[[#This Row],[EnvironmentSatisfaction]],EmployeeData[[#This Row],[WorkLifeBalance]]),2)</f>
        <v>3</v>
      </c>
      <c r="AE768" t="str">
        <f>IF(EmployeeData[[#This Row],[Satisfaction Score]]&lt;2,"Low",IF(EmployeeData[[#This Row],[Satisfaction Score]]&lt;3,"Medium","High"))</f>
        <v>High</v>
      </c>
    </row>
    <row r="769" spans="1:31" x14ac:dyDescent="0.25">
      <c r="A769" t="s">
        <v>3590</v>
      </c>
      <c r="B769" t="s">
        <v>2122</v>
      </c>
      <c r="C769" t="s">
        <v>58</v>
      </c>
      <c r="D769">
        <v>27</v>
      </c>
      <c r="E769" t="s">
        <v>128</v>
      </c>
      <c r="F769" t="s">
        <v>271</v>
      </c>
      <c r="G769" s="1">
        <v>41685</v>
      </c>
      <c r="H769">
        <v>101744</v>
      </c>
      <c r="I769" t="s">
        <v>42</v>
      </c>
      <c r="J769" t="s">
        <v>31</v>
      </c>
      <c r="K769" t="s">
        <v>77</v>
      </c>
      <c r="L769" t="s">
        <v>43</v>
      </c>
      <c r="M769">
        <v>14</v>
      </c>
      <c r="N769" t="s">
        <v>34</v>
      </c>
      <c r="O769">
        <v>4</v>
      </c>
      <c r="P769">
        <v>2</v>
      </c>
      <c r="Q769">
        <v>2</v>
      </c>
      <c r="R769">
        <v>2</v>
      </c>
      <c r="S769">
        <v>4</v>
      </c>
      <c r="T769">
        <v>8</v>
      </c>
      <c r="U769">
        <v>13</v>
      </c>
      <c r="V769" t="s">
        <v>3592</v>
      </c>
      <c r="W769" t="s">
        <v>34</v>
      </c>
      <c r="Y769" s="2" t="str">
        <f>IF(EmployeeData[[#This Row],[Age]]&lt;25,"Under 25",IF(EmployeeData[[#This Row],[Age]]&lt;=34,"25-34",IF(EmployeeData[[#This Row],[Age]]&lt;=44,"35-44",IF(EmployeeData[[#This Row],[Age]]&lt;=54,"45-54","55+"))))</f>
        <v>25-34</v>
      </c>
      <c r="Z769">
        <f ca="1">DATEDIF(EmployeeData[[#This Row],[DateOfJoining]],IF(AND(EmployeeData[[#This Row],[Attrition]]="Yes",EmployeeData[[#This Row],[LastWorkingDate]]&lt;&gt;""),EmployeeData[[#This Row],[LastWorkingDate]],TODAY()),"Y")</f>
        <v>12</v>
      </c>
      <c r="AA769" t="str">
        <f>IF(EmployeeData[[#This Row],[MonthlyIncome]]&lt;30000,"Low",IF(EmployeeData[[#This Row],[MonthlyIncome]]&lt;=60000,"Medium",IF(EmployeeData[[#This Row],[MonthlyIncome]]&lt;=100000,"High","Very High")))</f>
        <v>Very High</v>
      </c>
      <c r="AB769">
        <f>IF(EmployeeData[[#This Row],[Attrition]]="Yes",1,0)</f>
        <v>0</v>
      </c>
      <c r="AC769" t="str">
        <f ca="1">IF(EmployeeData[[#This Row],[Tenure Years]]&lt;1,"Less than 1 Year",IF(EmployeeData[[#This Row],[Tenure Years]]&lt;=3,"1-3 Years",IF(EmployeeData[[#This Row],[Tenure Years]]&lt;=5,"4-5 Years",IF(EmployeeData[[#This Row],[Tenure Years]]&lt;=10,"6-10 Years","More than 10 Years"))))</f>
        <v>More than 10 Years</v>
      </c>
      <c r="AD769">
        <f>ROUND(AVERAGE(EmployeeData[[#This Row],[JobSatisfaction]],EmployeeData[[#This Row],[EnvironmentSatisfaction]],EmployeeData[[#This Row],[WorkLifeBalance]]),2)</f>
        <v>2.67</v>
      </c>
      <c r="AE769" t="str">
        <f>IF(EmployeeData[[#This Row],[Satisfaction Score]]&lt;2,"Low",IF(EmployeeData[[#This Row],[Satisfaction Score]]&lt;3,"Medium","High"))</f>
        <v>Medium</v>
      </c>
    </row>
    <row r="770" spans="1:31" x14ac:dyDescent="0.25">
      <c r="A770" t="s">
        <v>3593</v>
      </c>
      <c r="B770" t="s">
        <v>3594</v>
      </c>
      <c r="C770" t="s">
        <v>49</v>
      </c>
      <c r="D770">
        <v>23</v>
      </c>
      <c r="E770" t="s">
        <v>27</v>
      </c>
      <c r="F770" t="s">
        <v>59</v>
      </c>
      <c r="G770" s="1">
        <v>42921</v>
      </c>
      <c r="H770">
        <v>52083</v>
      </c>
      <c r="I770" t="s">
        <v>30</v>
      </c>
      <c r="J770" t="s">
        <v>97</v>
      </c>
      <c r="K770" t="s">
        <v>106</v>
      </c>
      <c r="L770" t="s">
        <v>5459</v>
      </c>
      <c r="M770">
        <v>3</v>
      </c>
      <c r="N770" t="s">
        <v>45</v>
      </c>
      <c r="O770">
        <v>2</v>
      </c>
      <c r="P770">
        <v>3</v>
      </c>
      <c r="Q770">
        <v>4</v>
      </c>
      <c r="R770">
        <v>5</v>
      </c>
      <c r="S770">
        <v>5</v>
      </c>
      <c r="T770">
        <v>6</v>
      </c>
      <c r="U770">
        <v>25</v>
      </c>
      <c r="V770" t="s">
        <v>3596</v>
      </c>
      <c r="W770" t="s">
        <v>34</v>
      </c>
      <c r="Y770" s="2" t="str">
        <f>IF(EmployeeData[[#This Row],[Age]]&lt;25,"Under 25",IF(EmployeeData[[#This Row],[Age]]&lt;=34,"25-34",IF(EmployeeData[[#This Row],[Age]]&lt;=44,"35-44",IF(EmployeeData[[#This Row],[Age]]&lt;=54,"45-54","55+"))))</f>
        <v>Under 25</v>
      </c>
      <c r="Z770">
        <f ca="1">DATEDIF(EmployeeData[[#This Row],[DateOfJoining]],IF(AND(EmployeeData[[#This Row],[Attrition]]="Yes",EmployeeData[[#This Row],[LastWorkingDate]]&lt;&gt;""),EmployeeData[[#This Row],[LastWorkingDate]],TODAY()),"Y")</f>
        <v>9</v>
      </c>
      <c r="AA770" t="str">
        <f>IF(EmployeeData[[#This Row],[MonthlyIncome]]&lt;30000,"Low",IF(EmployeeData[[#This Row],[MonthlyIncome]]&lt;=60000,"Medium",IF(EmployeeData[[#This Row],[MonthlyIncome]]&lt;=100000,"High","Very High")))</f>
        <v>Medium</v>
      </c>
      <c r="AB770">
        <f>IF(EmployeeData[[#This Row],[Attrition]]="Yes",1,0)</f>
        <v>0</v>
      </c>
      <c r="AC770" t="str">
        <f ca="1">IF(EmployeeData[[#This Row],[Tenure Years]]&lt;1,"Less than 1 Year",IF(EmployeeData[[#This Row],[Tenure Years]]&lt;=3,"1-3 Years",IF(EmployeeData[[#This Row],[Tenure Years]]&lt;=5,"4-5 Years",IF(EmployeeData[[#This Row],[Tenure Years]]&lt;=10,"6-10 Years","More than 10 Years"))))</f>
        <v>6-10 Years</v>
      </c>
      <c r="AD770">
        <f>ROUND(AVERAGE(EmployeeData[[#This Row],[JobSatisfaction]],EmployeeData[[#This Row],[EnvironmentSatisfaction]],EmployeeData[[#This Row],[WorkLifeBalance]]),2)</f>
        <v>3</v>
      </c>
      <c r="AE770" t="str">
        <f>IF(EmployeeData[[#This Row],[Satisfaction Score]]&lt;2,"Low",IF(EmployeeData[[#This Row],[Satisfaction Score]]&lt;3,"Medium","High"))</f>
        <v>High</v>
      </c>
    </row>
    <row r="771" spans="1:31" x14ac:dyDescent="0.25">
      <c r="A771" t="s">
        <v>3597</v>
      </c>
      <c r="B771" t="s">
        <v>3598</v>
      </c>
      <c r="C771" t="s">
        <v>58</v>
      </c>
      <c r="D771">
        <v>45</v>
      </c>
      <c r="E771" t="s">
        <v>94</v>
      </c>
      <c r="F771" t="s">
        <v>356</v>
      </c>
      <c r="G771" s="1">
        <v>41320</v>
      </c>
      <c r="H771">
        <v>115158</v>
      </c>
      <c r="I771" t="s">
        <v>5459</v>
      </c>
      <c r="J771" t="s">
        <v>31</v>
      </c>
      <c r="K771" t="s">
        <v>106</v>
      </c>
      <c r="L771" t="s">
        <v>33</v>
      </c>
      <c r="M771">
        <v>28</v>
      </c>
      <c r="N771" t="s">
        <v>34</v>
      </c>
      <c r="O771">
        <v>3</v>
      </c>
      <c r="P771">
        <v>3</v>
      </c>
      <c r="Q771">
        <v>3</v>
      </c>
      <c r="R771">
        <v>2</v>
      </c>
      <c r="S771">
        <v>3</v>
      </c>
      <c r="T771">
        <v>7</v>
      </c>
      <c r="U771">
        <v>22</v>
      </c>
      <c r="V771" t="s">
        <v>3600</v>
      </c>
      <c r="W771" t="s">
        <v>34</v>
      </c>
      <c r="Y771" s="2" t="str">
        <f>IF(EmployeeData[[#This Row],[Age]]&lt;25,"Under 25",IF(EmployeeData[[#This Row],[Age]]&lt;=34,"25-34",IF(EmployeeData[[#This Row],[Age]]&lt;=44,"35-44",IF(EmployeeData[[#This Row],[Age]]&lt;=54,"45-54","55+"))))</f>
        <v>45-54</v>
      </c>
      <c r="Z771">
        <f ca="1">DATEDIF(EmployeeData[[#This Row],[DateOfJoining]],IF(AND(EmployeeData[[#This Row],[Attrition]]="Yes",EmployeeData[[#This Row],[LastWorkingDate]]&lt;&gt;""),EmployeeData[[#This Row],[LastWorkingDate]],TODAY()),"Y")</f>
        <v>13</v>
      </c>
      <c r="AA771" t="str">
        <f>IF(EmployeeData[[#This Row],[MonthlyIncome]]&lt;30000,"Low",IF(EmployeeData[[#This Row],[MonthlyIncome]]&lt;=60000,"Medium",IF(EmployeeData[[#This Row],[MonthlyIncome]]&lt;=100000,"High","Very High")))</f>
        <v>Very High</v>
      </c>
      <c r="AB771">
        <f>IF(EmployeeData[[#This Row],[Attrition]]="Yes",1,0)</f>
        <v>0</v>
      </c>
      <c r="AC771" t="str">
        <f ca="1">IF(EmployeeData[[#This Row],[Tenure Years]]&lt;1,"Less than 1 Year",IF(EmployeeData[[#This Row],[Tenure Years]]&lt;=3,"1-3 Years",IF(EmployeeData[[#This Row],[Tenure Years]]&lt;=5,"4-5 Years",IF(EmployeeData[[#This Row],[Tenure Years]]&lt;=10,"6-10 Years","More than 10 Years"))))</f>
        <v>More than 10 Years</v>
      </c>
      <c r="AD771">
        <f>ROUND(AVERAGE(EmployeeData[[#This Row],[JobSatisfaction]],EmployeeData[[#This Row],[EnvironmentSatisfaction]],EmployeeData[[#This Row],[WorkLifeBalance]]),2)</f>
        <v>3</v>
      </c>
      <c r="AE771" t="str">
        <f>IF(EmployeeData[[#This Row],[Satisfaction Score]]&lt;2,"Low",IF(EmployeeData[[#This Row],[Satisfaction Score]]&lt;3,"Medium","High"))</f>
        <v>High</v>
      </c>
    </row>
    <row r="772" spans="1:31" x14ac:dyDescent="0.25">
      <c r="A772" t="s">
        <v>3601</v>
      </c>
      <c r="B772" t="s">
        <v>3602</v>
      </c>
      <c r="C772" t="s">
        <v>58</v>
      </c>
      <c r="D772">
        <v>28</v>
      </c>
      <c r="E772" t="s">
        <v>27</v>
      </c>
      <c r="F772" t="s">
        <v>59</v>
      </c>
      <c r="G772" s="1">
        <v>45575</v>
      </c>
      <c r="H772">
        <v>100359</v>
      </c>
      <c r="I772" t="s">
        <v>52</v>
      </c>
      <c r="J772" t="s">
        <v>31</v>
      </c>
      <c r="K772" t="s">
        <v>77</v>
      </c>
      <c r="L772" t="s">
        <v>43</v>
      </c>
      <c r="M772">
        <v>19</v>
      </c>
      <c r="N772" t="s">
        <v>45</v>
      </c>
      <c r="O772">
        <v>1</v>
      </c>
      <c r="P772">
        <v>1</v>
      </c>
      <c r="Q772">
        <v>1</v>
      </c>
      <c r="R772">
        <v>3</v>
      </c>
      <c r="S772">
        <v>0</v>
      </c>
      <c r="T772">
        <v>1</v>
      </c>
      <c r="U772">
        <v>16</v>
      </c>
      <c r="V772" t="s">
        <v>3604</v>
      </c>
      <c r="W772" t="s">
        <v>45</v>
      </c>
      <c r="X772" s="1">
        <v>45840</v>
      </c>
      <c r="Y772" s="2" t="str">
        <f>IF(EmployeeData[[#This Row],[Age]]&lt;25,"Under 25",IF(EmployeeData[[#This Row],[Age]]&lt;=34,"25-34",IF(EmployeeData[[#This Row],[Age]]&lt;=44,"35-44",IF(EmployeeData[[#This Row],[Age]]&lt;=54,"45-54","55+"))))</f>
        <v>25-34</v>
      </c>
      <c r="Z772">
        <f ca="1">DATEDIF(EmployeeData[[#This Row],[DateOfJoining]],IF(AND(EmployeeData[[#This Row],[Attrition]]="Yes",EmployeeData[[#This Row],[LastWorkingDate]]&lt;&gt;""),EmployeeData[[#This Row],[LastWorkingDate]],TODAY()),"Y")</f>
        <v>0</v>
      </c>
      <c r="AA772" t="str">
        <f>IF(EmployeeData[[#This Row],[MonthlyIncome]]&lt;30000,"Low",IF(EmployeeData[[#This Row],[MonthlyIncome]]&lt;=60000,"Medium",IF(EmployeeData[[#This Row],[MonthlyIncome]]&lt;=100000,"High","Very High")))</f>
        <v>Very High</v>
      </c>
      <c r="AB772">
        <f>IF(EmployeeData[[#This Row],[Attrition]]="Yes",1,0)</f>
        <v>1</v>
      </c>
      <c r="AC772" t="str">
        <f ca="1">IF(EmployeeData[[#This Row],[Tenure Years]]&lt;1,"Less than 1 Year",IF(EmployeeData[[#This Row],[Tenure Years]]&lt;=3,"1-3 Years",IF(EmployeeData[[#This Row],[Tenure Years]]&lt;=5,"4-5 Years",IF(EmployeeData[[#This Row],[Tenure Years]]&lt;=10,"6-10 Years","More than 10 Years"))))</f>
        <v>Less than 1 Year</v>
      </c>
      <c r="AD772">
        <f>ROUND(AVERAGE(EmployeeData[[#This Row],[JobSatisfaction]],EmployeeData[[#This Row],[EnvironmentSatisfaction]],EmployeeData[[#This Row],[WorkLifeBalance]]),2)</f>
        <v>1</v>
      </c>
      <c r="AE772" t="str">
        <f>IF(EmployeeData[[#This Row],[Satisfaction Score]]&lt;2,"Low",IF(EmployeeData[[#This Row],[Satisfaction Score]]&lt;3,"Medium","High"))</f>
        <v>Low</v>
      </c>
    </row>
    <row r="773" spans="1:31" x14ac:dyDescent="0.25">
      <c r="A773" t="s">
        <v>3606</v>
      </c>
      <c r="B773" t="s">
        <v>3607</v>
      </c>
      <c r="C773" t="s">
        <v>58</v>
      </c>
      <c r="D773">
        <v>30</v>
      </c>
      <c r="E773" t="s">
        <v>27</v>
      </c>
      <c r="F773" t="s">
        <v>75</v>
      </c>
      <c r="G773" s="1">
        <v>43914</v>
      </c>
      <c r="H773">
        <v>80843</v>
      </c>
      <c r="I773" t="s">
        <v>52</v>
      </c>
      <c r="J773" t="s">
        <v>31</v>
      </c>
      <c r="K773" t="s">
        <v>200</v>
      </c>
      <c r="L773" t="s">
        <v>62</v>
      </c>
      <c r="M773">
        <v>16</v>
      </c>
      <c r="N773" t="s">
        <v>34</v>
      </c>
      <c r="O773">
        <v>3</v>
      </c>
      <c r="P773">
        <v>1</v>
      </c>
      <c r="Q773">
        <v>1</v>
      </c>
      <c r="R773">
        <v>4</v>
      </c>
      <c r="S773">
        <v>6</v>
      </c>
      <c r="T773">
        <v>1</v>
      </c>
      <c r="U773">
        <v>15</v>
      </c>
      <c r="V773" t="s">
        <v>3609</v>
      </c>
      <c r="W773" t="s">
        <v>34</v>
      </c>
      <c r="Y773" s="2" t="str">
        <f>IF(EmployeeData[[#This Row],[Age]]&lt;25,"Under 25",IF(EmployeeData[[#This Row],[Age]]&lt;=34,"25-34",IF(EmployeeData[[#This Row],[Age]]&lt;=44,"35-44",IF(EmployeeData[[#This Row],[Age]]&lt;=54,"45-54","55+"))))</f>
        <v>25-34</v>
      </c>
      <c r="Z773">
        <f ca="1">DATEDIF(EmployeeData[[#This Row],[DateOfJoining]],IF(AND(EmployeeData[[#This Row],[Attrition]]="Yes",EmployeeData[[#This Row],[LastWorkingDate]]&lt;&gt;""),EmployeeData[[#This Row],[LastWorkingDate]],TODAY()),"Y")</f>
        <v>6</v>
      </c>
      <c r="AA773" t="str">
        <f>IF(EmployeeData[[#This Row],[MonthlyIncome]]&lt;30000,"Low",IF(EmployeeData[[#This Row],[MonthlyIncome]]&lt;=60000,"Medium",IF(EmployeeData[[#This Row],[MonthlyIncome]]&lt;=100000,"High","Very High")))</f>
        <v>High</v>
      </c>
      <c r="AB773">
        <f>IF(EmployeeData[[#This Row],[Attrition]]="Yes",1,0)</f>
        <v>0</v>
      </c>
      <c r="AC773" t="str">
        <f ca="1">IF(EmployeeData[[#This Row],[Tenure Years]]&lt;1,"Less than 1 Year",IF(EmployeeData[[#This Row],[Tenure Years]]&lt;=3,"1-3 Years",IF(EmployeeData[[#This Row],[Tenure Years]]&lt;=5,"4-5 Years",IF(EmployeeData[[#This Row],[Tenure Years]]&lt;=10,"6-10 Years","More than 10 Years"))))</f>
        <v>6-10 Years</v>
      </c>
      <c r="AD773">
        <f>ROUND(AVERAGE(EmployeeData[[#This Row],[JobSatisfaction]],EmployeeData[[#This Row],[EnvironmentSatisfaction]],EmployeeData[[#This Row],[WorkLifeBalance]]),2)</f>
        <v>1.67</v>
      </c>
      <c r="AE773" t="str">
        <f>IF(EmployeeData[[#This Row],[Satisfaction Score]]&lt;2,"Low",IF(EmployeeData[[#This Row],[Satisfaction Score]]&lt;3,"Medium","High"))</f>
        <v>Low</v>
      </c>
    </row>
    <row r="774" spans="1:31" x14ac:dyDescent="0.25">
      <c r="A774" t="s">
        <v>3610</v>
      </c>
      <c r="B774" t="s">
        <v>3611</v>
      </c>
      <c r="C774" t="s">
        <v>49</v>
      </c>
      <c r="D774">
        <v>37</v>
      </c>
      <c r="E774" t="s">
        <v>197</v>
      </c>
      <c r="F774" t="s">
        <v>573</v>
      </c>
      <c r="G774" s="1">
        <v>40919</v>
      </c>
      <c r="H774">
        <v>69719</v>
      </c>
      <c r="I774" t="s">
        <v>30</v>
      </c>
      <c r="J774" t="s">
        <v>31</v>
      </c>
      <c r="K774" t="s">
        <v>106</v>
      </c>
      <c r="L774" t="s">
        <v>43</v>
      </c>
      <c r="M774">
        <v>17</v>
      </c>
      <c r="N774" t="s">
        <v>34</v>
      </c>
      <c r="O774">
        <v>3</v>
      </c>
      <c r="P774">
        <v>3</v>
      </c>
      <c r="Q774">
        <v>3</v>
      </c>
      <c r="R774">
        <v>3</v>
      </c>
      <c r="S774">
        <v>0</v>
      </c>
      <c r="T774">
        <v>7</v>
      </c>
      <c r="U774">
        <v>23</v>
      </c>
      <c r="V774" t="s">
        <v>3613</v>
      </c>
      <c r="W774" t="s">
        <v>34</v>
      </c>
      <c r="Y774" s="2" t="str">
        <f>IF(EmployeeData[[#This Row],[Age]]&lt;25,"Under 25",IF(EmployeeData[[#This Row],[Age]]&lt;=34,"25-34",IF(EmployeeData[[#This Row],[Age]]&lt;=44,"35-44",IF(EmployeeData[[#This Row],[Age]]&lt;=54,"45-54","55+"))))</f>
        <v>35-44</v>
      </c>
      <c r="Z774">
        <f ca="1">DATEDIF(EmployeeData[[#This Row],[DateOfJoining]],IF(AND(EmployeeData[[#This Row],[Attrition]]="Yes",EmployeeData[[#This Row],[LastWorkingDate]]&lt;&gt;""),EmployeeData[[#This Row],[LastWorkingDate]],TODAY()),"Y")</f>
        <v>14</v>
      </c>
      <c r="AA774" t="str">
        <f>IF(EmployeeData[[#This Row],[MonthlyIncome]]&lt;30000,"Low",IF(EmployeeData[[#This Row],[MonthlyIncome]]&lt;=60000,"Medium",IF(EmployeeData[[#This Row],[MonthlyIncome]]&lt;=100000,"High","Very High")))</f>
        <v>High</v>
      </c>
      <c r="AB774">
        <f>IF(EmployeeData[[#This Row],[Attrition]]="Yes",1,0)</f>
        <v>0</v>
      </c>
      <c r="AC774" t="str">
        <f ca="1">IF(EmployeeData[[#This Row],[Tenure Years]]&lt;1,"Less than 1 Year",IF(EmployeeData[[#This Row],[Tenure Years]]&lt;=3,"1-3 Years",IF(EmployeeData[[#This Row],[Tenure Years]]&lt;=5,"4-5 Years",IF(EmployeeData[[#This Row],[Tenure Years]]&lt;=10,"6-10 Years","More than 10 Years"))))</f>
        <v>More than 10 Years</v>
      </c>
      <c r="AD774">
        <f>ROUND(AVERAGE(EmployeeData[[#This Row],[JobSatisfaction]],EmployeeData[[#This Row],[EnvironmentSatisfaction]],EmployeeData[[#This Row],[WorkLifeBalance]]),2)</f>
        <v>3</v>
      </c>
      <c r="AE774" t="str">
        <f>IF(EmployeeData[[#This Row],[Satisfaction Score]]&lt;2,"Low",IF(EmployeeData[[#This Row],[Satisfaction Score]]&lt;3,"Medium","High"))</f>
        <v>High</v>
      </c>
    </row>
    <row r="775" spans="1:31" x14ac:dyDescent="0.25">
      <c r="A775" t="s">
        <v>3614</v>
      </c>
      <c r="B775" t="s">
        <v>3615</v>
      </c>
      <c r="C775" t="s">
        <v>58</v>
      </c>
      <c r="D775">
        <v>31</v>
      </c>
      <c r="E775" t="s">
        <v>128</v>
      </c>
      <c r="F775" t="s">
        <v>123</v>
      </c>
      <c r="G775" s="1">
        <v>41520</v>
      </c>
      <c r="H775">
        <v>94246</v>
      </c>
      <c r="I775" t="s">
        <v>30</v>
      </c>
      <c r="J775" t="s">
        <v>53</v>
      </c>
      <c r="K775" t="s">
        <v>113</v>
      </c>
      <c r="L775" t="s">
        <v>5459</v>
      </c>
      <c r="M775">
        <v>16</v>
      </c>
      <c r="N775" t="s">
        <v>34</v>
      </c>
      <c r="O775">
        <v>3</v>
      </c>
      <c r="P775">
        <v>3</v>
      </c>
      <c r="Q775">
        <v>2</v>
      </c>
      <c r="R775">
        <v>3</v>
      </c>
      <c r="S775">
        <v>3</v>
      </c>
      <c r="T775">
        <v>5</v>
      </c>
      <c r="U775">
        <v>25</v>
      </c>
      <c r="V775" t="s">
        <v>3617</v>
      </c>
      <c r="W775" t="s">
        <v>34</v>
      </c>
      <c r="Y775" s="2" t="str">
        <f>IF(EmployeeData[[#This Row],[Age]]&lt;25,"Under 25",IF(EmployeeData[[#This Row],[Age]]&lt;=34,"25-34",IF(EmployeeData[[#This Row],[Age]]&lt;=44,"35-44",IF(EmployeeData[[#This Row],[Age]]&lt;=54,"45-54","55+"))))</f>
        <v>25-34</v>
      </c>
      <c r="Z775">
        <f ca="1">DATEDIF(EmployeeData[[#This Row],[DateOfJoining]],IF(AND(EmployeeData[[#This Row],[Attrition]]="Yes",EmployeeData[[#This Row],[LastWorkingDate]]&lt;&gt;""),EmployeeData[[#This Row],[LastWorkingDate]],TODAY()),"Y")</f>
        <v>13</v>
      </c>
      <c r="AA775" t="str">
        <f>IF(EmployeeData[[#This Row],[MonthlyIncome]]&lt;30000,"Low",IF(EmployeeData[[#This Row],[MonthlyIncome]]&lt;=60000,"Medium",IF(EmployeeData[[#This Row],[MonthlyIncome]]&lt;=100000,"High","Very High")))</f>
        <v>High</v>
      </c>
      <c r="AB775">
        <f>IF(EmployeeData[[#This Row],[Attrition]]="Yes",1,0)</f>
        <v>0</v>
      </c>
      <c r="AC775" t="str">
        <f ca="1">IF(EmployeeData[[#This Row],[Tenure Years]]&lt;1,"Less than 1 Year",IF(EmployeeData[[#This Row],[Tenure Years]]&lt;=3,"1-3 Years",IF(EmployeeData[[#This Row],[Tenure Years]]&lt;=5,"4-5 Years",IF(EmployeeData[[#This Row],[Tenure Years]]&lt;=10,"6-10 Years","More than 10 Years"))))</f>
        <v>More than 10 Years</v>
      </c>
      <c r="AD775">
        <f>ROUND(AVERAGE(EmployeeData[[#This Row],[JobSatisfaction]],EmployeeData[[#This Row],[EnvironmentSatisfaction]],EmployeeData[[#This Row],[WorkLifeBalance]]),2)</f>
        <v>2.67</v>
      </c>
      <c r="AE775" t="str">
        <f>IF(EmployeeData[[#This Row],[Satisfaction Score]]&lt;2,"Low",IF(EmployeeData[[#This Row],[Satisfaction Score]]&lt;3,"Medium","High"))</f>
        <v>Medium</v>
      </c>
    </row>
    <row r="776" spans="1:31" x14ac:dyDescent="0.25">
      <c r="A776" t="s">
        <v>3618</v>
      </c>
      <c r="B776" t="s">
        <v>3619</v>
      </c>
      <c r="C776" t="s">
        <v>49</v>
      </c>
      <c r="D776">
        <v>36</v>
      </c>
      <c r="E776" t="s">
        <v>128</v>
      </c>
      <c r="F776" t="s">
        <v>123</v>
      </c>
      <c r="G776" s="1">
        <v>45474</v>
      </c>
      <c r="H776">
        <v>71077</v>
      </c>
      <c r="I776" t="s">
        <v>30</v>
      </c>
      <c r="J776" t="s">
        <v>31</v>
      </c>
      <c r="K776" t="s">
        <v>98</v>
      </c>
      <c r="L776" t="s">
        <v>33</v>
      </c>
      <c r="M776">
        <v>14</v>
      </c>
      <c r="N776" t="s">
        <v>45</v>
      </c>
      <c r="O776">
        <v>2</v>
      </c>
      <c r="P776">
        <v>3</v>
      </c>
      <c r="Q776">
        <v>3</v>
      </c>
      <c r="R776">
        <v>3</v>
      </c>
      <c r="S776">
        <v>4</v>
      </c>
      <c r="T776">
        <v>2</v>
      </c>
      <c r="U776">
        <v>25</v>
      </c>
      <c r="V776" t="s">
        <v>3621</v>
      </c>
      <c r="W776" t="s">
        <v>45</v>
      </c>
      <c r="X776" s="1">
        <v>45731</v>
      </c>
      <c r="Y776" s="2" t="str">
        <f>IF(EmployeeData[[#This Row],[Age]]&lt;25,"Under 25",IF(EmployeeData[[#This Row],[Age]]&lt;=34,"25-34",IF(EmployeeData[[#This Row],[Age]]&lt;=44,"35-44",IF(EmployeeData[[#This Row],[Age]]&lt;=54,"45-54","55+"))))</f>
        <v>35-44</v>
      </c>
      <c r="Z776">
        <f ca="1">DATEDIF(EmployeeData[[#This Row],[DateOfJoining]],IF(AND(EmployeeData[[#This Row],[Attrition]]="Yes",EmployeeData[[#This Row],[LastWorkingDate]]&lt;&gt;""),EmployeeData[[#This Row],[LastWorkingDate]],TODAY()),"Y")</f>
        <v>0</v>
      </c>
      <c r="AA776" t="str">
        <f>IF(EmployeeData[[#This Row],[MonthlyIncome]]&lt;30000,"Low",IF(EmployeeData[[#This Row],[MonthlyIncome]]&lt;=60000,"Medium",IF(EmployeeData[[#This Row],[MonthlyIncome]]&lt;=100000,"High","Very High")))</f>
        <v>High</v>
      </c>
      <c r="AB776">
        <f>IF(EmployeeData[[#This Row],[Attrition]]="Yes",1,0)</f>
        <v>1</v>
      </c>
      <c r="AC776" t="str">
        <f ca="1">IF(EmployeeData[[#This Row],[Tenure Years]]&lt;1,"Less than 1 Year",IF(EmployeeData[[#This Row],[Tenure Years]]&lt;=3,"1-3 Years",IF(EmployeeData[[#This Row],[Tenure Years]]&lt;=5,"4-5 Years",IF(EmployeeData[[#This Row],[Tenure Years]]&lt;=10,"6-10 Years","More than 10 Years"))))</f>
        <v>Less than 1 Year</v>
      </c>
      <c r="AD776">
        <f>ROUND(AVERAGE(EmployeeData[[#This Row],[JobSatisfaction]],EmployeeData[[#This Row],[EnvironmentSatisfaction]],EmployeeData[[#This Row],[WorkLifeBalance]]),2)</f>
        <v>2.67</v>
      </c>
      <c r="AE776" t="str">
        <f>IF(EmployeeData[[#This Row],[Satisfaction Score]]&lt;2,"Low",IF(EmployeeData[[#This Row],[Satisfaction Score]]&lt;3,"Medium","High"))</f>
        <v>Medium</v>
      </c>
    </row>
    <row r="777" spans="1:31" x14ac:dyDescent="0.25">
      <c r="A777" t="s">
        <v>3623</v>
      </c>
      <c r="B777" t="s">
        <v>3624</v>
      </c>
      <c r="C777" t="s">
        <v>58</v>
      </c>
      <c r="D777">
        <v>38</v>
      </c>
      <c r="E777" t="s">
        <v>27</v>
      </c>
      <c r="F777" t="s">
        <v>75</v>
      </c>
      <c r="G777" s="1">
        <v>41208</v>
      </c>
      <c r="H777">
        <v>96056</v>
      </c>
      <c r="I777" t="s">
        <v>52</v>
      </c>
      <c r="J777" t="s">
        <v>31</v>
      </c>
      <c r="K777" t="s">
        <v>167</v>
      </c>
      <c r="L777" t="s">
        <v>43</v>
      </c>
      <c r="M777">
        <v>14</v>
      </c>
      <c r="N777" t="s">
        <v>34</v>
      </c>
      <c r="O777">
        <v>1</v>
      </c>
      <c r="P777">
        <v>3</v>
      </c>
      <c r="Q777">
        <v>4</v>
      </c>
      <c r="R777">
        <v>1</v>
      </c>
      <c r="S777">
        <v>3</v>
      </c>
      <c r="T777">
        <v>4</v>
      </c>
      <c r="U777">
        <v>24</v>
      </c>
      <c r="V777" t="s">
        <v>3626</v>
      </c>
      <c r="W777" t="s">
        <v>34</v>
      </c>
      <c r="Y777" s="2" t="str">
        <f>IF(EmployeeData[[#This Row],[Age]]&lt;25,"Under 25",IF(EmployeeData[[#This Row],[Age]]&lt;=34,"25-34",IF(EmployeeData[[#This Row],[Age]]&lt;=44,"35-44",IF(EmployeeData[[#This Row],[Age]]&lt;=54,"45-54","55+"))))</f>
        <v>35-44</v>
      </c>
      <c r="Z777">
        <f ca="1">DATEDIF(EmployeeData[[#This Row],[DateOfJoining]],IF(AND(EmployeeData[[#This Row],[Attrition]]="Yes",EmployeeData[[#This Row],[LastWorkingDate]]&lt;&gt;""),EmployeeData[[#This Row],[LastWorkingDate]],TODAY()),"Y")</f>
        <v>13</v>
      </c>
      <c r="AA777" t="str">
        <f>IF(EmployeeData[[#This Row],[MonthlyIncome]]&lt;30000,"Low",IF(EmployeeData[[#This Row],[MonthlyIncome]]&lt;=60000,"Medium",IF(EmployeeData[[#This Row],[MonthlyIncome]]&lt;=100000,"High","Very High")))</f>
        <v>High</v>
      </c>
      <c r="AB777">
        <f>IF(EmployeeData[[#This Row],[Attrition]]="Yes",1,0)</f>
        <v>0</v>
      </c>
      <c r="AC777" t="str">
        <f ca="1">IF(EmployeeData[[#This Row],[Tenure Years]]&lt;1,"Less than 1 Year",IF(EmployeeData[[#This Row],[Tenure Years]]&lt;=3,"1-3 Years",IF(EmployeeData[[#This Row],[Tenure Years]]&lt;=5,"4-5 Years",IF(EmployeeData[[#This Row],[Tenure Years]]&lt;=10,"6-10 Years","More than 10 Years"))))</f>
        <v>More than 10 Years</v>
      </c>
      <c r="AD777">
        <f>ROUND(AVERAGE(EmployeeData[[#This Row],[JobSatisfaction]],EmployeeData[[#This Row],[EnvironmentSatisfaction]],EmployeeData[[#This Row],[WorkLifeBalance]]),2)</f>
        <v>2.67</v>
      </c>
      <c r="AE777" t="str">
        <f>IF(EmployeeData[[#This Row],[Satisfaction Score]]&lt;2,"Low",IF(EmployeeData[[#This Row],[Satisfaction Score]]&lt;3,"Medium","High"))</f>
        <v>Medium</v>
      </c>
    </row>
    <row r="778" spans="1:31" x14ac:dyDescent="0.25">
      <c r="A778" t="s">
        <v>3627</v>
      </c>
      <c r="B778" t="s">
        <v>3628</v>
      </c>
      <c r="C778" t="s">
        <v>49</v>
      </c>
      <c r="D778">
        <v>43</v>
      </c>
      <c r="E778" t="s">
        <v>128</v>
      </c>
      <c r="F778" t="s">
        <v>271</v>
      </c>
      <c r="G778" s="1">
        <v>42031</v>
      </c>
      <c r="H778">
        <v>80214</v>
      </c>
      <c r="I778" t="s">
        <v>42</v>
      </c>
      <c r="J778" t="s">
        <v>31</v>
      </c>
      <c r="K778" t="s">
        <v>113</v>
      </c>
      <c r="L778" t="s">
        <v>62</v>
      </c>
      <c r="M778">
        <v>38</v>
      </c>
      <c r="N778" t="s">
        <v>45</v>
      </c>
      <c r="O778">
        <v>3</v>
      </c>
      <c r="P778">
        <v>1</v>
      </c>
      <c r="Q778">
        <v>2</v>
      </c>
      <c r="R778">
        <v>1</v>
      </c>
      <c r="S778">
        <v>2</v>
      </c>
      <c r="T778">
        <v>3</v>
      </c>
      <c r="U778">
        <v>18</v>
      </c>
      <c r="V778" t="s">
        <v>3630</v>
      </c>
      <c r="W778" t="s">
        <v>45</v>
      </c>
      <c r="X778" s="1">
        <v>43466</v>
      </c>
      <c r="Y778" s="2" t="str">
        <f>IF(EmployeeData[[#This Row],[Age]]&lt;25,"Under 25",IF(EmployeeData[[#This Row],[Age]]&lt;=34,"25-34",IF(EmployeeData[[#This Row],[Age]]&lt;=44,"35-44",IF(EmployeeData[[#This Row],[Age]]&lt;=54,"45-54","55+"))))</f>
        <v>35-44</v>
      </c>
      <c r="Z778">
        <f ca="1">DATEDIF(EmployeeData[[#This Row],[DateOfJoining]],IF(AND(EmployeeData[[#This Row],[Attrition]]="Yes",EmployeeData[[#This Row],[LastWorkingDate]]&lt;&gt;""),EmployeeData[[#This Row],[LastWorkingDate]],TODAY()),"Y")</f>
        <v>3</v>
      </c>
      <c r="AA778" t="str">
        <f>IF(EmployeeData[[#This Row],[MonthlyIncome]]&lt;30000,"Low",IF(EmployeeData[[#This Row],[MonthlyIncome]]&lt;=60000,"Medium",IF(EmployeeData[[#This Row],[MonthlyIncome]]&lt;=100000,"High","Very High")))</f>
        <v>High</v>
      </c>
      <c r="AB778">
        <f>IF(EmployeeData[[#This Row],[Attrition]]="Yes",1,0)</f>
        <v>1</v>
      </c>
      <c r="AC778" t="str">
        <f ca="1">IF(EmployeeData[[#This Row],[Tenure Years]]&lt;1,"Less than 1 Year",IF(EmployeeData[[#This Row],[Tenure Years]]&lt;=3,"1-3 Years",IF(EmployeeData[[#This Row],[Tenure Years]]&lt;=5,"4-5 Years",IF(EmployeeData[[#This Row],[Tenure Years]]&lt;=10,"6-10 Years","More than 10 Years"))))</f>
        <v>1-3 Years</v>
      </c>
      <c r="AD778">
        <f>ROUND(AVERAGE(EmployeeData[[#This Row],[JobSatisfaction]],EmployeeData[[#This Row],[EnvironmentSatisfaction]],EmployeeData[[#This Row],[WorkLifeBalance]]),2)</f>
        <v>2</v>
      </c>
      <c r="AE778" t="str">
        <f>IF(EmployeeData[[#This Row],[Satisfaction Score]]&lt;2,"Low",IF(EmployeeData[[#This Row],[Satisfaction Score]]&lt;3,"Medium","High"))</f>
        <v>Medium</v>
      </c>
    </row>
    <row r="779" spans="1:31" x14ac:dyDescent="0.25">
      <c r="A779" t="s">
        <v>3632</v>
      </c>
      <c r="B779" t="s">
        <v>3633</v>
      </c>
      <c r="C779" t="s">
        <v>49</v>
      </c>
      <c r="D779">
        <v>35</v>
      </c>
      <c r="E779" t="s">
        <v>5461</v>
      </c>
      <c r="F779" t="s">
        <v>5459</v>
      </c>
      <c r="G779" s="1">
        <v>43240</v>
      </c>
      <c r="H779">
        <v>104837</v>
      </c>
      <c r="I779" t="s">
        <v>42</v>
      </c>
      <c r="J779" t="s">
        <v>31</v>
      </c>
      <c r="K779" t="s">
        <v>83</v>
      </c>
      <c r="L779" t="s">
        <v>33</v>
      </c>
      <c r="M779">
        <v>29</v>
      </c>
      <c r="N779" t="s">
        <v>34</v>
      </c>
      <c r="O779">
        <v>3</v>
      </c>
      <c r="P779">
        <v>1</v>
      </c>
      <c r="Q779">
        <v>1</v>
      </c>
      <c r="R779">
        <v>3</v>
      </c>
      <c r="S779">
        <v>6</v>
      </c>
      <c r="T779">
        <v>2</v>
      </c>
      <c r="U779">
        <v>18</v>
      </c>
      <c r="V779" t="s">
        <v>3636</v>
      </c>
      <c r="W779" t="s">
        <v>45</v>
      </c>
      <c r="X779" s="1">
        <v>44579</v>
      </c>
      <c r="Y779" s="2" t="str">
        <f>IF(EmployeeData[[#This Row],[Age]]&lt;25,"Under 25",IF(EmployeeData[[#This Row],[Age]]&lt;=34,"25-34",IF(EmployeeData[[#This Row],[Age]]&lt;=44,"35-44",IF(EmployeeData[[#This Row],[Age]]&lt;=54,"45-54","55+"))))</f>
        <v>35-44</v>
      </c>
      <c r="Z779">
        <f ca="1">DATEDIF(EmployeeData[[#This Row],[DateOfJoining]],IF(AND(EmployeeData[[#This Row],[Attrition]]="Yes",EmployeeData[[#This Row],[LastWorkingDate]]&lt;&gt;""),EmployeeData[[#This Row],[LastWorkingDate]],TODAY()),"Y")</f>
        <v>3</v>
      </c>
      <c r="AA779" t="str">
        <f>IF(EmployeeData[[#This Row],[MonthlyIncome]]&lt;30000,"Low",IF(EmployeeData[[#This Row],[MonthlyIncome]]&lt;=60000,"Medium",IF(EmployeeData[[#This Row],[MonthlyIncome]]&lt;=100000,"High","Very High")))</f>
        <v>Very High</v>
      </c>
      <c r="AB779">
        <f>IF(EmployeeData[[#This Row],[Attrition]]="Yes",1,0)</f>
        <v>1</v>
      </c>
      <c r="AC779" t="str">
        <f ca="1">IF(EmployeeData[[#This Row],[Tenure Years]]&lt;1,"Less than 1 Year",IF(EmployeeData[[#This Row],[Tenure Years]]&lt;=3,"1-3 Years",IF(EmployeeData[[#This Row],[Tenure Years]]&lt;=5,"4-5 Years",IF(EmployeeData[[#This Row],[Tenure Years]]&lt;=10,"6-10 Years","More than 10 Years"))))</f>
        <v>1-3 Years</v>
      </c>
      <c r="AD779">
        <f>ROUND(AVERAGE(EmployeeData[[#This Row],[JobSatisfaction]],EmployeeData[[#This Row],[EnvironmentSatisfaction]],EmployeeData[[#This Row],[WorkLifeBalance]]),2)</f>
        <v>1.67</v>
      </c>
      <c r="AE779" t="str">
        <f>IF(EmployeeData[[#This Row],[Satisfaction Score]]&lt;2,"Low",IF(EmployeeData[[#This Row],[Satisfaction Score]]&lt;3,"Medium","High"))</f>
        <v>Low</v>
      </c>
    </row>
    <row r="780" spans="1:31" x14ac:dyDescent="0.25">
      <c r="A780" t="s">
        <v>3638</v>
      </c>
      <c r="B780" t="s">
        <v>3639</v>
      </c>
      <c r="C780" t="s">
        <v>49</v>
      </c>
      <c r="D780">
        <v>34</v>
      </c>
      <c r="E780" t="s">
        <v>38</v>
      </c>
      <c r="F780" t="s">
        <v>5465</v>
      </c>
      <c r="G780" s="1">
        <v>42303</v>
      </c>
      <c r="H780">
        <v>80380</v>
      </c>
      <c r="I780" t="s">
        <v>30</v>
      </c>
      <c r="J780" t="s">
        <v>61</v>
      </c>
      <c r="K780" t="s">
        <v>106</v>
      </c>
      <c r="L780" t="s">
        <v>62</v>
      </c>
      <c r="M780">
        <v>11</v>
      </c>
      <c r="N780" t="s">
        <v>34</v>
      </c>
      <c r="O780">
        <v>3</v>
      </c>
      <c r="P780">
        <v>2</v>
      </c>
      <c r="Q780">
        <v>4</v>
      </c>
      <c r="R780">
        <v>5</v>
      </c>
      <c r="S780">
        <v>0</v>
      </c>
      <c r="T780">
        <v>5</v>
      </c>
      <c r="U780">
        <v>18</v>
      </c>
      <c r="V780" t="s">
        <v>3642</v>
      </c>
      <c r="W780" t="s">
        <v>34</v>
      </c>
      <c r="Y780" s="2" t="str">
        <f>IF(EmployeeData[[#This Row],[Age]]&lt;25,"Under 25",IF(EmployeeData[[#This Row],[Age]]&lt;=34,"25-34",IF(EmployeeData[[#This Row],[Age]]&lt;=44,"35-44",IF(EmployeeData[[#This Row],[Age]]&lt;=54,"45-54","55+"))))</f>
        <v>25-34</v>
      </c>
      <c r="Z780">
        <f ca="1">DATEDIF(EmployeeData[[#This Row],[DateOfJoining]],IF(AND(EmployeeData[[#This Row],[Attrition]]="Yes",EmployeeData[[#This Row],[LastWorkingDate]]&lt;&gt;""),EmployeeData[[#This Row],[LastWorkingDate]],TODAY()),"Y")</f>
        <v>10</v>
      </c>
      <c r="AA780" t="str">
        <f>IF(EmployeeData[[#This Row],[MonthlyIncome]]&lt;30000,"Low",IF(EmployeeData[[#This Row],[MonthlyIncome]]&lt;=60000,"Medium",IF(EmployeeData[[#This Row],[MonthlyIncome]]&lt;=100000,"High","Very High")))</f>
        <v>High</v>
      </c>
      <c r="AB780">
        <f>IF(EmployeeData[[#This Row],[Attrition]]="Yes",1,0)</f>
        <v>0</v>
      </c>
      <c r="AC780" t="str">
        <f ca="1">IF(EmployeeData[[#This Row],[Tenure Years]]&lt;1,"Less than 1 Year",IF(EmployeeData[[#This Row],[Tenure Years]]&lt;=3,"1-3 Years",IF(EmployeeData[[#This Row],[Tenure Years]]&lt;=5,"4-5 Years",IF(EmployeeData[[#This Row],[Tenure Years]]&lt;=10,"6-10 Years","More than 10 Years"))))</f>
        <v>6-10 Years</v>
      </c>
      <c r="AD780">
        <f>ROUND(AVERAGE(EmployeeData[[#This Row],[JobSatisfaction]],EmployeeData[[#This Row],[EnvironmentSatisfaction]],EmployeeData[[#This Row],[WorkLifeBalance]]),2)</f>
        <v>3</v>
      </c>
      <c r="AE780" t="str">
        <f>IF(EmployeeData[[#This Row],[Satisfaction Score]]&lt;2,"Low",IF(EmployeeData[[#This Row],[Satisfaction Score]]&lt;3,"Medium","High"))</f>
        <v>High</v>
      </c>
    </row>
    <row r="781" spans="1:31" x14ac:dyDescent="0.25">
      <c r="A781" t="s">
        <v>3643</v>
      </c>
      <c r="B781" t="s">
        <v>3644</v>
      </c>
      <c r="C781" t="s">
        <v>58</v>
      </c>
      <c r="D781">
        <v>51</v>
      </c>
      <c r="E781" t="s">
        <v>5459</v>
      </c>
      <c r="F781" t="s">
        <v>5464</v>
      </c>
      <c r="G781" s="1">
        <v>40939</v>
      </c>
      <c r="H781">
        <v>135222</v>
      </c>
      <c r="I781" t="s">
        <v>52</v>
      </c>
      <c r="J781" t="s">
        <v>31</v>
      </c>
      <c r="K781" t="s">
        <v>106</v>
      </c>
      <c r="L781" t="s">
        <v>62</v>
      </c>
      <c r="M781">
        <v>43</v>
      </c>
      <c r="N781" t="s">
        <v>34</v>
      </c>
      <c r="O781">
        <v>2</v>
      </c>
      <c r="P781">
        <v>3</v>
      </c>
      <c r="Q781">
        <v>2</v>
      </c>
      <c r="R781">
        <v>1</v>
      </c>
      <c r="S781">
        <v>6</v>
      </c>
      <c r="T781">
        <v>6</v>
      </c>
      <c r="U781">
        <v>25</v>
      </c>
      <c r="V781" t="s">
        <v>3647</v>
      </c>
      <c r="W781" t="s">
        <v>34</v>
      </c>
      <c r="Y781" s="2" t="str">
        <f>IF(EmployeeData[[#This Row],[Age]]&lt;25,"Under 25",IF(EmployeeData[[#This Row],[Age]]&lt;=34,"25-34",IF(EmployeeData[[#This Row],[Age]]&lt;=44,"35-44",IF(EmployeeData[[#This Row],[Age]]&lt;=54,"45-54","55+"))))</f>
        <v>45-54</v>
      </c>
      <c r="Z781">
        <f ca="1">DATEDIF(EmployeeData[[#This Row],[DateOfJoining]],IF(AND(EmployeeData[[#This Row],[Attrition]]="Yes",EmployeeData[[#This Row],[LastWorkingDate]]&lt;&gt;""),EmployeeData[[#This Row],[LastWorkingDate]],TODAY()),"Y")</f>
        <v>14</v>
      </c>
      <c r="AA781" t="str">
        <f>IF(EmployeeData[[#This Row],[MonthlyIncome]]&lt;30000,"Low",IF(EmployeeData[[#This Row],[MonthlyIncome]]&lt;=60000,"Medium",IF(EmployeeData[[#This Row],[MonthlyIncome]]&lt;=100000,"High","Very High")))</f>
        <v>Very High</v>
      </c>
      <c r="AB781">
        <f>IF(EmployeeData[[#This Row],[Attrition]]="Yes",1,0)</f>
        <v>0</v>
      </c>
      <c r="AC781" t="str">
        <f ca="1">IF(EmployeeData[[#This Row],[Tenure Years]]&lt;1,"Less than 1 Year",IF(EmployeeData[[#This Row],[Tenure Years]]&lt;=3,"1-3 Years",IF(EmployeeData[[#This Row],[Tenure Years]]&lt;=5,"4-5 Years",IF(EmployeeData[[#This Row],[Tenure Years]]&lt;=10,"6-10 Years","More than 10 Years"))))</f>
        <v>More than 10 Years</v>
      </c>
      <c r="AD781">
        <f>ROUND(AVERAGE(EmployeeData[[#This Row],[JobSatisfaction]],EmployeeData[[#This Row],[EnvironmentSatisfaction]],EmployeeData[[#This Row],[WorkLifeBalance]]),2)</f>
        <v>2.33</v>
      </c>
      <c r="AE781" t="str">
        <f>IF(EmployeeData[[#This Row],[Satisfaction Score]]&lt;2,"Low",IF(EmployeeData[[#This Row],[Satisfaction Score]]&lt;3,"Medium","High"))</f>
        <v>Medium</v>
      </c>
    </row>
    <row r="782" spans="1:31" x14ac:dyDescent="0.25">
      <c r="A782" t="s">
        <v>3648</v>
      </c>
      <c r="B782" t="s">
        <v>3649</v>
      </c>
      <c r="C782" t="s">
        <v>49</v>
      </c>
      <c r="D782">
        <v>27</v>
      </c>
      <c r="E782" t="s">
        <v>128</v>
      </c>
      <c r="F782" t="s">
        <v>123</v>
      </c>
      <c r="G782" s="1">
        <v>44632</v>
      </c>
      <c r="H782">
        <v>87769</v>
      </c>
      <c r="I782" t="s">
        <v>30</v>
      </c>
      <c r="J782" t="s">
        <v>5459</v>
      </c>
      <c r="K782" t="s">
        <v>32</v>
      </c>
      <c r="L782" t="s">
        <v>62</v>
      </c>
      <c r="M782">
        <v>5</v>
      </c>
      <c r="N782" t="s">
        <v>45</v>
      </c>
      <c r="O782">
        <v>1</v>
      </c>
      <c r="P782">
        <v>1</v>
      </c>
      <c r="Q782">
        <v>3</v>
      </c>
      <c r="R782">
        <v>4</v>
      </c>
      <c r="S782">
        <v>1</v>
      </c>
      <c r="T782">
        <v>0</v>
      </c>
      <c r="U782">
        <v>11</v>
      </c>
      <c r="V782" t="s">
        <v>3651</v>
      </c>
      <c r="W782" t="s">
        <v>45</v>
      </c>
      <c r="X782" s="1">
        <v>45344</v>
      </c>
      <c r="Y782" s="2" t="str">
        <f>IF(EmployeeData[[#This Row],[Age]]&lt;25,"Under 25",IF(EmployeeData[[#This Row],[Age]]&lt;=34,"25-34",IF(EmployeeData[[#This Row],[Age]]&lt;=44,"35-44",IF(EmployeeData[[#This Row],[Age]]&lt;=54,"45-54","55+"))))</f>
        <v>25-34</v>
      </c>
      <c r="Z782">
        <f ca="1">DATEDIF(EmployeeData[[#This Row],[DateOfJoining]],IF(AND(EmployeeData[[#This Row],[Attrition]]="Yes",EmployeeData[[#This Row],[LastWorkingDate]]&lt;&gt;""),EmployeeData[[#This Row],[LastWorkingDate]],TODAY()),"Y")</f>
        <v>1</v>
      </c>
      <c r="AA782" t="str">
        <f>IF(EmployeeData[[#This Row],[MonthlyIncome]]&lt;30000,"Low",IF(EmployeeData[[#This Row],[MonthlyIncome]]&lt;=60000,"Medium",IF(EmployeeData[[#This Row],[MonthlyIncome]]&lt;=100000,"High","Very High")))</f>
        <v>High</v>
      </c>
      <c r="AB782">
        <f>IF(EmployeeData[[#This Row],[Attrition]]="Yes",1,0)</f>
        <v>1</v>
      </c>
      <c r="AC782" t="str">
        <f ca="1">IF(EmployeeData[[#This Row],[Tenure Years]]&lt;1,"Less than 1 Year",IF(EmployeeData[[#This Row],[Tenure Years]]&lt;=3,"1-3 Years",IF(EmployeeData[[#This Row],[Tenure Years]]&lt;=5,"4-5 Years",IF(EmployeeData[[#This Row],[Tenure Years]]&lt;=10,"6-10 Years","More than 10 Years"))))</f>
        <v>1-3 Years</v>
      </c>
      <c r="AD782">
        <f>ROUND(AVERAGE(EmployeeData[[#This Row],[JobSatisfaction]],EmployeeData[[#This Row],[EnvironmentSatisfaction]],EmployeeData[[#This Row],[WorkLifeBalance]]),2)</f>
        <v>1.67</v>
      </c>
      <c r="AE782" t="str">
        <f>IF(EmployeeData[[#This Row],[Satisfaction Score]]&lt;2,"Low",IF(EmployeeData[[#This Row],[Satisfaction Score]]&lt;3,"Medium","High"))</f>
        <v>Low</v>
      </c>
    </row>
    <row r="783" spans="1:31" x14ac:dyDescent="0.25">
      <c r="A783" t="s">
        <v>3653</v>
      </c>
      <c r="B783" t="s">
        <v>3654</v>
      </c>
      <c r="C783" t="s">
        <v>49</v>
      </c>
      <c r="D783">
        <v>29</v>
      </c>
      <c r="E783" t="s">
        <v>128</v>
      </c>
      <c r="F783" t="s">
        <v>123</v>
      </c>
      <c r="G783" s="1">
        <v>45142</v>
      </c>
      <c r="H783">
        <v>86196</v>
      </c>
      <c r="I783" t="s">
        <v>42</v>
      </c>
      <c r="J783" t="s">
        <v>31</v>
      </c>
      <c r="K783" t="s">
        <v>167</v>
      </c>
      <c r="L783" t="s">
        <v>43</v>
      </c>
      <c r="M783">
        <v>23</v>
      </c>
      <c r="N783" t="s">
        <v>34</v>
      </c>
      <c r="O783">
        <v>2</v>
      </c>
      <c r="P783">
        <v>4</v>
      </c>
      <c r="Q783">
        <v>2</v>
      </c>
      <c r="R783">
        <v>4</v>
      </c>
      <c r="S783">
        <v>2</v>
      </c>
      <c r="T783">
        <v>7</v>
      </c>
      <c r="U783">
        <v>18</v>
      </c>
      <c r="V783" t="s">
        <v>3657</v>
      </c>
      <c r="W783" t="s">
        <v>34</v>
      </c>
      <c r="Y783" s="2" t="str">
        <f>IF(EmployeeData[[#This Row],[Age]]&lt;25,"Under 25",IF(EmployeeData[[#This Row],[Age]]&lt;=34,"25-34",IF(EmployeeData[[#This Row],[Age]]&lt;=44,"35-44",IF(EmployeeData[[#This Row],[Age]]&lt;=54,"45-54","55+"))))</f>
        <v>25-34</v>
      </c>
      <c r="Z783">
        <f ca="1">DATEDIF(EmployeeData[[#This Row],[DateOfJoining]],IF(AND(EmployeeData[[#This Row],[Attrition]]="Yes",EmployeeData[[#This Row],[LastWorkingDate]]&lt;&gt;""),EmployeeData[[#This Row],[LastWorkingDate]],TODAY()),"Y")</f>
        <v>3</v>
      </c>
      <c r="AA783" t="str">
        <f>IF(EmployeeData[[#This Row],[MonthlyIncome]]&lt;30000,"Low",IF(EmployeeData[[#This Row],[MonthlyIncome]]&lt;=60000,"Medium",IF(EmployeeData[[#This Row],[MonthlyIncome]]&lt;=100000,"High","Very High")))</f>
        <v>High</v>
      </c>
      <c r="AB783">
        <f>IF(EmployeeData[[#This Row],[Attrition]]="Yes",1,0)</f>
        <v>0</v>
      </c>
      <c r="AC783" t="str">
        <f ca="1">IF(EmployeeData[[#This Row],[Tenure Years]]&lt;1,"Less than 1 Year",IF(EmployeeData[[#This Row],[Tenure Years]]&lt;=3,"1-3 Years",IF(EmployeeData[[#This Row],[Tenure Years]]&lt;=5,"4-5 Years",IF(EmployeeData[[#This Row],[Tenure Years]]&lt;=10,"6-10 Years","More than 10 Years"))))</f>
        <v>1-3 Years</v>
      </c>
      <c r="AD783">
        <f>ROUND(AVERAGE(EmployeeData[[#This Row],[JobSatisfaction]],EmployeeData[[#This Row],[EnvironmentSatisfaction]],EmployeeData[[#This Row],[WorkLifeBalance]]),2)</f>
        <v>2.67</v>
      </c>
      <c r="AE783" t="str">
        <f>IF(EmployeeData[[#This Row],[Satisfaction Score]]&lt;2,"Low",IF(EmployeeData[[#This Row],[Satisfaction Score]]&lt;3,"Medium","High"))</f>
        <v>Medium</v>
      </c>
    </row>
    <row r="784" spans="1:31" x14ac:dyDescent="0.25">
      <c r="A784" t="s">
        <v>3658</v>
      </c>
      <c r="B784" t="s">
        <v>3659</v>
      </c>
      <c r="C784" t="s">
        <v>58</v>
      </c>
      <c r="D784">
        <v>35</v>
      </c>
      <c r="E784" t="s">
        <v>27</v>
      </c>
      <c r="F784" t="s">
        <v>50</v>
      </c>
      <c r="G784" s="1">
        <v>44237</v>
      </c>
      <c r="H784">
        <v>69267</v>
      </c>
      <c r="I784" t="s">
        <v>52</v>
      </c>
      <c r="J784" t="s">
        <v>31</v>
      </c>
      <c r="K784" t="s">
        <v>200</v>
      </c>
      <c r="L784" t="s">
        <v>43</v>
      </c>
      <c r="M784">
        <v>38</v>
      </c>
      <c r="N784" t="s">
        <v>34</v>
      </c>
      <c r="O784">
        <v>1</v>
      </c>
      <c r="P784">
        <v>4</v>
      </c>
      <c r="Q784">
        <v>2</v>
      </c>
      <c r="R784">
        <v>4</v>
      </c>
      <c r="S784">
        <v>6</v>
      </c>
      <c r="T784">
        <v>6</v>
      </c>
      <c r="U784">
        <v>20</v>
      </c>
      <c r="V784" t="s">
        <v>3661</v>
      </c>
      <c r="W784" t="s">
        <v>45</v>
      </c>
      <c r="X784" s="1">
        <v>44727</v>
      </c>
      <c r="Y784" s="2" t="str">
        <f>IF(EmployeeData[[#This Row],[Age]]&lt;25,"Under 25",IF(EmployeeData[[#This Row],[Age]]&lt;=34,"25-34",IF(EmployeeData[[#This Row],[Age]]&lt;=44,"35-44",IF(EmployeeData[[#This Row],[Age]]&lt;=54,"45-54","55+"))))</f>
        <v>35-44</v>
      </c>
      <c r="Z784">
        <f ca="1">DATEDIF(EmployeeData[[#This Row],[DateOfJoining]],IF(AND(EmployeeData[[#This Row],[Attrition]]="Yes",EmployeeData[[#This Row],[LastWorkingDate]]&lt;&gt;""),EmployeeData[[#This Row],[LastWorkingDate]],TODAY()),"Y")</f>
        <v>1</v>
      </c>
      <c r="AA784" t="str">
        <f>IF(EmployeeData[[#This Row],[MonthlyIncome]]&lt;30000,"Low",IF(EmployeeData[[#This Row],[MonthlyIncome]]&lt;=60000,"Medium",IF(EmployeeData[[#This Row],[MonthlyIncome]]&lt;=100000,"High","Very High")))</f>
        <v>High</v>
      </c>
      <c r="AB784">
        <f>IF(EmployeeData[[#This Row],[Attrition]]="Yes",1,0)</f>
        <v>1</v>
      </c>
      <c r="AC784" t="str">
        <f ca="1">IF(EmployeeData[[#This Row],[Tenure Years]]&lt;1,"Less than 1 Year",IF(EmployeeData[[#This Row],[Tenure Years]]&lt;=3,"1-3 Years",IF(EmployeeData[[#This Row],[Tenure Years]]&lt;=5,"4-5 Years",IF(EmployeeData[[#This Row],[Tenure Years]]&lt;=10,"6-10 Years","More than 10 Years"))))</f>
        <v>1-3 Years</v>
      </c>
      <c r="AD784">
        <f>ROUND(AVERAGE(EmployeeData[[#This Row],[JobSatisfaction]],EmployeeData[[#This Row],[EnvironmentSatisfaction]],EmployeeData[[#This Row],[WorkLifeBalance]]),2)</f>
        <v>2.33</v>
      </c>
      <c r="AE784" t="str">
        <f>IF(EmployeeData[[#This Row],[Satisfaction Score]]&lt;2,"Low",IF(EmployeeData[[#This Row],[Satisfaction Score]]&lt;3,"Medium","High"))</f>
        <v>Medium</v>
      </c>
    </row>
    <row r="785" spans="1:31" x14ac:dyDescent="0.25">
      <c r="A785" t="s">
        <v>3663</v>
      </c>
      <c r="B785" t="s">
        <v>3664</v>
      </c>
      <c r="C785" t="s">
        <v>49</v>
      </c>
      <c r="D785">
        <v>36</v>
      </c>
      <c r="E785" t="s">
        <v>27</v>
      </c>
      <c r="F785" t="s">
        <v>188</v>
      </c>
      <c r="G785" s="1">
        <v>41101</v>
      </c>
      <c r="H785">
        <v>55367</v>
      </c>
      <c r="I785" t="s">
        <v>52</v>
      </c>
      <c r="J785" t="s">
        <v>31</v>
      </c>
      <c r="K785" t="s">
        <v>113</v>
      </c>
      <c r="L785" t="s">
        <v>33</v>
      </c>
      <c r="M785">
        <v>28</v>
      </c>
      <c r="N785" t="s">
        <v>45</v>
      </c>
      <c r="O785">
        <v>4</v>
      </c>
      <c r="P785">
        <v>4</v>
      </c>
      <c r="Q785">
        <v>1</v>
      </c>
      <c r="R785">
        <v>4</v>
      </c>
      <c r="S785">
        <v>3</v>
      </c>
      <c r="T785">
        <v>0</v>
      </c>
      <c r="U785">
        <v>17</v>
      </c>
      <c r="V785" t="s">
        <v>3666</v>
      </c>
      <c r="W785" t="s">
        <v>45</v>
      </c>
      <c r="X785" s="1">
        <v>41546</v>
      </c>
      <c r="Y785" s="2" t="str">
        <f>IF(EmployeeData[[#This Row],[Age]]&lt;25,"Under 25",IF(EmployeeData[[#This Row],[Age]]&lt;=34,"25-34",IF(EmployeeData[[#This Row],[Age]]&lt;=44,"35-44",IF(EmployeeData[[#This Row],[Age]]&lt;=54,"45-54","55+"))))</f>
        <v>35-44</v>
      </c>
      <c r="Z785">
        <f ca="1">DATEDIF(EmployeeData[[#This Row],[DateOfJoining]],IF(AND(EmployeeData[[#This Row],[Attrition]]="Yes",EmployeeData[[#This Row],[LastWorkingDate]]&lt;&gt;""),EmployeeData[[#This Row],[LastWorkingDate]],TODAY()),"Y")</f>
        <v>1</v>
      </c>
      <c r="AA785" t="str">
        <f>IF(EmployeeData[[#This Row],[MonthlyIncome]]&lt;30000,"Low",IF(EmployeeData[[#This Row],[MonthlyIncome]]&lt;=60000,"Medium",IF(EmployeeData[[#This Row],[MonthlyIncome]]&lt;=100000,"High","Very High")))</f>
        <v>Medium</v>
      </c>
      <c r="AB785">
        <f>IF(EmployeeData[[#This Row],[Attrition]]="Yes",1,0)</f>
        <v>1</v>
      </c>
      <c r="AC785" t="str">
        <f ca="1">IF(EmployeeData[[#This Row],[Tenure Years]]&lt;1,"Less than 1 Year",IF(EmployeeData[[#This Row],[Tenure Years]]&lt;=3,"1-3 Years",IF(EmployeeData[[#This Row],[Tenure Years]]&lt;=5,"4-5 Years",IF(EmployeeData[[#This Row],[Tenure Years]]&lt;=10,"6-10 Years","More than 10 Years"))))</f>
        <v>1-3 Years</v>
      </c>
      <c r="AD785">
        <f>ROUND(AVERAGE(EmployeeData[[#This Row],[JobSatisfaction]],EmployeeData[[#This Row],[EnvironmentSatisfaction]],EmployeeData[[#This Row],[WorkLifeBalance]]),2)</f>
        <v>3</v>
      </c>
      <c r="AE785" t="str">
        <f>IF(EmployeeData[[#This Row],[Satisfaction Score]]&lt;2,"Low",IF(EmployeeData[[#This Row],[Satisfaction Score]]&lt;3,"Medium","High"))</f>
        <v>High</v>
      </c>
    </row>
    <row r="786" spans="1:31" x14ac:dyDescent="0.25">
      <c r="A786" t="s">
        <v>3668</v>
      </c>
      <c r="B786" t="s">
        <v>3669</v>
      </c>
      <c r="C786" t="s">
        <v>58</v>
      </c>
      <c r="D786">
        <v>36</v>
      </c>
      <c r="E786" t="s">
        <v>197</v>
      </c>
      <c r="F786" t="s">
        <v>573</v>
      </c>
      <c r="G786" s="1">
        <v>44531</v>
      </c>
      <c r="H786">
        <v>69003</v>
      </c>
      <c r="I786" t="s">
        <v>42</v>
      </c>
      <c r="J786" t="s">
        <v>97</v>
      </c>
      <c r="K786" t="s">
        <v>113</v>
      </c>
      <c r="L786" t="s">
        <v>33</v>
      </c>
      <c r="M786">
        <v>12</v>
      </c>
      <c r="N786" t="s">
        <v>45</v>
      </c>
      <c r="O786">
        <v>3</v>
      </c>
      <c r="P786">
        <v>1</v>
      </c>
      <c r="Q786">
        <v>1</v>
      </c>
      <c r="R786">
        <v>3</v>
      </c>
      <c r="S786">
        <v>2</v>
      </c>
      <c r="T786">
        <v>6</v>
      </c>
      <c r="U786">
        <v>22</v>
      </c>
      <c r="V786" t="s">
        <v>3672</v>
      </c>
      <c r="W786" t="s">
        <v>34</v>
      </c>
      <c r="Y786" s="2" t="str">
        <f>IF(EmployeeData[[#This Row],[Age]]&lt;25,"Under 25",IF(EmployeeData[[#This Row],[Age]]&lt;=34,"25-34",IF(EmployeeData[[#This Row],[Age]]&lt;=44,"35-44",IF(EmployeeData[[#This Row],[Age]]&lt;=54,"45-54","55+"))))</f>
        <v>35-44</v>
      </c>
      <c r="Z786">
        <f ca="1">DATEDIF(EmployeeData[[#This Row],[DateOfJoining]],IF(AND(EmployeeData[[#This Row],[Attrition]]="Yes",EmployeeData[[#This Row],[LastWorkingDate]]&lt;&gt;""),EmployeeData[[#This Row],[LastWorkingDate]],TODAY()),"Y")</f>
        <v>4</v>
      </c>
      <c r="AA786" t="str">
        <f>IF(EmployeeData[[#This Row],[MonthlyIncome]]&lt;30000,"Low",IF(EmployeeData[[#This Row],[MonthlyIncome]]&lt;=60000,"Medium",IF(EmployeeData[[#This Row],[MonthlyIncome]]&lt;=100000,"High","Very High")))</f>
        <v>High</v>
      </c>
      <c r="AB786">
        <f>IF(EmployeeData[[#This Row],[Attrition]]="Yes",1,0)</f>
        <v>0</v>
      </c>
      <c r="AC786" t="str">
        <f ca="1">IF(EmployeeData[[#This Row],[Tenure Years]]&lt;1,"Less than 1 Year",IF(EmployeeData[[#This Row],[Tenure Years]]&lt;=3,"1-3 Years",IF(EmployeeData[[#This Row],[Tenure Years]]&lt;=5,"4-5 Years",IF(EmployeeData[[#This Row],[Tenure Years]]&lt;=10,"6-10 Years","More than 10 Years"))))</f>
        <v>4-5 Years</v>
      </c>
      <c r="AD786">
        <f>ROUND(AVERAGE(EmployeeData[[#This Row],[JobSatisfaction]],EmployeeData[[#This Row],[EnvironmentSatisfaction]],EmployeeData[[#This Row],[WorkLifeBalance]]),2)</f>
        <v>1.67</v>
      </c>
      <c r="AE786" t="str">
        <f>IF(EmployeeData[[#This Row],[Satisfaction Score]]&lt;2,"Low",IF(EmployeeData[[#This Row],[Satisfaction Score]]&lt;3,"Medium","High"))</f>
        <v>Low</v>
      </c>
    </row>
    <row r="787" spans="1:31" x14ac:dyDescent="0.25">
      <c r="A787" t="s">
        <v>3673</v>
      </c>
      <c r="B787" t="s">
        <v>3674</v>
      </c>
      <c r="C787" t="s">
        <v>49</v>
      </c>
      <c r="D787">
        <v>27</v>
      </c>
      <c r="E787" t="s">
        <v>94</v>
      </c>
      <c r="F787" t="s">
        <v>356</v>
      </c>
      <c r="G787" s="1">
        <v>45172</v>
      </c>
      <c r="H787">
        <v>115727</v>
      </c>
      <c r="I787" t="s">
        <v>42</v>
      </c>
      <c r="J787" t="s">
        <v>31</v>
      </c>
      <c r="K787" t="s">
        <v>167</v>
      </c>
      <c r="L787" t="s">
        <v>43</v>
      </c>
      <c r="M787">
        <v>28</v>
      </c>
      <c r="N787" t="s">
        <v>45</v>
      </c>
      <c r="O787">
        <v>2</v>
      </c>
      <c r="P787">
        <v>4</v>
      </c>
      <c r="Q787">
        <v>3</v>
      </c>
      <c r="R787">
        <v>4</v>
      </c>
      <c r="S787">
        <v>3</v>
      </c>
      <c r="T787">
        <v>4</v>
      </c>
      <c r="U787">
        <v>22</v>
      </c>
      <c r="V787" t="s">
        <v>3676</v>
      </c>
      <c r="W787" t="s">
        <v>45</v>
      </c>
      <c r="X787" s="1">
        <v>46100</v>
      </c>
      <c r="Y787" s="2" t="str">
        <f>IF(EmployeeData[[#This Row],[Age]]&lt;25,"Under 25",IF(EmployeeData[[#This Row],[Age]]&lt;=34,"25-34",IF(EmployeeData[[#This Row],[Age]]&lt;=44,"35-44",IF(EmployeeData[[#This Row],[Age]]&lt;=54,"45-54","55+"))))</f>
        <v>25-34</v>
      </c>
      <c r="Z787">
        <f ca="1">DATEDIF(EmployeeData[[#This Row],[DateOfJoining]],IF(AND(EmployeeData[[#This Row],[Attrition]]="Yes",EmployeeData[[#This Row],[LastWorkingDate]]&lt;&gt;""),EmployeeData[[#This Row],[LastWorkingDate]],TODAY()),"Y")</f>
        <v>2</v>
      </c>
      <c r="AA787" t="str">
        <f>IF(EmployeeData[[#This Row],[MonthlyIncome]]&lt;30000,"Low",IF(EmployeeData[[#This Row],[MonthlyIncome]]&lt;=60000,"Medium",IF(EmployeeData[[#This Row],[MonthlyIncome]]&lt;=100000,"High","Very High")))</f>
        <v>Very High</v>
      </c>
      <c r="AB787">
        <f>IF(EmployeeData[[#This Row],[Attrition]]="Yes",1,0)</f>
        <v>1</v>
      </c>
      <c r="AC787" t="str">
        <f ca="1">IF(EmployeeData[[#This Row],[Tenure Years]]&lt;1,"Less than 1 Year",IF(EmployeeData[[#This Row],[Tenure Years]]&lt;=3,"1-3 Years",IF(EmployeeData[[#This Row],[Tenure Years]]&lt;=5,"4-5 Years",IF(EmployeeData[[#This Row],[Tenure Years]]&lt;=10,"6-10 Years","More than 10 Years"))))</f>
        <v>1-3 Years</v>
      </c>
      <c r="AD787">
        <f>ROUND(AVERAGE(EmployeeData[[#This Row],[JobSatisfaction]],EmployeeData[[#This Row],[EnvironmentSatisfaction]],EmployeeData[[#This Row],[WorkLifeBalance]]),2)</f>
        <v>3</v>
      </c>
      <c r="AE787" t="str">
        <f>IF(EmployeeData[[#This Row],[Satisfaction Score]]&lt;2,"Low",IF(EmployeeData[[#This Row],[Satisfaction Score]]&lt;3,"Medium","High"))</f>
        <v>High</v>
      </c>
    </row>
    <row r="788" spans="1:31" x14ac:dyDescent="0.25">
      <c r="A788" t="s">
        <v>3678</v>
      </c>
      <c r="B788" t="s">
        <v>3679</v>
      </c>
      <c r="C788" t="s">
        <v>58</v>
      </c>
      <c r="D788">
        <v>23</v>
      </c>
      <c r="E788" t="s">
        <v>197</v>
      </c>
      <c r="F788" t="s">
        <v>323</v>
      </c>
      <c r="G788" s="1">
        <v>45371</v>
      </c>
      <c r="H788">
        <v>90591</v>
      </c>
      <c r="I788" t="s">
        <v>52</v>
      </c>
      <c r="J788" t="s">
        <v>143</v>
      </c>
      <c r="K788" t="s">
        <v>77</v>
      </c>
      <c r="L788" t="s">
        <v>43</v>
      </c>
      <c r="M788">
        <v>8</v>
      </c>
      <c r="N788" t="s">
        <v>34</v>
      </c>
      <c r="O788">
        <v>3</v>
      </c>
      <c r="P788">
        <v>2</v>
      </c>
      <c r="Q788">
        <v>3</v>
      </c>
      <c r="R788">
        <v>3</v>
      </c>
      <c r="S788">
        <v>0</v>
      </c>
      <c r="T788">
        <v>6</v>
      </c>
      <c r="U788">
        <v>13</v>
      </c>
      <c r="V788" t="s">
        <v>3681</v>
      </c>
      <c r="W788" t="s">
        <v>34</v>
      </c>
      <c r="Y788" s="2" t="str">
        <f>IF(EmployeeData[[#This Row],[Age]]&lt;25,"Under 25",IF(EmployeeData[[#This Row],[Age]]&lt;=34,"25-34",IF(EmployeeData[[#This Row],[Age]]&lt;=44,"35-44",IF(EmployeeData[[#This Row],[Age]]&lt;=54,"45-54","55+"))))</f>
        <v>Under 25</v>
      </c>
      <c r="Z788">
        <f ca="1">DATEDIF(EmployeeData[[#This Row],[DateOfJoining]],IF(AND(EmployeeData[[#This Row],[Attrition]]="Yes",EmployeeData[[#This Row],[LastWorkingDate]]&lt;&gt;""),EmployeeData[[#This Row],[LastWorkingDate]],TODAY()),"Y")</f>
        <v>2</v>
      </c>
      <c r="AA788" t="str">
        <f>IF(EmployeeData[[#This Row],[MonthlyIncome]]&lt;30000,"Low",IF(EmployeeData[[#This Row],[MonthlyIncome]]&lt;=60000,"Medium",IF(EmployeeData[[#This Row],[MonthlyIncome]]&lt;=100000,"High","Very High")))</f>
        <v>High</v>
      </c>
      <c r="AB788">
        <f>IF(EmployeeData[[#This Row],[Attrition]]="Yes",1,0)</f>
        <v>0</v>
      </c>
      <c r="AC788" t="str">
        <f ca="1">IF(EmployeeData[[#This Row],[Tenure Years]]&lt;1,"Less than 1 Year",IF(EmployeeData[[#This Row],[Tenure Years]]&lt;=3,"1-3 Years",IF(EmployeeData[[#This Row],[Tenure Years]]&lt;=5,"4-5 Years",IF(EmployeeData[[#This Row],[Tenure Years]]&lt;=10,"6-10 Years","More than 10 Years"))))</f>
        <v>1-3 Years</v>
      </c>
      <c r="AD788">
        <f>ROUND(AVERAGE(EmployeeData[[#This Row],[JobSatisfaction]],EmployeeData[[#This Row],[EnvironmentSatisfaction]],EmployeeData[[#This Row],[WorkLifeBalance]]),2)</f>
        <v>2.67</v>
      </c>
      <c r="AE788" t="str">
        <f>IF(EmployeeData[[#This Row],[Satisfaction Score]]&lt;2,"Low",IF(EmployeeData[[#This Row],[Satisfaction Score]]&lt;3,"Medium","High"))</f>
        <v>Medium</v>
      </c>
    </row>
    <row r="789" spans="1:31" x14ac:dyDescent="0.25">
      <c r="A789" t="s">
        <v>3682</v>
      </c>
      <c r="B789" t="s">
        <v>3683</v>
      </c>
      <c r="C789" t="s">
        <v>58</v>
      </c>
      <c r="D789">
        <v>38</v>
      </c>
      <c r="E789" t="s">
        <v>5461</v>
      </c>
      <c r="F789" t="s">
        <v>483</v>
      </c>
      <c r="G789" s="1">
        <v>43972</v>
      </c>
      <c r="H789">
        <v>125687</v>
      </c>
      <c r="I789" t="s">
        <v>30</v>
      </c>
      <c r="J789" t="s">
        <v>61</v>
      </c>
      <c r="K789" t="s">
        <v>131</v>
      </c>
      <c r="L789" t="s">
        <v>5459</v>
      </c>
      <c r="M789">
        <v>22</v>
      </c>
      <c r="N789" t="s">
        <v>34</v>
      </c>
      <c r="O789">
        <v>4</v>
      </c>
      <c r="P789">
        <v>4</v>
      </c>
      <c r="Q789">
        <v>1</v>
      </c>
      <c r="R789">
        <v>2</v>
      </c>
      <c r="S789">
        <v>3</v>
      </c>
      <c r="T789">
        <v>4</v>
      </c>
      <c r="U789">
        <v>20</v>
      </c>
      <c r="V789" t="s">
        <v>3685</v>
      </c>
      <c r="W789" t="s">
        <v>34</v>
      </c>
      <c r="Y789" s="2" t="str">
        <f>IF(EmployeeData[[#This Row],[Age]]&lt;25,"Under 25",IF(EmployeeData[[#This Row],[Age]]&lt;=34,"25-34",IF(EmployeeData[[#This Row],[Age]]&lt;=44,"35-44",IF(EmployeeData[[#This Row],[Age]]&lt;=54,"45-54","55+"))))</f>
        <v>35-44</v>
      </c>
      <c r="Z789">
        <f ca="1">DATEDIF(EmployeeData[[#This Row],[DateOfJoining]],IF(AND(EmployeeData[[#This Row],[Attrition]]="Yes",EmployeeData[[#This Row],[LastWorkingDate]]&lt;&gt;""),EmployeeData[[#This Row],[LastWorkingDate]],TODAY()),"Y")</f>
        <v>6</v>
      </c>
      <c r="AA789" t="str">
        <f>IF(EmployeeData[[#This Row],[MonthlyIncome]]&lt;30000,"Low",IF(EmployeeData[[#This Row],[MonthlyIncome]]&lt;=60000,"Medium",IF(EmployeeData[[#This Row],[MonthlyIncome]]&lt;=100000,"High","Very High")))</f>
        <v>Very High</v>
      </c>
      <c r="AB789">
        <f>IF(EmployeeData[[#This Row],[Attrition]]="Yes",1,0)</f>
        <v>0</v>
      </c>
      <c r="AC789" t="str">
        <f ca="1">IF(EmployeeData[[#This Row],[Tenure Years]]&lt;1,"Less than 1 Year",IF(EmployeeData[[#This Row],[Tenure Years]]&lt;=3,"1-3 Years",IF(EmployeeData[[#This Row],[Tenure Years]]&lt;=5,"4-5 Years",IF(EmployeeData[[#This Row],[Tenure Years]]&lt;=10,"6-10 Years","More than 10 Years"))))</f>
        <v>6-10 Years</v>
      </c>
      <c r="AD789">
        <f>ROUND(AVERAGE(EmployeeData[[#This Row],[JobSatisfaction]],EmployeeData[[#This Row],[EnvironmentSatisfaction]],EmployeeData[[#This Row],[WorkLifeBalance]]),2)</f>
        <v>3</v>
      </c>
      <c r="AE789" t="str">
        <f>IF(EmployeeData[[#This Row],[Satisfaction Score]]&lt;2,"Low",IF(EmployeeData[[#This Row],[Satisfaction Score]]&lt;3,"Medium","High"))</f>
        <v>High</v>
      </c>
    </row>
    <row r="790" spans="1:31" x14ac:dyDescent="0.25">
      <c r="A790" t="s">
        <v>3686</v>
      </c>
      <c r="B790" t="s">
        <v>3687</v>
      </c>
      <c r="C790" t="s">
        <v>49</v>
      </c>
      <c r="D790">
        <v>37</v>
      </c>
      <c r="E790" t="s">
        <v>38</v>
      </c>
      <c r="F790" t="s">
        <v>792</v>
      </c>
      <c r="G790" s="1">
        <v>44985</v>
      </c>
      <c r="H790">
        <v>65380</v>
      </c>
      <c r="I790" t="s">
        <v>52</v>
      </c>
      <c r="J790" t="s">
        <v>31</v>
      </c>
      <c r="K790" t="s">
        <v>77</v>
      </c>
      <c r="L790" t="s">
        <v>62</v>
      </c>
      <c r="M790">
        <v>27</v>
      </c>
      <c r="N790" t="s">
        <v>34</v>
      </c>
      <c r="O790">
        <v>3</v>
      </c>
      <c r="P790">
        <v>1</v>
      </c>
      <c r="Q790">
        <v>3</v>
      </c>
      <c r="R790">
        <v>5</v>
      </c>
      <c r="S790">
        <v>0</v>
      </c>
      <c r="T790">
        <v>6</v>
      </c>
      <c r="U790">
        <v>18</v>
      </c>
      <c r="V790" t="s">
        <v>3689</v>
      </c>
      <c r="W790" t="s">
        <v>34</v>
      </c>
      <c r="Y790" s="2" t="str">
        <f>IF(EmployeeData[[#This Row],[Age]]&lt;25,"Under 25",IF(EmployeeData[[#This Row],[Age]]&lt;=34,"25-34",IF(EmployeeData[[#This Row],[Age]]&lt;=44,"35-44",IF(EmployeeData[[#This Row],[Age]]&lt;=54,"45-54","55+"))))</f>
        <v>35-44</v>
      </c>
      <c r="Z790">
        <f ca="1">DATEDIF(EmployeeData[[#This Row],[DateOfJoining]],IF(AND(EmployeeData[[#This Row],[Attrition]]="Yes",EmployeeData[[#This Row],[LastWorkingDate]]&lt;&gt;""),EmployeeData[[#This Row],[LastWorkingDate]],TODAY()),"Y")</f>
        <v>3</v>
      </c>
      <c r="AA790" t="str">
        <f>IF(EmployeeData[[#This Row],[MonthlyIncome]]&lt;30000,"Low",IF(EmployeeData[[#This Row],[MonthlyIncome]]&lt;=60000,"Medium",IF(EmployeeData[[#This Row],[MonthlyIncome]]&lt;=100000,"High","Very High")))</f>
        <v>High</v>
      </c>
      <c r="AB790">
        <f>IF(EmployeeData[[#This Row],[Attrition]]="Yes",1,0)</f>
        <v>0</v>
      </c>
      <c r="AC790" t="str">
        <f ca="1">IF(EmployeeData[[#This Row],[Tenure Years]]&lt;1,"Less than 1 Year",IF(EmployeeData[[#This Row],[Tenure Years]]&lt;=3,"1-3 Years",IF(EmployeeData[[#This Row],[Tenure Years]]&lt;=5,"4-5 Years",IF(EmployeeData[[#This Row],[Tenure Years]]&lt;=10,"6-10 Years","More than 10 Years"))))</f>
        <v>1-3 Years</v>
      </c>
      <c r="AD790">
        <f>ROUND(AVERAGE(EmployeeData[[#This Row],[JobSatisfaction]],EmployeeData[[#This Row],[EnvironmentSatisfaction]],EmployeeData[[#This Row],[WorkLifeBalance]]),2)</f>
        <v>2.33</v>
      </c>
      <c r="AE790" t="str">
        <f>IF(EmployeeData[[#This Row],[Satisfaction Score]]&lt;2,"Low",IF(EmployeeData[[#This Row],[Satisfaction Score]]&lt;3,"Medium","High"))</f>
        <v>Medium</v>
      </c>
    </row>
    <row r="791" spans="1:31" x14ac:dyDescent="0.25">
      <c r="A791" t="s">
        <v>3690</v>
      </c>
      <c r="B791" t="s">
        <v>3691</v>
      </c>
      <c r="C791" t="s">
        <v>58</v>
      </c>
      <c r="D791">
        <v>32</v>
      </c>
      <c r="E791" t="s">
        <v>412</v>
      </c>
      <c r="F791" t="s">
        <v>828</v>
      </c>
      <c r="G791" s="1">
        <v>43698</v>
      </c>
      <c r="H791">
        <v>94963</v>
      </c>
      <c r="I791" t="s">
        <v>52</v>
      </c>
      <c r="J791" t="s">
        <v>53</v>
      </c>
      <c r="K791" t="s">
        <v>200</v>
      </c>
      <c r="L791" t="s">
        <v>62</v>
      </c>
      <c r="M791">
        <v>9</v>
      </c>
      <c r="N791" t="s">
        <v>34</v>
      </c>
      <c r="O791">
        <v>1</v>
      </c>
      <c r="P791">
        <v>3</v>
      </c>
      <c r="Q791">
        <v>2</v>
      </c>
      <c r="R791">
        <v>2</v>
      </c>
      <c r="S791">
        <v>6</v>
      </c>
      <c r="T791">
        <v>4</v>
      </c>
      <c r="U791">
        <v>23</v>
      </c>
      <c r="V791" t="s">
        <v>3693</v>
      </c>
      <c r="W791" t="s">
        <v>34</v>
      </c>
      <c r="Y791" s="2" t="str">
        <f>IF(EmployeeData[[#This Row],[Age]]&lt;25,"Under 25",IF(EmployeeData[[#This Row],[Age]]&lt;=34,"25-34",IF(EmployeeData[[#This Row],[Age]]&lt;=44,"35-44",IF(EmployeeData[[#This Row],[Age]]&lt;=54,"45-54","55+"))))</f>
        <v>25-34</v>
      </c>
      <c r="Z791">
        <f ca="1">DATEDIF(EmployeeData[[#This Row],[DateOfJoining]],IF(AND(EmployeeData[[#This Row],[Attrition]]="Yes",EmployeeData[[#This Row],[LastWorkingDate]]&lt;&gt;""),EmployeeData[[#This Row],[LastWorkingDate]],TODAY()),"Y")</f>
        <v>7</v>
      </c>
      <c r="AA791" t="str">
        <f>IF(EmployeeData[[#This Row],[MonthlyIncome]]&lt;30000,"Low",IF(EmployeeData[[#This Row],[MonthlyIncome]]&lt;=60000,"Medium",IF(EmployeeData[[#This Row],[MonthlyIncome]]&lt;=100000,"High","Very High")))</f>
        <v>High</v>
      </c>
      <c r="AB791">
        <f>IF(EmployeeData[[#This Row],[Attrition]]="Yes",1,0)</f>
        <v>0</v>
      </c>
      <c r="AC791" t="str">
        <f ca="1">IF(EmployeeData[[#This Row],[Tenure Years]]&lt;1,"Less than 1 Year",IF(EmployeeData[[#This Row],[Tenure Years]]&lt;=3,"1-3 Years",IF(EmployeeData[[#This Row],[Tenure Years]]&lt;=5,"4-5 Years",IF(EmployeeData[[#This Row],[Tenure Years]]&lt;=10,"6-10 Years","More than 10 Years"))))</f>
        <v>6-10 Years</v>
      </c>
      <c r="AD791">
        <f>ROUND(AVERAGE(EmployeeData[[#This Row],[JobSatisfaction]],EmployeeData[[#This Row],[EnvironmentSatisfaction]],EmployeeData[[#This Row],[WorkLifeBalance]]),2)</f>
        <v>2</v>
      </c>
      <c r="AE791" t="str">
        <f>IF(EmployeeData[[#This Row],[Satisfaction Score]]&lt;2,"Low",IF(EmployeeData[[#This Row],[Satisfaction Score]]&lt;3,"Medium","High"))</f>
        <v>Medium</v>
      </c>
    </row>
    <row r="792" spans="1:31" x14ac:dyDescent="0.25">
      <c r="A792" t="s">
        <v>3694</v>
      </c>
      <c r="B792" t="s">
        <v>3695</v>
      </c>
      <c r="C792" t="s">
        <v>58</v>
      </c>
      <c r="D792">
        <v>20</v>
      </c>
      <c r="E792" t="s">
        <v>27</v>
      </c>
      <c r="F792" t="s">
        <v>75</v>
      </c>
      <c r="G792" s="1">
        <v>45541</v>
      </c>
      <c r="H792">
        <v>107950</v>
      </c>
      <c r="I792" t="s">
        <v>30</v>
      </c>
      <c r="J792" t="s">
        <v>31</v>
      </c>
      <c r="K792" t="s">
        <v>200</v>
      </c>
      <c r="L792" t="s">
        <v>43</v>
      </c>
      <c r="M792">
        <v>18</v>
      </c>
      <c r="N792" t="s">
        <v>45</v>
      </c>
      <c r="O792">
        <v>3</v>
      </c>
      <c r="P792">
        <v>2</v>
      </c>
      <c r="Q792">
        <v>2</v>
      </c>
      <c r="R792">
        <v>4</v>
      </c>
      <c r="S792">
        <v>1</v>
      </c>
      <c r="T792">
        <v>2</v>
      </c>
      <c r="U792">
        <v>20</v>
      </c>
      <c r="V792" t="s">
        <v>3697</v>
      </c>
      <c r="W792" t="s">
        <v>45</v>
      </c>
      <c r="X792" s="1">
        <v>45956</v>
      </c>
      <c r="Y792" s="2" t="str">
        <f>IF(EmployeeData[[#This Row],[Age]]&lt;25,"Under 25",IF(EmployeeData[[#This Row],[Age]]&lt;=34,"25-34",IF(EmployeeData[[#This Row],[Age]]&lt;=44,"35-44",IF(EmployeeData[[#This Row],[Age]]&lt;=54,"45-54","55+"))))</f>
        <v>Under 25</v>
      </c>
      <c r="Z792">
        <f ca="1">DATEDIF(EmployeeData[[#This Row],[DateOfJoining]],IF(AND(EmployeeData[[#This Row],[Attrition]]="Yes",EmployeeData[[#This Row],[LastWorkingDate]]&lt;&gt;""),EmployeeData[[#This Row],[LastWorkingDate]],TODAY()),"Y")</f>
        <v>1</v>
      </c>
      <c r="AA792" t="str">
        <f>IF(EmployeeData[[#This Row],[MonthlyIncome]]&lt;30000,"Low",IF(EmployeeData[[#This Row],[MonthlyIncome]]&lt;=60000,"Medium",IF(EmployeeData[[#This Row],[MonthlyIncome]]&lt;=100000,"High","Very High")))</f>
        <v>Very High</v>
      </c>
      <c r="AB792">
        <f>IF(EmployeeData[[#This Row],[Attrition]]="Yes",1,0)</f>
        <v>1</v>
      </c>
      <c r="AC792" t="str">
        <f ca="1">IF(EmployeeData[[#This Row],[Tenure Years]]&lt;1,"Less than 1 Year",IF(EmployeeData[[#This Row],[Tenure Years]]&lt;=3,"1-3 Years",IF(EmployeeData[[#This Row],[Tenure Years]]&lt;=5,"4-5 Years",IF(EmployeeData[[#This Row],[Tenure Years]]&lt;=10,"6-10 Years","More than 10 Years"))))</f>
        <v>1-3 Years</v>
      </c>
      <c r="AD792">
        <f>ROUND(AVERAGE(EmployeeData[[#This Row],[JobSatisfaction]],EmployeeData[[#This Row],[EnvironmentSatisfaction]],EmployeeData[[#This Row],[WorkLifeBalance]]),2)</f>
        <v>2.33</v>
      </c>
      <c r="AE792" t="str">
        <f>IF(EmployeeData[[#This Row],[Satisfaction Score]]&lt;2,"Low",IF(EmployeeData[[#This Row],[Satisfaction Score]]&lt;3,"Medium","High"))</f>
        <v>Medium</v>
      </c>
    </row>
    <row r="793" spans="1:31" x14ac:dyDescent="0.25">
      <c r="A793" t="s">
        <v>3699</v>
      </c>
      <c r="B793" t="s">
        <v>3700</v>
      </c>
      <c r="C793" t="s">
        <v>49</v>
      </c>
      <c r="D793">
        <v>19</v>
      </c>
      <c r="E793" t="s">
        <v>5461</v>
      </c>
      <c r="F793" t="s">
        <v>261</v>
      </c>
      <c r="G793" s="1">
        <v>45662</v>
      </c>
      <c r="H793">
        <v>80835</v>
      </c>
      <c r="I793" t="s">
        <v>30</v>
      </c>
      <c r="J793" t="s">
        <v>53</v>
      </c>
      <c r="K793" t="s">
        <v>113</v>
      </c>
      <c r="L793" t="s">
        <v>43</v>
      </c>
      <c r="M793">
        <v>26</v>
      </c>
      <c r="N793" t="s">
        <v>45</v>
      </c>
      <c r="O793">
        <v>2</v>
      </c>
      <c r="P793">
        <v>3</v>
      </c>
      <c r="Q793">
        <v>4</v>
      </c>
      <c r="R793">
        <v>1</v>
      </c>
      <c r="S793">
        <v>3</v>
      </c>
      <c r="T793">
        <v>4</v>
      </c>
      <c r="U793">
        <v>21</v>
      </c>
      <c r="V793" t="s">
        <v>3703</v>
      </c>
      <c r="W793" t="s">
        <v>45</v>
      </c>
      <c r="X793" s="1">
        <v>46172</v>
      </c>
      <c r="Y793" s="2" t="str">
        <f>IF(EmployeeData[[#This Row],[Age]]&lt;25,"Under 25",IF(EmployeeData[[#This Row],[Age]]&lt;=34,"25-34",IF(EmployeeData[[#This Row],[Age]]&lt;=44,"35-44",IF(EmployeeData[[#This Row],[Age]]&lt;=54,"45-54","55+"))))</f>
        <v>Under 25</v>
      </c>
      <c r="Z793">
        <f ca="1">DATEDIF(EmployeeData[[#This Row],[DateOfJoining]],IF(AND(EmployeeData[[#This Row],[Attrition]]="Yes",EmployeeData[[#This Row],[LastWorkingDate]]&lt;&gt;""),EmployeeData[[#This Row],[LastWorkingDate]],TODAY()),"Y")</f>
        <v>1</v>
      </c>
      <c r="AA793" t="str">
        <f>IF(EmployeeData[[#This Row],[MonthlyIncome]]&lt;30000,"Low",IF(EmployeeData[[#This Row],[MonthlyIncome]]&lt;=60000,"Medium",IF(EmployeeData[[#This Row],[MonthlyIncome]]&lt;=100000,"High","Very High")))</f>
        <v>High</v>
      </c>
      <c r="AB793">
        <f>IF(EmployeeData[[#This Row],[Attrition]]="Yes",1,0)</f>
        <v>1</v>
      </c>
      <c r="AC793" t="str">
        <f ca="1">IF(EmployeeData[[#This Row],[Tenure Years]]&lt;1,"Less than 1 Year",IF(EmployeeData[[#This Row],[Tenure Years]]&lt;=3,"1-3 Years",IF(EmployeeData[[#This Row],[Tenure Years]]&lt;=5,"4-5 Years",IF(EmployeeData[[#This Row],[Tenure Years]]&lt;=10,"6-10 Years","More than 10 Years"))))</f>
        <v>1-3 Years</v>
      </c>
      <c r="AD793">
        <f>ROUND(AVERAGE(EmployeeData[[#This Row],[JobSatisfaction]],EmployeeData[[#This Row],[EnvironmentSatisfaction]],EmployeeData[[#This Row],[WorkLifeBalance]]),2)</f>
        <v>3</v>
      </c>
      <c r="AE793" t="str">
        <f>IF(EmployeeData[[#This Row],[Satisfaction Score]]&lt;2,"Low",IF(EmployeeData[[#This Row],[Satisfaction Score]]&lt;3,"Medium","High"))</f>
        <v>High</v>
      </c>
    </row>
    <row r="794" spans="1:31" x14ac:dyDescent="0.25">
      <c r="A794" t="s">
        <v>3705</v>
      </c>
      <c r="B794" t="s">
        <v>3706</v>
      </c>
      <c r="C794" t="s">
        <v>58</v>
      </c>
      <c r="D794">
        <v>35</v>
      </c>
      <c r="E794" t="s">
        <v>197</v>
      </c>
      <c r="F794" t="s">
        <v>235</v>
      </c>
      <c r="G794" s="1">
        <v>42411</v>
      </c>
      <c r="H794">
        <v>82866</v>
      </c>
      <c r="I794" t="s">
        <v>42</v>
      </c>
      <c r="J794" t="s">
        <v>61</v>
      </c>
      <c r="K794" t="s">
        <v>106</v>
      </c>
      <c r="L794" t="s">
        <v>43</v>
      </c>
      <c r="M794">
        <v>12</v>
      </c>
      <c r="N794" t="s">
        <v>34</v>
      </c>
      <c r="O794">
        <v>4</v>
      </c>
      <c r="P794">
        <v>2</v>
      </c>
      <c r="Q794">
        <v>3</v>
      </c>
      <c r="R794">
        <v>2</v>
      </c>
      <c r="S794">
        <v>3</v>
      </c>
      <c r="T794">
        <v>7</v>
      </c>
      <c r="U794">
        <v>15</v>
      </c>
      <c r="V794" t="s">
        <v>3709</v>
      </c>
      <c r="W794" t="s">
        <v>34</v>
      </c>
      <c r="Y794" s="2" t="str">
        <f>IF(EmployeeData[[#This Row],[Age]]&lt;25,"Under 25",IF(EmployeeData[[#This Row],[Age]]&lt;=34,"25-34",IF(EmployeeData[[#This Row],[Age]]&lt;=44,"35-44",IF(EmployeeData[[#This Row],[Age]]&lt;=54,"45-54","55+"))))</f>
        <v>35-44</v>
      </c>
      <c r="Z794">
        <f ca="1">DATEDIF(EmployeeData[[#This Row],[DateOfJoining]],IF(AND(EmployeeData[[#This Row],[Attrition]]="Yes",EmployeeData[[#This Row],[LastWorkingDate]]&lt;&gt;""),EmployeeData[[#This Row],[LastWorkingDate]],TODAY()),"Y")</f>
        <v>10</v>
      </c>
      <c r="AA794" t="str">
        <f>IF(EmployeeData[[#This Row],[MonthlyIncome]]&lt;30000,"Low",IF(EmployeeData[[#This Row],[MonthlyIncome]]&lt;=60000,"Medium",IF(EmployeeData[[#This Row],[MonthlyIncome]]&lt;=100000,"High","Very High")))</f>
        <v>High</v>
      </c>
      <c r="AB794">
        <f>IF(EmployeeData[[#This Row],[Attrition]]="Yes",1,0)</f>
        <v>0</v>
      </c>
      <c r="AC794" t="str">
        <f ca="1">IF(EmployeeData[[#This Row],[Tenure Years]]&lt;1,"Less than 1 Year",IF(EmployeeData[[#This Row],[Tenure Years]]&lt;=3,"1-3 Years",IF(EmployeeData[[#This Row],[Tenure Years]]&lt;=5,"4-5 Years",IF(EmployeeData[[#This Row],[Tenure Years]]&lt;=10,"6-10 Years","More than 10 Years"))))</f>
        <v>6-10 Years</v>
      </c>
      <c r="AD794">
        <f>ROUND(AVERAGE(EmployeeData[[#This Row],[JobSatisfaction]],EmployeeData[[#This Row],[EnvironmentSatisfaction]],EmployeeData[[#This Row],[WorkLifeBalance]]),2)</f>
        <v>3</v>
      </c>
      <c r="AE794" t="str">
        <f>IF(EmployeeData[[#This Row],[Satisfaction Score]]&lt;2,"Low",IF(EmployeeData[[#This Row],[Satisfaction Score]]&lt;3,"Medium","High"))</f>
        <v>High</v>
      </c>
    </row>
    <row r="795" spans="1:31" x14ac:dyDescent="0.25">
      <c r="A795" t="s">
        <v>3710</v>
      </c>
      <c r="B795" t="s">
        <v>3711</v>
      </c>
      <c r="C795" t="s">
        <v>49</v>
      </c>
      <c r="D795">
        <v>34</v>
      </c>
      <c r="E795" t="s">
        <v>27</v>
      </c>
      <c r="F795" t="s">
        <v>50</v>
      </c>
      <c r="G795" s="1">
        <v>45544</v>
      </c>
      <c r="H795">
        <v>80720</v>
      </c>
      <c r="I795" t="s">
        <v>30</v>
      </c>
      <c r="J795" t="s">
        <v>61</v>
      </c>
      <c r="K795" t="s">
        <v>131</v>
      </c>
      <c r="L795" t="s">
        <v>43</v>
      </c>
      <c r="M795">
        <v>35</v>
      </c>
      <c r="N795" t="s">
        <v>34</v>
      </c>
      <c r="O795">
        <v>3</v>
      </c>
      <c r="P795">
        <v>1</v>
      </c>
      <c r="Q795">
        <v>3</v>
      </c>
      <c r="R795">
        <v>4</v>
      </c>
      <c r="S795">
        <v>6</v>
      </c>
      <c r="T795">
        <v>2</v>
      </c>
      <c r="U795">
        <v>16</v>
      </c>
      <c r="V795" t="s">
        <v>3713</v>
      </c>
      <c r="W795" t="s">
        <v>34</v>
      </c>
      <c r="Y795" s="2" t="str">
        <f>IF(EmployeeData[[#This Row],[Age]]&lt;25,"Under 25",IF(EmployeeData[[#This Row],[Age]]&lt;=34,"25-34",IF(EmployeeData[[#This Row],[Age]]&lt;=44,"35-44",IF(EmployeeData[[#This Row],[Age]]&lt;=54,"45-54","55+"))))</f>
        <v>25-34</v>
      </c>
      <c r="Z795">
        <f ca="1">DATEDIF(EmployeeData[[#This Row],[DateOfJoining]],IF(AND(EmployeeData[[#This Row],[Attrition]]="Yes",EmployeeData[[#This Row],[LastWorkingDate]]&lt;&gt;""),EmployeeData[[#This Row],[LastWorkingDate]],TODAY()),"Y")</f>
        <v>1</v>
      </c>
      <c r="AA795" t="str">
        <f>IF(EmployeeData[[#This Row],[MonthlyIncome]]&lt;30000,"Low",IF(EmployeeData[[#This Row],[MonthlyIncome]]&lt;=60000,"Medium",IF(EmployeeData[[#This Row],[MonthlyIncome]]&lt;=100000,"High","Very High")))</f>
        <v>High</v>
      </c>
      <c r="AB795">
        <f>IF(EmployeeData[[#This Row],[Attrition]]="Yes",1,0)</f>
        <v>0</v>
      </c>
      <c r="AC795" t="str">
        <f ca="1">IF(EmployeeData[[#This Row],[Tenure Years]]&lt;1,"Less than 1 Year",IF(EmployeeData[[#This Row],[Tenure Years]]&lt;=3,"1-3 Years",IF(EmployeeData[[#This Row],[Tenure Years]]&lt;=5,"4-5 Years",IF(EmployeeData[[#This Row],[Tenure Years]]&lt;=10,"6-10 Years","More than 10 Years"))))</f>
        <v>1-3 Years</v>
      </c>
      <c r="AD795">
        <f>ROUND(AVERAGE(EmployeeData[[#This Row],[JobSatisfaction]],EmployeeData[[#This Row],[EnvironmentSatisfaction]],EmployeeData[[#This Row],[WorkLifeBalance]]),2)</f>
        <v>2.33</v>
      </c>
      <c r="AE795" t="str">
        <f>IF(EmployeeData[[#This Row],[Satisfaction Score]]&lt;2,"Low",IF(EmployeeData[[#This Row],[Satisfaction Score]]&lt;3,"Medium","High"))</f>
        <v>Medium</v>
      </c>
    </row>
    <row r="796" spans="1:31" x14ac:dyDescent="0.25">
      <c r="A796" t="s">
        <v>3714</v>
      </c>
      <c r="B796" t="s">
        <v>3715</v>
      </c>
      <c r="C796" t="s">
        <v>58</v>
      </c>
      <c r="D796">
        <v>42</v>
      </c>
      <c r="E796" t="s">
        <v>94</v>
      </c>
      <c r="F796" t="s">
        <v>639</v>
      </c>
      <c r="G796" s="1">
        <v>41937</v>
      </c>
      <c r="H796">
        <v>54779</v>
      </c>
      <c r="I796" t="s">
        <v>42</v>
      </c>
      <c r="J796" t="s">
        <v>31</v>
      </c>
      <c r="K796" t="s">
        <v>77</v>
      </c>
      <c r="L796" t="s">
        <v>33</v>
      </c>
      <c r="M796">
        <v>21</v>
      </c>
      <c r="N796" t="s">
        <v>34</v>
      </c>
      <c r="O796">
        <v>4</v>
      </c>
      <c r="P796">
        <v>2</v>
      </c>
      <c r="Q796">
        <v>4</v>
      </c>
      <c r="R796">
        <v>4</v>
      </c>
      <c r="S796">
        <v>1</v>
      </c>
      <c r="T796">
        <v>2</v>
      </c>
      <c r="U796">
        <v>13</v>
      </c>
      <c r="V796" t="s">
        <v>3717</v>
      </c>
      <c r="W796" t="s">
        <v>34</v>
      </c>
      <c r="Y796" s="2" t="str">
        <f>IF(EmployeeData[[#This Row],[Age]]&lt;25,"Under 25",IF(EmployeeData[[#This Row],[Age]]&lt;=34,"25-34",IF(EmployeeData[[#This Row],[Age]]&lt;=44,"35-44",IF(EmployeeData[[#This Row],[Age]]&lt;=54,"45-54","55+"))))</f>
        <v>35-44</v>
      </c>
      <c r="Z796">
        <f ca="1">DATEDIF(EmployeeData[[#This Row],[DateOfJoining]],IF(AND(EmployeeData[[#This Row],[Attrition]]="Yes",EmployeeData[[#This Row],[LastWorkingDate]]&lt;&gt;""),EmployeeData[[#This Row],[LastWorkingDate]],TODAY()),"Y")</f>
        <v>11</v>
      </c>
      <c r="AA796" t="str">
        <f>IF(EmployeeData[[#This Row],[MonthlyIncome]]&lt;30000,"Low",IF(EmployeeData[[#This Row],[MonthlyIncome]]&lt;=60000,"Medium",IF(EmployeeData[[#This Row],[MonthlyIncome]]&lt;=100000,"High","Very High")))</f>
        <v>Medium</v>
      </c>
      <c r="AB796">
        <f>IF(EmployeeData[[#This Row],[Attrition]]="Yes",1,0)</f>
        <v>0</v>
      </c>
      <c r="AC796" t="str">
        <f ca="1">IF(EmployeeData[[#This Row],[Tenure Years]]&lt;1,"Less than 1 Year",IF(EmployeeData[[#This Row],[Tenure Years]]&lt;=3,"1-3 Years",IF(EmployeeData[[#This Row],[Tenure Years]]&lt;=5,"4-5 Years",IF(EmployeeData[[#This Row],[Tenure Years]]&lt;=10,"6-10 Years","More than 10 Years"))))</f>
        <v>More than 10 Years</v>
      </c>
      <c r="AD796">
        <f>ROUND(AVERAGE(EmployeeData[[#This Row],[JobSatisfaction]],EmployeeData[[#This Row],[EnvironmentSatisfaction]],EmployeeData[[#This Row],[WorkLifeBalance]]),2)</f>
        <v>3.33</v>
      </c>
      <c r="AE796" t="str">
        <f>IF(EmployeeData[[#This Row],[Satisfaction Score]]&lt;2,"Low",IF(EmployeeData[[#This Row],[Satisfaction Score]]&lt;3,"Medium","High"))</f>
        <v>High</v>
      </c>
    </row>
    <row r="797" spans="1:31" x14ac:dyDescent="0.25">
      <c r="A797" t="s">
        <v>3718</v>
      </c>
      <c r="B797" t="s">
        <v>3719</v>
      </c>
      <c r="C797" t="s">
        <v>49</v>
      </c>
      <c r="D797">
        <v>42</v>
      </c>
      <c r="E797" t="s">
        <v>5461</v>
      </c>
      <c r="F797" t="s">
        <v>483</v>
      </c>
      <c r="G797" s="1">
        <v>44929</v>
      </c>
      <c r="H797">
        <v>142115</v>
      </c>
      <c r="I797" t="s">
        <v>52</v>
      </c>
      <c r="J797" t="s">
        <v>5459</v>
      </c>
      <c r="K797" t="s">
        <v>32</v>
      </c>
      <c r="L797" t="s">
        <v>33</v>
      </c>
      <c r="M797">
        <v>38</v>
      </c>
      <c r="N797" t="s">
        <v>34</v>
      </c>
      <c r="O797">
        <v>3</v>
      </c>
      <c r="P797">
        <v>1</v>
      </c>
      <c r="Q797">
        <v>3</v>
      </c>
      <c r="R797">
        <v>2</v>
      </c>
      <c r="S797">
        <v>3</v>
      </c>
      <c r="T797">
        <v>6</v>
      </c>
      <c r="U797">
        <v>20</v>
      </c>
      <c r="V797" t="s">
        <v>3722</v>
      </c>
      <c r="W797" t="s">
        <v>34</v>
      </c>
      <c r="Y797" s="2" t="str">
        <f>IF(EmployeeData[[#This Row],[Age]]&lt;25,"Under 25",IF(EmployeeData[[#This Row],[Age]]&lt;=34,"25-34",IF(EmployeeData[[#This Row],[Age]]&lt;=44,"35-44",IF(EmployeeData[[#This Row],[Age]]&lt;=54,"45-54","55+"))))</f>
        <v>35-44</v>
      </c>
      <c r="Z797">
        <f ca="1">DATEDIF(EmployeeData[[#This Row],[DateOfJoining]],IF(AND(EmployeeData[[#This Row],[Attrition]]="Yes",EmployeeData[[#This Row],[LastWorkingDate]]&lt;&gt;""),EmployeeData[[#This Row],[LastWorkingDate]],TODAY()),"Y")</f>
        <v>3</v>
      </c>
      <c r="AA797" t="str">
        <f>IF(EmployeeData[[#This Row],[MonthlyIncome]]&lt;30000,"Low",IF(EmployeeData[[#This Row],[MonthlyIncome]]&lt;=60000,"Medium",IF(EmployeeData[[#This Row],[MonthlyIncome]]&lt;=100000,"High","Very High")))</f>
        <v>Very High</v>
      </c>
      <c r="AB797">
        <f>IF(EmployeeData[[#This Row],[Attrition]]="Yes",1,0)</f>
        <v>0</v>
      </c>
      <c r="AC797" t="str">
        <f ca="1">IF(EmployeeData[[#This Row],[Tenure Years]]&lt;1,"Less than 1 Year",IF(EmployeeData[[#This Row],[Tenure Years]]&lt;=3,"1-3 Years",IF(EmployeeData[[#This Row],[Tenure Years]]&lt;=5,"4-5 Years",IF(EmployeeData[[#This Row],[Tenure Years]]&lt;=10,"6-10 Years","More than 10 Years"))))</f>
        <v>1-3 Years</v>
      </c>
      <c r="AD797">
        <f>ROUND(AVERAGE(EmployeeData[[#This Row],[JobSatisfaction]],EmployeeData[[#This Row],[EnvironmentSatisfaction]],EmployeeData[[#This Row],[WorkLifeBalance]]),2)</f>
        <v>2.33</v>
      </c>
      <c r="AE797" t="str">
        <f>IF(EmployeeData[[#This Row],[Satisfaction Score]]&lt;2,"Low",IF(EmployeeData[[#This Row],[Satisfaction Score]]&lt;3,"Medium","High"))</f>
        <v>Medium</v>
      </c>
    </row>
    <row r="798" spans="1:31" x14ac:dyDescent="0.25">
      <c r="A798" t="s">
        <v>3723</v>
      </c>
      <c r="B798" t="s">
        <v>3724</v>
      </c>
      <c r="C798" t="s">
        <v>49</v>
      </c>
      <c r="D798">
        <v>33</v>
      </c>
      <c r="E798" t="s">
        <v>27</v>
      </c>
      <c r="F798" t="s">
        <v>50</v>
      </c>
      <c r="G798" s="1">
        <v>41565</v>
      </c>
      <c r="H798">
        <v>110741</v>
      </c>
      <c r="I798" t="s">
        <v>30</v>
      </c>
      <c r="J798" t="s">
        <v>31</v>
      </c>
      <c r="K798" t="s">
        <v>98</v>
      </c>
      <c r="L798" t="s">
        <v>62</v>
      </c>
      <c r="M798">
        <v>1</v>
      </c>
      <c r="N798" t="s">
        <v>34</v>
      </c>
      <c r="O798">
        <v>4</v>
      </c>
      <c r="P798">
        <v>4</v>
      </c>
      <c r="Q798">
        <v>3</v>
      </c>
      <c r="R798">
        <v>5</v>
      </c>
      <c r="S798">
        <v>6</v>
      </c>
      <c r="T798">
        <v>0</v>
      </c>
      <c r="U798">
        <v>19</v>
      </c>
      <c r="V798" t="s">
        <v>3726</v>
      </c>
      <c r="W798" t="s">
        <v>34</v>
      </c>
      <c r="Y798" s="2" t="str">
        <f>IF(EmployeeData[[#This Row],[Age]]&lt;25,"Under 25",IF(EmployeeData[[#This Row],[Age]]&lt;=34,"25-34",IF(EmployeeData[[#This Row],[Age]]&lt;=44,"35-44",IF(EmployeeData[[#This Row],[Age]]&lt;=54,"45-54","55+"))))</f>
        <v>25-34</v>
      </c>
      <c r="Z798">
        <f ca="1">DATEDIF(EmployeeData[[#This Row],[DateOfJoining]],IF(AND(EmployeeData[[#This Row],[Attrition]]="Yes",EmployeeData[[#This Row],[LastWorkingDate]]&lt;&gt;""),EmployeeData[[#This Row],[LastWorkingDate]],TODAY()),"Y")</f>
        <v>12</v>
      </c>
      <c r="AA798" t="str">
        <f>IF(EmployeeData[[#This Row],[MonthlyIncome]]&lt;30000,"Low",IF(EmployeeData[[#This Row],[MonthlyIncome]]&lt;=60000,"Medium",IF(EmployeeData[[#This Row],[MonthlyIncome]]&lt;=100000,"High","Very High")))</f>
        <v>Very High</v>
      </c>
      <c r="AB798">
        <f>IF(EmployeeData[[#This Row],[Attrition]]="Yes",1,0)</f>
        <v>0</v>
      </c>
      <c r="AC798" t="str">
        <f ca="1">IF(EmployeeData[[#This Row],[Tenure Years]]&lt;1,"Less than 1 Year",IF(EmployeeData[[#This Row],[Tenure Years]]&lt;=3,"1-3 Years",IF(EmployeeData[[#This Row],[Tenure Years]]&lt;=5,"4-5 Years",IF(EmployeeData[[#This Row],[Tenure Years]]&lt;=10,"6-10 Years","More than 10 Years"))))</f>
        <v>More than 10 Years</v>
      </c>
      <c r="AD798">
        <f>ROUND(AVERAGE(EmployeeData[[#This Row],[JobSatisfaction]],EmployeeData[[#This Row],[EnvironmentSatisfaction]],EmployeeData[[#This Row],[WorkLifeBalance]]),2)</f>
        <v>3.67</v>
      </c>
      <c r="AE798" t="str">
        <f>IF(EmployeeData[[#This Row],[Satisfaction Score]]&lt;2,"Low",IF(EmployeeData[[#This Row],[Satisfaction Score]]&lt;3,"Medium","High"))</f>
        <v>High</v>
      </c>
    </row>
    <row r="799" spans="1:31" x14ac:dyDescent="0.25">
      <c r="A799" t="s">
        <v>3727</v>
      </c>
      <c r="B799" t="s">
        <v>3728</v>
      </c>
      <c r="C799" t="s">
        <v>58</v>
      </c>
      <c r="D799">
        <v>44</v>
      </c>
      <c r="E799" t="s">
        <v>94</v>
      </c>
      <c r="F799" t="s">
        <v>306</v>
      </c>
      <c r="G799" s="1">
        <v>44478</v>
      </c>
      <c r="H799">
        <v>55195</v>
      </c>
      <c r="I799" t="s">
        <v>52</v>
      </c>
      <c r="J799" t="s">
        <v>143</v>
      </c>
      <c r="K799" t="s">
        <v>54</v>
      </c>
      <c r="L799" t="s">
        <v>43</v>
      </c>
      <c r="M799">
        <v>4</v>
      </c>
      <c r="N799" t="s">
        <v>34</v>
      </c>
      <c r="O799">
        <v>4</v>
      </c>
      <c r="P799">
        <v>1</v>
      </c>
      <c r="Q799">
        <v>2</v>
      </c>
      <c r="R799">
        <v>2</v>
      </c>
      <c r="S799">
        <v>2</v>
      </c>
      <c r="T799">
        <v>2</v>
      </c>
      <c r="U799">
        <v>22</v>
      </c>
      <c r="V799" t="s">
        <v>3731</v>
      </c>
      <c r="W799" t="s">
        <v>34</v>
      </c>
      <c r="Y799" s="2" t="str">
        <f>IF(EmployeeData[[#This Row],[Age]]&lt;25,"Under 25",IF(EmployeeData[[#This Row],[Age]]&lt;=34,"25-34",IF(EmployeeData[[#This Row],[Age]]&lt;=44,"35-44",IF(EmployeeData[[#This Row],[Age]]&lt;=54,"45-54","55+"))))</f>
        <v>35-44</v>
      </c>
      <c r="Z799">
        <f ca="1">DATEDIF(EmployeeData[[#This Row],[DateOfJoining]],IF(AND(EmployeeData[[#This Row],[Attrition]]="Yes",EmployeeData[[#This Row],[LastWorkingDate]]&lt;&gt;""),EmployeeData[[#This Row],[LastWorkingDate]],TODAY()),"Y")</f>
        <v>4</v>
      </c>
      <c r="AA799" t="str">
        <f>IF(EmployeeData[[#This Row],[MonthlyIncome]]&lt;30000,"Low",IF(EmployeeData[[#This Row],[MonthlyIncome]]&lt;=60000,"Medium",IF(EmployeeData[[#This Row],[MonthlyIncome]]&lt;=100000,"High","Very High")))</f>
        <v>Medium</v>
      </c>
      <c r="AB799">
        <f>IF(EmployeeData[[#This Row],[Attrition]]="Yes",1,0)</f>
        <v>0</v>
      </c>
      <c r="AC799" t="str">
        <f ca="1">IF(EmployeeData[[#This Row],[Tenure Years]]&lt;1,"Less than 1 Year",IF(EmployeeData[[#This Row],[Tenure Years]]&lt;=3,"1-3 Years",IF(EmployeeData[[#This Row],[Tenure Years]]&lt;=5,"4-5 Years",IF(EmployeeData[[#This Row],[Tenure Years]]&lt;=10,"6-10 Years","More than 10 Years"))))</f>
        <v>4-5 Years</v>
      </c>
      <c r="AD799">
        <f>ROUND(AVERAGE(EmployeeData[[#This Row],[JobSatisfaction]],EmployeeData[[#This Row],[EnvironmentSatisfaction]],EmployeeData[[#This Row],[WorkLifeBalance]]),2)</f>
        <v>2.33</v>
      </c>
      <c r="AE799" t="str">
        <f>IF(EmployeeData[[#This Row],[Satisfaction Score]]&lt;2,"Low",IF(EmployeeData[[#This Row],[Satisfaction Score]]&lt;3,"Medium","High"))</f>
        <v>Medium</v>
      </c>
    </row>
    <row r="800" spans="1:31" x14ac:dyDescent="0.25">
      <c r="A800" t="s">
        <v>3732</v>
      </c>
      <c r="B800" t="s">
        <v>3733</v>
      </c>
      <c r="C800" t="s">
        <v>58</v>
      </c>
      <c r="D800">
        <v>34</v>
      </c>
      <c r="E800" t="s">
        <v>38</v>
      </c>
      <c r="F800" t="s">
        <v>792</v>
      </c>
      <c r="G800" s="1">
        <v>45454</v>
      </c>
      <c r="H800">
        <v>74274</v>
      </c>
      <c r="I800" t="s">
        <v>52</v>
      </c>
      <c r="J800" t="s">
        <v>53</v>
      </c>
      <c r="K800" t="s">
        <v>113</v>
      </c>
      <c r="L800" t="s">
        <v>33</v>
      </c>
      <c r="M800">
        <v>44</v>
      </c>
      <c r="N800" t="s">
        <v>34</v>
      </c>
      <c r="O800">
        <v>1</v>
      </c>
      <c r="P800">
        <v>4</v>
      </c>
      <c r="Q800">
        <v>4</v>
      </c>
      <c r="R800">
        <v>3</v>
      </c>
      <c r="S800">
        <v>3</v>
      </c>
      <c r="T800">
        <v>2</v>
      </c>
      <c r="U800">
        <v>15</v>
      </c>
      <c r="V800" t="s">
        <v>3736</v>
      </c>
      <c r="W800" t="s">
        <v>34</v>
      </c>
      <c r="Y800" s="2" t="str">
        <f>IF(EmployeeData[[#This Row],[Age]]&lt;25,"Under 25",IF(EmployeeData[[#This Row],[Age]]&lt;=34,"25-34",IF(EmployeeData[[#This Row],[Age]]&lt;=44,"35-44",IF(EmployeeData[[#This Row],[Age]]&lt;=54,"45-54","55+"))))</f>
        <v>25-34</v>
      </c>
      <c r="Z800">
        <f ca="1">DATEDIF(EmployeeData[[#This Row],[DateOfJoining]],IF(AND(EmployeeData[[#This Row],[Attrition]]="Yes",EmployeeData[[#This Row],[LastWorkingDate]]&lt;&gt;""),EmployeeData[[#This Row],[LastWorkingDate]],TODAY()),"Y")</f>
        <v>2</v>
      </c>
      <c r="AA800" t="str">
        <f>IF(EmployeeData[[#This Row],[MonthlyIncome]]&lt;30000,"Low",IF(EmployeeData[[#This Row],[MonthlyIncome]]&lt;=60000,"Medium",IF(EmployeeData[[#This Row],[MonthlyIncome]]&lt;=100000,"High","Very High")))</f>
        <v>High</v>
      </c>
      <c r="AB800">
        <f>IF(EmployeeData[[#This Row],[Attrition]]="Yes",1,0)</f>
        <v>0</v>
      </c>
      <c r="AC800" t="str">
        <f ca="1">IF(EmployeeData[[#This Row],[Tenure Years]]&lt;1,"Less than 1 Year",IF(EmployeeData[[#This Row],[Tenure Years]]&lt;=3,"1-3 Years",IF(EmployeeData[[#This Row],[Tenure Years]]&lt;=5,"4-5 Years",IF(EmployeeData[[#This Row],[Tenure Years]]&lt;=10,"6-10 Years","More than 10 Years"))))</f>
        <v>1-3 Years</v>
      </c>
      <c r="AD800">
        <f>ROUND(AVERAGE(EmployeeData[[#This Row],[JobSatisfaction]],EmployeeData[[#This Row],[EnvironmentSatisfaction]],EmployeeData[[#This Row],[WorkLifeBalance]]),2)</f>
        <v>3</v>
      </c>
      <c r="AE800" t="str">
        <f>IF(EmployeeData[[#This Row],[Satisfaction Score]]&lt;2,"Low",IF(EmployeeData[[#This Row],[Satisfaction Score]]&lt;3,"Medium","High"))</f>
        <v>High</v>
      </c>
    </row>
    <row r="801" spans="1:31" x14ac:dyDescent="0.25">
      <c r="A801" t="s">
        <v>3737</v>
      </c>
      <c r="B801" t="s">
        <v>3738</v>
      </c>
      <c r="C801" t="s">
        <v>5459</v>
      </c>
      <c r="D801">
        <v>39</v>
      </c>
      <c r="E801" t="s">
        <v>128</v>
      </c>
      <c r="F801" t="s">
        <v>271</v>
      </c>
      <c r="G801" s="1">
        <v>42002</v>
      </c>
      <c r="H801">
        <v>90246</v>
      </c>
      <c r="I801" t="s">
        <v>42</v>
      </c>
      <c r="J801" t="s">
        <v>61</v>
      </c>
      <c r="K801" t="s">
        <v>77</v>
      </c>
      <c r="L801" t="s">
        <v>33</v>
      </c>
      <c r="M801">
        <v>3</v>
      </c>
      <c r="N801" t="s">
        <v>45</v>
      </c>
      <c r="O801">
        <v>2</v>
      </c>
      <c r="P801">
        <v>1</v>
      </c>
      <c r="Q801">
        <v>4</v>
      </c>
      <c r="R801">
        <v>4</v>
      </c>
      <c r="S801">
        <v>0</v>
      </c>
      <c r="T801">
        <v>8</v>
      </c>
      <c r="U801">
        <v>14</v>
      </c>
      <c r="V801" t="s">
        <v>3740</v>
      </c>
      <c r="W801" t="s">
        <v>45</v>
      </c>
      <c r="X801" s="1">
        <v>45141</v>
      </c>
      <c r="Y801" s="2" t="str">
        <f>IF(EmployeeData[[#This Row],[Age]]&lt;25,"Under 25",IF(EmployeeData[[#This Row],[Age]]&lt;=34,"25-34",IF(EmployeeData[[#This Row],[Age]]&lt;=44,"35-44",IF(EmployeeData[[#This Row],[Age]]&lt;=54,"45-54","55+"))))</f>
        <v>35-44</v>
      </c>
      <c r="Z801">
        <f ca="1">DATEDIF(EmployeeData[[#This Row],[DateOfJoining]],IF(AND(EmployeeData[[#This Row],[Attrition]]="Yes",EmployeeData[[#This Row],[LastWorkingDate]]&lt;&gt;""),EmployeeData[[#This Row],[LastWorkingDate]],TODAY()),"Y")</f>
        <v>8</v>
      </c>
      <c r="AA801" t="str">
        <f>IF(EmployeeData[[#This Row],[MonthlyIncome]]&lt;30000,"Low",IF(EmployeeData[[#This Row],[MonthlyIncome]]&lt;=60000,"Medium",IF(EmployeeData[[#This Row],[MonthlyIncome]]&lt;=100000,"High","Very High")))</f>
        <v>High</v>
      </c>
      <c r="AB801">
        <f>IF(EmployeeData[[#This Row],[Attrition]]="Yes",1,0)</f>
        <v>1</v>
      </c>
      <c r="AC801" t="str">
        <f ca="1">IF(EmployeeData[[#This Row],[Tenure Years]]&lt;1,"Less than 1 Year",IF(EmployeeData[[#This Row],[Tenure Years]]&lt;=3,"1-3 Years",IF(EmployeeData[[#This Row],[Tenure Years]]&lt;=5,"4-5 Years",IF(EmployeeData[[#This Row],[Tenure Years]]&lt;=10,"6-10 Years","More than 10 Years"))))</f>
        <v>6-10 Years</v>
      </c>
      <c r="AD801">
        <f>ROUND(AVERAGE(EmployeeData[[#This Row],[JobSatisfaction]],EmployeeData[[#This Row],[EnvironmentSatisfaction]],EmployeeData[[#This Row],[WorkLifeBalance]]),2)</f>
        <v>2.33</v>
      </c>
      <c r="AE801" t="str">
        <f>IF(EmployeeData[[#This Row],[Satisfaction Score]]&lt;2,"Low",IF(EmployeeData[[#This Row],[Satisfaction Score]]&lt;3,"Medium","High"))</f>
        <v>Medium</v>
      </c>
    </row>
    <row r="802" spans="1:31" x14ac:dyDescent="0.25">
      <c r="A802" t="s">
        <v>3742</v>
      </c>
      <c r="B802" t="s">
        <v>3743</v>
      </c>
      <c r="C802" t="s">
        <v>58</v>
      </c>
      <c r="D802">
        <v>47</v>
      </c>
      <c r="E802" t="s">
        <v>197</v>
      </c>
      <c r="F802" t="s">
        <v>323</v>
      </c>
      <c r="G802" s="1">
        <v>40789</v>
      </c>
      <c r="H802">
        <v>47868</v>
      </c>
      <c r="I802" t="s">
        <v>30</v>
      </c>
      <c r="J802" t="s">
        <v>61</v>
      </c>
      <c r="K802" t="s">
        <v>77</v>
      </c>
      <c r="L802" t="s">
        <v>43</v>
      </c>
      <c r="M802">
        <v>2</v>
      </c>
      <c r="N802" t="s">
        <v>45</v>
      </c>
      <c r="O802">
        <v>4</v>
      </c>
      <c r="P802">
        <v>3</v>
      </c>
      <c r="Q802">
        <v>2</v>
      </c>
      <c r="R802">
        <v>3</v>
      </c>
      <c r="S802">
        <v>0</v>
      </c>
      <c r="T802">
        <v>1</v>
      </c>
      <c r="U802">
        <v>23</v>
      </c>
      <c r="V802" t="s">
        <v>3745</v>
      </c>
      <c r="W802" t="s">
        <v>45</v>
      </c>
      <c r="X802" s="1">
        <v>45815</v>
      </c>
      <c r="Y802" s="2" t="str">
        <f>IF(EmployeeData[[#This Row],[Age]]&lt;25,"Under 25",IF(EmployeeData[[#This Row],[Age]]&lt;=34,"25-34",IF(EmployeeData[[#This Row],[Age]]&lt;=44,"35-44",IF(EmployeeData[[#This Row],[Age]]&lt;=54,"45-54","55+"))))</f>
        <v>45-54</v>
      </c>
      <c r="Z802">
        <f ca="1">DATEDIF(EmployeeData[[#This Row],[DateOfJoining]],IF(AND(EmployeeData[[#This Row],[Attrition]]="Yes",EmployeeData[[#This Row],[LastWorkingDate]]&lt;&gt;""),EmployeeData[[#This Row],[LastWorkingDate]],TODAY()),"Y")</f>
        <v>13</v>
      </c>
      <c r="AA802" t="str">
        <f>IF(EmployeeData[[#This Row],[MonthlyIncome]]&lt;30000,"Low",IF(EmployeeData[[#This Row],[MonthlyIncome]]&lt;=60000,"Medium",IF(EmployeeData[[#This Row],[MonthlyIncome]]&lt;=100000,"High","Very High")))</f>
        <v>Medium</v>
      </c>
      <c r="AB802">
        <f>IF(EmployeeData[[#This Row],[Attrition]]="Yes",1,0)</f>
        <v>1</v>
      </c>
      <c r="AC802" t="str">
        <f ca="1">IF(EmployeeData[[#This Row],[Tenure Years]]&lt;1,"Less than 1 Year",IF(EmployeeData[[#This Row],[Tenure Years]]&lt;=3,"1-3 Years",IF(EmployeeData[[#This Row],[Tenure Years]]&lt;=5,"4-5 Years",IF(EmployeeData[[#This Row],[Tenure Years]]&lt;=10,"6-10 Years","More than 10 Years"))))</f>
        <v>More than 10 Years</v>
      </c>
      <c r="AD802">
        <f>ROUND(AVERAGE(EmployeeData[[#This Row],[JobSatisfaction]],EmployeeData[[#This Row],[EnvironmentSatisfaction]],EmployeeData[[#This Row],[WorkLifeBalance]]),2)</f>
        <v>3</v>
      </c>
      <c r="AE802" t="str">
        <f>IF(EmployeeData[[#This Row],[Satisfaction Score]]&lt;2,"Low",IF(EmployeeData[[#This Row],[Satisfaction Score]]&lt;3,"Medium","High"))</f>
        <v>High</v>
      </c>
    </row>
    <row r="803" spans="1:31" x14ac:dyDescent="0.25">
      <c r="A803" t="s">
        <v>3747</v>
      </c>
      <c r="B803" t="s">
        <v>3748</v>
      </c>
      <c r="C803" t="s">
        <v>5459</v>
      </c>
      <c r="D803">
        <v>30</v>
      </c>
      <c r="E803" t="s">
        <v>128</v>
      </c>
      <c r="F803" t="s">
        <v>271</v>
      </c>
      <c r="G803" s="1">
        <v>42082</v>
      </c>
      <c r="H803">
        <v>106532</v>
      </c>
      <c r="I803" t="s">
        <v>52</v>
      </c>
      <c r="J803" t="s">
        <v>31</v>
      </c>
      <c r="K803" t="s">
        <v>106</v>
      </c>
      <c r="L803" t="s">
        <v>43</v>
      </c>
      <c r="M803">
        <v>6</v>
      </c>
      <c r="N803" t="s">
        <v>34</v>
      </c>
      <c r="O803">
        <v>3</v>
      </c>
      <c r="P803">
        <v>1</v>
      </c>
      <c r="Q803">
        <v>1</v>
      </c>
      <c r="R803">
        <v>4</v>
      </c>
      <c r="S803">
        <v>3</v>
      </c>
      <c r="T803">
        <v>1</v>
      </c>
      <c r="U803">
        <v>18</v>
      </c>
      <c r="V803" t="s">
        <v>3750</v>
      </c>
      <c r="W803" t="s">
        <v>34</v>
      </c>
      <c r="Y803" s="2" t="str">
        <f>IF(EmployeeData[[#This Row],[Age]]&lt;25,"Under 25",IF(EmployeeData[[#This Row],[Age]]&lt;=34,"25-34",IF(EmployeeData[[#This Row],[Age]]&lt;=44,"35-44",IF(EmployeeData[[#This Row],[Age]]&lt;=54,"45-54","55+"))))</f>
        <v>25-34</v>
      </c>
      <c r="Z803">
        <f ca="1">DATEDIF(EmployeeData[[#This Row],[DateOfJoining]],IF(AND(EmployeeData[[#This Row],[Attrition]]="Yes",EmployeeData[[#This Row],[LastWorkingDate]]&lt;&gt;""),EmployeeData[[#This Row],[LastWorkingDate]],TODAY()),"Y")</f>
        <v>11</v>
      </c>
      <c r="AA803" t="str">
        <f>IF(EmployeeData[[#This Row],[MonthlyIncome]]&lt;30000,"Low",IF(EmployeeData[[#This Row],[MonthlyIncome]]&lt;=60000,"Medium",IF(EmployeeData[[#This Row],[MonthlyIncome]]&lt;=100000,"High","Very High")))</f>
        <v>Very High</v>
      </c>
      <c r="AB803">
        <f>IF(EmployeeData[[#This Row],[Attrition]]="Yes",1,0)</f>
        <v>0</v>
      </c>
      <c r="AC803" t="str">
        <f ca="1">IF(EmployeeData[[#This Row],[Tenure Years]]&lt;1,"Less than 1 Year",IF(EmployeeData[[#This Row],[Tenure Years]]&lt;=3,"1-3 Years",IF(EmployeeData[[#This Row],[Tenure Years]]&lt;=5,"4-5 Years",IF(EmployeeData[[#This Row],[Tenure Years]]&lt;=10,"6-10 Years","More than 10 Years"))))</f>
        <v>More than 10 Years</v>
      </c>
      <c r="AD803">
        <f>ROUND(AVERAGE(EmployeeData[[#This Row],[JobSatisfaction]],EmployeeData[[#This Row],[EnvironmentSatisfaction]],EmployeeData[[#This Row],[WorkLifeBalance]]),2)</f>
        <v>1.67</v>
      </c>
      <c r="AE803" t="str">
        <f>IF(EmployeeData[[#This Row],[Satisfaction Score]]&lt;2,"Low",IF(EmployeeData[[#This Row],[Satisfaction Score]]&lt;3,"Medium","High"))</f>
        <v>Low</v>
      </c>
    </row>
    <row r="804" spans="1:31" x14ac:dyDescent="0.25">
      <c r="A804" t="s">
        <v>3751</v>
      </c>
      <c r="B804" t="s">
        <v>3752</v>
      </c>
      <c r="C804" t="s">
        <v>58</v>
      </c>
      <c r="D804">
        <v>35</v>
      </c>
      <c r="E804" t="s">
        <v>27</v>
      </c>
      <c r="F804" t="s">
        <v>75</v>
      </c>
      <c r="G804" s="1">
        <v>43398</v>
      </c>
      <c r="H804">
        <v>61241</v>
      </c>
      <c r="I804" t="s">
        <v>30</v>
      </c>
      <c r="J804" t="s">
        <v>61</v>
      </c>
      <c r="K804" t="s">
        <v>77</v>
      </c>
      <c r="L804" t="s">
        <v>33</v>
      </c>
      <c r="M804">
        <v>41</v>
      </c>
      <c r="N804" t="s">
        <v>34</v>
      </c>
      <c r="O804">
        <v>2</v>
      </c>
      <c r="P804">
        <v>1</v>
      </c>
      <c r="Q804">
        <v>4</v>
      </c>
      <c r="R804">
        <v>3</v>
      </c>
      <c r="S804">
        <v>1</v>
      </c>
      <c r="T804">
        <v>3</v>
      </c>
      <c r="U804">
        <v>19</v>
      </c>
      <c r="V804" t="s">
        <v>3754</v>
      </c>
      <c r="W804" t="s">
        <v>34</v>
      </c>
      <c r="Y804" s="2" t="str">
        <f>IF(EmployeeData[[#This Row],[Age]]&lt;25,"Under 25",IF(EmployeeData[[#This Row],[Age]]&lt;=34,"25-34",IF(EmployeeData[[#This Row],[Age]]&lt;=44,"35-44",IF(EmployeeData[[#This Row],[Age]]&lt;=54,"45-54","55+"))))</f>
        <v>35-44</v>
      </c>
      <c r="Z804">
        <f ca="1">DATEDIF(EmployeeData[[#This Row],[DateOfJoining]],IF(AND(EmployeeData[[#This Row],[Attrition]]="Yes",EmployeeData[[#This Row],[LastWorkingDate]]&lt;&gt;""),EmployeeData[[#This Row],[LastWorkingDate]],TODAY()),"Y")</f>
        <v>7</v>
      </c>
      <c r="AA804" t="str">
        <f>IF(EmployeeData[[#This Row],[MonthlyIncome]]&lt;30000,"Low",IF(EmployeeData[[#This Row],[MonthlyIncome]]&lt;=60000,"Medium",IF(EmployeeData[[#This Row],[MonthlyIncome]]&lt;=100000,"High","Very High")))</f>
        <v>High</v>
      </c>
      <c r="AB804">
        <f>IF(EmployeeData[[#This Row],[Attrition]]="Yes",1,0)</f>
        <v>0</v>
      </c>
      <c r="AC804" t="str">
        <f ca="1">IF(EmployeeData[[#This Row],[Tenure Years]]&lt;1,"Less than 1 Year",IF(EmployeeData[[#This Row],[Tenure Years]]&lt;=3,"1-3 Years",IF(EmployeeData[[#This Row],[Tenure Years]]&lt;=5,"4-5 Years",IF(EmployeeData[[#This Row],[Tenure Years]]&lt;=10,"6-10 Years","More than 10 Years"))))</f>
        <v>6-10 Years</v>
      </c>
      <c r="AD804">
        <f>ROUND(AVERAGE(EmployeeData[[#This Row],[JobSatisfaction]],EmployeeData[[#This Row],[EnvironmentSatisfaction]],EmployeeData[[#This Row],[WorkLifeBalance]]),2)</f>
        <v>2.33</v>
      </c>
      <c r="AE804" t="str">
        <f>IF(EmployeeData[[#This Row],[Satisfaction Score]]&lt;2,"Low",IF(EmployeeData[[#This Row],[Satisfaction Score]]&lt;3,"Medium","High"))</f>
        <v>Medium</v>
      </c>
    </row>
    <row r="805" spans="1:31" x14ac:dyDescent="0.25">
      <c r="A805" t="s">
        <v>3755</v>
      </c>
      <c r="B805" t="s">
        <v>3756</v>
      </c>
      <c r="C805" t="s">
        <v>49</v>
      </c>
      <c r="D805">
        <v>36</v>
      </c>
      <c r="E805" t="s">
        <v>27</v>
      </c>
      <c r="F805" t="s">
        <v>75</v>
      </c>
      <c r="G805" s="1">
        <v>41271</v>
      </c>
      <c r="H805">
        <v>76844</v>
      </c>
      <c r="I805" t="s">
        <v>52</v>
      </c>
      <c r="J805" t="s">
        <v>143</v>
      </c>
      <c r="K805" t="s">
        <v>83</v>
      </c>
      <c r="L805" t="s">
        <v>33</v>
      </c>
      <c r="M805">
        <v>3</v>
      </c>
      <c r="N805" t="s">
        <v>34</v>
      </c>
      <c r="O805">
        <v>2</v>
      </c>
      <c r="P805">
        <v>2</v>
      </c>
      <c r="Q805">
        <v>3</v>
      </c>
      <c r="R805">
        <v>3</v>
      </c>
      <c r="S805">
        <v>5</v>
      </c>
      <c r="T805">
        <v>0</v>
      </c>
      <c r="U805">
        <v>25</v>
      </c>
      <c r="V805" t="s">
        <v>3759</v>
      </c>
      <c r="W805" t="s">
        <v>34</v>
      </c>
      <c r="Y805" s="2" t="str">
        <f>IF(EmployeeData[[#This Row],[Age]]&lt;25,"Under 25",IF(EmployeeData[[#This Row],[Age]]&lt;=34,"25-34",IF(EmployeeData[[#This Row],[Age]]&lt;=44,"35-44",IF(EmployeeData[[#This Row],[Age]]&lt;=54,"45-54","55+"))))</f>
        <v>35-44</v>
      </c>
      <c r="Z805">
        <f ca="1">DATEDIF(EmployeeData[[#This Row],[DateOfJoining]],IF(AND(EmployeeData[[#This Row],[Attrition]]="Yes",EmployeeData[[#This Row],[LastWorkingDate]]&lt;&gt;""),EmployeeData[[#This Row],[LastWorkingDate]],TODAY()),"Y")</f>
        <v>13</v>
      </c>
      <c r="AA805" t="str">
        <f>IF(EmployeeData[[#This Row],[MonthlyIncome]]&lt;30000,"Low",IF(EmployeeData[[#This Row],[MonthlyIncome]]&lt;=60000,"Medium",IF(EmployeeData[[#This Row],[MonthlyIncome]]&lt;=100000,"High","Very High")))</f>
        <v>High</v>
      </c>
      <c r="AB805">
        <f>IF(EmployeeData[[#This Row],[Attrition]]="Yes",1,0)</f>
        <v>0</v>
      </c>
      <c r="AC805" t="str">
        <f ca="1">IF(EmployeeData[[#This Row],[Tenure Years]]&lt;1,"Less than 1 Year",IF(EmployeeData[[#This Row],[Tenure Years]]&lt;=3,"1-3 Years",IF(EmployeeData[[#This Row],[Tenure Years]]&lt;=5,"4-5 Years",IF(EmployeeData[[#This Row],[Tenure Years]]&lt;=10,"6-10 Years","More than 10 Years"))))</f>
        <v>More than 10 Years</v>
      </c>
      <c r="AD805">
        <f>ROUND(AVERAGE(EmployeeData[[#This Row],[JobSatisfaction]],EmployeeData[[#This Row],[EnvironmentSatisfaction]],EmployeeData[[#This Row],[WorkLifeBalance]]),2)</f>
        <v>2.33</v>
      </c>
      <c r="AE805" t="str">
        <f>IF(EmployeeData[[#This Row],[Satisfaction Score]]&lt;2,"Low",IF(EmployeeData[[#This Row],[Satisfaction Score]]&lt;3,"Medium","High"))</f>
        <v>Medium</v>
      </c>
    </row>
    <row r="806" spans="1:31" x14ac:dyDescent="0.25">
      <c r="A806" t="s">
        <v>3760</v>
      </c>
      <c r="B806" t="s">
        <v>3761</v>
      </c>
      <c r="C806" t="s">
        <v>58</v>
      </c>
      <c r="D806">
        <v>29</v>
      </c>
      <c r="E806" t="s">
        <v>128</v>
      </c>
      <c r="F806" t="s">
        <v>226</v>
      </c>
      <c r="G806" s="1">
        <v>42491</v>
      </c>
      <c r="H806">
        <v>79634</v>
      </c>
      <c r="I806" t="s">
        <v>42</v>
      </c>
      <c r="J806" t="s">
        <v>143</v>
      </c>
      <c r="K806" t="s">
        <v>98</v>
      </c>
      <c r="L806" t="s">
        <v>33</v>
      </c>
      <c r="M806">
        <v>23</v>
      </c>
      <c r="N806" t="s">
        <v>45</v>
      </c>
      <c r="O806">
        <v>3</v>
      </c>
      <c r="P806">
        <v>1</v>
      </c>
      <c r="Q806">
        <v>1</v>
      </c>
      <c r="R806">
        <v>3</v>
      </c>
      <c r="S806">
        <v>1</v>
      </c>
      <c r="T806">
        <v>1</v>
      </c>
      <c r="U806">
        <v>19</v>
      </c>
      <c r="V806" t="s">
        <v>3763</v>
      </c>
      <c r="W806" t="s">
        <v>34</v>
      </c>
      <c r="Y806" s="2" t="str">
        <f>IF(EmployeeData[[#This Row],[Age]]&lt;25,"Under 25",IF(EmployeeData[[#This Row],[Age]]&lt;=34,"25-34",IF(EmployeeData[[#This Row],[Age]]&lt;=44,"35-44",IF(EmployeeData[[#This Row],[Age]]&lt;=54,"45-54","55+"))))</f>
        <v>25-34</v>
      </c>
      <c r="Z806">
        <f ca="1">DATEDIF(EmployeeData[[#This Row],[DateOfJoining]],IF(AND(EmployeeData[[#This Row],[Attrition]]="Yes",EmployeeData[[#This Row],[LastWorkingDate]]&lt;&gt;""),EmployeeData[[#This Row],[LastWorkingDate]],TODAY()),"Y")</f>
        <v>10</v>
      </c>
      <c r="AA806" t="str">
        <f>IF(EmployeeData[[#This Row],[MonthlyIncome]]&lt;30000,"Low",IF(EmployeeData[[#This Row],[MonthlyIncome]]&lt;=60000,"Medium",IF(EmployeeData[[#This Row],[MonthlyIncome]]&lt;=100000,"High","Very High")))</f>
        <v>High</v>
      </c>
      <c r="AB806">
        <f>IF(EmployeeData[[#This Row],[Attrition]]="Yes",1,0)</f>
        <v>0</v>
      </c>
      <c r="AC806" t="str">
        <f ca="1">IF(EmployeeData[[#This Row],[Tenure Years]]&lt;1,"Less than 1 Year",IF(EmployeeData[[#This Row],[Tenure Years]]&lt;=3,"1-3 Years",IF(EmployeeData[[#This Row],[Tenure Years]]&lt;=5,"4-5 Years",IF(EmployeeData[[#This Row],[Tenure Years]]&lt;=10,"6-10 Years","More than 10 Years"))))</f>
        <v>6-10 Years</v>
      </c>
      <c r="AD806">
        <f>ROUND(AVERAGE(EmployeeData[[#This Row],[JobSatisfaction]],EmployeeData[[#This Row],[EnvironmentSatisfaction]],EmployeeData[[#This Row],[WorkLifeBalance]]),2)</f>
        <v>1.67</v>
      </c>
      <c r="AE806" t="str">
        <f>IF(EmployeeData[[#This Row],[Satisfaction Score]]&lt;2,"Low",IF(EmployeeData[[#This Row],[Satisfaction Score]]&lt;3,"Medium","High"))</f>
        <v>Low</v>
      </c>
    </row>
    <row r="807" spans="1:31" x14ac:dyDescent="0.25">
      <c r="A807" t="s">
        <v>3764</v>
      </c>
      <c r="B807" t="s">
        <v>3765</v>
      </c>
      <c r="C807" t="s">
        <v>58</v>
      </c>
      <c r="D807">
        <v>21</v>
      </c>
      <c r="E807" t="s">
        <v>94</v>
      </c>
      <c r="F807" t="s">
        <v>306</v>
      </c>
      <c r="G807" s="1">
        <v>42636</v>
      </c>
      <c r="H807">
        <v>60168</v>
      </c>
      <c r="I807" t="s">
        <v>52</v>
      </c>
      <c r="J807" t="s">
        <v>31</v>
      </c>
      <c r="K807" t="s">
        <v>200</v>
      </c>
      <c r="L807" t="s">
        <v>43</v>
      </c>
      <c r="M807">
        <v>24</v>
      </c>
      <c r="N807" t="s">
        <v>34</v>
      </c>
      <c r="O807">
        <v>4</v>
      </c>
      <c r="P807">
        <v>4</v>
      </c>
      <c r="Q807">
        <v>1</v>
      </c>
      <c r="R807">
        <v>4</v>
      </c>
      <c r="S807">
        <v>1</v>
      </c>
      <c r="T807">
        <v>0</v>
      </c>
      <c r="U807">
        <v>13</v>
      </c>
      <c r="V807" t="s">
        <v>3767</v>
      </c>
      <c r="W807" t="s">
        <v>34</v>
      </c>
      <c r="Y807" s="2" t="str">
        <f>IF(EmployeeData[[#This Row],[Age]]&lt;25,"Under 25",IF(EmployeeData[[#This Row],[Age]]&lt;=34,"25-34",IF(EmployeeData[[#This Row],[Age]]&lt;=44,"35-44",IF(EmployeeData[[#This Row],[Age]]&lt;=54,"45-54","55+"))))</f>
        <v>Under 25</v>
      </c>
      <c r="Z807">
        <f ca="1">DATEDIF(EmployeeData[[#This Row],[DateOfJoining]],IF(AND(EmployeeData[[#This Row],[Attrition]]="Yes",EmployeeData[[#This Row],[LastWorkingDate]]&lt;&gt;""),EmployeeData[[#This Row],[LastWorkingDate]],TODAY()),"Y")</f>
        <v>9</v>
      </c>
      <c r="AA807" t="str">
        <f>IF(EmployeeData[[#This Row],[MonthlyIncome]]&lt;30000,"Low",IF(EmployeeData[[#This Row],[MonthlyIncome]]&lt;=60000,"Medium",IF(EmployeeData[[#This Row],[MonthlyIncome]]&lt;=100000,"High","Very High")))</f>
        <v>High</v>
      </c>
      <c r="AB807">
        <f>IF(EmployeeData[[#This Row],[Attrition]]="Yes",1,0)</f>
        <v>0</v>
      </c>
      <c r="AC807" t="str">
        <f ca="1">IF(EmployeeData[[#This Row],[Tenure Years]]&lt;1,"Less than 1 Year",IF(EmployeeData[[#This Row],[Tenure Years]]&lt;=3,"1-3 Years",IF(EmployeeData[[#This Row],[Tenure Years]]&lt;=5,"4-5 Years",IF(EmployeeData[[#This Row],[Tenure Years]]&lt;=10,"6-10 Years","More than 10 Years"))))</f>
        <v>6-10 Years</v>
      </c>
      <c r="AD807">
        <f>ROUND(AVERAGE(EmployeeData[[#This Row],[JobSatisfaction]],EmployeeData[[#This Row],[EnvironmentSatisfaction]],EmployeeData[[#This Row],[WorkLifeBalance]]),2)</f>
        <v>3</v>
      </c>
      <c r="AE807" t="str">
        <f>IF(EmployeeData[[#This Row],[Satisfaction Score]]&lt;2,"Low",IF(EmployeeData[[#This Row],[Satisfaction Score]]&lt;3,"Medium","High"))</f>
        <v>High</v>
      </c>
    </row>
    <row r="808" spans="1:31" x14ac:dyDescent="0.25">
      <c r="A808" t="s">
        <v>3768</v>
      </c>
      <c r="B808" t="s">
        <v>3769</v>
      </c>
      <c r="C808" t="s">
        <v>58</v>
      </c>
      <c r="D808">
        <v>42</v>
      </c>
      <c r="E808" t="s">
        <v>94</v>
      </c>
      <c r="F808" t="s">
        <v>356</v>
      </c>
      <c r="G808" s="1">
        <v>42511</v>
      </c>
      <c r="H808">
        <v>75605</v>
      </c>
      <c r="I808" t="s">
        <v>30</v>
      </c>
      <c r="J808" t="s">
        <v>61</v>
      </c>
      <c r="K808" t="s">
        <v>32</v>
      </c>
      <c r="L808" t="s">
        <v>62</v>
      </c>
      <c r="M808">
        <v>40</v>
      </c>
      <c r="N808" t="s">
        <v>34</v>
      </c>
      <c r="O808">
        <v>4</v>
      </c>
      <c r="P808">
        <v>3</v>
      </c>
      <c r="Q808">
        <v>3</v>
      </c>
      <c r="R808">
        <v>3</v>
      </c>
      <c r="S808">
        <v>2</v>
      </c>
      <c r="T808">
        <v>7</v>
      </c>
      <c r="U808">
        <v>20</v>
      </c>
      <c r="V808" t="s">
        <v>3771</v>
      </c>
      <c r="W808" t="s">
        <v>34</v>
      </c>
      <c r="Y808" s="2" t="str">
        <f>IF(EmployeeData[[#This Row],[Age]]&lt;25,"Under 25",IF(EmployeeData[[#This Row],[Age]]&lt;=34,"25-34",IF(EmployeeData[[#This Row],[Age]]&lt;=44,"35-44",IF(EmployeeData[[#This Row],[Age]]&lt;=54,"45-54","55+"))))</f>
        <v>35-44</v>
      </c>
      <c r="Z808">
        <f ca="1">DATEDIF(EmployeeData[[#This Row],[DateOfJoining]],IF(AND(EmployeeData[[#This Row],[Attrition]]="Yes",EmployeeData[[#This Row],[LastWorkingDate]]&lt;&gt;""),EmployeeData[[#This Row],[LastWorkingDate]],TODAY()),"Y")</f>
        <v>10</v>
      </c>
      <c r="AA808" t="str">
        <f>IF(EmployeeData[[#This Row],[MonthlyIncome]]&lt;30000,"Low",IF(EmployeeData[[#This Row],[MonthlyIncome]]&lt;=60000,"Medium",IF(EmployeeData[[#This Row],[MonthlyIncome]]&lt;=100000,"High","Very High")))</f>
        <v>High</v>
      </c>
      <c r="AB808">
        <f>IF(EmployeeData[[#This Row],[Attrition]]="Yes",1,0)</f>
        <v>0</v>
      </c>
      <c r="AC808" t="str">
        <f ca="1">IF(EmployeeData[[#This Row],[Tenure Years]]&lt;1,"Less than 1 Year",IF(EmployeeData[[#This Row],[Tenure Years]]&lt;=3,"1-3 Years",IF(EmployeeData[[#This Row],[Tenure Years]]&lt;=5,"4-5 Years",IF(EmployeeData[[#This Row],[Tenure Years]]&lt;=10,"6-10 Years","More than 10 Years"))))</f>
        <v>6-10 Years</v>
      </c>
      <c r="AD808">
        <f>ROUND(AVERAGE(EmployeeData[[#This Row],[JobSatisfaction]],EmployeeData[[#This Row],[EnvironmentSatisfaction]],EmployeeData[[#This Row],[WorkLifeBalance]]),2)</f>
        <v>3.33</v>
      </c>
      <c r="AE808" t="str">
        <f>IF(EmployeeData[[#This Row],[Satisfaction Score]]&lt;2,"Low",IF(EmployeeData[[#This Row],[Satisfaction Score]]&lt;3,"Medium","High"))</f>
        <v>High</v>
      </c>
    </row>
    <row r="809" spans="1:31" x14ac:dyDescent="0.25">
      <c r="A809" t="s">
        <v>3772</v>
      </c>
      <c r="B809" t="s">
        <v>3773</v>
      </c>
      <c r="C809" t="s">
        <v>58</v>
      </c>
      <c r="D809">
        <v>26</v>
      </c>
      <c r="E809" t="s">
        <v>128</v>
      </c>
      <c r="F809" t="s">
        <v>255</v>
      </c>
      <c r="G809" s="1">
        <v>44115</v>
      </c>
      <c r="H809">
        <v>92193</v>
      </c>
      <c r="I809" t="s">
        <v>30</v>
      </c>
      <c r="J809" t="s">
        <v>53</v>
      </c>
      <c r="K809" t="s">
        <v>98</v>
      </c>
      <c r="L809" t="s">
        <v>62</v>
      </c>
      <c r="M809">
        <v>20</v>
      </c>
      <c r="N809" t="s">
        <v>34</v>
      </c>
      <c r="O809">
        <v>4</v>
      </c>
      <c r="P809">
        <v>3</v>
      </c>
      <c r="Q809">
        <v>2</v>
      </c>
      <c r="R809">
        <v>1</v>
      </c>
      <c r="S809">
        <v>4</v>
      </c>
      <c r="T809">
        <v>2</v>
      </c>
      <c r="U809">
        <v>17</v>
      </c>
      <c r="V809" t="s">
        <v>3775</v>
      </c>
      <c r="W809" t="s">
        <v>34</v>
      </c>
      <c r="Y809" s="2" t="str">
        <f>IF(EmployeeData[[#This Row],[Age]]&lt;25,"Under 25",IF(EmployeeData[[#This Row],[Age]]&lt;=34,"25-34",IF(EmployeeData[[#This Row],[Age]]&lt;=44,"35-44",IF(EmployeeData[[#This Row],[Age]]&lt;=54,"45-54","55+"))))</f>
        <v>25-34</v>
      </c>
      <c r="Z809">
        <f ca="1">DATEDIF(EmployeeData[[#This Row],[DateOfJoining]],IF(AND(EmployeeData[[#This Row],[Attrition]]="Yes",EmployeeData[[#This Row],[LastWorkingDate]]&lt;&gt;""),EmployeeData[[#This Row],[LastWorkingDate]],TODAY()),"Y")</f>
        <v>5</v>
      </c>
      <c r="AA809" t="str">
        <f>IF(EmployeeData[[#This Row],[MonthlyIncome]]&lt;30000,"Low",IF(EmployeeData[[#This Row],[MonthlyIncome]]&lt;=60000,"Medium",IF(EmployeeData[[#This Row],[MonthlyIncome]]&lt;=100000,"High","Very High")))</f>
        <v>High</v>
      </c>
      <c r="AB809">
        <f>IF(EmployeeData[[#This Row],[Attrition]]="Yes",1,0)</f>
        <v>0</v>
      </c>
      <c r="AC809" t="str">
        <f ca="1">IF(EmployeeData[[#This Row],[Tenure Years]]&lt;1,"Less than 1 Year",IF(EmployeeData[[#This Row],[Tenure Years]]&lt;=3,"1-3 Years",IF(EmployeeData[[#This Row],[Tenure Years]]&lt;=5,"4-5 Years",IF(EmployeeData[[#This Row],[Tenure Years]]&lt;=10,"6-10 Years","More than 10 Years"))))</f>
        <v>4-5 Years</v>
      </c>
      <c r="AD809">
        <f>ROUND(AVERAGE(EmployeeData[[#This Row],[JobSatisfaction]],EmployeeData[[#This Row],[EnvironmentSatisfaction]],EmployeeData[[#This Row],[WorkLifeBalance]]),2)</f>
        <v>3</v>
      </c>
      <c r="AE809" t="str">
        <f>IF(EmployeeData[[#This Row],[Satisfaction Score]]&lt;2,"Low",IF(EmployeeData[[#This Row],[Satisfaction Score]]&lt;3,"Medium","High"))</f>
        <v>High</v>
      </c>
    </row>
    <row r="810" spans="1:31" x14ac:dyDescent="0.25">
      <c r="A810" t="s">
        <v>3776</v>
      </c>
      <c r="B810" t="s">
        <v>3777</v>
      </c>
      <c r="C810" t="s">
        <v>58</v>
      </c>
      <c r="D810">
        <v>43</v>
      </c>
      <c r="E810" t="s">
        <v>27</v>
      </c>
      <c r="F810" t="s">
        <v>50</v>
      </c>
      <c r="G810" s="1">
        <v>43914</v>
      </c>
      <c r="H810">
        <v>100139</v>
      </c>
      <c r="I810" t="s">
        <v>5459</v>
      </c>
      <c r="J810" t="s">
        <v>143</v>
      </c>
      <c r="K810" t="s">
        <v>200</v>
      </c>
      <c r="L810" t="s">
        <v>43</v>
      </c>
      <c r="M810">
        <v>3</v>
      </c>
      <c r="N810" t="s">
        <v>34</v>
      </c>
      <c r="O810">
        <v>3</v>
      </c>
      <c r="P810">
        <v>4</v>
      </c>
      <c r="Q810">
        <v>1</v>
      </c>
      <c r="R810">
        <v>3</v>
      </c>
      <c r="S810">
        <v>0</v>
      </c>
      <c r="T810">
        <v>3</v>
      </c>
      <c r="U810">
        <v>23</v>
      </c>
      <c r="V810" t="s">
        <v>3778</v>
      </c>
      <c r="W810" t="s">
        <v>34</v>
      </c>
      <c r="Y810" s="2" t="str">
        <f>IF(EmployeeData[[#This Row],[Age]]&lt;25,"Under 25",IF(EmployeeData[[#This Row],[Age]]&lt;=34,"25-34",IF(EmployeeData[[#This Row],[Age]]&lt;=44,"35-44",IF(EmployeeData[[#This Row],[Age]]&lt;=54,"45-54","55+"))))</f>
        <v>35-44</v>
      </c>
      <c r="Z810">
        <f ca="1">DATEDIF(EmployeeData[[#This Row],[DateOfJoining]],IF(AND(EmployeeData[[#This Row],[Attrition]]="Yes",EmployeeData[[#This Row],[LastWorkingDate]]&lt;&gt;""),EmployeeData[[#This Row],[LastWorkingDate]],TODAY()),"Y")</f>
        <v>6</v>
      </c>
      <c r="AA810" t="str">
        <f>IF(EmployeeData[[#This Row],[MonthlyIncome]]&lt;30000,"Low",IF(EmployeeData[[#This Row],[MonthlyIncome]]&lt;=60000,"Medium",IF(EmployeeData[[#This Row],[MonthlyIncome]]&lt;=100000,"High","Very High")))</f>
        <v>Very High</v>
      </c>
      <c r="AB810">
        <f>IF(EmployeeData[[#This Row],[Attrition]]="Yes",1,0)</f>
        <v>0</v>
      </c>
      <c r="AC810" t="str">
        <f ca="1">IF(EmployeeData[[#This Row],[Tenure Years]]&lt;1,"Less than 1 Year",IF(EmployeeData[[#This Row],[Tenure Years]]&lt;=3,"1-3 Years",IF(EmployeeData[[#This Row],[Tenure Years]]&lt;=5,"4-5 Years",IF(EmployeeData[[#This Row],[Tenure Years]]&lt;=10,"6-10 Years","More than 10 Years"))))</f>
        <v>6-10 Years</v>
      </c>
      <c r="AD810">
        <f>ROUND(AVERAGE(EmployeeData[[#This Row],[JobSatisfaction]],EmployeeData[[#This Row],[EnvironmentSatisfaction]],EmployeeData[[#This Row],[WorkLifeBalance]]),2)</f>
        <v>2.67</v>
      </c>
      <c r="AE810" t="str">
        <f>IF(EmployeeData[[#This Row],[Satisfaction Score]]&lt;2,"Low",IF(EmployeeData[[#This Row],[Satisfaction Score]]&lt;3,"Medium","High"))</f>
        <v>Medium</v>
      </c>
    </row>
    <row r="811" spans="1:31" x14ac:dyDescent="0.25">
      <c r="A811" t="s">
        <v>3779</v>
      </c>
      <c r="B811" t="s">
        <v>3780</v>
      </c>
      <c r="C811" t="s">
        <v>5459</v>
      </c>
      <c r="D811">
        <v>39</v>
      </c>
      <c r="E811" t="s">
        <v>197</v>
      </c>
      <c r="F811" t="s">
        <v>573</v>
      </c>
      <c r="G811" s="1">
        <v>44520</v>
      </c>
      <c r="H811">
        <v>88377</v>
      </c>
      <c r="I811" t="s">
        <v>52</v>
      </c>
      <c r="J811" t="s">
        <v>61</v>
      </c>
      <c r="K811" t="s">
        <v>167</v>
      </c>
      <c r="L811" t="s">
        <v>33</v>
      </c>
      <c r="M811">
        <v>44</v>
      </c>
      <c r="N811" t="s">
        <v>34</v>
      </c>
      <c r="O811">
        <v>1</v>
      </c>
      <c r="P811">
        <v>2</v>
      </c>
      <c r="Q811">
        <v>2</v>
      </c>
      <c r="R811">
        <v>3</v>
      </c>
      <c r="S811">
        <v>6</v>
      </c>
      <c r="T811">
        <v>7</v>
      </c>
      <c r="U811">
        <v>12</v>
      </c>
      <c r="V811" t="s">
        <v>3782</v>
      </c>
      <c r="W811" t="s">
        <v>34</v>
      </c>
      <c r="Y811" s="2" t="str">
        <f>IF(EmployeeData[[#This Row],[Age]]&lt;25,"Under 25",IF(EmployeeData[[#This Row],[Age]]&lt;=34,"25-34",IF(EmployeeData[[#This Row],[Age]]&lt;=44,"35-44",IF(EmployeeData[[#This Row],[Age]]&lt;=54,"45-54","55+"))))</f>
        <v>35-44</v>
      </c>
      <c r="Z811">
        <f ca="1">DATEDIF(EmployeeData[[#This Row],[DateOfJoining]],IF(AND(EmployeeData[[#This Row],[Attrition]]="Yes",EmployeeData[[#This Row],[LastWorkingDate]]&lt;&gt;""),EmployeeData[[#This Row],[LastWorkingDate]],TODAY()),"Y")</f>
        <v>4</v>
      </c>
      <c r="AA811" t="str">
        <f>IF(EmployeeData[[#This Row],[MonthlyIncome]]&lt;30000,"Low",IF(EmployeeData[[#This Row],[MonthlyIncome]]&lt;=60000,"Medium",IF(EmployeeData[[#This Row],[MonthlyIncome]]&lt;=100000,"High","Very High")))</f>
        <v>High</v>
      </c>
      <c r="AB811">
        <f>IF(EmployeeData[[#This Row],[Attrition]]="Yes",1,0)</f>
        <v>0</v>
      </c>
      <c r="AC811" t="str">
        <f ca="1">IF(EmployeeData[[#This Row],[Tenure Years]]&lt;1,"Less than 1 Year",IF(EmployeeData[[#This Row],[Tenure Years]]&lt;=3,"1-3 Years",IF(EmployeeData[[#This Row],[Tenure Years]]&lt;=5,"4-5 Years",IF(EmployeeData[[#This Row],[Tenure Years]]&lt;=10,"6-10 Years","More than 10 Years"))))</f>
        <v>4-5 Years</v>
      </c>
      <c r="AD811">
        <f>ROUND(AVERAGE(EmployeeData[[#This Row],[JobSatisfaction]],EmployeeData[[#This Row],[EnvironmentSatisfaction]],EmployeeData[[#This Row],[WorkLifeBalance]]),2)</f>
        <v>1.67</v>
      </c>
      <c r="AE811" t="str">
        <f>IF(EmployeeData[[#This Row],[Satisfaction Score]]&lt;2,"Low",IF(EmployeeData[[#This Row],[Satisfaction Score]]&lt;3,"Medium","High"))</f>
        <v>Low</v>
      </c>
    </row>
    <row r="812" spans="1:31" x14ac:dyDescent="0.25">
      <c r="A812" t="s">
        <v>3783</v>
      </c>
      <c r="B812" t="s">
        <v>3784</v>
      </c>
      <c r="C812" t="s">
        <v>58</v>
      </c>
      <c r="D812">
        <v>39</v>
      </c>
      <c r="E812" t="s">
        <v>27</v>
      </c>
      <c r="F812" t="s">
        <v>59</v>
      </c>
      <c r="G812" s="1">
        <v>40893</v>
      </c>
      <c r="H812">
        <v>69208</v>
      </c>
      <c r="I812" t="s">
        <v>52</v>
      </c>
      <c r="J812" t="s">
        <v>61</v>
      </c>
      <c r="K812" t="s">
        <v>5459</v>
      </c>
      <c r="L812" t="s">
        <v>62</v>
      </c>
      <c r="M812">
        <v>18</v>
      </c>
      <c r="N812" t="s">
        <v>45</v>
      </c>
      <c r="O812">
        <v>3</v>
      </c>
      <c r="P812">
        <v>1</v>
      </c>
      <c r="Q812">
        <v>4</v>
      </c>
      <c r="R812">
        <v>3</v>
      </c>
      <c r="S812">
        <v>5</v>
      </c>
      <c r="T812">
        <v>6</v>
      </c>
      <c r="U812">
        <v>23</v>
      </c>
      <c r="V812" t="s">
        <v>3786</v>
      </c>
      <c r="W812" t="s">
        <v>34</v>
      </c>
      <c r="Y812" s="2" t="str">
        <f>IF(EmployeeData[[#This Row],[Age]]&lt;25,"Under 25",IF(EmployeeData[[#This Row],[Age]]&lt;=34,"25-34",IF(EmployeeData[[#This Row],[Age]]&lt;=44,"35-44",IF(EmployeeData[[#This Row],[Age]]&lt;=54,"45-54","55+"))))</f>
        <v>35-44</v>
      </c>
      <c r="Z812">
        <f ca="1">DATEDIF(EmployeeData[[#This Row],[DateOfJoining]],IF(AND(EmployeeData[[#This Row],[Attrition]]="Yes",EmployeeData[[#This Row],[LastWorkingDate]]&lt;&gt;""),EmployeeData[[#This Row],[LastWorkingDate]],TODAY()),"Y")</f>
        <v>14</v>
      </c>
      <c r="AA812" t="str">
        <f>IF(EmployeeData[[#This Row],[MonthlyIncome]]&lt;30000,"Low",IF(EmployeeData[[#This Row],[MonthlyIncome]]&lt;=60000,"Medium",IF(EmployeeData[[#This Row],[MonthlyIncome]]&lt;=100000,"High","Very High")))</f>
        <v>High</v>
      </c>
      <c r="AB812">
        <f>IF(EmployeeData[[#This Row],[Attrition]]="Yes",1,0)</f>
        <v>0</v>
      </c>
      <c r="AC812" t="str">
        <f ca="1">IF(EmployeeData[[#This Row],[Tenure Years]]&lt;1,"Less than 1 Year",IF(EmployeeData[[#This Row],[Tenure Years]]&lt;=3,"1-3 Years",IF(EmployeeData[[#This Row],[Tenure Years]]&lt;=5,"4-5 Years",IF(EmployeeData[[#This Row],[Tenure Years]]&lt;=10,"6-10 Years","More than 10 Years"))))</f>
        <v>More than 10 Years</v>
      </c>
      <c r="AD812">
        <f>ROUND(AVERAGE(EmployeeData[[#This Row],[JobSatisfaction]],EmployeeData[[#This Row],[EnvironmentSatisfaction]],EmployeeData[[#This Row],[WorkLifeBalance]]),2)</f>
        <v>2.67</v>
      </c>
      <c r="AE812" t="str">
        <f>IF(EmployeeData[[#This Row],[Satisfaction Score]]&lt;2,"Low",IF(EmployeeData[[#This Row],[Satisfaction Score]]&lt;3,"Medium","High"))</f>
        <v>Medium</v>
      </c>
    </row>
    <row r="813" spans="1:31" x14ac:dyDescent="0.25">
      <c r="A813" t="s">
        <v>3787</v>
      </c>
      <c r="B813" t="s">
        <v>5459</v>
      </c>
      <c r="C813" t="s">
        <v>49</v>
      </c>
      <c r="D813">
        <v>37</v>
      </c>
      <c r="E813" t="s">
        <v>5461</v>
      </c>
      <c r="F813" t="s">
        <v>5464</v>
      </c>
      <c r="G813" s="1">
        <v>45659</v>
      </c>
      <c r="H813">
        <v>128922</v>
      </c>
      <c r="I813" t="s">
        <v>42</v>
      </c>
      <c r="J813" t="s">
        <v>61</v>
      </c>
      <c r="K813" t="s">
        <v>113</v>
      </c>
      <c r="L813" t="s">
        <v>62</v>
      </c>
      <c r="M813">
        <v>8</v>
      </c>
      <c r="N813" t="s">
        <v>34</v>
      </c>
      <c r="O813">
        <v>1</v>
      </c>
      <c r="P813">
        <v>2</v>
      </c>
      <c r="Q813">
        <v>4</v>
      </c>
      <c r="R813">
        <v>4</v>
      </c>
      <c r="S813">
        <v>6</v>
      </c>
      <c r="T813">
        <v>3</v>
      </c>
      <c r="U813">
        <v>18</v>
      </c>
      <c r="V813" t="s">
        <v>3789</v>
      </c>
      <c r="W813" t="s">
        <v>45</v>
      </c>
      <c r="X813" s="1">
        <v>45822</v>
      </c>
      <c r="Y813" s="2" t="str">
        <f>IF(EmployeeData[[#This Row],[Age]]&lt;25,"Under 25",IF(EmployeeData[[#This Row],[Age]]&lt;=34,"25-34",IF(EmployeeData[[#This Row],[Age]]&lt;=44,"35-44",IF(EmployeeData[[#This Row],[Age]]&lt;=54,"45-54","55+"))))</f>
        <v>35-44</v>
      </c>
      <c r="Z813">
        <f ca="1">DATEDIF(EmployeeData[[#This Row],[DateOfJoining]],IF(AND(EmployeeData[[#This Row],[Attrition]]="Yes",EmployeeData[[#This Row],[LastWorkingDate]]&lt;&gt;""),EmployeeData[[#This Row],[LastWorkingDate]],TODAY()),"Y")</f>
        <v>0</v>
      </c>
      <c r="AA813" t="str">
        <f>IF(EmployeeData[[#This Row],[MonthlyIncome]]&lt;30000,"Low",IF(EmployeeData[[#This Row],[MonthlyIncome]]&lt;=60000,"Medium",IF(EmployeeData[[#This Row],[MonthlyIncome]]&lt;=100000,"High","Very High")))</f>
        <v>Very High</v>
      </c>
      <c r="AB813">
        <f>IF(EmployeeData[[#This Row],[Attrition]]="Yes",1,0)</f>
        <v>1</v>
      </c>
      <c r="AC813" t="str">
        <f ca="1">IF(EmployeeData[[#This Row],[Tenure Years]]&lt;1,"Less than 1 Year",IF(EmployeeData[[#This Row],[Tenure Years]]&lt;=3,"1-3 Years",IF(EmployeeData[[#This Row],[Tenure Years]]&lt;=5,"4-5 Years",IF(EmployeeData[[#This Row],[Tenure Years]]&lt;=10,"6-10 Years","More than 10 Years"))))</f>
        <v>Less than 1 Year</v>
      </c>
      <c r="AD813">
        <f>ROUND(AVERAGE(EmployeeData[[#This Row],[JobSatisfaction]],EmployeeData[[#This Row],[EnvironmentSatisfaction]],EmployeeData[[#This Row],[WorkLifeBalance]]),2)</f>
        <v>2.33</v>
      </c>
      <c r="AE813" t="str">
        <f>IF(EmployeeData[[#This Row],[Satisfaction Score]]&lt;2,"Low",IF(EmployeeData[[#This Row],[Satisfaction Score]]&lt;3,"Medium","High"))</f>
        <v>Medium</v>
      </c>
    </row>
    <row r="814" spans="1:31" x14ac:dyDescent="0.25">
      <c r="A814" t="s">
        <v>3791</v>
      </c>
      <c r="B814" t="s">
        <v>3792</v>
      </c>
      <c r="C814" t="s">
        <v>49</v>
      </c>
      <c r="D814">
        <v>37</v>
      </c>
      <c r="E814" t="s">
        <v>128</v>
      </c>
      <c r="F814" t="s">
        <v>271</v>
      </c>
      <c r="G814" s="1">
        <v>45389</v>
      </c>
      <c r="H814">
        <v>77598</v>
      </c>
      <c r="I814" t="s">
        <v>30</v>
      </c>
      <c r="J814" t="s">
        <v>31</v>
      </c>
      <c r="K814" t="s">
        <v>167</v>
      </c>
      <c r="L814" t="s">
        <v>43</v>
      </c>
      <c r="M814">
        <v>2</v>
      </c>
      <c r="N814" t="s">
        <v>45</v>
      </c>
      <c r="O814">
        <v>4</v>
      </c>
      <c r="P814">
        <v>3</v>
      </c>
      <c r="Q814">
        <v>3</v>
      </c>
      <c r="R814">
        <v>3</v>
      </c>
      <c r="S814">
        <v>4</v>
      </c>
      <c r="T814">
        <v>3</v>
      </c>
      <c r="U814">
        <v>16</v>
      </c>
      <c r="V814" t="s">
        <v>288</v>
      </c>
      <c r="W814" t="s">
        <v>34</v>
      </c>
      <c r="Y814" s="2" t="str">
        <f>IF(EmployeeData[[#This Row],[Age]]&lt;25,"Under 25",IF(EmployeeData[[#This Row],[Age]]&lt;=34,"25-34",IF(EmployeeData[[#This Row],[Age]]&lt;=44,"35-44",IF(EmployeeData[[#This Row],[Age]]&lt;=54,"45-54","55+"))))</f>
        <v>35-44</v>
      </c>
      <c r="Z814">
        <f ca="1">DATEDIF(EmployeeData[[#This Row],[DateOfJoining]],IF(AND(EmployeeData[[#This Row],[Attrition]]="Yes",EmployeeData[[#This Row],[LastWorkingDate]]&lt;&gt;""),EmployeeData[[#This Row],[LastWorkingDate]],TODAY()),"Y")</f>
        <v>2</v>
      </c>
      <c r="AA814" t="str">
        <f>IF(EmployeeData[[#This Row],[MonthlyIncome]]&lt;30000,"Low",IF(EmployeeData[[#This Row],[MonthlyIncome]]&lt;=60000,"Medium",IF(EmployeeData[[#This Row],[MonthlyIncome]]&lt;=100000,"High","Very High")))</f>
        <v>High</v>
      </c>
      <c r="AB814">
        <f>IF(EmployeeData[[#This Row],[Attrition]]="Yes",1,0)</f>
        <v>0</v>
      </c>
      <c r="AC814" t="str">
        <f ca="1">IF(EmployeeData[[#This Row],[Tenure Years]]&lt;1,"Less than 1 Year",IF(EmployeeData[[#This Row],[Tenure Years]]&lt;=3,"1-3 Years",IF(EmployeeData[[#This Row],[Tenure Years]]&lt;=5,"4-5 Years",IF(EmployeeData[[#This Row],[Tenure Years]]&lt;=10,"6-10 Years","More than 10 Years"))))</f>
        <v>1-3 Years</v>
      </c>
      <c r="AD814">
        <f>ROUND(AVERAGE(EmployeeData[[#This Row],[JobSatisfaction]],EmployeeData[[#This Row],[EnvironmentSatisfaction]],EmployeeData[[#This Row],[WorkLifeBalance]]),2)</f>
        <v>3.33</v>
      </c>
      <c r="AE814" t="str">
        <f>IF(EmployeeData[[#This Row],[Satisfaction Score]]&lt;2,"Low",IF(EmployeeData[[#This Row],[Satisfaction Score]]&lt;3,"Medium","High"))</f>
        <v>High</v>
      </c>
    </row>
    <row r="815" spans="1:31" x14ac:dyDescent="0.25">
      <c r="A815" t="s">
        <v>3794</v>
      </c>
      <c r="B815" t="s">
        <v>3795</v>
      </c>
      <c r="C815" t="s">
        <v>49</v>
      </c>
      <c r="D815">
        <v>36</v>
      </c>
      <c r="E815" t="s">
        <v>27</v>
      </c>
      <c r="F815" t="s">
        <v>50</v>
      </c>
      <c r="G815" s="1">
        <v>43012</v>
      </c>
      <c r="H815">
        <v>124536</v>
      </c>
      <c r="I815" t="s">
        <v>30</v>
      </c>
      <c r="J815" t="s">
        <v>61</v>
      </c>
      <c r="K815" t="s">
        <v>167</v>
      </c>
      <c r="L815" t="s">
        <v>33</v>
      </c>
      <c r="M815">
        <v>12</v>
      </c>
      <c r="N815" t="s">
        <v>34</v>
      </c>
      <c r="O815">
        <v>1</v>
      </c>
      <c r="P815">
        <v>3</v>
      </c>
      <c r="Q815">
        <v>2</v>
      </c>
      <c r="R815">
        <v>3</v>
      </c>
      <c r="S815">
        <v>6</v>
      </c>
      <c r="T815">
        <v>2</v>
      </c>
      <c r="U815">
        <v>18</v>
      </c>
      <c r="V815" t="s">
        <v>3796</v>
      </c>
      <c r="W815" t="s">
        <v>34</v>
      </c>
      <c r="Y815" s="2" t="str">
        <f>IF(EmployeeData[[#This Row],[Age]]&lt;25,"Under 25",IF(EmployeeData[[#This Row],[Age]]&lt;=34,"25-34",IF(EmployeeData[[#This Row],[Age]]&lt;=44,"35-44",IF(EmployeeData[[#This Row],[Age]]&lt;=54,"45-54","55+"))))</f>
        <v>35-44</v>
      </c>
      <c r="Z815">
        <f ca="1">DATEDIF(EmployeeData[[#This Row],[DateOfJoining]],IF(AND(EmployeeData[[#This Row],[Attrition]]="Yes",EmployeeData[[#This Row],[LastWorkingDate]]&lt;&gt;""),EmployeeData[[#This Row],[LastWorkingDate]],TODAY()),"Y")</f>
        <v>8</v>
      </c>
      <c r="AA815" t="str">
        <f>IF(EmployeeData[[#This Row],[MonthlyIncome]]&lt;30000,"Low",IF(EmployeeData[[#This Row],[MonthlyIncome]]&lt;=60000,"Medium",IF(EmployeeData[[#This Row],[MonthlyIncome]]&lt;=100000,"High","Very High")))</f>
        <v>Very High</v>
      </c>
      <c r="AB815">
        <f>IF(EmployeeData[[#This Row],[Attrition]]="Yes",1,0)</f>
        <v>0</v>
      </c>
      <c r="AC815" t="str">
        <f ca="1">IF(EmployeeData[[#This Row],[Tenure Years]]&lt;1,"Less than 1 Year",IF(EmployeeData[[#This Row],[Tenure Years]]&lt;=3,"1-3 Years",IF(EmployeeData[[#This Row],[Tenure Years]]&lt;=5,"4-5 Years",IF(EmployeeData[[#This Row],[Tenure Years]]&lt;=10,"6-10 Years","More than 10 Years"))))</f>
        <v>6-10 Years</v>
      </c>
      <c r="AD815">
        <f>ROUND(AVERAGE(EmployeeData[[#This Row],[JobSatisfaction]],EmployeeData[[#This Row],[EnvironmentSatisfaction]],EmployeeData[[#This Row],[WorkLifeBalance]]),2)</f>
        <v>2</v>
      </c>
      <c r="AE815" t="str">
        <f>IF(EmployeeData[[#This Row],[Satisfaction Score]]&lt;2,"Low",IF(EmployeeData[[#This Row],[Satisfaction Score]]&lt;3,"Medium","High"))</f>
        <v>Medium</v>
      </c>
    </row>
    <row r="816" spans="1:31" x14ac:dyDescent="0.25">
      <c r="A816" t="s">
        <v>3797</v>
      </c>
      <c r="B816" t="s">
        <v>3798</v>
      </c>
      <c r="C816" t="s">
        <v>58</v>
      </c>
      <c r="D816">
        <v>38</v>
      </c>
      <c r="E816" t="s">
        <v>27</v>
      </c>
      <c r="F816" t="s">
        <v>59</v>
      </c>
      <c r="G816" s="1">
        <v>42377</v>
      </c>
      <c r="H816">
        <v>48965</v>
      </c>
      <c r="I816" t="s">
        <v>52</v>
      </c>
      <c r="J816" t="s">
        <v>31</v>
      </c>
      <c r="K816" t="s">
        <v>131</v>
      </c>
      <c r="L816" t="s">
        <v>43</v>
      </c>
      <c r="M816">
        <v>45</v>
      </c>
      <c r="N816" t="s">
        <v>34</v>
      </c>
      <c r="O816">
        <v>2</v>
      </c>
      <c r="P816">
        <v>3</v>
      </c>
      <c r="Q816">
        <v>4</v>
      </c>
      <c r="R816">
        <v>1</v>
      </c>
      <c r="S816">
        <v>1</v>
      </c>
      <c r="T816">
        <v>2</v>
      </c>
      <c r="U816">
        <v>14</v>
      </c>
      <c r="V816" t="s">
        <v>3800</v>
      </c>
      <c r="W816" t="s">
        <v>34</v>
      </c>
      <c r="Y816" s="2" t="str">
        <f>IF(EmployeeData[[#This Row],[Age]]&lt;25,"Under 25",IF(EmployeeData[[#This Row],[Age]]&lt;=34,"25-34",IF(EmployeeData[[#This Row],[Age]]&lt;=44,"35-44",IF(EmployeeData[[#This Row],[Age]]&lt;=54,"45-54","55+"))))</f>
        <v>35-44</v>
      </c>
      <c r="Z816">
        <f ca="1">DATEDIF(EmployeeData[[#This Row],[DateOfJoining]],IF(AND(EmployeeData[[#This Row],[Attrition]]="Yes",EmployeeData[[#This Row],[LastWorkingDate]]&lt;&gt;""),EmployeeData[[#This Row],[LastWorkingDate]],TODAY()),"Y")</f>
        <v>10</v>
      </c>
      <c r="AA816" t="str">
        <f>IF(EmployeeData[[#This Row],[MonthlyIncome]]&lt;30000,"Low",IF(EmployeeData[[#This Row],[MonthlyIncome]]&lt;=60000,"Medium",IF(EmployeeData[[#This Row],[MonthlyIncome]]&lt;=100000,"High","Very High")))</f>
        <v>Medium</v>
      </c>
      <c r="AB816">
        <f>IF(EmployeeData[[#This Row],[Attrition]]="Yes",1,0)</f>
        <v>0</v>
      </c>
      <c r="AC816" t="str">
        <f ca="1">IF(EmployeeData[[#This Row],[Tenure Years]]&lt;1,"Less than 1 Year",IF(EmployeeData[[#This Row],[Tenure Years]]&lt;=3,"1-3 Years",IF(EmployeeData[[#This Row],[Tenure Years]]&lt;=5,"4-5 Years",IF(EmployeeData[[#This Row],[Tenure Years]]&lt;=10,"6-10 Years","More than 10 Years"))))</f>
        <v>6-10 Years</v>
      </c>
      <c r="AD816">
        <f>ROUND(AVERAGE(EmployeeData[[#This Row],[JobSatisfaction]],EmployeeData[[#This Row],[EnvironmentSatisfaction]],EmployeeData[[#This Row],[WorkLifeBalance]]),2)</f>
        <v>3</v>
      </c>
      <c r="AE816" t="str">
        <f>IF(EmployeeData[[#This Row],[Satisfaction Score]]&lt;2,"Low",IF(EmployeeData[[#This Row],[Satisfaction Score]]&lt;3,"Medium","High"))</f>
        <v>High</v>
      </c>
    </row>
    <row r="817" spans="1:31" x14ac:dyDescent="0.25">
      <c r="A817" t="s">
        <v>3801</v>
      </c>
      <c r="B817" t="s">
        <v>3802</v>
      </c>
      <c r="C817" t="s">
        <v>58</v>
      </c>
      <c r="D817">
        <v>46</v>
      </c>
      <c r="E817" t="s">
        <v>197</v>
      </c>
      <c r="F817" t="s">
        <v>235</v>
      </c>
      <c r="G817" s="1">
        <v>41338</v>
      </c>
      <c r="H817">
        <v>53023</v>
      </c>
      <c r="I817" t="s">
        <v>30</v>
      </c>
      <c r="J817" t="s">
        <v>61</v>
      </c>
      <c r="K817" t="s">
        <v>167</v>
      </c>
      <c r="L817" t="s">
        <v>62</v>
      </c>
      <c r="M817">
        <v>43</v>
      </c>
      <c r="N817" t="s">
        <v>45</v>
      </c>
      <c r="O817">
        <v>2</v>
      </c>
      <c r="P817">
        <v>1</v>
      </c>
      <c r="Q817">
        <v>2</v>
      </c>
      <c r="R817">
        <v>3</v>
      </c>
      <c r="S817">
        <v>2</v>
      </c>
      <c r="T817">
        <v>0</v>
      </c>
      <c r="U817">
        <v>15</v>
      </c>
      <c r="V817" t="s">
        <v>3804</v>
      </c>
      <c r="W817" t="s">
        <v>45</v>
      </c>
      <c r="X817" s="1">
        <v>43762</v>
      </c>
      <c r="Y817" s="2" t="str">
        <f>IF(EmployeeData[[#This Row],[Age]]&lt;25,"Under 25",IF(EmployeeData[[#This Row],[Age]]&lt;=34,"25-34",IF(EmployeeData[[#This Row],[Age]]&lt;=44,"35-44",IF(EmployeeData[[#This Row],[Age]]&lt;=54,"45-54","55+"))))</f>
        <v>45-54</v>
      </c>
      <c r="Z817">
        <f ca="1">DATEDIF(EmployeeData[[#This Row],[DateOfJoining]],IF(AND(EmployeeData[[#This Row],[Attrition]]="Yes",EmployeeData[[#This Row],[LastWorkingDate]]&lt;&gt;""),EmployeeData[[#This Row],[LastWorkingDate]],TODAY()),"Y")</f>
        <v>6</v>
      </c>
      <c r="AA817" t="str">
        <f>IF(EmployeeData[[#This Row],[MonthlyIncome]]&lt;30000,"Low",IF(EmployeeData[[#This Row],[MonthlyIncome]]&lt;=60000,"Medium",IF(EmployeeData[[#This Row],[MonthlyIncome]]&lt;=100000,"High","Very High")))</f>
        <v>Medium</v>
      </c>
      <c r="AB817">
        <f>IF(EmployeeData[[#This Row],[Attrition]]="Yes",1,0)</f>
        <v>1</v>
      </c>
      <c r="AC817" t="str">
        <f ca="1">IF(EmployeeData[[#This Row],[Tenure Years]]&lt;1,"Less than 1 Year",IF(EmployeeData[[#This Row],[Tenure Years]]&lt;=3,"1-3 Years",IF(EmployeeData[[#This Row],[Tenure Years]]&lt;=5,"4-5 Years",IF(EmployeeData[[#This Row],[Tenure Years]]&lt;=10,"6-10 Years","More than 10 Years"))))</f>
        <v>6-10 Years</v>
      </c>
      <c r="AD817">
        <f>ROUND(AVERAGE(EmployeeData[[#This Row],[JobSatisfaction]],EmployeeData[[#This Row],[EnvironmentSatisfaction]],EmployeeData[[#This Row],[WorkLifeBalance]]),2)</f>
        <v>1.67</v>
      </c>
      <c r="AE817" t="str">
        <f>IF(EmployeeData[[#This Row],[Satisfaction Score]]&lt;2,"Low",IF(EmployeeData[[#This Row],[Satisfaction Score]]&lt;3,"Medium","High"))</f>
        <v>Low</v>
      </c>
    </row>
    <row r="818" spans="1:31" x14ac:dyDescent="0.25">
      <c r="A818" t="s">
        <v>3806</v>
      </c>
      <c r="B818" t="s">
        <v>3807</v>
      </c>
      <c r="C818" t="s">
        <v>49</v>
      </c>
      <c r="D818">
        <v>34</v>
      </c>
      <c r="E818" t="s">
        <v>412</v>
      </c>
      <c r="F818" t="s">
        <v>945</v>
      </c>
      <c r="G818" s="1">
        <v>44710</v>
      </c>
      <c r="H818">
        <v>42258</v>
      </c>
      <c r="I818" t="s">
        <v>5459</v>
      </c>
      <c r="J818" t="s">
        <v>61</v>
      </c>
      <c r="K818" t="s">
        <v>167</v>
      </c>
      <c r="L818" t="s">
        <v>33</v>
      </c>
      <c r="M818">
        <v>20</v>
      </c>
      <c r="N818" t="s">
        <v>45</v>
      </c>
      <c r="O818">
        <v>3</v>
      </c>
      <c r="P818">
        <v>3</v>
      </c>
      <c r="Q818">
        <v>1</v>
      </c>
      <c r="R818">
        <v>4</v>
      </c>
      <c r="S818">
        <v>1</v>
      </c>
      <c r="T818">
        <v>1</v>
      </c>
      <c r="U818">
        <v>13</v>
      </c>
      <c r="V818" t="s">
        <v>3809</v>
      </c>
      <c r="W818" t="s">
        <v>34</v>
      </c>
      <c r="Y818" s="2" t="str">
        <f>IF(EmployeeData[[#This Row],[Age]]&lt;25,"Under 25",IF(EmployeeData[[#This Row],[Age]]&lt;=34,"25-34",IF(EmployeeData[[#This Row],[Age]]&lt;=44,"35-44",IF(EmployeeData[[#This Row],[Age]]&lt;=54,"45-54","55+"))))</f>
        <v>25-34</v>
      </c>
      <c r="Z818">
        <f ca="1">DATEDIF(EmployeeData[[#This Row],[DateOfJoining]],IF(AND(EmployeeData[[#This Row],[Attrition]]="Yes",EmployeeData[[#This Row],[LastWorkingDate]]&lt;&gt;""),EmployeeData[[#This Row],[LastWorkingDate]],TODAY()),"Y")</f>
        <v>4</v>
      </c>
      <c r="AA818" t="str">
        <f>IF(EmployeeData[[#This Row],[MonthlyIncome]]&lt;30000,"Low",IF(EmployeeData[[#This Row],[MonthlyIncome]]&lt;=60000,"Medium",IF(EmployeeData[[#This Row],[MonthlyIncome]]&lt;=100000,"High","Very High")))</f>
        <v>Medium</v>
      </c>
      <c r="AB818">
        <f>IF(EmployeeData[[#This Row],[Attrition]]="Yes",1,0)</f>
        <v>0</v>
      </c>
      <c r="AC818" t="str">
        <f ca="1">IF(EmployeeData[[#This Row],[Tenure Years]]&lt;1,"Less than 1 Year",IF(EmployeeData[[#This Row],[Tenure Years]]&lt;=3,"1-3 Years",IF(EmployeeData[[#This Row],[Tenure Years]]&lt;=5,"4-5 Years",IF(EmployeeData[[#This Row],[Tenure Years]]&lt;=10,"6-10 Years","More than 10 Years"))))</f>
        <v>4-5 Years</v>
      </c>
      <c r="AD818">
        <f>ROUND(AVERAGE(EmployeeData[[#This Row],[JobSatisfaction]],EmployeeData[[#This Row],[EnvironmentSatisfaction]],EmployeeData[[#This Row],[WorkLifeBalance]]),2)</f>
        <v>2.33</v>
      </c>
      <c r="AE818" t="str">
        <f>IF(EmployeeData[[#This Row],[Satisfaction Score]]&lt;2,"Low",IF(EmployeeData[[#This Row],[Satisfaction Score]]&lt;3,"Medium","High"))</f>
        <v>Medium</v>
      </c>
    </row>
    <row r="819" spans="1:31" x14ac:dyDescent="0.25">
      <c r="A819" t="s">
        <v>3810</v>
      </c>
      <c r="B819" t="s">
        <v>3811</v>
      </c>
      <c r="C819" t="s">
        <v>49</v>
      </c>
      <c r="D819">
        <v>27</v>
      </c>
      <c r="E819" t="s">
        <v>5461</v>
      </c>
      <c r="F819" t="s">
        <v>483</v>
      </c>
      <c r="G819" s="1">
        <v>44986</v>
      </c>
      <c r="H819">
        <v>122084</v>
      </c>
      <c r="I819" t="s">
        <v>52</v>
      </c>
      <c r="J819" t="s">
        <v>61</v>
      </c>
      <c r="K819" t="s">
        <v>83</v>
      </c>
      <c r="L819" t="s">
        <v>43</v>
      </c>
      <c r="M819">
        <v>23</v>
      </c>
      <c r="N819" t="s">
        <v>34</v>
      </c>
      <c r="O819">
        <v>4</v>
      </c>
      <c r="P819">
        <v>2</v>
      </c>
      <c r="Q819">
        <v>1</v>
      </c>
      <c r="R819">
        <v>3</v>
      </c>
      <c r="S819">
        <v>3</v>
      </c>
      <c r="T819">
        <v>3</v>
      </c>
      <c r="U819">
        <v>18</v>
      </c>
      <c r="V819" t="s">
        <v>3813</v>
      </c>
      <c r="W819" t="s">
        <v>34</v>
      </c>
      <c r="Y819" s="2" t="str">
        <f>IF(EmployeeData[[#This Row],[Age]]&lt;25,"Under 25",IF(EmployeeData[[#This Row],[Age]]&lt;=34,"25-34",IF(EmployeeData[[#This Row],[Age]]&lt;=44,"35-44",IF(EmployeeData[[#This Row],[Age]]&lt;=54,"45-54","55+"))))</f>
        <v>25-34</v>
      </c>
      <c r="Z819">
        <f ca="1">DATEDIF(EmployeeData[[#This Row],[DateOfJoining]],IF(AND(EmployeeData[[#This Row],[Attrition]]="Yes",EmployeeData[[#This Row],[LastWorkingDate]]&lt;&gt;""),EmployeeData[[#This Row],[LastWorkingDate]],TODAY()),"Y")</f>
        <v>3</v>
      </c>
      <c r="AA819" t="str">
        <f>IF(EmployeeData[[#This Row],[MonthlyIncome]]&lt;30000,"Low",IF(EmployeeData[[#This Row],[MonthlyIncome]]&lt;=60000,"Medium",IF(EmployeeData[[#This Row],[MonthlyIncome]]&lt;=100000,"High","Very High")))</f>
        <v>Very High</v>
      </c>
      <c r="AB819">
        <f>IF(EmployeeData[[#This Row],[Attrition]]="Yes",1,0)</f>
        <v>0</v>
      </c>
      <c r="AC819" t="str">
        <f ca="1">IF(EmployeeData[[#This Row],[Tenure Years]]&lt;1,"Less than 1 Year",IF(EmployeeData[[#This Row],[Tenure Years]]&lt;=3,"1-3 Years",IF(EmployeeData[[#This Row],[Tenure Years]]&lt;=5,"4-5 Years",IF(EmployeeData[[#This Row],[Tenure Years]]&lt;=10,"6-10 Years","More than 10 Years"))))</f>
        <v>1-3 Years</v>
      </c>
      <c r="AD819">
        <f>ROUND(AVERAGE(EmployeeData[[#This Row],[JobSatisfaction]],EmployeeData[[#This Row],[EnvironmentSatisfaction]],EmployeeData[[#This Row],[WorkLifeBalance]]),2)</f>
        <v>2.33</v>
      </c>
      <c r="AE819" t="str">
        <f>IF(EmployeeData[[#This Row],[Satisfaction Score]]&lt;2,"Low",IF(EmployeeData[[#This Row],[Satisfaction Score]]&lt;3,"Medium","High"))</f>
        <v>Medium</v>
      </c>
    </row>
    <row r="820" spans="1:31" x14ac:dyDescent="0.25">
      <c r="A820" t="s">
        <v>3814</v>
      </c>
      <c r="B820" t="s">
        <v>3815</v>
      </c>
      <c r="C820" t="s">
        <v>58</v>
      </c>
      <c r="D820">
        <v>36</v>
      </c>
      <c r="E820" t="s">
        <v>128</v>
      </c>
      <c r="F820" t="s">
        <v>271</v>
      </c>
      <c r="G820" s="1">
        <v>44293</v>
      </c>
      <c r="H820">
        <v>78505</v>
      </c>
      <c r="I820" t="s">
        <v>42</v>
      </c>
      <c r="J820" t="s">
        <v>61</v>
      </c>
      <c r="K820" t="s">
        <v>167</v>
      </c>
      <c r="L820" t="s">
        <v>62</v>
      </c>
      <c r="M820">
        <v>2</v>
      </c>
      <c r="N820" t="s">
        <v>34</v>
      </c>
      <c r="O820">
        <v>1</v>
      </c>
      <c r="P820">
        <v>1</v>
      </c>
      <c r="Q820">
        <v>2</v>
      </c>
      <c r="R820">
        <v>2</v>
      </c>
      <c r="S820">
        <v>3</v>
      </c>
      <c r="T820">
        <v>0</v>
      </c>
      <c r="U820">
        <v>18</v>
      </c>
      <c r="V820" t="s">
        <v>3816</v>
      </c>
      <c r="W820" t="s">
        <v>34</v>
      </c>
      <c r="Y820" s="2" t="str">
        <f>IF(EmployeeData[[#This Row],[Age]]&lt;25,"Under 25",IF(EmployeeData[[#This Row],[Age]]&lt;=34,"25-34",IF(EmployeeData[[#This Row],[Age]]&lt;=44,"35-44",IF(EmployeeData[[#This Row],[Age]]&lt;=54,"45-54","55+"))))</f>
        <v>35-44</v>
      </c>
      <c r="Z820">
        <f ca="1">DATEDIF(EmployeeData[[#This Row],[DateOfJoining]],IF(AND(EmployeeData[[#This Row],[Attrition]]="Yes",EmployeeData[[#This Row],[LastWorkingDate]]&lt;&gt;""),EmployeeData[[#This Row],[LastWorkingDate]],TODAY()),"Y")</f>
        <v>5</v>
      </c>
      <c r="AA820" t="str">
        <f>IF(EmployeeData[[#This Row],[MonthlyIncome]]&lt;30000,"Low",IF(EmployeeData[[#This Row],[MonthlyIncome]]&lt;=60000,"Medium",IF(EmployeeData[[#This Row],[MonthlyIncome]]&lt;=100000,"High","Very High")))</f>
        <v>High</v>
      </c>
      <c r="AB820">
        <f>IF(EmployeeData[[#This Row],[Attrition]]="Yes",1,0)</f>
        <v>0</v>
      </c>
      <c r="AC820" t="str">
        <f ca="1">IF(EmployeeData[[#This Row],[Tenure Years]]&lt;1,"Less than 1 Year",IF(EmployeeData[[#This Row],[Tenure Years]]&lt;=3,"1-3 Years",IF(EmployeeData[[#This Row],[Tenure Years]]&lt;=5,"4-5 Years",IF(EmployeeData[[#This Row],[Tenure Years]]&lt;=10,"6-10 Years","More than 10 Years"))))</f>
        <v>4-5 Years</v>
      </c>
      <c r="AD820">
        <f>ROUND(AVERAGE(EmployeeData[[#This Row],[JobSatisfaction]],EmployeeData[[#This Row],[EnvironmentSatisfaction]],EmployeeData[[#This Row],[WorkLifeBalance]]),2)</f>
        <v>1.33</v>
      </c>
      <c r="AE820" t="str">
        <f>IF(EmployeeData[[#This Row],[Satisfaction Score]]&lt;2,"Low",IF(EmployeeData[[#This Row],[Satisfaction Score]]&lt;3,"Medium","High"))</f>
        <v>Low</v>
      </c>
    </row>
    <row r="821" spans="1:31" x14ac:dyDescent="0.25">
      <c r="A821" t="s">
        <v>3817</v>
      </c>
      <c r="B821" t="s">
        <v>3818</v>
      </c>
      <c r="C821" t="s">
        <v>49</v>
      </c>
      <c r="D821">
        <v>25</v>
      </c>
      <c r="E821" t="s">
        <v>197</v>
      </c>
      <c r="F821" t="s">
        <v>323</v>
      </c>
      <c r="G821" s="1">
        <v>43802</v>
      </c>
      <c r="H821">
        <v>65457</v>
      </c>
      <c r="I821" t="s">
        <v>42</v>
      </c>
      <c r="J821" t="s">
        <v>31</v>
      </c>
      <c r="K821" t="s">
        <v>167</v>
      </c>
      <c r="L821" t="s">
        <v>33</v>
      </c>
      <c r="M821">
        <v>32</v>
      </c>
      <c r="N821" t="s">
        <v>34</v>
      </c>
      <c r="O821">
        <v>1</v>
      </c>
      <c r="P821">
        <v>3</v>
      </c>
      <c r="Q821">
        <v>4</v>
      </c>
      <c r="R821">
        <v>4</v>
      </c>
      <c r="S821">
        <v>0</v>
      </c>
      <c r="T821">
        <v>1</v>
      </c>
      <c r="U821">
        <v>13</v>
      </c>
      <c r="V821" t="s">
        <v>3820</v>
      </c>
      <c r="W821" t="s">
        <v>34</v>
      </c>
      <c r="Y821" s="2" t="str">
        <f>IF(EmployeeData[[#This Row],[Age]]&lt;25,"Under 25",IF(EmployeeData[[#This Row],[Age]]&lt;=34,"25-34",IF(EmployeeData[[#This Row],[Age]]&lt;=44,"35-44",IF(EmployeeData[[#This Row],[Age]]&lt;=54,"45-54","55+"))))</f>
        <v>25-34</v>
      </c>
      <c r="Z821">
        <f ca="1">DATEDIF(EmployeeData[[#This Row],[DateOfJoining]],IF(AND(EmployeeData[[#This Row],[Attrition]]="Yes",EmployeeData[[#This Row],[LastWorkingDate]]&lt;&gt;""),EmployeeData[[#This Row],[LastWorkingDate]],TODAY()),"Y")</f>
        <v>6</v>
      </c>
      <c r="AA821" t="str">
        <f>IF(EmployeeData[[#This Row],[MonthlyIncome]]&lt;30000,"Low",IF(EmployeeData[[#This Row],[MonthlyIncome]]&lt;=60000,"Medium",IF(EmployeeData[[#This Row],[MonthlyIncome]]&lt;=100000,"High","Very High")))</f>
        <v>High</v>
      </c>
      <c r="AB821">
        <f>IF(EmployeeData[[#This Row],[Attrition]]="Yes",1,0)</f>
        <v>0</v>
      </c>
      <c r="AC821" t="str">
        <f ca="1">IF(EmployeeData[[#This Row],[Tenure Years]]&lt;1,"Less than 1 Year",IF(EmployeeData[[#This Row],[Tenure Years]]&lt;=3,"1-3 Years",IF(EmployeeData[[#This Row],[Tenure Years]]&lt;=5,"4-5 Years",IF(EmployeeData[[#This Row],[Tenure Years]]&lt;=10,"6-10 Years","More than 10 Years"))))</f>
        <v>6-10 Years</v>
      </c>
      <c r="AD821">
        <f>ROUND(AVERAGE(EmployeeData[[#This Row],[JobSatisfaction]],EmployeeData[[#This Row],[EnvironmentSatisfaction]],EmployeeData[[#This Row],[WorkLifeBalance]]),2)</f>
        <v>2.67</v>
      </c>
      <c r="AE821" t="str">
        <f>IF(EmployeeData[[#This Row],[Satisfaction Score]]&lt;2,"Low",IF(EmployeeData[[#This Row],[Satisfaction Score]]&lt;3,"Medium","High"))</f>
        <v>Medium</v>
      </c>
    </row>
    <row r="822" spans="1:31" x14ac:dyDescent="0.25">
      <c r="A822" t="s">
        <v>3821</v>
      </c>
      <c r="B822" t="s">
        <v>3822</v>
      </c>
      <c r="C822" t="s">
        <v>49</v>
      </c>
      <c r="D822">
        <v>45</v>
      </c>
      <c r="E822" t="s">
        <v>197</v>
      </c>
      <c r="F822" t="s">
        <v>235</v>
      </c>
      <c r="G822" s="1">
        <v>42836</v>
      </c>
      <c r="H822">
        <v>59823</v>
      </c>
      <c r="I822" t="s">
        <v>42</v>
      </c>
      <c r="J822" t="s">
        <v>5459</v>
      </c>
      <c r="K822" t="s">
        <v>113</v>
      </c>
      <c r="L822" t="s">
        <v>5459</v>
      </c>
      <c r="M822">
        <v>25</v>
      </c>
      <c r="N822" t="s">
        <v>34</v>
      </c>
      <c r="O822">
        <v>3</v>
      </c>
      <c r="P822">
        <v>3</v>
      </c>
      <c r="Q822">
        <v>4</v>
      </c>
      <c r="R822">
        <v>4</v>
      </c>
      <c r="S822">
        <v>6</v>
      </c>
      <c r="T822">
        <v>4</v>
      </c>
      <c r="U822">
        <v>19</v>
      </c>
      <c r="V822" t="s">
        <v>3824</v>
      </c>
      <c r="W822" t="s">
        <v>34</v>
      </c>
      <c r="Y822" s="2" t="str">
        <f>IF(EmployeeData[[#This Row],[Age]]&lt;25,"Under 25",IF(EmployeeData[[#This Row],[Age]]&lt;=34,"25-34",IF(EmployeeData[[#This Row],[Age]]&lt;=44,"35-44",IF(EmployeeData[[#This Row],[Age]]&lt;=54,"45-54","55+"))))</f>
        <v>45-54</v>
      </c>
      <c r="Z822">
        <f ca="1">DATEDIF(EmployeeData[[#This Row],[DateOfJoining]],IF(AND(EmployeeData[[#This Row],[Attrition]]="Yes",EmployeeData[[#This Row],[LastWorkingDate]]&lt;&gt;""),EmployeeData[[#This Row],[LastWorkingDate]],TODAY()),"Y")</f>
        <v>9</v>
      </c>
      <c r="AA822" t="str">
        <f>IF(EmployeeData[[#This Row],[MonthlyIncome]]&lt;30000,"Low",IF(EmployeeData[[#This Row],[MonthlyIncome]]&lt;=60000,"Medium",IF(EmployeeData[[#This Row],[MonthlyIncome]]&lt;=100000,"High","Very High")))</f>
        <v>Medium</v>
      </c>
      <c r="AB822">
        <f>IF(EmployeeData[[#This Row],[Attrition]]="Yes",1,0)</f>
        <v>0</v>
      </c>
      <c r="AC822" t="str">
        <f ca="1">IF(EmployeeData[[#This Row],[Tenure Years]]&lt;1,"Less than 1 Year",IF(EmployeeData[[#This Row],[Tenure Years]]&lt;=3,"1-3 Years",IF(EmployeeData[[#This Row],[Tenure Years]]&lt;=5,"4-5 Years",IF(EmployeeData[[#This Row],[Tenure Years]]&lt;=10,"6-10 Years","More than 10 Years"))))</f>
        <v>6-10 Years</v>
      </c>
      <c r="AD822">
        <f>ROUND(AVERAGE(EmployeeData[[#This Row],[JobSatisfaction]],EmployeeData[[#This Row],[EnvironmentSatisfaction]],EmployeeData[[#This Row],[WorkLifeBalance]]),2)</f>
        <v>3.33</v>
      </c>
      <c r="AE822" t="str">
        <f>IF(EmployeeData[[#This Row],[Satisfaction Score]]&lt;2,"Low",IF(EmployeeData[[#This Row],[Satisfaction Score]]&lt;3,"Medium","High"))</f>
        <v>High</v>
      </c>
    </row>
    <row r="823" spans="1:31" x14ac:dyDescent="0.25">
      <c r="A823" t="s">
        <v>3825</v>
      </c>
      <c r="B823" t="s">
        <v>3826</v>
      </c>
      <c r="C823" t="s">
        <v>58</v>
      </c>
      <c r="D823">
        <v>39</v>
      </c>
      <c r="E823" t="s">
        <v>27</v>
      </c>
      <c r="F823" t="s">
        <v>50</v>
      </c>
      <c r="G823" s="1">
        <v>44964</v>
      </c>
      <c r="H823">
        <v>120848</v>
      </c>
      <c r="I823" t="s">
        <v>42</v>
      </c>
      <c r="J823" t="s">
        <v>97</v>
      </c>
      <c r="K823" t="s">
        <v>54</v>
      </c>
      <c r="L823" t="s">
        <v>43</v>
      </c>
      <c r="M823">
        <v>16</v>
      </c>
      <c r="N823" t="s">
        <v>34</v>
      </c>
      <c r="O823">
        <v>4</v>
      </c>
      <c r="P823">
        <v>3</v>
      </c>
      <c r="Q823">
        <v>1</v>
      </c>
      <c r="R823">
        <v>4</v>
      </c>
      <c r="S823">
        <v>4</v>
      </c>
      <c r="T823">
        <v>0</v>
      </c>
      <c r="U823">
        <v>15</v>
      </c>
      <c r="V823" t="s">
        <v>3829</v>
      </c>
      <c r="W823" t="s">
        <v>34</v>
      </c>
      <c r="Y823" s="2" t="str">
        <f>IF(EmployeeData[[#This Row],[Age]]&lt;25,"Under 25",IF(EmployeeData[[#This Row],[Age]]&lt;=34,"25-34",IF(EmployeeData[[#This Row],[Age]]&lt;=44,"35-44",IF(EmployeeData[[#This Row],[Age]]&lt;=54,"45-54","55+"))))</f>
        <v>35-44</v>
      </c>
      <c r="Z823">
        <f ca="1">DATEDIF(EmployeeData[[#This Row],[DateOfJoining]],IF(AND(EmployeeData[[#This Row],[Attrition]]="Yes",EmployeeData[[#This Row],[LastWorkingDate]]&lt;&gt;""),EmployeeData[[#This Row],[LastWorkingDate]],TODAY()),"Y")</f>
        <v>3</v>
      </c>
      <c r="AA823" t="str">
        <f>IF(EmployeeData[[#This Row],[MonthlyIncome]]&lt;30000,"Low",IF(EmployeeData[[#This Row],[MonthlyIncome]]&lt;=60000,"Medium",IF(EmployeeData[[#This Row],[MonthlyIncome]]&lt;=100000,"High","Very High")))</f>
        <v>Very High</v>
      </c>
      <c r="AB823">
        <f>IF(EmployeeData[[#This Row],[Attrition]]="Yes",1,0)</f>
        <v>0</v>
      </c>
      <c r="AC823" t="str">
        <f ca="1">IF(EmployeeData[[#This Row],[Tenure Years]]&lt;1,"Less than 1 Year",IF(EmployeeData[[#This Row],[Tenure Years]]&lt;=3,"1-3 Years",IF(EmployeeData[[#This Row],[Tenure Years]]&lt;=5,"4-5 Years",IF(EmployeeData[[#This Row],[Tenure Years]]&lt;=10,"6-10 Years","More than 10 Years"))))</f>
        <v>1-3 Years</v>
      </c>
      <c r="AD823">
        <f>ROUND(AVERAGE(EmployeeData[[#This Row],[JobSatisfaction]],EmployeeData[[#This Row],[EnvironmentSatisfaction]],EmployeeData[[#This Row],[WorkLifeBalance]]),2)</f>
        <v>2.67</v>
      </c>
      <c r="AE823" t="str">
        <f>IF(EmployeeData[[#This Row],[Satisfaction Score]]&lt;2,"Low",IF(EmployeeData[[#This Row],[Satisfaction Score]]&lt;3,"Medium","High"))</f>
        <v>Medium</v>
      </c>
    </row>
    <row r="824" spans="1:31" x14ac:dyDescent="0.25">
      <c r="A824" t="s">
        <v>3830</v>
      </c>
      <c r="B824" t="s">
        <v>3831</v>
      </c>
      <c r="C824" t="s">
        <v>58</v>
      </c>
      <c r="D824">
        <v>40</v>
      </c>
      <c r="E824" t="s">
        <v>128</v>
      </c>
      <c r="F824" t="s">
        <v>123</v>
      </c>
      <c r="G824" s="1">
        <v>40799</v>
      </c>
      <c r="H824">
        <v>57571</v>
      </c>
      <c r="I824" t="s">
        <v>52</v>
      </c>
      <c r="J824" t="s">
        <v>31</v>
      </c>
      <c r="K824" t="s">
        <v>77</v>
      </c>
      <c r="L824" t="s">
        <v>43</v>
      </c>
      <c r="M824">
        <v>3</v>
      </c>
      <c r="N824" t="s">
        <v>34</v>
      </c>
      <c r="O824">
        <v>3</v>
      </c>
      <c r="P824">
        <v>3</v>
      </c>
      <c r="Q824">
        <v>3</v>
      </c>
      <c r="R824">
        <v>3</v>
      </c>
      <c r="S824">
        <v>4</v>
      </c>
      <c r="T824">
        <v>3</v>
      </c>
      <c r="U824">
        <v>19</v>
      </c>
      <c r="V824" t="s">
        <v>3833</v>
      </c>
      <c r="W824" t="s">
        <v>34</v>
      </c>
      <c r="Y824" s="2" t="str">
        <f>IF(EmployeeData[[#This Row],[Age]]&lt;25,"Under 25",IF(EmployeeData[[#This Row],[Age]]&lt;=34,"25-34",IF(EmployeeData[[#This Row],[Age]]&lt;=44,"35-44",IF(EmployeeData[[#This Row],[Age]]&lt;=54,"45-54","55+"))))</f>
        <v>35-44</v>
      </c>
      <c r="Z824">
        <f ca="1">DATEDIF(EmployeeData[[#This Row],[DateOfJoining]],IF(AND(EmployeeData[[#This Row],[Attrition]]="Yes",EmployeeData[[#This Row],[LastWorkingDate]]&lt;&gt;""),EmployeeData[[#This Row],[LastWorkingDate]],TODAY()),"Y")</f>
        <v>14</v>
      </c>
      <c r="AA824" t="str">
        <f>IF(EmployeeData[[#This Row],[MonthlyIncome]]&lt;30000,"Low",IF(EmployeeData[[#This Row],[MonthlyIncome]]&lt;=60000,"Medium",IF(EmployeeData[[#This Row],[MonthlyIncome]]&lt;=100000,"High","Very High")))</f>
        <v>Medium</v>
      </c>
      <c r="AB824">
        <f>IF(EmployeeData[[#This Row],[Attrition]]="Yes",1,0)</f>
        <v>0</v>
      </c>
      <c r="AC824" t="str">
        <f ca="1">IF(EmployeeData[[#This Row],[Tenure Years]]&lt;1,"Less than 1 Year",IF(EmployeeData[[#This Row],[Tenure Years]]&lt;=3,"1-3 Years",IF(EmployeeData[[#This Row],[Tenure Years]]&lt;=5,"4-5 Years",IF(EmployeeData[[#This Row],[Tenure Years]]&lt;=10,"6-10 Years","More than 10 Years"))))</f>
        <v>More than 10 Years</v>
      </c>
      <c r="AD824">
        <f>ROUND(AVERAGE(EmployeeData[[#This Row],[JobSatisfaction]],EmployeeData[[#This Row],[EnvironmentSatisfaction]],EmployeeData[[#This Row],[WorkLifeBalance]]),2)</f>
        <v>3</v>
      </c>
      <c r="AE824" t="str">
        <f>IF(EmployeeData[[#This Row],[Satisfaction Score]]&lt;2,"Low",IF(EmployeeData[[#This Row],[Satisfaction Score]]&lt;3,"Medium","High"))</f>
        <v>High</v>
      </c>
    </row>
    <row r="825" spans="1:31" x14ac:dyDescent="0.25">
      <c r="A825" t="s">
        <v>3834</v>
      </c>
      <c r="B825" t="s">
        <v>3835</v>
      </c>
      <c r="C825" t="s">
        <v>58</v>
      </c>
      <c r="D825">
        <v>34</v>
      </c>
      <c r="E825" t="s">
        <v>27</v>
      </c>
      <c r="F825" t="s">
        <v>59</v>
      </c>
      <c r="G825" s="1">
        <v>43963</v>
      </c>
      <c r="H825">
        <v>90141</v>
      </c>
      <c r="I825" t="s">
        <v>42</v>
      </c>
      <c r="J825" t="s">
        <v>97</v>
      </c>
      <c r="K825" t="s">
        <v>83</v>
      </c>
      <c r="L825" t="s">
        <v>43</v>
      </c>
      <c r="M825">
        <v>16</v>
      </c>
      <c r="N825" t="s">
        <v>34</v>
      </c>
      <c r="O825">
        <v>1</v>
      </c>
      <c r="P825">
        <v>1</v>
      </c>
      <c r="Q825">
        <v>1</v>
      </c>
      <c r="R825">
        <v>2</v>
      </c>
      <c r="S825">
        <v>0</v>
      </c>
      <c r="T825">
        <v>7</v>
      </c>
      <c r="U825">
        <v>21</v>
      </c>
      <c r="V825" t="s">
        <v>3837</v>
      </c>
      <c r="W825" t="s">
        <v>34</v>
      </c>
      <c r="Y825" s="2" t="str">
        <f>IF(EmployeeData[[#This Row],[Age]]&lt;25,"Under 25",IF(EmployeeData[[#This Row],[Age]]&lt;=34,"25-34",IF(EmployeeData[[#This Row],[Age]]&lt;=44,"35-44",IF(EmployeeData[[#This Row],[Age]]&lt;=54,"45-54","55+"))))</f>
        <v>25-34</v>
      </c>
      <c r="Z825">
        <f ca="1">DATEDIF(EmployeeData[[#This Row],[DateOfJoining]],IF(AND(EmployeeData[[#This Row],[Attrition]]="Yes",EmployeeData[[#This Row],[LastWorkingDate]]&lt;&gt;""),EmployeeData[[#This Row],[LastWorkingDate]],TODAY()),"Y")</f>
        <v>6</v>
      </c>
      <c r="AA825" t="str">
        <f>IF(EmployeeData[[#This Row],[MonthlyIncome]]&lt;30000,"Low",IF(EmployeeData[[#This Row],[MonthlyIncome]]&lt;=60000,"Medium",IF(EmployeeData[[#This Row],[MonthlyIncome]]&lt;=100000,"High","Very High")))</f>
        <v>High</v>
      </c>
      <c r="AB825">
        <f>IF(EmployeeData[[#This Row],[Attrition]]="Yes",1,0)</f>
        <v>0</v>
      </c>
      <c r="AC825" t="str">
        <f ca="1">IF(EmployeeData[[#This Row],[Tenure Years]]&lt;1,"Less than 1 Year",IF(EmployeeData[[#This Row],[Tenure Years]]&lt;=3,"1-3 Years",IF(EmployeeData[[#This Row],[Tenure Years]]&lt;=5,"4-5 Years",IF(EmployeeData[[#This Row],[Tenure Years]]&lt;=10,"6-10 Years","More than 10 Years"))))</f>
        <v>6-10 Years</v>
      </c>
      <c r="AD825">
        <f>ROUND(AVERAGE(EmployeeData[[#This Row],[JobSatisfaction]],EmployeeData[[#This Row],[EnvironmentSatisfaction]],EmployeeData[[#This Row],[WorkLifeBalance]]),2)</f>
        <v>1</v>
      </c>
      <c r="AE825" t="str">
        <f>IF(EmployeeData[[#This Row],[Satisfaction Score]]&lt;2,"Low",IF(EmployeeData[[#This Row],[Satisfaction Score]]&lt;3,"Medium","High"))</f>
        <v>Low</v>
      </c>
    </row>
    <row r="826" spans="1:31" x14ac:dyDescent="0.25">
      <c r="A826" t="s">
        <v>3838</v>
      </c>
      <c r="B826" t="s">
        <v>3839</v>
      </c>
      <c r="C826" t="s">
        <v>58</v>
      </c>
      <c r="D826">
        <v>29</v>
      </c>
      <c r="E826" t="s">
        <v>27</v>
      </c>
      <c r="F826" t="s">
        <v>50</v>
      </c>
      <c r="G826" s="1">
        <v>45731</v>
      </c>
      <c r="H826">
        <v>53257</v>
      </c>
      <c r="I826" t="s">
        <v>30</v>
      </c>
      <c r="J826" t="s">
        <v>61</v>
      </c>
      <c r="K826" t="s">
        <v>106</v>
      </c>
      <c r="L826" t="s">
        <v>62</v>
      </c>
      <c r="M826">
        <v>11</v>
      </c>
      <c r="N826" t="s">
        <v>34</v>
      </c>
      <c r="O826">
        <v>4</v>
      </c>
      <c r="P826">
        <v>4</v>
      </c>
      <c r="Q826">
        <v>1</v>
      </c>
      <c r="R826">
        <v>3</v>
      </c>
      <c r="S826">
        <v>1</v>
      </c>
      <c r="T826">
        <v>3</v>
      </c>
      <c r="U826">
        <v>14</v>
      </c>
      <c r="V826" t="s">
        <v>3840</v>
      </c>
      <c r="W826" t="s">
        <v>34</v>
      </c>
      <c r="Y826" s="2" t="str">
        <f>IF(EmployeeData[[#This Row],[Age]]&lt;25,"Under 25",IF(EmployeeData[[#This Row],[Age]]&lt;=34,"25-34",IF(EmployeeData[[#This Row],[Age]]&lt;=44,"35-44",IF(EmployeeData[[#This Row],[Age]]&lt;=54,"45-54","55+"))))</f>
        <v>25-34</v>
      </c>
      <c r="Z826">
        <f ca="1">DATEDIF(EmployeeData[[#This Row],[DateOfJoining]],IF(AND(EmployeeData[[#This Row],[Attrition]]="Yes",EmployeeData[[#This Row],[LastWorkingDate]]&lt;&gt;""),EmployeeData[[#This Row],[LastWorkingDate]],TODAY()),"Y")</f>
        <v>1</v>
      </c>
      <c r="AA826" t="str">
        <f>IF(EmployeeData[[#This Row],[MonthlyIncome]]&lt;30000,"Low",IF(EmployeeData[[#This Row],[MonthlyIncome]]&lt;=60000,"Medium",IF(EmployeeData[[#This Row],[MonthlyIncome]]&lt;=100000,"High","Very High")))</f>
        <v>Medium</v>
      </c>
      <c r="AB826">
        <f>IF(EmployeeData[[#This Row],[Attrition]]="Yes",1,0)</f>
        <v>0</v>
      </c>
      <c r="AC826" t="str">
        <f ca="1">IF(EmployeeData[[#This Row],[Tenure Years]]&lt;1,"Less than 1 Year",IF(EmployeeData[[#This Row],[Tenure Years]]&lt;=3,"1-3 Years",IF(EmployeeData[[#This Row],[Tenure Years]]&lt;=5,"4-5 Years",IF(EmployeeData[[#This Row],[Tenure Years]]&lt;=10,"6-10 Years","More than 10 Years"))))</f>
        <v>1-3 Years</v>
      </c>
      <c r="AD826">
        <f>ROUND(AVERAGE(EmployeeData[[#This Row],[JobSatisfaction]],EmployeeData[[#This Row],[EnvironmentSatisfaction]],EmployeeData[[#This Row],[WorkLifeBalance]]),2)</f>
        <v>3</v>
      </c>
      <c r="AE826" t="str">
        <f>IF(EmployeeData[[#This Row],[Satisfaction Score]]&lt;2,"Low",IF(EmployeeData[[#This Row],[Satisfaction Score]]&lt;3,"Medium","High"))</f>
        <v>High</v>
      </c>
    </row>
    <row r="827" spans="1:31" x14ac:dyDescent="0.25">
      <c r="A827" t="s">
        <v>3841</v>
      </c>
      <c r="B827" t="s">
        <v>3842</v>
      </c>
      <c r="C827" t="s">
        <v>58</v>
      </c>
      <c r="D827">
        <v>35</v>
      </c>
      <c r="E827" t="s">
        <v>27</v>
      </c>
      <c r="F827" t="s">
        <v>59</v>
      </c>
      <c r="G827" s="1">
        <v>46004</v>
      </c>
      <c r="H827">
        <v>67789</v>
      </c>
      <c r="I827" t="s">
        <v>5459</v>
      </c>
      <c r="J827" t="s">
        <v>53</v>
      </c>
      <c r="K827" t="s">
        <v>54</v>
      </c>
      <c r="L827" t="s">
        <v>33</v>
      </c>
      <c r="M827">
        <v>32</v>
      </c>
      <c r="N827" t="s">
        <v>34</v>
      </c>
      <c r="O827">
        <v>4</v>
      </c>
      <c r="P827">
        <v>3</v>
      </c>
      <c r="Q827">
        <v>1</v>
      </c>
      <c r="R827">
        <v>2</v>
      </c>
      <c r="S827">
        <v>2</v>
      </c>
      <c r="T827">
        <v>3</v>
      </c>
      <c r="U827">
        <v>23</v>
      </c>
      <c r="V827" t="s">
        <v>3844</v>
      </c>
      <c r="W827" t="s">
        <v>34</v>
      </c>
      <c r="Y827" s="2" t="str">
        <f>IF(EmployeeData[[#This Row],[Age]]&lt;25,"Under 25",IF(EmployeeData[[#This Row],[Age]]&lt;=34,"25-34",IF(EmployeeData[[#This Row],[Age]]&lt;=44,"35-44",IF(EmployeeData[[#This Row],[Age]]&lt;=54,"45-54","55+"))))</f>
        <v>35-44</v>
      </c>
      <c r="Z827">
        <f ca="1">DATEDIF(EmployeeData[[#This Row],[DateOfJoining]],IF(AND(EmployeeData[[#This Row],[Attrition]]="Yes",EmployeeData[[#This Row],[LastWorkingDate]]&lt;&gt;""),EmployeeData[[#This Row],[LastWorkingDate]],TODAY()),"Y")</f>
        <v>0</v>
      </c>
      <c r="AA827" t="str">
        <f>IF(EmployeeData[[#This Row],[MonthlyIncome]]&lt;30000,"Low",IF(EmployeeData[[#This Row],[MonthlyIncome]]&lt;=60000,"Medium",IF(EmployeeData[[#This Row],[MonthlyIncome]]&lt;=100000,"High","Very High")))</f>
        <v>High</v>
      </c>
      <c r="AB827">
        <f>IF(EmployeeData[[#This Row],[Attrition]]="Yes",1,0)</f>
        <v>0</v>
      </c>
      <c r="AC827" t="str">
        <f ca="1">IF(EmployeeData[[#This Row],[Tenure Years]]&lt;1,"Less than 1 Year",IF(EmployeeData[[#This Row],[Tenure Years]]&lt;=3,"1-3 Years",IF(EmployeeData[[#This Row],[Tenure Years]]&lt;=5,"4-5 Years",IF(EmployeeData[[#This Row],[Tenure Years]]&lt;=10,"6-10 Years","More than 10 Years"))))</f>
        <v>Less than 1 Year</v>
      </c>
      <c r="AD827">
        <f>ROUND(AVERAGE(EmployeeData[[#This Row],[JobSatisfaction]],EmployeeData[[#This Row],[EnvironmentSatisfaction]],EmployeeData[[#This Row],[WorkLifeBalance]]),2)</f>
        <v>2.67</v>
      </c>
      <c r="AE827" t="str">
        <f>IF(EmployeeData[[#This Row],[Satisfaction Score]]&lt;2,"Low",IF(EmployeeData[[#This Row],[Satisfaction Score]]&lt;3,"Medium","High"))</f>
        <v>Medium</v>
      </c>
    </row>
    <row r="828" spans="1:31" x14ac:dyDescent="0.25">
      <c r="A828" t="s">
        <v>3845</v>
      </c>
      <c r="B828" t="s">
        <v>3846</v>
      </c>
      <c r="C828" t="s">
        <v>58</v>
      </c>
      <c r="D828">
        <v>32</v>
      </c>
      <c r="E828" t="s">
        <v>27</v>
      </c>
      <c r="F828" t="s">
        <v>50</v>
      </c>
      <c r="G828" s="1">
        <v>44548</v>
      </c>
      <c r="H828">
        <v>108037</v>
      </c>
      <c r="I828" t="s">
        <v>52</v>
      </c>
      <c r="J828" t="s">
        <v>143</v>
      </c>
      <c r="K828" t="s">
        <v>131</v>
      </c>
      <c r="L828" t="s">
        <v>33</v>
      </c>
      <c r="M828">
        <v>3</v>
      </c>
      <c r="N828" t="s">
        <v>45</v>
      </c>
      <c r="O828">
        <v>3</v>
      </c>
      <c r="P828">
        <v>2</v>
      </c>
      <c r="Q828">
        <v>3</v>
      </c>
      <c r="R828">
        <v>4</v>
      </c>
      <c r="S828">
        <v>6</v>
      </c>
      <c r="T828">
        <v>6</v>
      </c>
      <c r="U828">
        <v>18</v>
      </c>
      <c r="V828" t="s">
        <v>3848</v>
      </c>
      <c r="W828" t="s">
        <v>34</v>
      </c>
      <c r="Y828" s="2" t="str">
        <f>IF(EmployeeData[[#This Row],[Age]]&lt;25,"Under 25",IF(EmployeeData[[#This Row],[Age]]&lt;=34,"25-34",IF(EmployeeData[[#This Row],[Age]]&lt;=44,"35-44",IF(EmployeeData[[#This Row],[Age]]&lt;=54,"45-54","55+"))))</f>
        <v>25-34</v>
      </c>
      <c r="Z828">
        <f ca="1">DATEDIF(EmployeeData[[#This Row],[DateOfJoining]],IF(AND(EmployeeData[[#This Row],[Attrition]]="Yes",EmployeeData[[#This Row],[LastWorkingDate]]&lt;&gt;""),EmployeeData[[#This Row],[LastWorkingDate]],TODAY()),"Y")</f>
        <v>4</v>
      </c>
      <c r="AA828" t="str">
        <f>IF(EmployeeData[[#This Row],[MonthlyIncome]]&lt;30000,"Low",IF(EmployeeData[[#This Row],[MonthlyIncome]]&lt;=60000,"Medium",IF(EmployeeData[[#This Row],[MonthlyIncome]]&lt;=100000,"High","Very High")))</f>
        <v>Very High</v>
      </c>
      <c r="AB828">
        <f>IF(EmployeeData[[#This Row],[Attrition]]="Yes",1,0)</f>
        <v>0</v>
      </c>
      <c r="AC828" t="str">
        <f ca="1">IF(EmployeeData[[#This Row],[Tenure Years]]&lt;1,"Less than 1 Year",IF(EmployeeData[[#This Row],[Tenure Years]]&lt;=3,"1-3 Years",IF(EmployeeData[[#This Row],[Tenure Years]]&lt;=5,"4-5 Years",IF(EmployeeData[[#This Row],[Tenure Years]]&lt;=10,"6-10 Years","More than 10 Years"))))</f>
        <v>4-5 Years</v>
      </c>
      <c r="AD828">
        <f>ROUND(AVERAGE(EmployeeData[[#This Row],[JobSatisfaction]],EmployeeData[[#This Row],[EnvironmentSatisfaction]],EmployeeData[[#This Row],[WorkLifeBalance]]),2)</f>
        <v>2.67</v>
      </c>
      <c r="AE828" t="str">
        <f>IF(EmployeeData[[#This Row],[Satisfaction Score]]&lt;2,"Low",IF(EmployeeData[[#This Row],[Satisfaction Score]]&lt;3,"Medium","High"))</f>
        <v>Medium</v>
      </c>
    </row>
    <row r="829" spans="1:31" x14ac:dyDescent="0.25">
      <c r="A829" t="s">
        <v>3849</v>
      </c>
      <c r="B829" t="s">
        <v>3850</v>
      </c>
      <c r="C829" t="s">
        <v>58</v>
      </c>
      <c r="D829">
        <v>36</v>
      </c>
      <c r="E829" t="s">
        <v>5461</v>
      </c>
      <c r="F829" t="s">
        <v>5464</v>
      </c>
      <c r="G829" s="1">
        <v>41694</v>
      </c>
      <c r="H829">
        <v>106542</v>
      </c>
      <c r="I829" t="s">
        <v>30</v>
      </c>
      <c r="J829" t="s">
        <v>97</v>
      </c>
      <c r="K829" t="s">
        <v>131</v>
      </c>
      <c r="L829" t="s">
        <v>33</v>
      </c>
      <c r="M829">
        <v>25</v>
      </c>
      <c r="N829" t="s">
        <v>45</v>
      </c>
      <c r="O829">
        <v>4</v>
      </c>
      <c r="P829">
        <v>3</v>
      </c>
      <c r="Q829">
        <v>4</v>
      </c>
      <c r="R829">
        <v>3</v>
      </c>
      <c r="S829">
        <v>0</v>
      </c>
      <c r="T829">
        <v>3</v>
      </c>
      <c r="U829">
        <v>19</v>
      </c>
      <c r="V829" t="s">
        <v>1450</v>
      </c>
      <c r="W829" t="s">
        <v>34</v>
      </c>
      <c r="Y829" s="2" t="str">
        <f>IF(EmployeeData[[#This Row],[Age]]&lt;25,"Under 25",IF(EmployeeData[[#This Row],[Age]]&lt;=34,"25-34",IF(EmployeeData[[#This Row],[Age]]&lt;=44,"35-44",IF(EmployeeData[[#This Row],[Age]]&lt;=54,"45-54","55+"))))</f>
        <v>35-44</v>
      </c>
      <c r="Z829">
        <f ca="1">DATEDIF(EmployeeData[[#This Row],[DateOfJoining]],IF(AND(EmployeeData[[#This Row],[Attrition]]="Yes",EmployeeData[[#This Row],[LastWorkingDate]]&lt;&gt;""),EmployeeData[[#This Row],[LastWorkingDate]],TODAY()),"Y")</f>
        <v>12</v>
      </c>
      <c r="AA829" t="str">
        <f>IF(EmployeeData[[#This Row],[MonthlyIncome]]&lt;30000,"Low",IF(EmployeeData[[#This Row],[MonthlyIncome]]&lt;=60000,"Medium",IF(EmployeeData[[#This Row],[MonthlyIncome]]&lt;=100000,"High","Very High")))</f>
        <v>Very High</v>
      </c>
      <c r="AB829">
        <f>IF(EmployeeData[[#This Row],[Attrition]]="Yes",1,0)</f>
        <v>0</v>
      </c>
      <c r="AC829" t="str">
        <f ca="1">IF(EmployeeData[[#This Row],[Tenure Years]]&lt;1,"Less than 1 Year",IF(EmployeeData[[#This Row],[Tenure Years]]&lt;=3,"1-3 Years",IF(EmployeeData[[#This Row],[Tenure Years]]&lt;=5,"4-5 Years",IF(EmployeeData[[#This Row],[Tenure Years]]&lt;=10,"6-10 Years","More than 10 Years"))))</f>
        <v>More than 10 Years</v>
      </c>
      <c r="AD829">
        <f>ROUND(AVERAGE(EmployeeData[[#This Row],[JobSatisfaction]],EmployeeData[[#This Row],[EnvironmentSatisfaction]],EmployeeData[[#This Row],[WorkLifeBalance]]),2)</f>
        <v>3.67</v>
      </c>
      <c r="AE829" t="str">
        <f>IF(EmployeeData[[#This Row],[Satisfaction Score]]&lt;2,"Low",IF(EmployeeData[[#This Row],[Satisfaction Score]]&lt;3,"Medium","High"))</f>
        <v>High</v>
      </c>
    </row>
    <row r="830" spans="1:31" x14ac:dyDescent="0.25">
      <c r="A830" t="s">
        <v>3853</v>
      </c>
      <c r="B830" t="s">
        <v>3854</v>
      </c>
      <c r="C830" t="s">
        <v>58</v>
      </c>
      <c r="D830">
        <v>26</v>
      </c>
      <c r="E830" t="s">
        <v>5461</v>
      </c>
      <c r="F830" t="s">
        <v>5459</v>
      </c>
      <c r="G830" s="1">
        <v>41321</v>
      </c>
      <c r="H830">
        <v>118809</v>
      </c>
      <c r="I830" t="s">
        <v>30</v>
      </c>
      <c r="J830" t="s">
        <v>31</v>
      </c>
      <c r="K830" t="s">
        <v>32</v>
      </c>
      <c r="L830" t="s">
        <v>43</v>
      </c>
      <c r="M830">
        <v>41</v>
      </c>
      <c r="N830" t="s">
        <v>45</v>
      </c>
      <c r="O830">
        <v>1</v>
      </c>
      <c r="P830">
        <v>4</v>
      </c>
      <c r="Q830">
        <v>3</v>
      </c>
      <c r="R830">
        <v>3</v>
      </c>
      <c r="S830">
        <v>6</v>
      </c>
      <c r="T830">
        <v>4</v>
      </c>
      <c r="U830">
        <v>11</v>
      </c>
      <c r="V830" t="s">
        <v>3857</v>
      </c>
      <c r="W830" t="s">
        <v>45</v>
      </c>
      <c r="X830" s="1">
        <v>44908</v>
      </c>
      <c r="Y830" s="2" t="str">
        <f>IF(EmployeeData[[#This Row],[Age]]&lt;25,"Under 25",IF(EmployeeData[[#This Row],[Age]]&lt;=34,"25-34",IF(EmployeeData[[#This Row],[Age]]&lt;=44,"35-44",IF(EmployeeData[[#This Row],[Age]]&lt;=54,"45-54","55+"))))</f>
        <v>25-34</v>
      </c>
      <c r="Z830">
        <f ca="1">DATEDIF(EmployeeData[[#This Row],[DateOfJoining]],IF(AND(EmployeeData[[#This Row],[Attrition]]="Yes",EmployeeData[[#This Row],[LastWorkingDate]]&lt;&gt;""),EmployeeData[[#This Row],[LastWorkingDate]],TODAY()),"Y")</f>
        <v>9</v>
      </c>
      <c r="AA830" t="str">
        <f>IF(EmployeeData[[#This Row],[MonthlyIncome]]&lt;30000,"Low",IF(EmployeeData[[#This Row],[MonthlyIncome]]&lt;=60000,"Medium",IF(EmployeeData[[#This Row],[MonthlyIncome]]&lt;=100000,"High","Very High")))</f>
        <v>Very High</v>
      </c>
      <c r="AB830">
        <f>IF(EmployeeData[[#This Row],[Attrition]]="Yes",1,0)</f>
        <v>1</v>
      </c>
      <c r="AC830" t="str">
        <f ca="1">IF(EmployeeData[[#This Row],[Tenure Years]]&lt;1,"Less than 1 Year",IF(EmployeeData[[#This Row],[Tenure Years]]&lt;=3,"1-3 Years",IF(EmployeeData[[#This Row],[Tenure Years]]&lt;=5,"4-5 Years",IF(EmployeeData[[#This Row],[Tenure Years]]&lt;=10,"6-10 Years","More than 10 Years"))))</f>
        <v>6-10 Years</v>
      </c>
      <c r="AD830">
        <f>ROUND(AVERAGE(EmployeeData[[#This Row],[JobSatisfaction]],EmployeeData[[#This Row],[EnvironmentSatisfaction]],EmployeeData[[#This Row],[WorkLifeBalance]]),2)</f>
        <v>2.67</v>
      </c>
      <c r="AE830" t="str">
        <f>IF(EmployeeData[[#This Row],[Satisfaction Score]]&lt;2,"Low",IF(EmployeeData[[#This Row],[Satisfaction Score]]&lt;3,"Medium","High"))</f>
        <v>Medium</v>
      </c>
    </row>
    <row r="831" spans="1:31" x14ac:dyDescent="0.25">
      <c r="A831" t="s">
        <v>3859</v>
      </c>
      <c r="B831" t="s">
        <v>3860</v>
      </c>
      <c r="C831" t="s">
        <v>49</v>
      </c>
      <c r="D831">
        <v>37</v>
      </c>
      <c r="E831" t="s">
        <v>5461</v>
      </c>
      <c r="F831" t="s">
        <v>89</v>
      </c>
      <c r="G831" s="1">
        <v>41177</v>
      </c>
      <c r="H831">
        <v>151548</v>
      </c>
      <c r="I831" t="s">
        <v>52</v>
      </c>
      <c r="J831" t="s">
        <v>61</v>
      </c>
      <c r="K831" t="s">
        <v>200</v>
      </c>
      <c r="L831" t="s">
        <v>43</v>
      </c>
      <c r="M831">
        <v>35</v>
      </c>
      <c r="N831" t="s">
        <v>34</v>
      </c>
      <c r="O831">
        <v>2</v>
      </c>
      <c r="P831">
        <v>1</v>
      </c>
      <c r="Q831">
        <v>4</v>
      </c>
      <c r="R831">
        <v>3</v>
      </c>
      <c r="S831">
        <v>6</v>
      </c>
      <c r="T831">
        <v>6</v>
      </c>
      <c r="U831">
        <v>18</v>
      </c>
      <c r="V831" t="s">
        <v>72</v>
      </c>
      <c r="W831" t="s">
        <v>34</v>
      </c>
      <c r="Y831" s="2" t="str">
        <f>IF(EmployeeData[[#This Row],[Age]]&lt;25,"Under 25",IF(EmployeeData[[#This Row],[Age]]&lt;=34,"25-34",IF(EmployeeData[[#This Row],[Age]]&lt;=44,"35-44",IF(EmployeeData[[#This Row],[Age]]&lt;=54,"45-54","55+"))))</f>
        <v>35-44</v>
      </c>
      <c r="Z831">
        <f ca="1">DATEDIF(EmployeeData[[#This Row],[DateOfJoining]],IF(AND(EmployeeData[[#This Row],[Attrition]]="Yes",EmployeeData[[#This Row],[LastWorkingDate]]&lt;&gt;""),EmployeeData[[#This Row],[LastWorkingDate]],TODAY()),"Y")</f>
        <v>13</v>
      </c>
      <c r="AA831" t="str">
        <f>IF(EmployeeData[[#This Row],[MonthlyIncome]]&lt;30000,"Low",IF(EmployeeData[[#This Row],[MonthlyIncome]]&lt;=60000,"Medium",IF(EmployeeData[[#This Row],[MonthlyIncome]]&lt;=100000,"High","Very High")))</f>
        <v>Very High</v>
      </c>
      <c r="AB831">
        <f>IF(EmployeeData[[#This Row],[Attrition]]="Yes",1,0)</f>
        <v>0</v>
      </c>
      <c r="AC831" t="str">
        <f ca="1">IF(EmployeeData[[#This Row],[Tenure Years]]&lt;1,"Less than 1 Year",IF(EmployeeData[[#This Row],[Tenure Years]]&lt;=3,"1-3 Years",IF(EmployeeData[[#This Row],[Tenure Years]]&lt;=5,"4-5 Years",IF(EmployeeData[[#This Row],[Tenure Years]]&lt;=10,"6-10 Years","More than 10 Years"))))</f>
        <v>More than 10 Years</v>
      </c>
      <c r="AD831">
        <f>ROUND(AVERAGE(EmployeeData[[#This Row],[JobSatisfaction]],EmployeeData[[#This Row],[EnvironmentSatisfaction]],EmployeeData[[#This Row],[WorkLifeBalance]]),2)</f>
        <v>2.33</v>
      </c>
      <c r="AE831" t="str">
        <f>IF(EmployeeData[[#This Row],[Satisfaction Score]]&lt;2,"Low",IF(EmployeeData[[#This Row],[Satisfaction Score]]&lt;3,"Medium","High"))</f>
        <v>Medium</v>
      </c>
    </row>
    <row r="832" spans="1:31" x14ac:dyDescent="0.25">
      <c r="A832" t="s">
        <v>3862</v>
      </c>
      <c r="B832" t="s">
        <v>3863</v>
      </c>
      <c r="C832" t="s">
        <v>49</v>
      </c>
      <c r="D832">
        <v>31</v>
      </c>
      <c r="E832" t="s">
        <v>128</v>
      </c>
      <c r="F832" t="s">
        <v>123</v>
      </c>
      <c r="G832" s="1">
        <v>46082</v>
      </c>
      <c r="H832">
        <v>73913</v>
      </c>
      <c r="I832" t="s">
        <v>30</v>
      </c>
      <c r="J832" t="s">
        <v>61</v>
      </c>
      <c r="K832" t="s">
        <v>98</v>
      </c>
      <c r="L832" t="s">
        <v>33</v>
      </c>
      <c r="M832">
        <v>1</v>
      </c>
      <c r="N832" t="s">
        <v>34</v>
      </c>
      <c r="O832">
        <v>1</v>
      </c>
      <c r="P832">
        <v>3</v>
      </c>
      <c r="Q832">
        <v>3</v>
      </c>
      <c r="R832">
        <v>3</v>
      </c>
      <c r="S832">
        <v>6</v>
      </c>
      <c r="T832">
        <v>0</v>
      </c>
      <c r="U832">
        <v>12</v>
      </c>
      <c r="V832" t="s">
        <v>3865</v>
      </c>
      <c r="W832" t="s">
        <v>45</v>
      </c>
      <c r="X832" s="1">
        <v>46152</v>
      </c>
      <c r="Y832" s="2" t="str">
        <f>IF(EmployeeData[[#This Row],[Age]]&lt;25,"Under 25",IF(EmployeeData[[#This Row],[Age]]&lt;=34,"25-34",IF(EmployeeData[[#This Row],[Age]]&lt;=44,"35-44",IF(EmployeeData[[#This Row],[Age]]&lt;=54,"45-54","55+"))))</f>
        <v>25-34</v>
      </c>
      <c r="Z832">
        <f ca="1">DATEDIF(EmployeeData[[#This Row],[DateOfJoining]],IF(AND(EmployeeData[[#This Row],[Attrition]]="Yes",EmployeeData[[#This Row],[LastWorkingDate]]&lt;&gt;""),EmployeeData[[#This Row],[LastWorkingDate]],TODAY()),"Y")</f>
        <v>0</v>
      </c>
      <c r="AA832" t="str">
        <f>IF(EmployeeData[[#This Row],[MonthlyIncome]]&lt;30000,"Low",IF(EmployeeData[[#This Row],[MonthlyIncome]]&lt;=60000,"Medium",IF(EmployeeData[[#This Row],[MonthlyIncome]]&lt;=100000,"High","Very High")))</f>
        <v>High</v>
      </c>
      <c r="AB832">
        <f>IF(EmployeeData[[#This Row],[Attrition]]="Yes",1,0)</f>
        <v>1</v>
      </c>
      <c r="AC832" t="str">
        <f ca="1">IF(EmployeeData[[#This Row],[Tenure Years]]&lt;1,"Less than 1 Year",IF(EmployeeData[[#This Row],[Tenure Years]]&lt;=3,"1-3 Years",IF(EmployeeData[[#This Row],[Tenure Years]]&lt;=5,"4-5 Years",IF(EmployeeData[[#This Row],[Tenure Years]]&lt;=10,"6-10 Years","More than 10 Years"))))</f>
        <v>Less than 1 Year</v>
      </c>
      <c r="AD832">
        <f>ROUND(AVERAGE(EmployeeData[[#This Row],[JobSatisfaction]],EmployeeData[[#This Row],[EnvironmentSatisfaction]],EmployeeData[[#This Row],[WorkLifeBalance]]),2)</f>
        <v>2.33</v>
      </c>
      <c r="AE832" t="str">
        <f>IF(EmployeeData[[#This Row],[Satisfaction Score]]&lt;2,"Low",IF(EmployeeData[[#This Row],[Satisfaction Score]]&lt;3,"Medium","High"))</f>
        <v>Medium</v>
      </c>
    </row>
    <row r="833" spans="1:31" x14ac:dyDescent="0.25">
      <c r="A833" t="s">
        <v>3867</v>
      </c>
      <c r="B833" t="s">
        <v>3868</v>
      </c>
      <c r="C833" t="s">
        <v>58</v>
      </c>
      <c r="D833">
        <v>27</v>
      </c>
      <c r="E833" t="s">
        <v>27</v>
      </c>
      <c r="F833" t="s">
        <v>75</v>
      </c>
      <c r="G833" s="1">
        <v>46076</v>
      </c>
      <c r="H833">
        <v>49991</v>
      </c>
      <c r="I833" t="s">
        <v>42</v>
      </c>
      <c r="J833" t="s">
        <v>31</v>
      </c>
      <c r="K833" t="s">
        <v>113</v>
      </c>
      <c r="L833" t="s">
        <v>43</v>
      </c>
      <c r="M833">
        <v>22</v>
      </c>
      <c r="N833" t="s">
        <v>34</v>
      </c>
      <c r="O833">
        <v>1</v>
      </c>
      <c r="P833">
        <v>3</v>
      </c>
      <c r="Q833">
        <v>3</v>
      </c>
      <c r="R833">
        <v>3</v>
      </c>
      <c r="S833">
        <v>4</v>
      </c>
      <c r="T833">
        <v>5</v>
      </c>
      <c r="U833">
        <v>25</v>
      </c>
      <c r="V833" t="s">
        <v>3870</v>
      </c>
      <c r="W833" t="s">
        <v>45</v>
      </c>
      <c r="X833" s="1">
        <v>46192</v>
      </c>
      <c r="Y833" s="2" t="str">
        <f>IF(EmployeeData[[#This Row],[Age]]&lt;25,"Under 25",IF(EmployeeData[[#This Row],[Age]]&lt;=34,"25-34",IF(EmployeeData[[#This Row],[Age]]&lt;=44,"35-44",IF(EmployeeData[[#This Row],[Age]]&lt;=54,"45-54","55+"))))</f>
        <v>25-34</v>
      </c>
      <c r="Z833">
        <f ca="1">DATEDIF(EmployeeData[[#This Row],[DateOfJoining]],IF(AND(EmployeeData[[#This Row],[Attrition]]="Yes",EmployeeData[[#This Row],[LastWorkingDate]]&lt;&gt;""),EmployeeData[[#This Row],[LastWorkingDate]],TODAY()),"Y")</f>
        <v>0</v>
      </c>
      <c r="AA833" t="str">
        <f>IF(EmployeeData[[#This Row],[MonthlyIncome]]&lt;30000,"Low",IF(EmployeeData[[#This Row],[MonthlyIncome]]&lt;=60000,"Medium",IF(EmployeeData[[#This Row],[MonthlyIncome]]&lt;=100000,"High","Very High")))</f>
        <v>Medium</v>
      </c>
      <c r="AB833">
        <f>IF(EmployeeData[[#This Row],[Attrition]]="Yes",1,0)</f>
        <v>1</v>
      </c>
      <c r="AC833" t="str">
        <f ca="1">IF(EmployeeData[[#This Row],[Tenure Years]]&lt;1,"Less than 1 Year",IF(EmployeeData[[#This Row],[Tenure Years]]&lt;=3,"1-3 Years",IF(EmployeeData[[#This Row],[Tenure Years]]&lt;=5,"4-5 Years",IF(EmployeeData[[#This Row],[Tenure Years]]&lt;=10,"6-10 Years","More than 10 Years"))))</f>
        <v>Less than 1 Year</v>
      </c>
      <c r="AD833">
        <f>ROUND(AVERAGE(EmployeeData[[#This Row],[JobSatisfaction]],EmployeeData[[#This Row],[EnvironmentSatisfaction]],EmployeeData[[#This Row],[WorkLifeBalance]]),2)</f>
        <v>2.33</v>
      </c>
      <c r="AE833" t="str">
        <f>IF(EmployeeData[[#This Row],[Satisfaction Score]]&lt;2,"Low",IF(EmployeeData[[#This Row],[Satisfaction Score]]&lt;3,"Medium","High"))</f>
        <v>Medium</v>
      </c>
    </row>
    <row r="834" spans="1:31" x14ac:dyDescent="0.25">
      <c r="A834" t="s">
        <v>3872</v>
      </c>
      <c r="B834" t="s">
        <v>3873</v>
      </c>
      <c r="C834" t="s">
        <v>58</v>
      </c>
      <c r="D834">
        <v>43</v>
      </c>
      <c r="E834" t="s">
        <v>128</v>
      </c>
      <c r="F834" t="s">
        <v>226</v>
      </c>
      <c r="G834" s="1">
        <v>43206</v>
      </c>
      <c r="H834">
        <v>103408</v>
      </c>
      <c r="I834" t="s">
        <v>52</v>
      </c>
      <c r="J834" t="s">
        <v>61</v>
      </c>
      <c r="K834" t="s">
        <v>98</v>
      </c>
      <c r="L834" t="s">
        <v>62</v>
      </c>
      <c r="M834">
        <v>34</v>
      </c>
      <c r="N834" t="s">
        <v>34</v>
      </c>
      <c r="O834">
        <v>3</v>
      </c>
      <c r="P834">
        <v>3</v>
      </c>
      <c r="Q834">
        <v>2</v>
      </c>
      <c r="R834">
        <v>3</v>
      </c>
      <c r="S834">
        <v>3</v>
      </c>
      <c r="T834">
        <v>7</v>
      </c>
      <c r="U834">
        <v>20</v>
      </c>
      <c r="V834" t="s">
        <v>3874</v>
      </c>
      <c r="W834" t="s">
        <v>34</v>
      </c>
      <c r="Y834" s="2" t="str">
        <f>IF(EmployeeData[[#This Row],[Age]]&lt;25,"Under 25",IF(EmployeeData[[#This Row],[Age]]&lt;=34,"25-34",IF(EmployeeData[[#This Row],[Age]]&lt;=44,"35-44",IF(EmployeeData[[#This Row],[Age]]&lt;=54,"45-54","55+"))))</f>
        <v>35-44</v>
      </c>
      <c r="Z834">
        <f ca="1">DATEDIF(EmployeeData[[#This Row],[DateOfJoining]],IF(AND(EmployeeData[[#This Row],[Attrition]]="Yes",EmployeeData[[#This Row],[LastWorkingDate]]&lt;&gt;""),EmployeeData[[#This Row],[LastWorkingDate]],TODAY()),"Y")</f>
        <v>8</v>
      </c>
      <c r="AA834" t="str">
        <f>IF(EmployeeData[[#This Row],[MonthlyIncome]]&lt;30000,"Low",IF(EmployeeData[[#This Row],[MonthlyIncome]]&lt;=60000,"Medium",IF(EmployeeData[[#This Row],[MonthlyIncome]]&lt;=100000,"High","Very High")))</f>
        <v>Very High</v>
      </c>
      <c r="AB834">
        <f>IF(EmployeeData[[#This Row],[Attrition]]="Yes",1,0)</f>
        <v>0</v>
      </c>
      <c r="AC834" t="str">
        <f ca="1">IF(EmployeeData[[#This Row],[Tenure Years]]&lt;1,"Less than 1 Year",IF(EmployeeData[[#This Row],[Tenure Years]]&lt;=3,"1-3 Years",IF(EmployeeData[[#This Row],[Tenure Years]]&lt;=5,"4-5 Years",IF(EmployeeData[[#This Row],[Tenure Years]]&lt;=10,"6-10 Years","More than 10 Years"))))</f>
        <v>6-10 Years</v>
      </c>
      <c r="AD834">
        <f>ROUND(AVERAGE(EmployeeData[[#This Row],[JobSatisfaction]],EmployeeData[[#This Row],[EnvironmentSatisfaction]],EmployeeData[[#This Row],[WorkLifeBalance]]),2)</f>
        <v>2.67</v>
      </c>
      <c r="AE834" t="str">
        <f>IF(EmployeeData[[#This Row],[Satisfaction Score]]&lt;2,"Low",IF(EmployeeData[[#This Row],[Satisfaction Score]]&lt;3,"Medium","High"))</f>
        <v>Medium</v>
      </c>
    </row>
    <row r="835" spans="1:31" x14ac:dyDescent="0.25">
      <c r="A835" t="s">
        <v>3875</v>
      </c>
      <c r="B835" t="s">
        <v>3876</v>
      </c>
      <c r="C835" t="s">
        <v>5459</v>
      </c>
      <c r="D835">
        <v>33</v>
      </c>
      <c r="E835" t="s">
        <v>94</v>
      </c>
      <c r="F835" t="s">
        <v>356</v>
      </c>
      <c r="G835" s="1">
        <v>44848</v>
      </c>
      <c r="H835">
        <v>119099</v>
      </c>
      <c r="I835" t="s">
        <v>42</v>
      </c>
      <c r="J835" t="s">
        <v>31</v>
      </c>
      <c r="K835" t="s">
        <v>167</v>
      </c>
      <c r="L835" t="s">
        <v>33</v>
      </c>
      <c r="M835">
        <v>14</v>
      </c>
      <c r="N835" t="s">
        <v>45</v>
      </c>
      <c r="O835">
        <v>3</v>
      </c>
      <c r="P835">
        <v>2</v>
      </c>
      <c r="Q835">
        <v>2</v>
      </c>
      <c r="R835">
        <v>2</v>
      </c>
      <c r="S835">
        <v>5</v>
      </c>
      <c r="T835">
        <v>6</v>
      </c>
      <c r="U835">
        <v>11</v>
      </c>
      <c r="V835" t="s">
        <v>3878</v>
      </c>
      <c r="W835" t="s">
        <v>45</v>
      </c>
      <c r="X835" s="1">
        <v>45671</v>
      </c>
      <c r="Y835" s="2" t="str">
        <f>IF(EmployeeData[[#This Row],[Age]]&lt;25,"Under 25",IF(EmployeeData[[#This Row],[Age]]&lt;=34,"25-34",IF(EmployeeData[[#This Row],[Age]]&lt;=44,"35-44",IF(EmployeeData[[#This Row],[Age]]&lt;=54,"45-54","55+"))))</f>
        <v>25-34</v>
      </c>
      <c r="Z835">
        <f ca="1">DATEDIF(EmployeeData[[#This Row],[DateOfJoining]],IF(AND(EmployeeData[[#This Row],[Attrition]]="Yes",EmployeeData[[#This Row],[LastWorkingDate]]&lt;&gt;""),EmployeeData[[#This Row],[LastWorkingDate]],TODAY()),"Y")</f>
        <v>2</v>
      </c>
      <c r="AA835" t="str">
        <f>IF(EmployeeData[[#This Row],[MonthlyIncome]]&lt;30000,"Low",IF(EmployeeData[[#This Row],[MonthlyIncome]]&lt;=60000,"Medium",IF(EmployeeData[[#This Row],[MonthlyIncome]]&lt;=100000,"High","Very High")))</f>
        <v>Very High</v>
      </c>
      <c r="AB835">
        <f>IF(EmployeeData[[#This Row],[Attrition]]="Yes",1,0)</f>
        <v>1</v>
      </c>
      <c r="AC835" t="str">
        <f ca="1">IF(EmployeeData[[#This Row],[Tenure Years]]&lt;1,"Less than 1 Year",IF(EmployeeData[[#This Row],[Tenure Years]]&lt;=3,"1-3 Years",IF(EmployeeData[[#This Row],[Tenure Years]]&lt;=5,"4-5 Years",IF(EmployeeData[[#This Row],[Tenure Years]]&lt;=10,"6-10 Years","More than 10 Years"))))</f>
        <v>1-3 Years</v>
      </c>
      <c r="AD835">
        <f>ROUND(AVERAGE(EmployeeData[[#This Row],[JobSatisfaction]],EmployeeData[[#This Row],[EnvironmentSatisfaction]],EmployeeData[[#This Row],[WorkLifeBalance]]),2)</f>
        <v>2.33</v>
      </c>
      <c r="AE835" t="str">
        <f>IF(EmployeeData[[#This Row],[Satisfaction Score]]&lt;2,"Low",IF(EmployeeData[[#This Row],[Satisfaction Score]]&lt;3,"Medium","High"))</f>
        <v>Medium</v>
      </c>
    </row>
    <row r="836" spans="1:31" x14ac:dyDescent="0.25">
      <c r="A836" t="s">
        <v>3880</v>
      </c>
      <c r="B836" t="s">
        <v>3881</v>
      </c>
      <c r="C836" t="s">
        <v>49</v>
      </c>
      <c r="D836">
        <v>45</v>
      </c>
      <c r="E836" t="s">
        <v>94</v>
      </c>
      <c r="F836" t="s">
        <v>356</v>
      </c>
      <c r="G836" s="1">
        <v>41809</v>
      </c>
      <c r="H836">
        <v>62410</v>
      </c>
      <c r="I836" t="s">
        <v>30</v>
      </c>
      <c r="J836" t="s">
        <v>31</v>
      </c>
      <c r="K836" t="s">
        <v>200</v>
      </c>
      <c r="L836" t="s">
        <v>43</v>
      </c>
      <c r="M836">
        <v>34</v>
      </c>
      <c r="N836" t="s">
        <v>34</v>
      </c>
      <c r="O836">
        <v>1</v>
      </c>
      <c r="P836">
        <v>2</v>
      </c>
      <c r="Q836">
        <v>3</v>
      </c>
      <c r="R836">
        <v>3</v>
      </c>
      <c r="S836">
        <v>1</v>
      </c>
      <c r="T836">
        <v>4</v>
      </c>
      <c r="U836">
        <v>13</v>
      </c>
      <c r="V836" t="s">
        <v>3883</v>
      </c>
      <c r="W836" t="s">
        <v>34</v>
      </c>
      <c r="Y836" s="2" t="str">
        <f>IF(EmployeeData[[#This Row],[Age]]&lt;25,"Under 25",IF(EmployeeData[[#This Row],[Age]]&lt;=34,"25-34",IF(EmployeeData[[#This Row],[Age]]&lt;=44,"35-44",IF(EmployeeData[[#This Row],[Age]]&lt;=54,"45-54","55+"))))</f>
        <v>45-54</v>
      </c>
      <c r="Z836">
        <f ca="1">DATEDIF(EmployeeData[[#This Row],[DateOfJoining]],IF(AND(EmployeeData[[#This Row],[Attrition]]="Yes",EmployeeData[[#This Row],[LastWorkingDate]]&lt;&gt;""),EmployeeData[[#This Row],[LastWorkingDate]],TODAY()),"Y")</f>
        <v>12</v>
      </c>
      <c r="AA836" t="str">
        <f>IF(EmployeeData[[#This Row],[MonthlyIncome]]&lt;30000,"Low",IF(EmployeeData[[#This Row],[MonthlyIncome]]&lt;=60000,"Medium",IF(EmployeeData[[#This Row],[MonthlyIncome]]&lt;=100000,"High","Very High")))</f>
        <v>High</v>
      </c>
      <c r="AB836">
        <f>IF(EmployeeData[[#This Row],[Attrition]]="Yes",1,0)</f>
        <v>0</v>
      </c>
      <c r="AC836" t="str">
        <f ca="1">IF(EmployeeData[[#This Row],[Tenure Years]]&lt;1,"Less than 1 Year",IF(EmployeeData[[#This Row],[Tenure Years]]&lt;=3,"1-3 Years",IF(EmployeeData[[#This Row],[Tenure Years]]&lt;=5,"4-5 Years",IF(EmployeeData[[#This Row],[Tenure Years]]&lt;=10,"6-10 Years","More than 10 Years"))))</f>
        <v>More than 10 Years</v>
      </c>
      <c r="AD836">
        <f>ROUND(AVERAGE(EmployeeData[[#This Row],[JobSatisfaction]],EmployeeData[[#This Row],[EnvironmentSatisfaction]],EmployeeData[[#This Row],[WorkLifeBalance]]),2)</f>
        <v>2</v>
      </c>
      <c r="AE836" t="str">
        <f>IF(EmployeeData[[#This Row],[Satisfaction Score]]&lt;2,"Low",IF(EmployeeData[[#This Row],[Satisfaction Score]]&lt;3,"Medium","High"))</f>
        <v>Medium</v>
      </c>
    </row>
    <row r="837" spans="1:31" x14ac:dyDescent="0.25">
      <c r="A837" t="s">
        <v>3884</v>
      </c>
      <c r="B837" t="s">
        <v>3885</v>
      </c>
      <c r="C837" t="s">
        <v>49</v>
      </c>
      <c r="D837">
        <v>32</v>
      </c>
      <c r="E837" t="s">
        <v>412</v>
      </c>
      <c r="F837" t="s">
        <v>828</v>
      </c>
      <c r="G837" s="1">
        <v>45782</v>
      </c>
      <c r="H837">
        <v>91761</v>
      </c>
      <c r="I837" t="s">
        <v>52</v>
      </c>
      <c r="J837" t="s">
        <v>31</v>
      </c>
      <c r="K837" t="s">
        <v>167</v>
      </c>
      <c r="L837" t="s">
        <v>62</v>
      </c>
      <c r="M837">
        <v>29</v>
      </c>
      <c r="N837" t="s">
        <v>34</v>
      </c>
      <c r="O837">
        <v>4</v>
      </c>
      <c r="P837">
        <v>1</v>
      </c>
      <c r="Q837">
        <v>1</v>
      </c>
      <c r="R837">
        <v>3</v>
      </c>
      <c r="S837">
        <v>6</v>
      </c>
      <c r="T837">
        <v>1</v>
      </c>
      <c r="U837">
        <v>24</v>
      </c>
      <c r="V837" t="s">
        <v>3888</v>
      </c>
      <c r="W837" t="s">
        <v>45</v>
      </c>
      <c r="X837" s="1">
        <v>45974</v>
      </c>
      <c r="Y837" s="2" t="str">
        <f>IF(EmployeeData[[#This Row],[Age]]&lt;25,"Under 25",IF(EmployeeData[[#This Row],[Age]]&lt;=34,"25-34",IF(EmployeeData[[#This Row],[Age]]&lt;=44,"35-44",IF(EmployeeData[[#This Row],[Age]]&lt;=54,"45-54","55+"))))</f>
        <v>25-34</v>
      </c>
      <c r="Z837">
        <f ca="1">DATEDIF(EmployeeData[[#This Row],[DateOfJoining]],IF(AND(EmployeeData[[#This Row],[Attrition]]="Yes",EmployeeData[[#This Row],[LastWorkingDate]]&lt;&gt;""),EmployeeData[[#This Row],[LastWorkingDate]],TODAY()),"Y")</f>
        <v>0</v>
      </c>
      <c r="AA837" t="str">
        <f>IF(EmployeeData[[#This Row],[MonthlyIncome]]&lt;30000,"Low",IF(EmployeeData[[#This Row],[MonthlyIncome]]&lt;=60000,"Medium",IF(EmployeeData[[#This Row],[MonthlyIncome]]&lt;=100000,"High","Very High")))</f>
        <v>High</v>
      </c>
      <c r="AB837">
        <f>IF(EmployeeData[[#This Row],[Attrition]]="Yes",1,0)</f>
        <v>1</v>
      </c>
      <c r="AC837" t="str">
        <f ca="1">IF(EmployeeData[[#This Row],[Tenure Years]]&lt;1,"Less than 1 Year",IF(EmployeeData[[#This Row],[Tenure Years]]&lt;=3,"1-3 Years",IF(EmployeeData[[#This Row],[Tenure Years]]&lt;=5,"4-5 Years",IF(EmployeeData[[#This Row],[Tenure Years]]&lt;=10,"6-10 Years","More than 10 Years"))))</f>
        <v>Less than 1 Year</v>
      </c>
      <c r="AD837">
        <f>ROUND(AVERAGE(EmployeeData[[#This Row],[JobSatisfaction]],EmployeeData[[#This Row],[EnvironmentSatisfaction]],EmployeeData[[#This Row],[WorkLifeBalance]]),2)</f>
        <v>2</v>
      </c>
      <c r="AE837" t="str">
        <f>IF(EmployeeData[[#This Row],[Satisfaction Score]]&lt;2,"Low",IF(EmployeeData[[#This Row],[Satisfaction Score]]&lt;3,"Medium","High"))</f>
        <v>Medium</v>
      </c>
    </row>
    <row r="838" spans="1:31" x14ac:dyDescent="0.25">
      <c r="A838" t="s">
        <v>3890</v>
      </c>
      <c r="B838" t="s">
        <v>3891</v>
      </c>
      <c r="C838" t="s">
        <v>58</v>
      </c>
      <c r="D838">
        <v>23</v>
      </c>
      <c r="E838" t="s">
        <v>412</v>
      </c>
      <c r="F838" t="s">
        <v>828</v>
      </c>
      <c r="G838" s="1">
        <v>44130</v>
      </c>
      <c r="H838">
        <v>68965</v>
      </c>
      <c r="I838" t="s">
        <v>30</v>
      </c>
      <c r="J838" t="s">
        <v>61</v>
      </c>
      <c r="K838" t="s">
        <v>200</v>
      </c>
      <c r="L838" t="s">
        <v>33</v>
      </c>
      <c r="M838">
        <v>43</v>
      </c>
      <c r="N838" t="s">
        <v>34</v>
      </c>
      <c r="O838">
        <v>2</v>
      </c>
      <c r="P838">
        <v>3</v>
      </c>
      <c r="Q838">
        <v>3</v>
      </c>
      <c r="R838">
        <v>3</v>
      </c>
      <c r="S838">
        <v>6</v>
      </c>
      <c r="T838">
        <v>2</v>
      </c>
      <c r="U838">
        <v>22</v>
      </c>
      <c r="V838" t="s">
        <v>3893</v>
      </c>
      <c r="W838" t="s">
        <v>34</v>
      </c>
      <c r="Y838" s="2" t="str">
        <f>IF(EmployeeData[[#This Row],[Age]]&lt;25,"Under 25",IF(EmployeeData[[#This Row],[Age]]&lt;=34,"25-34",IF(EmployeeData[[#This Row],[Age]]&lt;=44,"35-44",IF(EmployeeData[[#This Row],[Age]]&lt;=54,"45-54","55+"))))</f>
        <v>Under 25</v>
      </c>
      <c r="Z838">
        <f ca="1">DATEDIF(EmployeeData[[#This Row],[DateOfJoining]],IF(AND(EmployeeData[[#This Row],[Attrition]]="Yes",EmployeeData[[#This Row],[LastWorkingDate]]&lt;&gt;""),EmployeeData[[#This Row],[LastWorkingDate]],TODAY()),"Y")</f>
        <v>5</v>
      </c>
      <c r="AA838" t="str">
        <f>IF(EmployeeData[[#This Row],[MonthlyIncome]]&lt;30000,"Low",IF(EmployeeData[[#This Row],[MonthlyIncome]]&lt;=60000,"Medium",IF(EmployeeData[[#This Row],[MonthlyIncome]]&lt;=100000,"High","Very High")))</f>
        <v>High</v>
      </c>
      <c r="AB838">
        <f>IF(EmployeeData[[#This Row],[Attrition]]="Yes",1,0)</f>
        <v>0</v>
      </c>
      <c r="AC838" t="str">
        <f ca="1">IF(EmployeeData[[#This Row],[Tenure Years]]&lt;1,"Less than 1 Year",IF(EmployeeData[[#This Row],[Tenure Years]]&lt;=3,"1-3 Years",IF(EmployeeData[[#This Row],[Tenure Years]]&lt;=5,"4-5 Years",IF(EmployeeData[[#This Row],[Tenure Years]]&lt;=10,"6-10 Years","More than 10 Years"))))</f>
        <v>4-5 Years</v>
      </c>
      <c r="AD838">
        <f>ROUND(AVERAGE(EmployeeData[[#This Row],[JobSatisfaction]],EmployeeData[[#This Row],[EnvironmentSatisfaction]],EmployeeData[[#This Row],[WorkLifeBalance]]),2)</f>
        <v>2.67</v>
      </c>
      <c r="AE838" t="str">
        <f>IF(EmployeeData[[#This Row],[Satisfaction Score]]&lt;2,"Low",IF(EmployeeData[[#This Row],[Satisfaction Score]]&lt;3,"Medium","High"))</f>
        <v>Medium</v>
      </c>
    </row>
    <row r="839" spans="1:31" x14ac:dyDescent="0.25">
      <c r="A839" t="s">
        <v>3894</v>
      </c>
      <c r="B839" t="s">
        <v>3895</v>
      </c>
      <c r="C839" t="s">
        <v>58</v>
      </c>
      <c r="D839">
        <v>54</v>
      </c>
      <c r="E839" t="s">
        <v>38</v>
      </c>
      <c r="F839" t="s">
        <v>792</v>
      </c>
      <c r="G839" s="1">
        <v>43534</v>
      </c>
      <c r="H839">
        <v>73542</v>
      </c>
      <c r="I839" t="s">
        <v>30</v>
      </c>
      <c r="J839" t="s">
        <v>97</v>
      </c>
      <c r="K839" t="s">
        <v>167</v>
      </c>
      <c r="L839" t="s">
        <v>33</v>
      </c>
      <c r="M839">
        <v>1</v>
      </c>
      <c r="N839" t="s">
        <v>34</v>
      </c>
      <c r="O839">
        <v>3</v>
      </c>
      <c r="P839">
        <v>2</v>
      </c>
      <c r="Q839">
        <v>1</v>
      </c>
      <c r="R839">
        <v>3</v>
      </c>
      <c r="S839">
        <v>6</v>
      </c>
      <c r="T839">
        <v>1</v>
      </c>
      <c r="U839">
        <v>24</v>
      </c>
      <c r="V839" t="s">
        <v>3897</v>
      </c>
      <c r="W839" t="s">
        <v>34</v>
      </c>
      <c r="Y839" s="2" t="str">
        <f>IF(EmployeeData[[#This Row],[Age]]&lt;25,"Under 25",IF(EmployeeData[[#This Row],[Age]]&lt;=34,"25-34",IF(EmployeeData[[#This Row],[Age]]&lt;=44,"35-44",IF(EmployeeData[[#This Row],[Age]]&lt;=54,"45-54","55+"))))</f>
        <v>45-54</v>
      </c>
      <c r="Z839">
        <f ca="1">DATEDIF(EmployeeData[[#This Row],[DateOfJoining]],IF(AND(EmployeeData[[#This Row],[Attrition]]="Yes",EmployeeData[[#This Row],[LastWorkingDate]]&lt;&gt;""),EmployeeData[[#This Row],[LastWorkingDate]],TODAY()),"Y")</f>
        <v>7</v>
      </c>
      <c r="AA839" t="str">
        <f>IF(EmployeeData[[#This Row],[MonthlyIncome]]&lt;30000,"Low",IF(EmployeeData[[#This Row],[MonthlyIncome]]&lt;=60000,"Medium",IF(EmployeeData[[#This Row],[MonthlyIncome]]&lt;=100000,"High","Very High")))</f>
        <v>High</v>
      </c>
      <c r="AB839">
        <f>IF(EmployeeData[[#This Row],[Attrition]]="Yes",1,0)</f>
        <v>0</v>
      </c>
      <c r="AC839" t="str">
        <f ca="1">IF(EmployeeData[[#This Row],[Tenure Years]]&lt;1,"Less than 1 Year",IF(EmployeeData[[#This Row],[Tenure Years]]&lt;=3,"1-3 Years",IF(EmployeeData[[#This Row],[Tenure Years]]&lt;=5,"4-5 Years",IF(EmployeeData[[#This Row],[Tenure Years]]&lt;=10,"6-10 Years","More than 10 Years"))))</f>
        <v>6-10 Years</v>
      </c>
      <c r="AD839">
        <f>ROUND(AVERAGE(EmployeeData[[#This Row],[JobSatisfaction]],EmployeeData[[#This Row],[EnvironmentSatisfaction]],EmployeeData[[#This Row],[WorkLifeBalance]]),2)</f>
        <v>2</v>
      </c>
      <c r="AE839" t="str">
        <f>IF(EmployeeData[[#This Row],[Satisfaction Score]]&lt;2,"Low",IF(EmployeeData[[#This Row],[Satisfaction Score]]&lt;3,"Medium","High"))</f>
        <v>Medium</v>
      </c>
    </row>
    <row r="840" spans="1:31" x14ac:dyDescent="0.25">
      <c r="A840" t="s">
        <v>3898</v>
      </c>
      <c r="B840" t="s">
        <v>3899</v>
      </c>
      <c r="C840" t="s">
        <v>49</v>
      </c>
      <c r="D840">
        <v>33</v>
      </c>
      <c r="E840" t="s">
        <v>128</v>
      </c>
      <c r="F840" t="s">
        <v>123</v>
      </c>
      <c r="G840" s="1">
        <v>43255</v>
      </c>
      <c r="H840">
        <v>99824</v>
      </c>
      <c r="I840" t="s">
        <v>52</v>
      </c>
      <c r="J840" t="s">
        <v>53</v>
      </c>
      <c r="K840" t="s">
        <v>83</v>
      </c>
      <c r="L840" t="s">
        <v>33</v>
      </c>
      <c r="M840">
        <v>33</v>
      </c>
      <c r="N840" t="s">
        <v>34</v>
      </c>
      <c r="O840">
        <v>1</v>
      </c>
      <c r="P840">
        <v>4</v>
      </c>
      <c r="Q840">
        <v>3</v>
      </c>
      <c r="R840">
        <v>4</v>
      </c>
      <c r="S840">
        <v>0</v>
      </c>
      <c r="T840">
        <v>8</v>
      </c>
      <c r="U840">
        <v>16</v>
      </c>
      <c r="V840" t="s">
        <v>3901</v>
      </c>
      <c r="W840" t="s">
        <v>34</v>
      </c>
      <c r="Y840" s="2" t="str">
        <f>IF(EmployeeData[[#This Row],[Age]]&lt;25,"Under 25",IF(EmployeeData[[#This Row],[Age]]&lt;=34,"25-34",IF(EmployeeData[[#This Row],[Age]]&lt;=44,"35-44",IF(EmployeeData[[#This Row],[Age]]&lt;=54,"45-54","55+"))))</f>
        <v>25-34</v>
      </c>
      <c r="Z840">
        <f ca="1">DATEDIF(EmployeeData[[#This Row],[DateOfJoining]],IF(AND(EmployeeData[[#This Row],[Attrition]]="Yes",EmployeeData[[#This Row],[LastWorkingDate]]&lt;&gt;""),EmployeeData[[#This Row],[LastWorkingDate]],TODAY()),"Y")</f>
        <v>8</v>
      </c>
      <c r="AA840" t="str">
        <f>IF(EmployeeData[[#This Row],[MonthlyIncome]]&lt;30000,"Low",IF(EmployeeData[[#This Row],[MonthlyIncome]]&lt;=60000,"Medium",IF(EmployeeData[[#This Row],[MonthlyIncome]]&lt;=100000,"High","Very High")))</f>
        <v>High</v>
      </c>
      <c r="AB840">
        <f>IF(EmployeeData[[#This Row],[Attrition]]="Yes",1,0)</f>
        <v>0</v>
      </c>
      <c r="AC840" t="str">
        <f ca="1">IF(EmployeeData[[#This Row],[Tenure Years]]&lt;1,"Less than 1 Year",IF(EmployeeData[[#This Row],[Tenure Years]]&lt;=3,"1-3 Years",IF(EmployeeData[[#This Row],[Tenure Years]]&lt;=5,"4-5 Years",IF(EmployeeData[[#This Row],[Tenure Years]]&lt;=10,"6-10 Years","More than 10 Years"))))</f>
        <v>6-10 Years</v>
      </c>
      <c r="AD840">
        <f>ROUND(AVERAGE(EmployeeData[[#This Row],[JobSatisfaction]],EmployeeData[[#This Row],[EnvironmentSatisfaction]],EmployeeData[[#This Row],[WorkLifeBalance]]),2)</f>
        <v>2.67</v>
      </c>
      <c r="AE840" t="str">
        <f>IF(EmployeeData[[#This Row],[Satisfaction Score]]&lt;2,"Low",IF(EmployeeData[[#This Row],[Satisfaction Score]]&lt;3,"Medium","High"))</f>
        <v>Medium</v>
      </c>
    </row>
    <row r="841" spans="1:31" x14ac:dyDescent="0.25">
      <c r="A841" t="s">
        <v>3902</v>
      </c>
      <c r="B841" t="s">
        <v>3903</v>
      </c>
      <c r="C841" t="s">
        <v>49</v>
      </c>
      <c r="D841">
        <v>29</v>
      </c>
      <c r="E841" t="s">
        <v>5461</v>
      </c>
      <c r="F841" t="s">
        <v>5464</v>
      </c>
      <c r="G841" s="1">
        <v>43687</v>
      </c>
      <c r="H841">
        <v>91085</v>
      </c>
      <c r="I841" t="s">
        <v>42</v>
      </c>
      <c r="J841" t="s">
        <v>31</v>
      </c>
      <c r="K841" t="s">
        <v>83</v>
      </c>
      <c r="L841" t="s">
        <v>62</v>
      </c>
      <c r="M841">
        <v>31</v>
      </c>
      <c r="N841" t="s">
        <v>34</v>
      </c>
      <c r="O841">
        <v>4</v>
      </c>
      <c r="P841">
        <v>1</v>
      </c>
      <c r="Q841">
        <v>1</v>
      </c>
      <c r="R841">
        <v>3</v>
      </c>
      <c r="S841">
        <v>5</v>
      </c>
      <c r="T841">
        <v>8</v>
      </c>
      <c r="U841">
        <v>12</v>
      </c>
      <c r="V841" t="s">
        <v>3905</v>
      </c>
      <c r="W841" t="s">
        <v>34</v>
      </c>
      <c r="Y841" s="2" t="str">
        <f>IF(EmployeeData[[#This Row],[Age]]&lt;25,"Under 25",IF(EmployeeData[[#This Row],[Age]]&lt;=34,"25-34",IF(EmployeeData[[#This Row],[Age]]&lt;=44,"35-44",IF(EmployeeData[[#This Row],[Age]]&lt;=54,"45-54","55+"))))</f>
        <v>25-34</v>
      </c>
      <c r="Z841">
        <f ca="1">DATEDIF(EmployeeData[[#This Row],[DateOfJoining]],IF(AND(EmployeeData[[#This Row],[Attrition]]="Yes",EmployeeData[[#This Row],[LastWorkingDate]]&lt;&gt;""),EmployeeData[[#This Row],[LastWorkingDate]],TODAY()),"Y")</f>
        <v>7</v>
      </c>
      <c r="AA841" t="str">
        <f>IF(EmployeeData[[#This Row],[MonthlyIncome]]&lt;30000,"Low",IF(EmployeeData[[#This Row],[MonthlyIncome]]&lt;=60000,"Medium",IF(EmployeeData[[#This Row],[MonthlyIncome]]&lt;=100000,"High","Very High")))</f>
        <v>High</v>
      </c>
      <c r="AB841">
        <f>IF(EmployeeData[[#This Row],[Attrition]]="Yes",1,0)</f>
        <v>0</v>
      </c>
      <c r="AC841" t="str">
        <f ca="1">IF(EmployeeData[[#This Row],[Tenure Years]]&lt;1,"Less than 1 Year",IF(EmployeeData[[#This Row],[Tenure Years]]&lt;=3,"1-3 Years",IF(EmployeeData[[#This Row],[Tenure Years]]&lt;=5,"4-5 Years",IF(EmployeeData[[#This Row],[Tenure Years]]&lt;=10,"6-10 Years","More than 10 Years"))))</f>
        <v>6-10 Years</v>
      </c>
      <c r="AD841">
        <f>ROUND(AVERAGE(EmployeeData[[#This Row],[JobSatisfaction]],EmployeeData[[#This Row],[EnvironmentSatisfaction]],EmployeeData[[#This Row],[WorkLifeBalance]]),2)</f>
        <v>2</v>
      </c>
      <c r="AE841" t="str">
        <f>IF(EmployeeData[[#This Row],[Satisfaction Score]]&lt;2,"Low",IF(EmployeeData[[#This Row],[Satisfaction Score]]&lt;3,"Medium","High"))</f>
        <v>Medium</v>
      </c>
    </row>
    <row r="842" spans="1:31" x14ac:dyDescent="0.25">
      <c r="A842" t="s">
        <v>3906</v>
      </c>
      <c r="B842" t="s">
        <v>3907</v>
      </c>
      <c r="C842" t="s">
        <v>58</v>
      </c>
      <c r="D842">
        <v>46</v>
      </c>
      <c r="E842" t="s">
        <v>128</v>
      </c>
      <c r="F842" t="s">
        <v>255</v>
      </c>
      <c r="G842" s="1">
        <v>42949</v>
      </c>
      <c r="H842">
        <v>78466</v>
      </c>
      <c r="I842" t="s">
        <v>42</v>
      </c>
      <c r="J842" t="s">
        <v>61</v>
      </c>
      <c r="K842" t="s">
        <v>167</v>
      </c>
      <c r="L842" t="s">
        <v>62</v>
      </c>
      <c r="M842">
        <v>38</v>
      </c>
      <c r="N842" t="s">
        <v>34</v>
      </c>
      <c r="O842">
        <v>4</v>
      </c>
      <c r="P842">
        <v>3</v>
      </c>
      <c r="Q842">
        <v>4</v>
      </c>
      <c r="R842">
        <v>3</v>
      </c>
      <c r="S842">
        <v>4</v>
      </c>
      <c r="T842">
        <v>3</v>
      </c>
      <c r="U842">
        <v>18</v>
      </c>
      <c r="V842" t="s">
        <v>3909</v>
      </c>
      <c r="W842" t="s">
        <v>34</v>
      </c>
      <c r="Y842" s="2" t="str">
        <f>IF(EmployeeData[[#This Row],[Age]]&lt;25,"Under 25",IF(EmployeeData[[#This Row],[Age]]&lt;=34,"25-34",IF(EmployeeData[[#This Row],[Age]]&lt;=44,"35-44",IF(EmployeeData[[#This Row],[Age]]&lt;=54,"45-54","55+"))))</f>
        <v>45-54</v>
      </c>
      <c r="Z842">
        <f ca="1">DATEDIF(EmployeeData[[#This Row],[DateOfJoining]],IF(AND(EmployeeData[[#This Row],[Attrition]]="Yes",EmployeeData[[#This Row],[LastWorkingDate]]&lt;&gt;""),EmployeeData[[#This Row],[LastWorkingDate]],TODAY()),"Y")</f>
        <v>9</v>
      </c>
      <c r="AA842" t="str">
        <f>IF(EmployeeData[[#This Row],[MonthlyIncome]]&lt;30000,"Low",IF(EmployeeData[[#This Row],[MonthlyIncome]]&lt;=60000,"Medium",IF(EmployeeData[[#This Row],[MonthlyIncome]]&lt;=100000,"High","Very High")))</f>
        <v>High</v>
      </c>
      <c r="AB842">
        <f>IF(EmployeeData[[#This Row],[Attrition]]="Yes",1,0)</f>
        <v>0</v>
      </c>
      <c r="AC842" t="str">
        <f ca="1">IF(EmployeeData[[#This Row],[Tenure Years]]&lt;1,"Less than 1 Year",IF(EmployeeData[[#This Row],[Tenure Years]]&lt;=3,"1-3 Years",IF(EmployeeData[[#This Row],[Tenure Years]]&lt;=5,"4-5 Years",IF(EmployeeData[[#This Row],[Tenure Years]]&lt;=10,"6-10 Years","More than 10 Years"))))</f>
        <v>6-10 Years</v>
      </c>
      <c r="AD842">
        <f>ROUND(AVERAGE(EmployeeData[[#This Row],[JobSatisfaction]],EmployeeData[[#This Row],[EnvironmentSatisfaction]],EmployeeData[[#This Row],[WorkLifeBalance]]),2)</f>
        <v>3.67</v>
      </c>
      <c r="AE842" t="str">
        <f>IF(EmployeeData[[#This Row],[Satisfaction Score]]&lt;2,"Low",IF(EmployeeData[[#This Row],[Satisfaction Score]]&lt;3,"Medium","High"))</f>
        <v>High</v>
      </c>
    </row>
    <row r="843" spans="1:31" x14ac:dyDescent="0.25">
      <c r="A843" t="s">
        <v>3910</v>
      </c>
      <c r="B843" t="s">
        <v>3911</v>
      </c>
      <c r="C843" t="s">
        <v>49</v>
      </c>
      <c r="D843">
        <v>51</v>
      </c>
      <c r="E843" t="s">
        <v>94</v>
      </c>
      <c r="F843" t="s">
        <v>306</v>
      </c>
      <c r="G843" s="1">
        <v>41888</v>
      </c>
      <c r="H843">
        <v>113080</v>
      </c>
      <c r="I843" t="s">
        <v>52</v>
      </c>
      <c r="J843" t="s">
        <v>61</v>
      </c>
      <c r="K843" t="s">
        <v>131</v>
      </c>
      <c r="L843" t="s">
        <v>43</v>
      </c>
      <c r="M843">
        <v>23</v>
      </c>
      <c r="N843" t="s">
        <v>34</v>
      </c>
      <c r="O843">
        <v>4</v>
      </c>
      <c r="P843">
        <v>3</v>
      </c>
      <c r="Q843">
        <v>3</v>
      </c>
      <c r="R843">
        <v>3</v>
      </c>
      <c r="S843">
        <v>2</v>
      </c>
      <c r="T843">
        <v>4</v>
      </c>
      <c r="U843">
        <v>12</v>
      </c>
      <c r="V843" t="s">
        <v>3914</v>
      </c>
      <c r="W843" t="s">
        <v>34</v>
      </c>
      <c r="Y843" s="2" t="str">
        <f>IF(EmployeeData[[#This Row],[Age]]&lt;25,"Under 25",IF(EmployeeData[[#This Row],[Age]]&lt;=34,"25-34",IF(EmployeeData[[#This Row],[Age]]&lt;=44,"35-44",IF(EmployeeData[[#This Row],[Age]]&lt;=54,"45-54","55+"))))</f>
        <v>45-54</v>
      </c>
      <c r="Z843">
        <f ca="1">DATEDIF(EmployeeData[[#This Row],[DateOfJoining]],IF(AND(EmployeeData[[#This Row],[Attrition]]="Yes",EmployeeData[[#This Row],[LastWorkingDate]]&lt;&gt;""),EmployeeData[[#This Row],[LastWorkingDate]],TODAY()),"Y")</f>
        <v>11</v>
      </c>
      <c r="AA843" t="str">
        <f>IF(EmployeeData[[#This Row],[MonthlyIncome]]&lt;30000,"Low",IF(EmployeeData[[#This Row],[MonthlyIncome]]&lt;=60000,"Medium",IF(EmployeeData[[#This Row],[MonthlyIncome]]&lt;=100000,"High","Very High")))</f>
        <v>Very High</v>
      </c>
      <c r="AB843">
        <f>IF(EmployeeData[[#This Row],[Attrition]]="Yes",1,0)</f>
        <v>0</v>
      </c>
      <c r="AC843" t="str">
        <f ca="1">IF(EmployeeData[[#This Row],[Tenure Years]]&lt;1,"Less than 1 Year",IF(EmployeeData[[#This Row],[Tenure Years]]&lt;=3,"1-3 Years",IF(EmployeeData[[#This Row],[Tenure Years]]&lt;=5,"4-5 Years",IF(EmployeeData[[#This Row],[Tenure Years]]&lt;=10,"6-10 Years","More than 10 Years"))))</f>
        <v>More than 10 Years</v>
      </c>
      <c r="AD843">
        <f>ROUND(AVERAGE(EmployeeData[[#This Row],[JobSatisfaction]],EmployeeData[[#This Row],[EnvironmentSatisfaction]],EmployeeData[[#This Row],[WorkLifeBalance]]),2)</f>
        <v>3.33</v>
      </c>
      <c r="AE843" t="str">
        <f>IF(EmployeeData[[#This Row],[Satisfaction Score]]&lt;2,"Low",IF(EmployeeData[[#This Row],[Satisfaction Score]]&lt;3,"Medium","High"))</f>
        <v>High</v>
      </c>
    </row>
    <row r="844" spans="1:31" x14ac:dyDescent="0.25">
      <c r="A844" t="s">
        <v>3915</v>
      </c>
      <c r="B844" t="s">
        <v>2368</v>
      </c>
      <c r="C844" t="s">
        <v>49</v>
      </c>
      <c r="D844">
        <v>19</v>
      </c>
      <c r="E844" t="s">
        <v>5461</v>
      </c>
      <c r="F844" t="s">
        <v>89</v>
      </c>
      <c r="G844" s="1">
        <v>42210</v>
      </c>
      <c r="H844">
        <v>64381</v>
      </c>
      <c r="I844" t="s">
        <v>42</v>
      </c>
      <c r="J844" t="s">
        <v>61</v>
      </c>
      <c r="K844" t="s">
        <v>131</v>
      </c>
      <c r="L844" t="s">
        <v>5459</v>
      </c>
      <c r="M844">
        <v>41</v>
      </c>
      <c r="N844" t="s">
        <v>34</v>
      </c>
      <c r="O844">
        <v>3</v>
      </c>
      <c r="P844">
        <v>4</v>
      </c>
      <c r="Q844">
        <v>1</v>
      </c>
      <c r="R844">
        <v>2</v>
      </c>
      <c r="S844">
        <v>0</v>
      </c>
      <c r="T844">
        <v>4</v>
      </c>
      <c r="U844">
        <v>11</v>
      </c>
      <c r="V844" t="s">
        <v>5459</v>
      </c>
      <c r="W844" t="s">
        <v>34</v>
      </c>
      <c r="Y844" s="2" t="str">
        <f>IF(EmployeeData[[#This Row],[Age]]&lt;25,"Under 25",IF(EmployeeData[[#This Row],[Age]]&lt;=34,"25-34",IF(EmployeeData[[#This Row],[Age]]&lt;=44,"35-44",IF(EmployeeData[[#This Row],[Age]]&lt;=54,"45-54","55+"))))</f>
        <v>Under 25</v>
      </c>
      <c r="Z844">
        <f ca="1">DATEDIF(EmployeeData[[#This Row],[DateOfJoining]],IF(AND(EmployeeData[[#This Row],[Attrition]]="Yes",EmployeeData[[#This Row],[LastWorkingDate]]&lt;&gt;""),EmployeeData[[#This Row],[LastWorkingDate]],TODAY()),"Y")</f>
        <v>11</v>
      </c>
      <c r="AA844" t="str">
        <f>IF(EmployeeData[[#This Row],[MonthlyIncome]]&lt;30000,"Low",IF(EmployeeData[[#This Row],[MonthlyIncome]]&lt;=60000,"Medium",IF(EmployeeData[[#This Row],[MonthlyIncome]]&lt;=100000,"High","Very High")))</f>
        <v>High</v>
      </c>
      <c r="AB844">
        <f>IF(EmployeeData[[#This Row],[Attrition]]="Yes",1,0)</f>
        <v>0</v>
      </c>
      <c r="AC844" t="str">
        <f ca="1">IF(EmployeeData[[#This Row],[Tenure Years]]&lt;1,"Less than 1 Year",IF(EmployeeData[[#This Row],[Tenure Years]]&lt;=3,"1-3 Years",IF(EmployeeData[[#This Row],[Tenure Years]]&lt;=5,"4-5 Years",IF(EmployeeData[[#This Row],[Tenure Years]]&lt;=10,"6-10 Years","More than 10 Years"))))</f>
        <v>More than 10 Years</v>
      </c>
      <c r="AD844">
        <f>ROUND(AVERAGE(EmployeeData[[#This Row],[JobSatisfaction]],EmployeeData[[#This Row],[EnvironmentSatisfaction]],EmployeeData[[#This Row],[WorkLifeBalance]]),2)</f>
        <v>2.67</v>
      </c>
      <c r="AE844" t="str">
        <f>IF(EmployeeData[[#This Row],[Satisfaction Score]]&lt;2,"Low",IF(EmployeeData[[#This Row],[Satisfaction Score]]&lt;3,"Medium","High"))</f>
        <v>Medium</v>
      </c>
    </row>
    <row r="845" spans="1:31" x14ac:dyDescent="0.25">
      <c r="A845" t="s">
        <v>3917</v>
      </c>
      <c r="B845" t="s">
        <v>3918</v>
      </c>
      <c r="C845" t="s">
        <v>49</v>
      </c>
      <c r="D845">
        <v>26</v>
      </c>
      <c r="E845" t="s">
        <v>27</v>
      </c>
      <c r="F845" t="s">
        <v>75</v>
      </c>
      <c r="G845" s="1">
        <v>44860</v>
      </c>
      <c r="H845">
        <v>72179</v>
      </c>
      <c r="I845" t="s">
        <v>30</v>
      </c>
      <c r="J845" t="s">
        <v>61</v>
      </c>
      <c r="K845" t="s">
        <v>5459</v>
      </c>
      <c r="L845" t="s">
        <v>33</v>
      </c>
      <c r="M845">
        <v>45</v>
      </c>
      <c r="N845" t="s">
        <v>34</v>
      </c>
      <c r="O845">
        <v>3</v>
      </c>
      <c r="P845">
        <v>2</v>
      </c>
      <c r="Q845">
        <v>3</v>
      </c>
      <c r="R845">
        <v>2</v>
      </c>
      <c r="S845">
        <v>3</v>
      </c>
      <c r="T845">
        <v>3</v>
      </c>
      <c r="U845">
        <v>22</v>
      </c>
      <c r="V845" t="s">
        <v>3795</v>
      </c>
      <c r="W845" t="s">
        <v>34</v>
      </c>
      <c r="Y845" s="2" t="str">
        <f>IF(EmployeeData[[#This Row],[Age]]&lt;25,"Under 25",IF(EmployeeData[[#This Row],[Age]]&lt;=34,"25-34",IF(EmployeeData[[#This Row],[Age]]&lt;=44,"35-44",IF(EmployeeData[[#This Row],[Age]]&lt;=54,"45-54","55+"))))</f>
        <v>25-34</v>
      </c>
      <c r="Z845">
        <f ca="1">DATEDIF(EmployeeData[[#This Row],[DateOfJoining]],IF(AND(EmployeeData[[#This Row],[Attrition]]="Yes",EmployeeData[[#This Row],[LastWorkingDate]]&lt;&gt;""),EmployeeData[[#This Row],[LastWorkingDate]],TODAY()),"Y")</f>
        <v>3</v>
      </c>
      <c r="AA845" t="str">
        <f>IF(EmployeeData[[#This Row],[MonthlyIncome]]&lt;30000,"Low",IF(EmployeeData[[#This Row],[MonthlyIncome]]&lt;=60000,"Medium",IF(EmployeeData[[#This Row],[MonthlyIncome]]&lt;=100000,"High","Very High")))</f>
        <v>High</v>
      </c>
      <c r="AB845">
        <f>IF(EmployeeData[[#This Row],[Attrition]]="Yes",1,0)</f>
        <v>0</v>
      </c>
      <c r="AC845" t="str">
        <f ca="1">IF(EmployeeData[[#This Row],[Tenure Years]]&lt;1,"Less than 1 Year",IF(EmployeeData[[#This Row],[Tenure Years]]&lt;=3,"1-3 Years",IF(EmployeeData[[#This Row],[Tenure Years]]&lt;=5,"4-5 Years",IF(EmployeeData[[#This Row],[Tenure Years]]&lt;=10,"6-10 Years","More than 10 Years"))))</f>
        <v>1-3 Years</v>
      </c>
      <c r="AD845">
        <f>ROUND(AVERAGE(EmployeeData[[#This Row],[JobSatisfaction]],EmployeeData[[#This Row],[EnvironmentSatisfaction]],EmployeeData[[#This Row],[WorkLifeBalance]]),2)</f>
        <v>2.67</v>
      </c>
      <c r="AE845" t="str">
        <f>IF(EmployeeData[[#This Row],[Satisfaction Score]]&lt;2,"Low",IF(EmployeeData[[#This Row],[Satisfaction Score]]&lt;3,"Medium","High"))</f>
        <v>Medium</v>
      </c>
    </row>
    <row r="846" spans="1:31" x14ac:dyDescent="0.25">
      <c r="A846" t="s">
        <v>3920</v>
      </c>
      <c r="B846" t="s">
        <v>3921</v>
      </c>
      <c r="C846" t="s">
        <v>49</v>
      </c>
      <c r="D846">
        <v>44</v>
      </c>
      <c r="E846" t="s">
        <v>5461</v>
      </c>
      <c r="F846" t="s">
        <v>483</v>
      </c>
      <c r="G846" s="1">
        <v>44669</v>
      </c>
      <c r="H846">
        <v>113703</v>
      </c>
      <c r="I846" t="s">
        <v>30</v>
      </c>
      <c r="J846" t="s">
        <v>31</v>
      </c>
      <c r="K846" t="s">
        <v>77</v>
      </c>
      <c r="L846" t="s">
        <v>43</v>
      </c>
      <c r="M846">
        <v>23</v>
      </c>
      <c r="N846" t="s">
        <v>45</v>
      </c>
      <c r="O846">
        <v>3</v>
      </c>
      <c r="P846">
        <v>1</v>
      </c>
      <c r="Q846">
        <v>2</v>
      </c>
      <c r="R846">
        <v>4</v>
      </c>
      <c r="S846">
        <v>1</v>
      </c>
      <c r="T846">
        <v>0</v>
      </c>
      <c r="U846">
        <v>15</v>
      </c>
      <c r="V846" t="s">
        <v>3923</v>
      </c>
      <c r="W846" t="s">
        <v>45</v>
      </c>
      <c r="X846" s="1">
        <v>45304</v>
      </c>
      <c r="Y846" s="2" t="str">
        <f>IF(EmployeeData[[#This Row],[Age]]&lt;25,"Under 25",IF(EmployeeData[[#This Row],[Age]]&lt;=34,"25-34",IF(EmployeeData[[#This Row],[Age]]&lt;=44,"35-44",IF(EmployeeData[[#This Row],[Age]]&lt;=54,"45-54","55+"))))</f>
        <v>35-44</v>
      </c>
      <c r="Z846">
        <f ca="1">DATEDIF(EmployeeData[[#This Row],[DateOfJoining]],IF(AND(EmployeeData[[#This Row],[Attrition]]="Yes",EmployeeData[[#This Row],[LastWorkingDate]]&lt;&gt;""),EmployeeData[[#This Row],[LastWorkingDate]],TODAY()),"Y")</f>
        <v>1</v>
      </c>
      <c r="AA846" t="str">
        <f>IF(EmployeeData[[#This Row],[MonthlyIncome]]&lt;30000,"Low",IF(EmployeeData[[#This Row],[MonthlyIncome]]&lt;=60000,"Medium",IF(EmployeeData[[#This Row],[MonthlyIncome]]&lt;=100000,"High","Very High")))</f>
        <v>Very High</v>
      </c>
      <c r="AB846">
        <f>IF(EmployeeData[[#This Row],[Attrition]]="Yes",1,0)</f>
        <v>1</v>
      </c>
      <c r="AC846" t="str">
        <f ca="1">IF(EmployeeData[[#This Row],[Tenure Years]]&lt;1,"Less than 1 Year",IF(EmployeeData[[#This Row],[Tenure Years]]&lt;=3,"1-3 Years",IF(EmployeeData[[#This Row],[Tenure Years]]&lt;=5,"4-5 Years",IF(EmployeeData[[#This Row],[Tenure Years]]&lt;=10,"6-10 Years","More than 10 Years"))))</f>
        <v>1-3 Years</v>
      </c>
      <c r="AD846">
        <f>ROUND(AVERAGE(EmployeeData[[#This Row],[JobSatisfaction]],EmployeeData[[#This Row],[EnvironmentSatisfaction]],EmployeeData[[#This Row],[WorkLifeBalance]]),2)</f>
        <v>2</v>
      </c>
      <c r="AE846" t="str">
        <f>IF(EmployeeData[[#This Row],[Satisfaction Score]]&lt;2,"Low",IF(EmployeeData[[#This Row],[Satisfaction Score]]&lt;3,"Medium","High"))</f>
        <v>Medium</v>
      </c>
    </row>
    <row r="847" spans="1:31" x14ac:dyDescent="0.25">
      <c r="A847" t="s">
        <v>3925</v>
      </c>
      <c r="B847" t="s">
        <v>3926</v>
      </c>
      <c r="C847" t="s">
        <v>49</v>
      </c>
      <c r="D847">
        <v>49</v>
      </c>
      <c r="E847" t="s">
        <v>27</v>
      </c>
      <c r="F847" t="s">
        <v>188</v>
      </c>
      <c r="G847" s="1">
        <v>42030</v>
      </c>
      <c r="H847">
        <v>104147</v>
      </c>
      <c r="I847" t="s">
        <v>52</v>
      </c>
      <c r="J847" t="s">
        <v>31</v>
      </c>
      <c r="K847" t="s">
        <v>77</v>
      </c>
      <c r="L847" t="s">
        <v>33</v>
      </c>
      <c r="M847">
        <v>25</v>
      </c>
      <c r="N847" t="s">
        <v>34</v>
      </c>
      <c r="O847">
        <v>3</v>
      </c>
      <c r="P847">
        <v>4</v>
      </c>
      <c r="Q847">
        <v>4</v>
      </c>
      <c r="R847">
        <v>5</v>
      </c>
      <c r="S847">
        <v>4</v>
      </c>
      <c r="T847">
        <v>2</v>
      </c>
      <c r="U847">
        <v>18</v>
      </c>
      <c r="V847" t="s">
        <v>3929</v>
      </c>
      <c r="W847" t="s">
        <v>34</v>
      </c>
      <c r="Y847" s="2" t="str">
        <f>IF(EmployeeData[[#This Row],[Age]]&lt;25,"Under 25",IF(EmployeeData[[#This Row],[Age]]&lt;=34,"25-34",IF(EmployeeData[[#This Row],[Age]]&lt;=44,"35-44",IF(EmployeeData[[#This Row],[Age]]&lt;=54,"45-54","55+"))))</f>
        <v>45-54</v>
      </c>
      <c r="Z847">
        <f ca="1">DATEDIF(EmployeeData[[#This Row],[DateOfJoining]],IF(AND(EmployeeData[[#This Row],[Attrition]]="Yes",EmployeeData[[#This Row],[LastWorkingDate]]&lt;&gt;""),EmployeeData[[#This Row],[LastWorkingDate]],TODAY()),"Y")</f>
        <v>11</v>
      </c>
      <c r="AA847" t="str">
        <f>IF(EmployeeData[[#This Row],[MonthlyIncome]]&lt;30000,"Low",IF(EmployeeData[[#This Row],[MonthlyIncome]]&lt;=60000,"Medium",IF(EmployeeData[[#This Row],[MonthlyIncome]]&lt;=100000,"High","Very High")))</f>
        <v>Very High</v>
      </c>
      <c r="AB847">
        <f>IF(EmployeeData[[#This Row],[Attrition]]="Yes",1,0)</f>
        <v>0</v>
      </c>
      <c r="AC847" t="str">
        <f ca="1">IF(EmployeeData[[#This Row],[Tenure Years]]&lt;1,"Less than 1 Year",IF(EmployeeData[[#This Row],[Tenure Years]]&lt;=3,"1-3 Years",IF(EmployeeData[[#This Row],[Tenure Years]]&lt;=5,"4-5 Years",IF(EmployeeData[[#This Row],[Tenure Years]]&lt;=10,"6-10 Years","More than 10 Years"))))</f>
        <v>More than 10 Years</v>
      </c>
      <c r="AD847">
        <f>ROUND(AVERAGE(EmployeeData[[#This Row],[JobSatisfaction]],EmployeeData[[#This Row],[EnvironmentSatisfaction]],EmployeeData[[#This Row],[WorkLifeBalance]]),2)</f>
        <v>3.67</v>
      </c>
      <c r="AE847" t="str">
        <f>IF(EmployeeData[[#This Row],[Satisfaction Score]]&lt;2,"Low",IF(EmployeeData[[#This Row],[Satisfaction Score]]&lt;3,"Medium","High"))</f>
        <v>High</v>
      </c>
    </row>
    <row r="848" spans="1:31" x14ac:dyDescent="0.25">
      <c r="A848" t="s">
        <v>3930</v>
      </c>
      <c r="B848" t="s">
        <v>3931</v>
      </c>
      <c r="C848" t="s">
        <v>49</v>
      </c>
      <c r="D848">
        <v>60</v>
      </c>
      <c r="E848" t="s">
        <v>5461</v>
      </c>
      <c r="F848" t="s">
        <v>483</v>
      </c>
      <c r="G848" s="1">
        <v>45312</v>
      </c>
      <c r="H848">
        <v>128269</v>
      </c>
      <c r="I848" t="s">
        <v>42</v>
      </c>
      <c r="J848" t="s">
        <v>61</v>
      </c>
      <c r="K848" t="s">
        <v>106</v>
      </c>
      <c r="L848" t="s">
        <v>62</v>
      </c>
      <c r="M848">
        <v>18</v>
      </c>
      <c r="N848" t="s">
        <v>34</v>
      </c>
      <c r="O848">
        <v>1</v>
      </c>
      <c r="P848">
        <v>4</v>
      </c>
      <c r="Q848">
        <v>1</v>
      </c>
      <c r="R848">
        <v>3</v>
      </c>
      <c r="S848">
        <v>0</v>
      </c>
      <c r="T848">
        <v>4</v>
      </c>
      <c r="U848">
        <v>22</v>
      </c>
      <c r="V848" t="s">
        <v>3933</v>
      </c>
      <c r="W848" t="s">
        <v>34</v>
      </c>
      <c r="Y848" s="2" t="str">
        <f>IF(EmployeeData[[#This Row],[Age]]&lt;25,"Under 25",IF(EmployeeData[[#This Row],[Age]]&lt;=34,"25-34",IF(EmployeeData[[#This Row],[Age]]&lt;=44,"35-44",IF(EmployeeData[[#This Row],[Age]]&lt;=54,"45-54","55+"))))</f>
        <v>55+</v>
      </c>
      <c r="Z848">
        <f ca="1">DATEDIF(EmployeeData[[#This Row],[DateOfJoining]],IF(AND(EmployeeData[[#This Row],[Attrition]]="Yes",EmployeeData[[#This Row],[LastWorkingDate]]&lt;&gt;""),EmployeeData[[#This Row],[LastWorkingDate]],TODAY()),"Y")</f>
        <v>2</v>
      </c>
      <c r="AA848" t="str">
        <f>IF(EmployeeData[[#This Row],[MonthlyIncome]]&lt;30000,"Low",IF(EmployeeData[[#This Row],[MonthlyIncome]]&lt;=60000,"Medium",IF(EmployeeData[[#This Row],[MonthlyIncome]]&lt;=100000,"High","Very High")))</f>
        <v>Very High</v>
      </c>
      <c r="AB848">
        <f>IF(EmployeeData[[#This Row],[Attrition]]="Yes",1,0)</f>
        <v>0</v>
      </c>
      <c r="AC848" t="str">
        <f ca="1">IF(EmployeeData[[#This Row],[Tenure Years]]&lt;1,"Less than 1 Year",IF(EmployeeData[[#This Row],[Tenure Years]]&lt;=3,"1-3 Years",IF(EmployeeData[[#This Row],[Tenure Years]]&lt;=5,"4-5 Years",IF(EmployeeData[[#This Row],[Tenure Years]]&lt;=10,"6-10 Years","More than 10 Years"))))</f>
        <v>1-3 Years</v>
      </c>
      <c r="AD848">
        <f>ROUND(AVERAGE(EmployeeData[[#This Row],[JobSatisfaction]],EmployeeData[[#This Row],[EnvironmentSatisfaction]],EmployeeData[[#This Row],[WorkLifeBalance]]),2)</f>
        <v>2</v>
      </c>
      <c r="AE848" t="str">
        <f>IF(EmployeeData[[#This Row],[Satisfaction Score]]&lt;2,"Low",IF(EmployeeData[[#This Row],[Satisfaction Score]]&lt;3,"Medium","High"))</f>
        <v>Medium</v>
      </c>
    </row>
    <row r="849" spans="1:31" x14ac:dyDescent="0.25">
      <c r="A849" t="s">
        <v>3934</v>
      </c>
      <c r="B849" t="s">
        <v>3935</v>
      </c>
      <c r="C849" t="s">
        <v>49</v>
      </c>
      <c r="D849">
        <v>22</v>
      </c>
      <c r="E849" t="s">
        <v>128</v>
      </c>
      <c r="F849" t="s">
        <v>123</v>
      </c>
      <c r="G849" s="1">
        <v>44126</v>
      </c>
      <c r="H849">
        <v>56793</v>
      </c>
      <c r="I849" t="s">
        <v>30</v>
      </c>
      <c r="J849" t="s">
        <v>31</v>
      </c>
      <c r="K849" t="s">
        <v>167</v>
      </c>
      <c r="L849" t="s">
        <v>62</v>
      </c>
      <c r="M849">
        <v>44</v>
      </c>
      <c r="N849" t="s">
        <v>34</v>
      </c>
      <c r="O849">
        <v>2</v>
      </c>
      <c r="P849">
        <v>2</v>
      </c>
      <c r="Q849">
        <v>1</v>
      </c>
      <c r="R849">
        <v>2</v>
      </c>
      <c r="S849">
        <v>3</v>
      </c>
      <c r="T849">
        <v>0</v>
      </c>
      <c r="U849">
        <v>14</v>
      </c>
      <c r="V849" t="s">
        <v>3937</v>
      </c>
      <c r="W849" t="s">
        <v>34</v>
      </c>
      <c r="Y849" s="2" t="str">
        <f>IF(EmployeeData[[#This Row],[Age]]&lt;25,"Under 25",IF(EmployeeData[[#This Row],[Age]]&lt;=34,"25-34",IF(EmployeeData[[#This Row],[Age]]&lt;=44,"35-44",IF(EmployeeData[[#This Row],[Age]]&lt;=54,"45-54","55+"))))</f>
        <v>Under 25</v>
      </c>
      <c r="Z849">
        <f ca="1">DATEDIF(EmployeeData[[#This Row],[DateOfJoining]],IF(AND(EmployeeData[[#This Row],[Attrition]]="Yes",EmployeeData[[#This Row],[LastWorkingDate]]&lt;&gt;""),EmployeeData[[#This Row],[LastWorkingDate]],TODAY()),"Y")</f>
        <v>5</v>
      </c>
      <c r="AA849" t="str">
        <f>IF(EmployeeData[[#This Row],[MonthlyIncome]]&lt;30000,"Low",IF(EmployeeData[[#This Row],[MonthlyIncome]]&lt;=60000,"Medium",IF(EmployeeData[[#This Row],[MonthlyIncome]]&lt;=100000,"High","Very High")))</f>
        <v>Medium</v>
      </c>
      <c r="AB849">
        <f>IF(EmployeeData[[#This Row],[Attrition]]="Yes",1,0)</f>
        <v>0</v>
      </c>
      <c r="AC849" t="str">
        <f ca="1">IF(EmployeeData[[#This Row],[Tenure Years]]&lt;1,"Less than 1 Year",IF(EmployeeData[[#This Row],[Tenure Years]]&lt;=3,"1-3 Years",IF(EmployeeData[[#This Row],[Tenure Years]]&lt;=5,"4-5 Years",IF(EmployeeData[[#This Row],[Tenure Years]]&lt;=10,"6-10 Years","More than 10 Years"))))</f>
        <v>4-5 Years</v>
      </c>
      <c r="AD849">
        <f>ROUND(AVERAGE(EmployeeData[[#This Row],[JobSatisfaction]],EmployeeData[[#This Row],[EnvironmentSatisfaction]],EmployeeData[[#This Row],[WorkLifeBalance]]),2)</f>
        <v>1.67</v>
      </c>
      <c r="AE849" t="str">
        <f>IF(EmployeeData[[#This Row],[Satisfaction Score]]&lt;2,"Low",IF(EmployeeData[[#This Row],[Satisfaction Score]]&lt;3,"Medium","High"))</f>
        <v>Low</v>
      </c>
    </row>
    <row r="850" spans="1:31" x14ac:dyDescent="0.25">
      <c r="A850" t="s">
        <v>3938</v>
      </c>
      <c r="B850" t="s">
        <v>3939</v>
      </c>
      <c r="C850" t="s">
        <v>49</v>
      </c>
      <c r="D850">
        <v>41</v>
      </c>
      <c r="E850" t="s">
        <v>412</v>
      </c>
      <c r="F850" t="s">
        <v>828</v>
      </c>
      <c r="G850" s="1">
        <v>43258</v>
      </c>
      <c r="H850">
        <v>41561</v>
      </c>
      <c r="I850" t="s">
        <v>42</v>
      </c>
      <c r="J850" t="s">
        <v>31</v>
      </c>
      <c r="K850" t="s">
        <v>131</v>
      </c>
      <c r="L850" t="s">
        <v>62</v>
      </c>
      <c r="M850">
        <v>16</v>
      </c>
      <c r="N850" t="s">
        <v>45</v>
      </c>
      <c r="O850">
        <v>1</v>
      </c>
      <c r="P850">
        <v>1</v>
      </c>
      <c r="Q850">
        <v>1</v>
      </c>
      <c r="R850">
        <v>4</v>
      </c>
      <c r="S850">
        <v>3</v>
      </c>
      <c r="T850">
        <v>1</v>
      </c>
      <c r="U850">
        <v>20</v>
      </c>
      <c r="V850" t="s">
        <v>3941</v>
      </c>
      <c r="W850" t="s">
        <v>45</v>
      </c>
      <c r="X850" s="1">
        <v>46126</v>
      </c>
      <c r="Y850" s="2" t="str">
        <f>IF(EmployeeData[[#This Row],[Age]]&lt;25,"Under 25",IF(EmployeeData[[#This Row],[Age]]&lt;=34,"25-34",IF(EmployeeData[[#This Row],[Age]]&lt;=44,"35-44",IF(EmployeeData[[#This Row],[Age]]&lt;=54,"45-54","55+"))))</f>
        <v>35-44</v>
      </c>
      <c r="Z850">
        <f ca="1">DATEDIF(EmployeeData[[#This Row],[DateOfJoining]],IF(AND(EmployeeData[[#This Row],[Attrition]]="Yes",EmployeeData[[#This Row],[LastWorkingDate]]&lt;&gt;""),EmployeeData[[#This Row],[LastWorkingDate]],TODAY()),"Y")</f>
        <v>7</v>
      </c>
      <c r="AA850" t="str">
        <f>IF(EmployeeData[[#This Row],[MonthlyIncome]]&lt;30000,"Low",IF(EmployeeData[[#This Row],[MonthlyIncome]]&lt;=60000,"Medium",IF(EmployeeData[[#This Row],[MonthlyIncome]]&lt;=100000,"High","Very High")))</f>
        <v>Medium</v>
      </c>
      <c r="AB850">
        <f>IF(EmployeeData[[#This Row],[Attrition]]="Yes",1,0)</f>
        <v>1</v>
      </c>
      <c r="AC850" t="str">
        <f ca="1">IF(EmployeeData[[#This Row],[Tenure Years]]&lt;1,"Less than 1 Year",IF(EmployeeData[[#This Row],[Tenure Years]]&lt;=3,"1-3 Years",IF(EmployeeData[[#This Row],[Tenure Years]]&lt;=5,"4-5 Years",IF(EmployeeData[[#This Row],[Tenure Years]]&lt;=10,"6-10 Years","More than 10 Years"))))</f>
        <v>6-10 Years</v>
      </c>
      <c r="AD850">
        <f>ROUND(AVERAGE(EmployeeData[[#This Row],[JobSatisfaction]],EmployeeData[[#This Row],[EnvironmentSatisfaction]],EmployeeData[[#This Row],[WorkLifeBalance]]),2)</f>
        <v>1</v>
      </c>
      <c r="AE850" t="str">
        <f>IF(EmployeeData[[#This Row],[Satisfaction Score]]&lt;2,"Low",IF(EmployeeData[[#This Row],[Satisfaction Score]]&lt;3,"Medium","High"))</f>
        <v>Low</v>
      </c>
    </row>
    <row r="851" spans="1:31" x14ac:dyDescent="0.25">
      <c r="A851" t="s">
        <v>3943</v>
      </c>
      <c r="B851" t="s">
        <v>3944</v>
      </c>
      <c r="C851" t="s">
        <v>49</v>
      </c>
      <c r="D851">
        <v>32</v>
      </c>
      <c r="E851" t="s">
        <v>128</v>
      </c>
      <c r="F851" t="s">
        <v>271</v>
      </c>
      <c r="G851" s="1">
        <v>40921</v>
      </c>
      <c r="H851">
        <v>76122</v>
      </c>
      <c r="I851" t="s">
        <v>42</v>
      </c>
      <c r="J851" t="s">
        <v>31</v>
      </c>
      <c r="K851" t="s">
        <v>5459</v>
      </c>
      <c r="L851" t="s">
        <v>43</v>
      </c>
      <c r="M851">
        <v>33</v>
      </c>
      <c r="N851" t="s">
        <v>45</v>
      </c>
      <c r="O851">
        <v>1</v>
      </c>
      <c r="P851">
        <v>2</v>
      </c>
      <c r="Q851">
        <v>4</v>
      </c>
      <c r="R851">
        <v>3</v>
      </c>
      <c r="S851">
        <v>5</v>
      </c>
      <c r="T851">
        <v>6</v>
      </c>
      <c r="U851">
        <v>13</v>
      </c>
      <c r="V851" t="s">
        <v>3946</v>
      </c>
      <c r="W851" t="s">
        <v>45</v>
      </c>
      <c r="X851" s="1">
        <v>43500</v>
      </c>
      <c r="Y851" s="2" t="str">
        <f>IF(EmployeeData[[#This Row],[Age]]&lt;25,"Under 25",IF(EmployeeData[[#This Row],[Age]]&lt;=34,"25-34",IF(EmployeeData[[#This Row],[Age]]&lt;=44,"35-44",IF(EmployeeData[[#This Row],[Age]]&lt;=54,"45-54","55+"))))</f>
        <v>25-34</v>
      </c>
      <c r="Z851">
        <f ca="1">DATEDIF(EmployeeData[[#This Row],[DateOfJoining]],IF(AND(EmployeeData[[#This Row],[Attrition]]="Yes",EmployeeData[[#This Row],[LastWorkingDate]]&lt;&gt;""),EmployeeData[[#This Row],[LastWorkingDate]],TODAY()),"Y")</f>
        <v>7</v>
      </c>
      <c r="AA851" t="str">
        <f>IF(EmployeeData[[#This Row],[MonthlyIncome]]&lt;30000,"Low",IF(EmployeeData[[#This Row],[MonthlyIncome]]&lt;=60000,"Medium",IF(EmployeeData[[#This Row],[MonthlyIncome]]&lt;=100000,"High","Very High")))</f>
        <v>High</v>
      </c>
      <c r="AB851">
        <f>IF(EmployeeData[[#This Row],[Attrition]]="Yes",1,0)</f>
        <v>1</v>
      </c>
      <c r="AC851" t="str">
        <f ca="1">IF(EmployeeData[[#This Row],[Tenure Years]]&lt;1,"Less than 1 Year",IF(EmployeeData[[#This Row],[Tenure Years]]&lt;=3,"1-3 Years",IF(EmployeeData[[#This Row],[Tenure Years]]&lt;=5,"4-5 Years",IF(EmployeeData[[#This Row],[Tenure Years]]&lt;=10,"6-10 Years","More than 10 Years"))))</f>
        <v>6-10 Years</v>
      </c>
      <c r="AD851">
        <f>ROUND(AVERAGE(EmployeeData[[#This Row],[JobSatisfaction]],EmployeeData[[#This Row],[EnvironmentSatisfaction]],EmployeeData[[#This Row],[WorkLifeBalance]]),2)</f>
        <v>2.33</v>
      </c>
      <c r="AE851" t="str">
        <f>IF(EmployeeData[[#This Row],[Satisfaction Score]]&lt;2,"Low",IF(EmployeeData[[#This Row],[Satisfaction Score]]&lt;3,"Medium","High"))</f>
        <v>Medium</v>
      </c>
    </row>
    <row r="852" spans="1:31" x14ac:dyDescent="0.25">
      <c r="A852" t="s">
        <v>3948</v>
      </c>
      <c r="B852" t="s">
        <v>3949</v>
      </c>
      <c r="C852" t="s">
        <v>49</v>
      </c>
      <c r="D852">
        <v>41</v>
      </c>
      <c r="E852" t="s">
        <v>5461</v>
      </c>
      <c r="F852" t="s">
        <v>5464</v>
      </c>
      <c r="G852" s="1">
        <v>42280</v>
      </c>
      <c r="H852">
        <v>57202</v>
      </c>
      <c r="I852" t="s">
        <v>52</v>
      </c>
      <c r="J852" t="s">
        <v>31</v>
      </c>
      <c r="K852" t="s">
        <v>83</v>
      </c>
      <c r="L852" t="s">
        <v>33</v>
      </c>
      <c r="M852">
        <v>20</v>
      </c>
      <c r="N852" t="s">
        <v>34</v>
      </c>
      <c r="O852">
        <v>1</v>
      </c>
      <c r="P852">
        <v>2</v>
      </c>
      <c r="Q852">
        <v>1</v>
      </c>
      <c r="R852">
        <v>3</v>
      </c>
      <c r="S852">
        <v>4</v>
      </c>
      <c r="T852">
        <v>0</v>
      </c>
      <c r="U852">
        <v>13</v>
      </c>
      <c r="V852" t="s">
        <v>3951</v>
      </c>
      <c r="W852" t="s">
        <v>34</v>
      </c>
      <c r="Y852" s="2" t="str">
        <f>IF(EmployeeData[[#This Row],[Age]]&lt;25,"Under 25",IF(EmployeeData[[#This Row],[Age]]&lt;=34,"25-34",IF(EmployeeData[[#This Row],[Age]]&lt;=44,"35-44",IF(EmployeeData[[#This Row],[Age]]&lt;=54,"45-54","55+"))))</f>
        <v>35-44</v>
      </c>
      <c r="Z852">
        <f ca="1">DATEDIF(EmployeeData[[#This Row],[DateOfJoining]],IF(AND(EmployeeData[[#This Row],[Attrition]]="Yes",EmployeeData[[#This Row],[LastWorkingDate]]&lt;&gt;""),EmployeeData[[#This Row],[LastWorkingDate]],TODAY()),"Y")</f>
        <v>10</v>
      </c>
      <c r="AA852" t="str">
        <f>IF(EmployeeData[[#This Row],[MonthlyIncome]]&lt;30000,"Low",IF(EmployeeData[[#This Row],[MonthlyIncome]]&lt;=60000,"Medium",IF(EmployeeData[[#This Row],[MonthlyIncome]]&lt;=100000,"High","Very High")))</f>
        <v>Medium</v>
      </c>
      <c r="AB852">
        <f>IF(EmployeeData[[#This Row],[Attrition]]="Yes",1,0)</f>
        <v>0</v>
      </c>
      <c r="AC852" t="str">
        <f ca="1">IF(EmployeeData[[#This Row],[Tenure Years]]&lt;1,"Less than 1 Year",IF(EmployeeData[[#This Row],[Tenure Years]]&lt;=3,"1-3 Years",IF(EmployeeData[[#This Row],[Tenure Years]]&lt;=5,"4-5 Years",IF(EmployeeData[[#This Row],[Tenure Years]]&lt;=10,"6-10 Years","More than 10 Years"))))</f>
        <v>6-10 Years</v>
      </c>
      <c r="AD852">
        <f>ROUND(AVERAGE(EmployeeData[[#This Row],[JobSatisfaction]],EmployeeData[[#This Row],[EnvironmentSatisfaction]],EmployeeData[[#This Row],[WorkLifeBalance]]),2)</f>
        <v>1.33</v>
      </c>
      <c r="AE852" t="str">
        <f>IF(EmployeeData[[#This Row],[Satisfaction Score]]&lt;2,"Low",IF(EmployeeData[[#This Row],[Satisfaction Score]]&lt;3,"Medium","High"))</f>
        <v>Low</v>
      </c>
    </row>
    <row r="853" spans="1:31" x14ac:dyDescent="0.25">
      <c r="A853" t="s">
        <v>3952</v>
      </c>
      <c r="B853" t="s">
        <v>3953</v>
      </c>
      <c r="C853" t="s">
        <v>49</v>
      </c>
      <c r="D853">
        <v>35</v>
      </c>
      <c r="E853" t="s">
        <v>27</v>
      </c>
      <c r="F853" t="s">
        <v>75</v>
      </c>
      <c r="G853" s="1">
        <v>44929</v>
      </c>
      <c r="H853">
        <v>76053</v>
      </c>
      <c r="I853" t="s">
        <v>5459</v>
      </c>
      <c r="J853" t="s">
        <v>61</v>
      </c>
      <c r="K853" t="s">
        <v>83</v>
      </c>
      <c r="L853" t="s">
        <v>33</v>
      </c>
      <c r="M853">
        <v>5</v>
      </c>
      <c r="N853" t="s">
        <v>34</v>
      </c>
      <c r="O853">
        <v>2</v>
      </c>
      <c r="P853">
        <v>2</v>
      </c>
      <c r="Q853">
        <v>1</v>
      </c>
      <c r="R853">
        <v>3</v>
      </c>
      <c r="S853">
        <v>0</v>
      </c>
      <c r="T853">
        <v>7</v>
      </c>
      <c r="U853">
        <v>19</v>
      </c>
      <c r="V853" t="s">
        <v>3955</v>
      </c>
      <c r="W853" t="s">
        <v>34</v>
      </c>
      <c r="Y853" s="2" t="str">
        <f>IF(EmployeeData[[#This Row],[Age]]&lt;25,"Under 25",IF(EmployeeData[[#This Row],[Age]]&lt;=34,"25-34",IF(EmployeeData[[#This Row],[Age]]&lt;=44,"35-44",IF(EmployeeData[[#This Row],[Age]]&lt;=54,"45-54","55+"))))</f>
        <v>35-44</v>
      </c>
      <c r="Z853">
        <f ca="1">DATEDIF(EmployeeData[[#This Row],[DateOfJoining]],IF(AND(EmployeeData[[#This Row],[Attrition]]="Yes",EmployeeData[[#This Row],[LastWorkingDate]]&lt;&gt;""),EmployeeData[[#This Row],[LastWorkingDate]],TODAY()),"Y")</f>
        <v>3</v>
      </c>
      <c r="AA853" t="str">
        <f>IF(EmployeeData[[#This Row],[MonthlyIncome]]&lt;30000,"Low",IF(EmployeeData[[#This Row],[MonthlyIncome]]&lt;=60000,"Medium",IF(EmployeeData[[#This Row],[MonthlyIncome]]&lt;=100000,"High","Very High")))</f>
        <v>High</v>
      </c>
      <c r="AB853">
        <f>IF(EmployeeData[[#This Row],[Attrition]]="Yes",1,0)</f>
        <v>0</v>
      </c>
      <c r="AC853" t="str">
        <f ca="1">IF(EmployeeData[[#This Row],[Tenure Years]]&lt;1,"Less than 1 Year",IF(EmployeeData[[#This Row],[Tenure Years]]&lt;=3,"1-3 Years",IF(EmployeeData[[#This Row],[Tenure Years]]&lt;=5,"4-5 Years",IF(EmployeeData[[#This Row],[Tenure Years]]&lt;=10,"6-10 Years","More than 10 Years"))))</f>
        <v>1-3 Years</v>
      </c>
      <c r="AD853">
        <f>ROUND(AVERAGE(EmployeeData[[#This Row],[JobSatisfaction]],EmployeeData[[#This Row],[EnvironmentSatisfaction]],EmployeeData[[#This Row],[WorkLifeBalance]]),2)</f>
        <v>1.67</v>
      </c>
      <c r="AE853" t="str">
        <f>IF(EmployeeData[[#This Row],[Satisfaction Score]]&lt;2,"Low",IF(EmployeeData[[#This Row],[Satisfaction Score]]&lt;3,"Medium","High"))</f>
        <v>Low</v>
      </c>
    </row>
    <row r="854" spans="1:31" x14ac:dyDescent="0.25">
      <c r="A854" t="s">
        <v>3956</v>
      </c>
      <c r="B854" t="s">
        <v>3957</v>
      </c>
      <c r="C854" t="s">
        <v>49</v>
      </c>
      <c r="D854">
        <v>35</v>
      </c>
      <c r="E854" t="s">
        <v>5461</v>
      </c>
      <c r="F854" t="s">
        <v>5464</v>
      </c>
      <c r="G854" s="1">
        <v>45821</v>
      </c>
      <c r="H854">
        <v>131946</v>
      </c>
      <c r="I854" t="s">
        <v>42</v>
      </c>
      <c r="J854" t="s">
        <v>97</v>
      </c>
      <c r="K854" t="s">
        <v>77</v>
      </c>
      <c r="L854" t="s">
        <v>62</v>
      </c>
      <c r="M854">
        <v>13</v>
      </c>
      <c r="N854" t="s">
        <v>45</v>
      </c>
      <c r="O854">
        <v>1</v>
      </c>
      <c r="P854">
        <v>1</v>
      </c>
      <c r="Q854">
        <v>2</v>
      </c>
      <c r="R854">
        <v>2</v>
      </c>
      <c r="S854">
        <v>5</v>
      </c>
      <c r="T854">
        <v>1</v>
      </c>
      <c r="U854">
        <v>25</v>
      </c>
      <c r="V854" t="s">
        <v>3959</v>
      </c>
      <c r="W854" t="s">
        <v>45</v>
      </c>
      <c r="X854" s="1">
        <v>46071</v>
      </c>
      <c r="Y854" s="2" t="str">
        <f>IF(EmployeeData[[#This Row],[Age]]&lt;25,"Under 25",IF(EmployeeData[[#This Row],[Age]]&lt;=34,"25-34",IF(EmployeeData[[#This Row],[Age]]&lt;=44,"35-44",IF(EmployeeData[[#This Row],[Age]]&lt;=54,"45-54","55+"))))</f>
        <v>35-44</v>
      </c>
      <c r="Z854">
        <f ca="1">DATEDIF(EmployeeData[[#This Row],[DateOfJoining]],IF(AND(EmployeeData[[#This Row],[Attrition]]="Yes",EmployeeData[[#This Row],[LastWorkingDate]]&lt;&gt;""),EmployeeData[[#This Row],[LastWorkingDate]],TODAY()),"Y")</f>
        <v>0</v>
      </c>
      <c r="AA854" t="str">
        <f>IF(EmployeeData[[#This Row],[MonthlyIncome]]&lt;30000,"Low",IF(EmployeeData[[#This Row],[MonthlyIncome]]&lt;=60000,"Medium",IF(EmployeeData[[#This Row],[MonthlyIncome]]&lt;=100000,"High","Very High")))</f>
        <v>Very High</v>
      </c>
      <c r="AB854">
        <f>IF(EmployeeData[[#This Row],[Attrition]]="Yes",1,0)</f>
        <v>1</v>
      </c>
      <c r="AC854" t="str">
        <f ca="1">IF(EmployeeData[[#This Row],[Tenure Years]]&lt;1,"Less than 1 Year",IF(EmployeeData[[#This Row],[Tenure Years]]&lt;=3,"1-3 Years",IF(EmployeeData[[#This Row],[Tenure Years]]&lt;=5,"4-5 Years",IF(EmployeeData[[#This Row],[Tenure Years]]&lt;=10,"6-10 Years","More than 10 Years"))))</f>
        <v>Less than 1 Year</v>
      </c>
      <c r="AD854">
        <f>ROUND(AVERAGE(EmployeeData[[#This Row],[JobSatisfaction]],EmployeeData[[#This Row],[EnvironmentSatisfaction]],EmployeeData[[#This Row],[WorkLifeBalance]]),2)</f>
        <v>1.33</v>
      </c>
      <c r="AE854" t="str">
        <f>IF(EmployeeData[[#This Row],[Satisfaction Score]]&lt;2,"Low",IF(EmployeeData[[#This Row],[Satisfaction Score]]&lt;3,"Medium","High"))</f>
        <v>Low</v>
      </c>
    </row>
    <row r="855" spans="1:31" x14ac:dyDescent="0.25">
      <c r="A855" t="s">
        <v>3961</v>
      </c>
      <c r="B855" t="s">
        <v>3962</v>
      </c>
      <c r="C855" t="s">
        <v>49</v>
      </c>
      <c r="D855">
        <v>30</v>
      </c>
      <c r="E855" t="s">
        <v>5461</v>
      </c>
      <c r="F855" t="s">
        <v>483</v>
      </c>
      <c r="G855" s="1">
        <v>43010</v>
      </c>
      <c r="H855">
        <v>121487</v>
      </c>
      <c r="I855" t="s">
        <v>42</v>
      </c>
      <c r="J855" t="s">
        <v>97</v>
      </c>
      <c r="K855" t="s">
        <v>106</v>
      </c>
      <c r="L855" t="s">
        <v>33</v>
      </c>
      <c r="M855">
        <v>5</v>
      </c>
      <c r="N855" t="s">
        <v>34</v>
      </c>
      <c r="O855">
        <v>4</v>
      </c>
      <c r="P855">
        <v>2</v>
      </c>
      <c r="Q855">
        <v>2</v>
      </c>
      <c r="R855">
        <v>3</v>
      </c>
      <c r="S855">
        <v>3</v>
      </c>
      <c r="T855">
        <v>5</v>
      </c>
      <c r="U855">
        <v>18</v>
      </c>
      <c r="V855" t="s">
        <v>3964</v>
      </c>
      <c r="W855" t="s">
        <v>34</v>
      </c>
      <c r="Y855" s="2" t="str">
        <f>IF(EmployeeData[[#This Row],[Age]]&lt;25,"Under 25",IF(EmployeeData[[#This Row],[Age]]&lt;=34,"25-34",IF(EmployeeData[[#This Row],[Age]]&lt;=44,"35-44",IF(EmployeeData[[#This Row],[Age]]&lt;=54,"45-54","55+"))))</f>
        <v>25-34</v>
      </c>
      <c r="Z855">
        <f ca="1">DATEDIF(EmployeeData[[#This Row],[DateOfJoining]],IF(AND(EmployeeData[[#This Row],[Attrition]]="Yes",EmployeeData[[#This Row],[LastWorkingDate]]&lt;&gt;""),EmployeeData[[#This Row],[LastWorkingDate]],TODAY()),"Y")</f>
        <v>8</v>
      </c>
      <c r="AA855" t="str">
        <f>IF(EmployeeData[[#This Row],[MonthlyIncome]]&lt;30000,"Low",IF(EmployeeData[[#This Row],[MonthlyIncome]]&lt;=60000,"Medium",IF(EmployeeData[[#This Row],[MonthlyIncome]]&lt;=100000,"High","Very High")))</f>
        <v>Very High</v>
      </c>
      <c r="AB855">
        <f>IF(EmployeeData[[#This Row],[Attrition]]="Yes",1,0)</f>
        <v>0</v>
      </c>
      <c r="AC855" t="str">
        <f ca="1">IF(EmployeeData[[#This Row],[Tenure Years]]&lt;1,"Less than 1 Year",IF(EmployeeData[[#This Row],[Tenure Years]]&lt;=3,"1-3 Years",IF(EmployeeData[[#This Row],[Tenure Years]]&lt;=5,"4-5 Years",IF(EmployeeData[[#This Row],[Tenure Years]]&lt;=10,"6-10 Years","More than 10 Years"))))</f>
        <v>6-10 Years</v>
      </c>
      <c r="AD855">
        <f>ROUND(AVERAGE(EmployeeData[[#This Row],[JobSatisfaction]],EmployeeData[[#This Row],[EnvironmentSatisfaction]],EmployeeData[[#This Row],[WorkLifeBalance]]),2)</f>
        <v>2.67</v>
      </c>
      <c r="AE855" t="str">
        <f>IF(EmployeeData[[#This Row],[Satisfaction Score]]&lt;2,"Low",IF(EmployeeData[[#This Row],[Satisfaction Score]]&lt;3,"Medium","High"))</f>
        <v>Medium</v>
      </c>
    </row>
    <row r="856" spans="1:31" x14ac:dyDescent="0.25">
      <c r="A856" t="s">
        <v>3965</v>
      </c>
      <c r="B856" t="s">
        <v>3966</v>
      </c>
      <c r="C856" t="s">
        <v>49</v>
      </c>
      <c r="D856">
        <v>29</v>
      </c>
      <c r="E856" t="s">
        <v>197</v>
      </c>
      <c r="F856" t="s">
        <v>323</v>
      </c>
      <c r="G856" s="1">
        <v>46155</v>
      </c>
      <c r="H856">
        <v>92580</v>
      </c>
      <c r="I856" t="s">
        <v>42</v>
      </c>
      <c r="J856" t="s">
        <v>61</v>
      </c>
      <c r="K856" t="s">
        <v>167</v>
      </c>
      <c r="L856" t="s">
        <v>43</v>
      </c>
      <c r="M856">
        <v>45</v>
      </c>
      <c r="N856" t="s">
        <v>34</v>
      </c>
      <c r="O856">
        <v>3</v>
      </c>
      <c r="P856">
        <v>3</v>
      </c>
      <c r="Q856">
        <v>4</v>
      </c>
      <c r="R856">
        <v>3</v>
      </c>
      <c r="S856">
        <v>2</v>
      </c>
      <c r="T856">
        <v>3</v>
      </c>
      <c r="U856">
        <v>24</v>
      </c>
      <c r="V856" t="s">
        <v>3969</v>
      </c>
      <c r="W856" t="s">
        <v>34</v>
      </c>
      <c r="Y856" s="2" t="str">
        <f>IF(EmployeeData[[#This Row],[Age]]&lt;25,"Under 25",IF(EmployeeData[[#This Row],[Age]]&lt;=34,"25-34",IF(EmployeeData[[#This Row],[Age]]&lt;=44,"35-44",IF(EmployeeData[[#This Row],[Age]]&lt;=54,"45-54","55+"))))</f>
        <v>25-34</v>
      </c>
      <c r="Z856">
        <f ca="1">DATEDIF(EmployeeData[[#This Row],[DateOfJoining]],IF(AND(EmployeeData[[#This Row],[Attrition]]="Yes",EmployeeData[[#This Row],[LastWorkingDate]]&lt;&gt;""),EmployeeData[[#This Row],[LastWorkingDate]],TODAY()),"Y")</f>
        <v>0</v>
      </c>
      <c r="AA856" t="str">
        <f>IF(EmployeeData[[#This Row],[MonthlyIncome]]&lt;30000,"Low",IF(EmployeeData[[#This Row],[MonthlyIncome]]&lt;=60000,"Medium",IF(EmployeeData[[#This Row],[MonthlyIncome]]&lt;=100000,"High","Very High")))</f>
        <v>High</v>
      </c>
      <c r="AB856">
        <f>IF(EmployeeData[[#This Row],[Attrition]]="Yes",1,0)</f>
        <v>0</v>
      </c>
      <c r="AC856" t="str">
        <f ca="1">IF(EmployeeData[[#This Row],[Tenure Years]]&lt;1,"Less than 1 Year",IF(EmployeeData[[#This Row],[Tenure Years]]&lt;=3,"1-3 Years",IF(EmployeeData[[#This Row],[Tenure Years]]&lt;=5,"4-5 Years",IF(EmployeeData[[#This Row],[Tenure Years]]&lt;=10,"6-10 Years","More than 10 Years"))))</f>
        <v>Less than 1 Year</v>
      </c>
      <c r="AD856">
        <f>ROUND(AVERAGE(EmployeeData[[#This Row],[JobSatisfaction]],EmployeeData[[#This Row],[EnvironmentSatisfaction]],EmployeeData[[#This Row],[WorkLifeBalance]]),2)</f>
        <v>3.33</v>
      </c>
      <c r="AE856" t="str">
        <f>IF(EmployeeData[[#This Row],[Satisfaction Score]]&lt;2,"Low",IF(EmployeeData[[#This Row],[Satisfaction Score]]&lt;3,"Medium","High"))</f>
        <v>High</v>
      </c>
    </row>
    <row r="857" spans="1:31" x14ac:dyDescent="0.25">
      <c r="A857" t="s">
        <v>3970</v>
      </c>
      <c r="B857" t="s">
        <v>3971</v>
      </c>
      <c r="C857" t="s">
        <v>49</v>
      </c>
      <c r="D857">
        <v>38</v>
      </c>
      <c r="E857" t="s">
        <v>128</v>
      </c>
      <c r="F857" t="s">
        <v>271</v>
      </c>
      <c r="G857" s="1">
        <v>43273</v>
      </c>
      <c r="H857">
        <v>48963</v>
      </c>
      <c r="I857" t="s">
        <v>52</v>
      </c>
      <c r="J857" t="s">
        <v>61</v>
      </c>
      <c r="K857" t="s">
        <v>167</v>
      </c>
      <c r="L857" t="s">
        <v>33</v>
      </c>
      <c r="M857">
        <v>20</v>
      </c>
      <c r="N857" t="s">
        <v>45</v>
      </c>
      <c r="O857">
        <v>2</v>
      </c>
      <c r="P857">
        <v>4</v>
      </c>
      <c r="Q857">
        <v>1</v>
      </c>
      <c r="R857">
        <v>3</v>
      </c>
      <c r="S857">
        <v>4</v>
      </c>
      <c r="T857">
        <v>5</v>
      </c>
      <c r="U857">
        <v>17</v>
      </c>
      <c r="V857" t="s">
        <v>3973</v>
      </c>
      <c r="W857" t="s">
        <v>45</v>
      </c>
      <c r="X857" s="1">
        <v>45670</v>
      </c>
      <c r="Y857" s="2" t="str">
        <f>IF(EmployeeData[[#This Row],[Age]]&lt;25,"Under 25",IF(EmployeeData[[#This Row],[Age]]&lt;=34,"25-34",IF(EmployeeData[[#This Row],[Age]]&lt;=44,"35-44",IF(EmployeeData[[#This Row],[Age]]&lt;=54,"45-54","55+"))))</f>
        <v>35-44</v>
      </c>
      <c r="Z857">
        <f ca="1">DATEDIF(EmployeeData[[#This Row],[DateOfJoining]],IF(AND(EmployeeData[[#This Row],[Attrition]]="Yes",EmployeeData[[#This Row],[LastWorkingDate]]&lt;&gt;""),EmployeeData[[#This Row],[LastWorkingDate]],TODAY()),"Y")</f>
        <v>6</v>
      </c>
      <c r="AA857" t="str">
        <f>IF(EmployeeData[[#This Row],[MonthlyIncome]]&lt;30000,"Low",IF(EmployeeData[[#This Row],[MonthlyIncome]]&lt;=60000,"Medium",IF(EmployeeData[[#This Row],[MonthlyIncome]]&lt;=100000,"High","Very High")))</f>
        <v>Medium</v>
      </c>
      <c r="AB857">
        <f>IF(EmployeeData[[#This Row],[Attrition]]="Yes",1,0)</f>
        <v>1</v>
      </c>
      <c r="AC857" t="str">
        <f ca="1">IF(EmployeeData[[#This Row],[Tenure Years]]&lt;1,"Less than 1 Year",IF(EmployeeData[[#This Row],[Tenure Years]]&lt;=3,"1-3 Years",IF(EmployeeData[[#This Row],[Tenure Years]]&lt;=5,"4-5 Years",IF(EmployeeData[[#This Row],[Tenure Years]]&lt;=10,"6-10 Years","More than 10 Years"))))</f>
        <v>6-10 Years</v>
      </c>
      <c r="AD857">
        <f>ROUND(AVERAGE(EmployeeData[[#This Row],[JobSatisfaction]],EmployeeData[[#This Row],[EnvironmentSatisfaction]],EmployeeData[[#This Row],[WorkLifeBalance]]),2)</f>
        <v>2.33</v>
      </c>
      <c r="AE857" t="str">
        <f>IF(EmployeeData[[#This Row],[Satisfaction Score]]&lt;2,"Low",IF(EmployeeData[[#This Row],[Satisfaction Score]]&lt;3,"Medium","High"))</f>
        <v>Medium</v>
      </c>
    </row>
    <row r="858" spans="1:31" x14ac:dyDescent="0.25">
      <c r="A858" t="s">
        <v>3975</v>
      </c>
      <c r="B858" t="s">
        <v>3976</v>
      </c>
      <c r="C858" t="s">
        <v>49</v>
      </c>
      <c r="D858">
        <v>35</v>
      </c>
      <c r="E858" t="s">
        <v>27</v>
      </c>
      <c r="F858" t="s">
        <v>75</v>
      </c>
      <c r="G858" s="1">
        <v>42797</v>
      </c>
      <c r="H858">
        <v>123788</v>
      </c>
      <c r="I858" t="s">
        <v>52</v>
      </c>
      <c r="J858" t="s">
        <v>31</v>
      </c>
      <c r="K858" t="s">
        <v>98</v>
      </c>
      <c r="L858" t="s">
        <v>33</v>
      </c>
      <c r="M858">
        <v>21</v>
      </c>
      <c r="N858" t="s">
        <v>34</v>
      </c>
      <c r="O858">
        <v>1</v>
      </c>
      <c r="P858">
        <v>2</v>
      </c>
      <c r="Q858">
        <v>3</v>
      </c>
      <c r="R858">
        <v>3</v>
      </c>
      <c r="S858">
        <v>3</v>
      </c>
      <c r="T858">
        <v>3</v>
      </c>
      <c r="U858">
        <v>24</v>
      </c>
      <c r="V858" t="s">
        <v>3978</v>
      </c>
      <c r="W858" t="s">
        <v>34</v>
      </c>
      <c r="Y858" s="2" t="str">
        <f>IF(EmployeeData[[#This Row],[Age]]&lt;25,"Under 25",IF(EmployeeData[[#This Row],[Age]]&lt;=34,"25-34",IF(EmployeeData[[#This Row],[Age]]&lt;=44,"35-44",IF(EmployeeData[[#This Row],[Age]]&lt;=54,"45-54","55+"))))</f>
        <v>35-44</v>
      </c>
      <c r="Z858">
        <f ca="1">DATEDIF(EmployeeData[[#This Row],[DateOfJoining]],IF(AND(EmployeeData[[#This Row],[Attrition]]="Yes",EmployeeData[[#This Row],[LastWorkingDate]]&lt;&gt;""),EmployeeData[[#This Row],[LastWorkingDate]],TODAY()),"Y")</f>
        <v>9</v>
      </c>
      <c r="AA858" t="str">
        <f>IF(EmployeeData[[#This Row],[MonthlyIncome]]&lt;30000,"Low",IF(EmployeeData[[#This Row],[MonthlyIncome]]&lt;=60000,"Medium",IF(EmployeeData[[#This Row],[MonthlyIncome]]&lt;=100000,"High","Very High")))</f>
        <v>Very High</v>
      </c>
      <c r="AB858">
        <f>IF(EmployeeData[[#This Row],[Attrition]]="Yes",1,0)</f>
        <v>0</v>
      </c>
      <c r="AC858" t="str">
        <f ca="1">IF(EmployeeData[[#This Row],[Tenure Years]]&lt;1,"Less than 1 Year",IF(EmployeeData[[#This Row],[Tenure Years]]&lt;=3,"1-3 Years",IF(EmployeeData[[#This Row],[Tenure Years]]&lt;=5,"4-5 Years",IF(EmployeeData[[#This Row],[Tenure Years]]&lt;=10,"6-10 Years","More than 10 Years"))))</f>
        <v>6-10 Years</v>
      </c>
      <c r="AD858">
        <f>ROUND(AVERAGE(EmployeeData[[#This Row],[JobSatisfaction]],EmployeeData[[#This Row],[EnvironmentSatisfaction]],EmployeeData[[#This Row],[WorkLifeBalance]]),2)</f>
        <v>2</v>
      </c>
      <c r="AE858" t="str">
        <f>IF(EmployeeData[[#This Row],[Satisfaction Score]]&lt;2,"Low",IF(EmployeeData[[#This Row],[Satisfaction Score]]&lt;3,"Medium","High"))</f>
        <v>Medium</v>
      </c>
    </row>
    <row r="859" spans="1:31" x14ac:dyDescent="0.25">
      <c r="A859" t="s">
        <v>3979</v>
      </c>
      <c r="B859" t="s">
        <v>3980</v>
      </c>
      <c r="C859" t="s">
        <v>58</v>
      </c>
      <c r="D859">
        <v>33</v>
      </c>
      <c r="E859" t="s">
        <v>128</v>
      </c>
      <c r="F859" t="s">
        <v>271</v>
      </c>
      <c r="G859" s="1">
        <v>44117</v>
      </c>
      <c r="H859">
        <v>80874</v>
      </c>
      <c r="I859" t="s">
        <v>30</v>
      </c>
      <c r="J859" t="s">
        <v>143</v>
      </c>
      <c r="K859" t="s">
        <v>167</v>
      </c>
      <c r="L859" t="s">
        <v>62</v>
      </c>
      <c r="M859">
        <v>36</v>
      </c>
      <c r="N859" t="s">
        <v>34</v>
      </c>
      <c r="O859">
        <v>1</v>
      </c>
      <c r="P859">
        <v>3</v>
      </c>
      <c r="Q859">
        <v>4</v>
      </c>
      <c r="R859">
        <v>3</v>
      </c>
      <c r="S859">
        <v>6</v>
      </c>
      <c r="T859">
        <v>6</v>
      </c>
      <c r="U859">
        <v>18</v>
      </c>
      <c r="V859" t="s">
        <v>3982</v>
      </c>
      <c r="W859" t="s">
        <v>34</v>
      </c>
      <c r="Y859" s="2" t="str">
        <f>IF(EmployeeData[[#This Row],[Age]]&lt;25,"Under 25",IF(EmployeeData[[#This Row],[Age]]&lt;=34,"25-34",IF(EmployeeData[[#This Row],[Age]]&lt;=44,"35-44",IF(EmployeeData[[#This Row],[Age]]&lt;=54,"45-54","55+"))))</f>
        <v>25-34</v>
      </c>
      <c r="Z859">
        <f ca="1">DATEDIF(EmployeeData[[#This Row],[DateOfJoining]],IF(AND(EmployeeData[[#This Row],[Attrition]]="Yes",EmployeeData[[#This Row],[LastWorkingDate]]&lt;&gt;""),EmployeeData[[#This Row],[LastWorkingDate]],TODAY()),"Y")</f>
        <v>5</v>
      </c>
      <c r="AA859" t="str">
        <f>IF(EmployeeData[[#This Row],[MonthlyIncome]]&lt;30000,"Low",IF(EmployeeData[[#This Row],[MonthlyIncome]]&lt;=60000,"Medium",IF(EmployeeData[[#This Row],[MonthlyIncome]]&lt;=100000,"High","Very High")))</f>
        <v>High</v>
      </c>
      <c r="AB859">
        <f>IF(EmployeeData[[#This Row],[Attrition]]="Yes",1,0)</f>
        <v>0</v>
      </c>
      <c r="AC859" t="str">
        <f ca="1">IF(EmployeeData[[#This Row],[Tenure Years]]&lt;1,"Less than 1 Year",IF(EmployeeData[[#This Row],[Tenure Years]]&lt;=3,"1-3 Years",IF(EmployeeData[[#This Row],[Tenure Years]]&lt;=5,"4-5 Years",IF(EmployeeData[[#This Row],[Tenure Years]]&lt;=10,"6-10 Years","More than 10 Years"))))</f>
        <v>4-5 Years</v>
      </c>
      <c r="AD859">
        <f>ROUND(AVERAGE(EmployeeData[[#This Row],[JobSatisfaction]],EmployeeData[[#This Row],[EnvironmentSatisfaction]],EmployeeData[[#This Row],[WorkLifeBalance]]),2)</f>
        <v>2.67</v>
      </c>
      <c r="AE859" t="str">
        <f>IF(EmployeeData[[#This Row],[Satisfaction Score]]&lt;2,"Low",IF(EmployeeData[[#This Row],[Satisfaction Score]]&lt;3,"Medium","High"))</f>
        <v>Medium</v>
      </c>
    </row>
    <row r="860" spans="1:31" x14ac:dyDescent="0.25">
      <c r="A860" t="s">
        <v>3983</v>
      </c>
      <c r="B860" t="s">
        <v>3984</v>
      </c>
      <c r="C860" t="s">
        <v>49</v>
      </c>
      <c r="D860">
        <v>43</v>
      </c>
      <c r="E860" t="s">
        <v>94</v>
      </c>
      <c r="F860" t="s">
        <v>356</v>
      </c>
      <c r="G860" s="1">
        <v>44194</v>
      </c>
      <c r="H860">
        <v>126843</v>
      </c>
      <c r="I860" t="s">
        <v>52</v>
      </c>
      <c r="J860" t="s">
        <v>61</v>
      </c>
      <c r="K860" t="s">
        <v>113</v>
      </c>
      <c r="L860" t="s">
        <v>33</v>
      </c>
      <c r="M860">
        <v>10</v>
      </c>
      <c r="N860" t="s">
        <v>34</v>
      </c>
      <c r="O860">
        <v>2</v>
      </c>
      <c r="P860">
        <v>3</v>
      </c>
      <c r="Q860">
        <v>3</v>
      </c>
      <c r="R860">
        <v>1</v>
      </c>
      <c r="S860">
        <v>3</v>
      </c>
      <c r="T860">
        <v>7</v>
      </c>
      <c r="U860">
        <v>11</v>
      </c>
      <c r="V860" t="s">
        <v>3986</v>
      </c>
      <c r="W860" t="s">
        <v>34</v>
      </c>
      <c r="Y860" s="2" t="str">
        <f>IF(EmployeeData[[#This Row],[Age]]&lt;25,"Under 25",IF(EmployeeData[[#This Row],[Age]]&lt;=34,"25-34",IF(EmployeeData[[#This Row],[Age]]&lt;=44,"35-44",IF(EmployeeData[[#This Row],[Age]]&lt;=54,"45-54","55+"))))</f>
        <v>35-44</v>
      </c>
      <c r="Z860">
        <f ca="1">DATEDIF(EmployeeData[[#This Row],[DateOfJoining]],IF(AND(EmployeeData[[#This Row],[Attrition]]="Yes",EmployeeData[[#This Row],[LastWorkingDate]]&lt;&gt;""),EmployeeData[[#This Row],[LastWorkingDate]],TODAY()),"Y")</f>
        <v>5</v>
      </c>
      <c r="AA860" t="str">
        <f>IF(EmployeeData[[#This Row],[MonthlyIncome]]&lt;30000,"Low",IF(EmployeeData[[#This Row],[MonthlyIncome]]&lt;=60000,"Medium",IF(EmployeeData[[#This Row],[MonthlyIncome]]&lt;=100000,"High","Very High")))</f>
        <v>Very High</v>
      </c>
      <c r="AB860">
        <f>IF(EmployeeData[[#This Row],[Attrition]]="Yes",1,0)</f>
        <v>0</v>
      </c>
      <c r="AC860" t="str">
        <f ca="1">IF(EmployeeData[[#This Row],[Tenure Years]]&lt;1,"Less than 1 Year",IF(EmployeeData[[#This Row],[Tenure Years]]&lt;=3,"1-3 Years",IF(EmployeeData[[#This Row],[Tenure Years]]&lt;=5,"4-5 Years",IF(EmployeeData[[#This Row],[Tenure Years]]&lt;=10,"6-10 Years","More than 10 Years"))))</f>
        <v>4-5 Years</v>
      </c>
      <c r="AD860">
        <f>ROUND(AVERAGE(EmployeeData[[#This Row],[JobSatisfaction]],EmployeeData[[#This Row],[EnvironmentSatisfaction]],EmployeeData[[#This Row],[WorkLifeBalance]]),2)</f>
        <v>2.67</v>
      </c>
      <c r="AE860" t="str">
        <f>IF(EmployeeData[[#This Row],[Satisfaction Score]]&lt;2,"Low",IF(EmployeeData[[#This Row],[Satisfaction Score]]&lt;3,"Medium","High"))</f>
        <v>Medium</v>
      </c>
    </row>
    <row r="861" spans="1:31" x14ac:dyDescent="0.25">
      <c r="A861" t="s">
        <v>3987</v>
      </c>
      <c r="B861" t="s">
        <v>3988</v>
      </c>
      <c r="C861" t="s">
        <v>58</v>
      </c>
      <c r="D861">
        <v>22</v>
      </c>
      <c r="E861" t="s">
        <v>38</v>
      </c>
      <c r="F861" t="s">
        <v>792</v>
      </c>
      <c r="G861" s="1">
        <v>45874</v>
      </c>
      <c r="H861">
        <v>66896</v>
      </c>
      <c r="I861" t="s">
        <v>42</v>
      </c>
      <c r="J861" t="s">
        <v>97</v>
      </c>
      <c r="K861" t="s">
        <v>32</v>
      </c>
      <c r="L861" t="s">
        <v>62</v>
      </c>
      <c r="M861">
        <v>2</v>
      </c>
      <c r="N861" t="s">
        <v>34</v>
      </c>
      <c r="O861">
        <v>2</v>
      </c>
      <c r="P861">
        <v>1</v>
      </c>
      <c r="Q861">
        <v>1</v>
      </c>
      <c r="R861">
        <v>2</v>
      </c>
      <c r="S861">
        <v>2</v>
      </c>
      <c r="T861">
        <v>7</v>
      </c>
      <c r="U861">
        <v>17</v>
      </c>
      <c r="V861" t="s">
        <v>3991</v>
      </c>
      <c r="W861" t="s">
        <v>45</v>
      </c>
      <c r="X861" s="1">
        <v>45925</v>
      </c>
      <c r="Y861" s="2" t="str">
        <f>IF(EmployeeData[[#This Row],[Age]]&lt;25,"Under 25",IF(EmployeeData[[#This Row],[Age]]&lt;=34,"25-34",IF(EmployeeData[[#This Row],[Age]]&lt;=44,"35-44",IF(EmployeeData[[#This Row],[Age]]&lt;=54,"45-54","55+"))))</f>
        <v>Under 25</v>
      </c>
      <c r="Z861">
        <f ca="1">DATEDIF(EmployeeData[[#This Row],[DateOfJoining]],IF(AND(EmployeeData[[#This Row],[Attrition]]="Yes",EmployeeData[[#This Row],[LastWorkingDate]]&lt;&gt;""),EmployeeData[[#This Row],[LastWorkingDate]],TODAY()),"Y")</f>
        <v>0</v>
      </c>
      <c r="AA861" t="str">
        <f>IF(EmployeeData[[#This Row],[MonthlyIncome]]&lt;30000,"Low",IF(EmployeeData[[#This Row],[MonthlyIncome]]&lt;=60000,"Medium",IF(EmployeeData[[#This Row],[MonthlyIncome]]&lt;=100000,"High","Very High")))</f>
        <v>High</v>
      </c>
      <c r="AB861">
        <f>IF(EmployeeData[[#This Row],[Attrition]]="Yes",1,0)</f>
        <v>1</v>
      </c>
      <c r="AC861" t="str">
        <f ca="1">IF(EmployeeData[[#This Row],[Tenure Years]]&lt;1,"Less than 1 Year",IF(EmployeeData[[#This Row],[Tenure Years]]&lt;=3,"1-3 Years",IF(EmployeeData[[#This Row],[Tenure Years]]&lt;=5,"4-5 Years",IF(EmployeeData[[#This Row],[Tenure Years]]&lt;=10,"6-10 Years","More than 10 Years"))))</f>
        <v>Less than 1 Year</v>
      </c>
      <c r="AD861">
        <f>ROUND(AVERAGE(EmployeeData[[#This Row],[JobSatisfaction]],EmployeeData[[#This Row],[EnvironmentSatisfaction]],EmployeeData[[#This Row],[WorkLifeBalance]]),2)</f>
        <v>1.33</v>
      </c>
      <c r="AE861" t="str">
        <f>IF(EmployeeData[[#This Row],[Satisfaction Score]]&lt;2,"Low",IF(EmployeeData[[#This Row],[Satisfaction Score]]&lt;3,"Medium","High"))</f>
        <v>Low</v>
      </c>
    </row>
    <row r="862" spans="1:31" x14ac:dyDescent="0.25">
      <c r="A862" t="s">
        <v>3992</v>
      </c>
      <c r="B862" t="s">
        <v>3993</v>
      </c>
      <c r="C862" t="s">
        <v>49</v>
      </c>
      <c r="D862">
        <v>33</v>
      </c>
      <c r="E862" t="s">
        <v>27</v>
      </c>
      <c r="F862" t="s">
        <v>59</v>
      </c>
      <c r="G862" s="1">
        <v>44142</v>
      </c>
      <c r="H862">
        <v>109520</v>
      </c>
      <c r="I862" t="s">
        <v>52</v>
      </c>
      <c r="J862" t="s">
        <v>31</v>
      </c>
      <c r="K862" t="s">
        <v>167</v>
      </c>
      <c r="L862" t="s">
        <v>62</v>
      </c>
      <c r="M862">
        <v>29</v>
      </c>
      <c r="N862" t="s">
        <v>45</v>
      </c>
      <c r="O862">
        <v>3</v>
      </c>
      <c r="P862">
        <v>1</v>
      </c>
      <c r="Q862">
        <v>2</v>
      </c>
      <c r="R862">
        <v>3</v>
      </c>
      <c r="S862">
        <v>6</v>
      </c>
      <c r="T862">
        <v>2</v>
      </c>
      <c r="U862">
        <v>23</v>
      </c>
      <c r="V862" t="s">
        <v>3995</v>
      </c>
      <c r="W862" t="s">
        <v>45</v>
      </c>
      <c r="X862" s="1">
        <v>44543</v>
      </c>
      <c r="Y862" s="2" t="str">
        <f>IF(EmployeeData[[#This Row],[Age]]&lt;25,"Under 25",IF(EmployeeData[[#This Row],[Age]]&lt;=34,"25-34",IF(EmployeeData[[#This Row],[Age]]&lt;=44,"35-44",IF(EmployeeData[[#This Row],[Age]]&lt;=54,"45-54","55+"))))</f>
        <v>25-34</v>
      </c>
      <c r="Z862">
        <f ca="1">DATEDIF(EmployeeData[[#This Row],[DateOfJoining]],IF(AND(EmployeeData[[#This Row],[Attrition]]="Yes",EmployeeData[[#This Row],[LastWorkingDate]]&lt;&gt;""),EmployeeData[[#This Row],[LastWorkingDate]],TODAY()),"Y")</f>
        <v>1</v>
      </c>
      <c r="AA862" t="str">
        <f>IF(EmployeeData[[#This Row],[MonthlyIncome]]&lt;30000,"Low",IF(EmployeeData[[#This Row],[MonthlyIncome]]&lt;=60000,"Medium",IF(EmployeeData[[#This Row],[MonthlyIncome]]&lt;=100000,"High","Very High")))</f>
        <v>Very High</v>
      </c>
      <c r="AB862">
        <f>IF(EmployeeData[[#This Row],[Attrition]]="Yes",1,0)</f>
        <v>1</v>
      </c>
      <c r="AC862" t="str">
        <f ca="1">IF(EmployeeData[[#This Row],[Tenure Years]]&lt;1,"Less than 1 Year",IF(EmployeeData[[#This Row],[Tenure Years]]&lt;=3,"1-3 Years",IF(EmployeeData[[#This Row],[Tenure Years]]&lt;=5,"4-5 Years",IF(EmployeeData[[#This Row],[Tenure Years]]&lt;=10,"6-10 Years","More than 10 Years"))))</f>
        <v>1-3 Years</v>
      </c>
      <c r="AD862">
        <f>ROUND(AVERAGE(EmployeeData[[#This Row],[JobSatisfaction]],EmployeeData[[#This Row],[EnvironmentSatisfaction]],EmployeeData[[#This Row],[WorkLifeBalance]]),2)</f>
        <v>2</v>
      </c>
      <c r="AE862" t="str">
        <f>IF(EmployeeData[[#This Row],[Satisfaction Score]]&lt;2,"Low",IF(EmployeeData[[#This Row],[Satisfaction Score]]&lt;3,"Medium","High"))</f>
        <v>Medium</v>
      </c>
    </row>
    <row r="863" spans="1:31" x14ac:dyDescent="0.25">
      <c r="A863" t="s">
        <v>3997</v>
      </c>
      <c r="B863" t="s">
        <v>3998</v>
      </c>
      <c r="C863" t="s">
        <v>58</v>
      </c>
      <c r="D863">
        <v>48</v>
      </c>
      <c r="E863" t="s">
        <v>38</v>
      </c>
      <c r="F863" t="s">
        <v>5462</v>
      </c>
      <c r="G863" s="1">
        <v>41518</v>
      </c>
      <c r="H863">
        <v>48419</v>
      </c>
      <c r="I863" t="s">
        <v>42</v>
      </c>
      <c r="J863" t="s">
        <v>61</v>
      </c>
      <c r="K863" t="s">
        <v>32</v>
      </c>
      <c r="L863" t="s">
        <v>43</v>
      </c>
      <c r="M863">
        <v>37</v>
      </c>
      <c r="N863" t="s">
        <v>45</v>
      </c>
      <c r="O863">
        <v>2</v>
      </c>
      <c r="P863">
        <v>3</v>
      </c>
      <c r="Q863">
        <v>2</v>
      </c>
      <c r="R863">
        <v>3</v>
      </c>
      <c r="S863">
        <v>3</v>
      </c>
      <c r="T863">
        <v>1</v>
      </c>
      <c r="U863">
        <v>18</v>
      </c>
      <c r="V863" t="s">
        <v>4000</v>
      </c>
      <c r="W863" t="s">
        <v>45</v>
      </c>
      <c r="X863" s="1">
        <v>46142</v>
      </c>
      <c r="Y863" s="2" t="str">
        <f>IF(EmployeeData[[#This Row],[Age]]&lt;25,"Under 25",IF(EmployeeData[[#This Row],[Age]]&lt;=34,"25-34",IF(EmployeeData[[#This Row],[Age]]&lt;=44,"35-44",IF(EmployeeData[[#This Row],[Age]]&lt;=54,"45-54","55+"))))</f>
        <v>45-54</v>
      </c>
      <c r="Z863">
        <f ca="1">DATEDIF(EmployeeData[[#This Row],[DateOfJoining]],IF(AND(EmployeeData[[#This Row],[Attrition]]="Yes",EmployeeData[[#This Row],[LastWorkingDate]]&lt;&gt;""),EmployeeData[[#This Row],[LastWorkingDate]],TODAY()),"Y")</f>
        <v>12</v>
      </c>
      <c r="AA863" t="str">
        <f>IF(EmployeeData[[#This Row],[MonthlyIncome]]&lt;30000,"Low",IF(EmployeeData[[#This Row],[MonthlyIncome]]&lt;=60000,"Medium",IF(EmployeeData[[#This Row],[MonthlyIncome]]&lt;=100000,"High","Very High")))</f>
        <v>Medium</v>
      </c>
      <c r="AB863">
        <f>IF(EmployeeData[[#This Row],[Attrition]]="Yes",1,0)</f>
        <v>1</v>
      </c>
      <c r="AC863" t="str">
        <f ca="1">IF(EmployeeData[[#This Row],[Tenure Years]]&lt;1,"Less than 1 Year",IF(EmployeeData[[#This Row],[Tenure Years]]&lt;=3,"1-3 Years",IF(EmployeeData[[#This Row],[Tenure Years]]&lt;=5,"4-5 Years",IF(EmployeeData[[#This Row],[Tenure Years]]&lt;=10,"6-10 Years","More than 10 Years"))))</f>
        <v>More than 10 Years</v>
      </c>
      <c r="AD863">
        <f>ROUND(AVERAGE(EmployeeData[[#This Row],[JobSatisfaction]],EmployeeData[[#This Row],[EnvironmentSatisfaction]],EmployeeData[[#This Row],[WorkLifeBalance]]),2)</f>
        <v>2.33</v>
      </c>
      <c r="AE863" t="str">
        <f>IF(EmployeeData[[#This Row],[Satisfaction Score]]&lt;2,"Low",IF(EmployeeData[[#This Row],[Satisfaction Score]]&lt;3,"Medium","High"))</f>
        <v>Medium</v>
      </c>
    </row>
    <row r="864" spans="1:31" x14ac:dyDescent="0.25">
      <c r="A864" t="s">
        <v>4002</v>
      </c>
      <c r="B864" t="s">
        <v>4003</v>
      </c>
      <c r="C864" t="s">
        <v>58</v>
      </c>
      <c r="D864">
        <v>26</v>
      </c>
      <c r="E864" t="s">
        <v>412</v>
      </c>
      <c r="F864" t="s">
        <v>1093</v>
      </c>
      <c r="G864" s="1">
        <v>45686</v>
      </c>
      <c r="H864">
        <v>66351</v>
      </c>
      <c r="I864" t="s">
        <v>52</v>
      </c>
      <c r="J864" t="s">
        <v>97</v>
      </c>
      <c r="K864" t="s">
        <v>83</v>
      </c>
      <c r="L864" t="s">
        <v>33</v>
      </c>
      <c r="M864">
        <v>24</v>
      </c>
      <c r="N864" t="s">
        <v>34</v>
      </c>
      <c r="O864">
        <v>2</v>
      </c>
      <c r="P864">
        <v>1</v>
      </c>
      <c r="Q864">
        <v>1</v>
      </c>
      <c r="R864">
        <v>3</v>
      </c>
      <c r="S864">
        <v>5</v>
      </c>
      <c r="T864">
        <v>2</v>
      </c>
      <c r="U864">
        <v>18</v>
      </c>
      <c r="V864" t="s">
        <v>4006</v>
      </c>
      <c r="W864" t="s">
        <v>45</v>
      </c>
      <c r="X864" s="1">
        <v>46012</v>
      </c>
      <c r="Y864" s="2" t="str">
        <f>IF(EmployeeData[[#This Row],[Age]]&lt;25,"Under 25",IF(EmployeeData[[#This Row],[Age]]&lt;=34,"25-34",IF(EmployeeData[[#This Row],[Age]]&lt;=44,"35-44",IF(EmployeeData[[#This Row],[Age]]&lt;=54,"45-54","55+"))))</f>
        <v>25-34</v>
      </c>
      <c r="Z864">
        <f ca="1">DATEDIF(EmployeeData[[#This Row],[DateOfJoining]],IF(AND(EmployeeData[[#This Row],[Attrition]]="Yes",EmployeeData[[#This Row],[LastWorkingDate]]&lt;&gt;""),EmployeeData[[#This Row],[LastWorkingDate]],TODAY()),"Y")</f>
        <v>0</v>
      </c>
      <c r="AA864" t="str">
        <f>IF(EmployeeData[[#This Row],[MonthlyIncome]]&lt;30000,"Low",IF(EmployeeData[[#This Row],[MonthlyIncome]]&lt;=60000,"Medium",IF(EmployeeData[[#This Row],[MonthlyIncome]]&lt;=100000,"High","Very High")))</f>
        <v>High</v>
      </c>
      <c r="AB864">
        <f>IF(EmployeeData[[#This Row],[Attrition]]="Yes",1,0)</f>
        <v>1</v>
      </c>
      <c r="AC864" t="str">
        <f ca="1">IF(EmployeeData[[#This Row],[Tenure Years]]&lt;1,"Less than 1 Year",IF(EmployeeData[[#This Row],[Tenure Years]]&lt;=3,"1-3 Years",IF(EmployeeData[[#This Row],[Tenure Years]]&lt;=5,"4-5 Years",IF(EmployeeData[[#This Row],[Tenure Years]]&lt;=10,"6-10 Years","More than 10 Years"))))</f>
        <v>Less than 1 Year</v>
      </c>
      <c r="AD864">
        <f>ROUND(AVERAGE(EmployeeData[[#This Row],[JobSatisfaction]],EmployeeData[[#This Row],[EnvironmentSatisfaction]],EmployeeData[[#This Row],[WorkLifeBalance]]),2)</f>
        <v>1.33</v>
      </c>
      <c r="AE864" t="str">
        <f>IF(EmployeeData[[#This Row],[Satisfaction Score]]&lt;2,"Low",IF(EmployeeData[[#This Row],[Satisfaction Score]]&lt;3,"Medium","High"))</f>
        <v>Low</v>
      </c>
    </row>
    <row r="865" spans="1:31" x14ac:dyDescent="0.25">
      <c r="A865" t="s">
        <v>4008</v>
      </c>
      <c r="B865" t="s">
        <v>4009</v>
      </c>
      <c r="C865" t="s">
        <v>49</v>
      </c>
      <c r="D865">
        <v>34</v>
      </c>
      <c r="E865" t="s">
        <v>94</v>
      </c>
      <c r="F865" t="s">
        <v>639</v>
      </c>
      <c r="G865" s="1">
        <v>41480</v>
      </c>
      <c r="H865">
        <v>107341</v>
      </c>
      <c r="I865" t="s">
        <v>30</v>
      </c>
      <c r="J865" t="s">
        <v>61</v>
      </c>
      <c r="K865" t="s">
        <v>32</v>
      </c>
      <c r="L865" t="s">
        <v>62</v>
      </c>
      <c r="M865">
        <v>34</v>
      </c>
      <c r="N865" t="s">
        <v>34</v>
      </c>
      <c r="O865">
        <v>3</v>
      </c>
      <c r="P865">
        <v>1</v>
      </c>
      <c r="Q865">
        <v>2</v>
      </c>
      <c r="R865">
        <v>3</v>
      </c>
      <c r="S865">
        <v>0</v>
      </c>
      <c r="T865">
        <v>0</v>
      </c>
      <c r="U865">
        <v>22</v>
      </c>
      <c r="V865" t="s">
        <v>4011</v>
      </c>
      <c r="W865" t="s">
        <v>34</v>
      </c>
      <c r="Y865" s="2" t="str">
        <f>IF(EmployeeData[[#This Row],[Age]]&lt;25,"Under 25",IF(EmployeeData[[#This Row],[Age]]&lt;=34,"25-34",IF(EmployeeData[[#This Row],[Age]]&lt;=44,"35-44",IF(EmployeeData[[#This Row],[Age]]&lt;=54,"45-54","55+"))))</f>
        <v>25-34</v>
      </c>
      <c r="Z865">
        <f ca="1">DATEDIF(EmployeeData[[#This Row],[DateOfJoining]],IF(AND(EmployeeData[[#This Row],[Attrition]]="Yes",EmployeeData[[#This Row],[LastWorkingDate]]&lt;&gt;""),EmployeeData[[#This Row],[LastWorkingDate]],TODAY()),"Y")</f>
        <v>13</v>
      </c>
      <c r="AA865" t="str">
        <f>IF(EmployeeData[[#This Row],[MonthlyIncome]]&lt;30000,"Low",IF(EmployeeData[[#This Row],[MonthlyIncome]]&lt;=60000,"Medium",IF(EmployeeData[[#This Row],[MonthlyIncome]]&lt;=100000,"High","Very High")))</f>
        <v>Very High</v>
      </c>
      <c r="AB865">
        <f>IF(EmployeeData[[#This Row],[Attrition]]="Yes",1,0)</f>
        <v>0</v>
      </c>
      <c r="AC865" t="str">
        <f ca="1">IF(EmployeeData[[#This Row],[Tenure Years]]&lt;1,"Less than 1 Year",IF(EmployeeData[[#This Row],[Tenure Years]]&lt;=3,"1-3 Years",IF(EmployeeData[[#This Row],[Tenure Years]]&lt;=5,"4-5 Years",IF(EmployeeData[[#This Row],[Tenure Years]]&lt;=10,"6-10 Years","More than 10 Years"))))</f>
        <v>More than 10 Years</v>
      </c>
      <c r="AD865">
        <f>ROUND(AVERAGE(EmployeeData[[#This Row],[JobSatisfaction]],EmployeeData[[#This Row],[EnvironmentSatisfaction]],EmployeeData[[#This Row],[WorkLifeBalance]]),2)</f>
        <v>2</v>
      </c>
      <c r="AE865" t="str">
        <f>IF(EmployeeData[[#This Row],[Satisfaction Score]]&lt;2,"Low",IF(EmployeeData[[#This Row],[Satisfaction Score]]&lt;3,"Medium","High"))</f>
        <v>Medium</v>
      </c>
    </row>
    <row r="866" spans="1:31" x14ac:dyDescent="0.25">
      <c r="A866" t="s">
        <v>4012</v>
      </c>
      <c r="B866" t="s">
        <v>4013</v>
      </c>
      <c r="C866" t="s">
        <v>49</v>
      </c>
      <c r="D866">
        <v>30</v>
      </c>
      <c r="E866" t="s">
        <v>27</v>
      </c>
      <c r="F866" t="s">
        <v>50</v>
      </c>
      <c r="G866" s="1">
        <v>44865</v>
      </c>
      <c r="H866">
        <v>62724</v>
      </c>
      <c r="I866" t="s">
        <v>42</v>
      </c>
      <c r="J866" t="s">
        <v>31</v>
      </c>
      <c r="K866" t="s">
        <v>131</v>
      </c>
      <c r="L866" t="s">
        <v>62</v>
      </c>
      <c r="M866">
        <v>23</v>
      </c>
      <c r="N866" t="s">
        <v>45</v>
      </c>
      <c r="O866">
        <v>4</v>
      </c>
      <c r="P866">
        <v>3</v>
      </c>
      <c r="Q866">
        <v>2</v>
      </c>
      <c r="R866">
        <v>3</v>
      </c>
      <c r="S866">
        <v>3</v>
      </c>
      <c r="T866">
        <v>4</v>
      </c>
      <c r="U866">
        <v>13</v>
      </c>
      <c r="V866" t="s">
        <v>4015</v>
      </c>
      <c r="W866" t="s">
        <v>45</v>
      </c>
      <c r="X866" s="1">
        <v>46167</v>
      </c>
      <c r="Y866" s="2" t="str">
        <f>IF(EmployeeData[[#This Row],[Age]]&lt;25,"Under 25",IF(EmployeeData[[#This Row],[Age]]&lt;=34,"25-34",IF(EmployeeData[[#This Row],[Age]]&lt;=44,"35-44",IF(EmployeeData[[#This Row],[Age]]&lt;=54,"45-54","55+"))))</f>
        <v>25-34</v>
      </c>
      <c r="Z866">
        <f ca="1">DATEDIF(EmployeeData[[#This Row],[DateOfJoining]],IF(AND(EmployeeData[[#This Row],[Attrition]]="Yes",EmployeeData[[#This Row],[LastWorkingDate]]&lt;&gt;""),EmployeeData[[#This Row],[LastWorkingDate]],TODAY()),"Y")</f>
        <v>3</v>
      </c>
      <c r="AA866" t="str">
        <f>IF(EmployeeData[[#This Row],[MonthlyIncome]]&lt;30000,"Low",IF(EmployeeData[[#This Row],[MonthlyIncome]]&lt;=60000,"Medium",IF(EmployeeData[[#This Row],[MonthlyIncome]]&lt;=100000,"High","Very High")))</f>
        <v>High</v>
      </c>
      <c r="AB866">
        <f>IF(EmployeeData[[#This Row],[Attrition]]="Yes",1,0)</f>
        <v>1</v>
      </c>
      <c r="AC866" t="str">
        <f ca="1">IF(EmployeeData[[#This Row],[Tenure Years]]&lt;1,"Less than 1 Year",IF(EmployeeData[[#This Row],[Tenure Years]]&lt;=3,"1-3 Years",IF(EmployeeData[[#This Row],[Tenure Years]]&lt;=5,"4-5 Years",IF(EmployeeData[[#This Row],[Tenure Years]]&lt;=10,"6-10 Years","More than 10 Years"))))</f>
        <v>1-3 Years</v>
      </c>
      <c r="AD866">
        <f>ROUND(AVERAGE(EmployeeData[[#This Row],[JobSatisfaction]],EmployeeData[[#This Row],[EnvironmentSatisfaction]],EmployeeData[[#This Row],[WorkLifeBalance]]),2)</f>
        <v>3</v>
      </c>
      <c r="AE866" t="str">
        <f>IF(EmployeeData[[#This Row],[Satisfaction Score]]&lt;2,"Low",IF(EmployeeData[[#This Row],[Satisfaction Score]]&lt;3,"Medium","High"))</f>
        <v>High</v>
      </c>
    </row>
    <row r="867" spans="1:31" x14ac:dyDescent="0.25">
      <c r="A867" t="s">
        <v>4017</v>
      </c>
      <c r="B867" t="s">
        <v>4018</v>
      </c>
      <c r="C867" t="s">
        <v>5459</v>
      </c>
      <c r="D867">
        <v>33</v>
      </c>
      <c r="E867" t="s">
        <v>38</v>
      </c>
      <c r="F867" t="s">
        <v>5460</v>
      </c>
      <c r="G867" s="1">
        <v>41702</v>
      </c>
      <c r="H867">
        <v>74798</v>
      </c>
      <c r="I867" t="s">
        <v>52</v>
      </c>
      <c r="J867" t="s">
        <v>31</v>
      </c>
      <c r="K867" t="s">
        <v>106</v>
      </c>
      <c r="L867" t="s">
        <v>33</v>
      </c>
      <c r="M867">
        <v>18</v>
      </c>
      <c r="N867" t="s">
        <v>34</v>
      </c>
      <c r="O867">
        <v>2</v>
      </c>
      <c r="P867">
        <v>3</v>
      </c>
      <c r="Q867">
        <v>4</v>
      </c>
      <c r="R867">
        <v>4</v>
      </c>
      <c r="S867">
        <v>3</v>
      </c>
      <c r="T867">
        <v>7</v>
      </c>
      <c r="U867">
        <v>20</v>
      </c>
      <c r="V867" t="s">
        <v>4021</v>
      </c>
      <c r="W867" t="s">
        <v>34</v>
      </c>
      <c r="Y867" s="2" t="str">
        <f>IF(EmployeeData[[#This Row],[Age]]&lt;25,"Under 25",IF(EmployeeData[[#This Row],[Age]]&lt;=34,"25-34",IF(EmployeeData[[#This Row],[Age]]&lt;=44,"35-44",IF(EmployeeData[[#This Row],[Age]]&lt;=54,"45-54","55+"))))</f>
        <v>25-34</v>
      </c>
      <c r="Z867">
        <f ca="1">DATEDIF(EmployeeData[[#This Row],[DateOfJoining]],IF(AND(EmployeeData[[#This Row],[Attrition]]="Yes",EmployeeData[[#This Row],[LastWorkingDate]]&lt;&gt;""),EmployeeData[[#This Row],[LastWorkingDate]],TODAY()),"Y")</f>
        <v>12</v>
      </c>
      <c r="AA867" t="str">
        <f>IF(EmployeeData[[#This Row],[MonthlyIncome]]&lt;30000,"Low",IF(EmployeeData[[#This Row],[MonthlyIncome]]&lt;=60000,"Medium",IF(EmployeeData[[#This Row],[MonthlyIncome]]&lt;=100000,"High","Very High")))</f>
        <v>High</v>
      </c>
      <c r="AB867">
        <f>IF(EmployeeData[[#This Row],[Attrition]]="Yes",1,0)</f>
        <v>0</v>
      </c>
      <c r="AC867" t="str">
        <f ca="1">IF(EmployeeData[[#This Row],[Tenure Years]]&lt;1,"Less than 1 Year",IF(EmployeeData[[#This Row],[Tenure Years]]&lt;=3,"1-3 Years",IF(EmployeeData[[#This Row],[Tenure Years]]&lt;=5,"4-5 Years",IF(EmployeeData[[#This Row],[Tenure Years]]&lt;=10,"6-10 Years","More than 10 Years"))))</f>
        <v>More than 10 Years</v>
      </c>
      <c r="AD867">
        <f>ROUND(AVERAGE(EmployeeData[[#This Row],[JobSatisfaction]],EmployeeData[[#This Row],[EnvironmentSatisfaction]],EmployeeData[[#This Row],[WorkLifeBalance]]),2)</f>
        <v>3</v>
      </c>
      <c r="AE867" t="str">
        <f>IF(EmployeeData[[#This Row],[Satisfaction Score]]&lt;2,"Low",IF(EmployeeData[[#This Row],[Satisfaction Score]]&lt;3,"Medium","High"))</f>
        <v>High</v>
      </c>
    </row>
    <row r="868" spans="1:31" x14ac:dyDescent="0.25">
      <c r="A868" t="s">
        <v>4022</v>
      </c>
      <c r="B868" t="s">
        <v>4023</v>
      </c>
      <c r="C868" t="s">
        <v>58</v>
      </c>
      <c r="D868">
        <v>20</v>
      </c>
      <c r="E868" t="s">
        <v>412</v>
      </c>
      <c r="F868" t="s">
        <v>1093</v>
      </c>
      <c r="G868" s="1">
        <v>43683</v>
      </c>
      <c r="H868">
        <v>42243</v>
      </c>
      <c r="I868" t="s">
        <v>42</v>
      </c>
      <c r="J868" t="s">
        <v>31</v>
      </c>
      <c r="K868" t="s">
        <v>83</v>
      </c>
      <c r="L868" t="s">
        <v>62</v>
      </c>
      <c r="M868">
        <v>2</v>
      </c>
      <c r="N868" t="s">
        <v>45</v>
      </c>
      <c r="O868">
        <v>4</v>
      </c>
      <c r="P868">
        <v>3</v>
      </c>
      <c r="Q868">
        <v>1</v>
      </c>
      <c r="R868">
        <v>1</v>
      </c>
      <c r="S868">
        <v>1</v>
      </c>
      <c r="T868">
        <v>8</v>
      </c>
      <c r="U868">
        <v>19</v>
      </c>
      <c r="V868" t="s">
        <v>4025</v>
      </c>
      <c r="W868" t="s">
        <v>34</v>
      </c>
      <c r="Y868" s="2" t="str">
        <f>IF(EmployeeData[[#This Row],[Age]]&lt;25,"Under 25",IF(EmployeeData[[#This Row],[Age]]&lt;=34,"25-34",IF(EmployeeData[[#This Row],[Age]]&lt;=44,"35-44",IF(EmployeeData[[#This Row],[Age]]&lt;=54,"45-54","55+"))))</f>
        <v>Under 25</v>
      </c>
      <c r="Z868">
        <f ca="1">DATEDIF(EmployeeData[[#This Row],[DateOfJoining]],IF(AND(EmployeeData[[#This Row],[Attrition]]="Yes",EmployeeData[[#This Row],[LastWorkingDate]]&lt;&gt;""),EmployeeData[[#This Row],[LastWorkingDate]],TODAY()),"Y")</f>
        <v>7</v>
      </c>
      <c r="AA868" t="str">
        <f>IF(EmployeeData[[#This Row],[MonthlyIncome]]&lt;30000,"Low",IF(EmployeeData[[#This Row],[MonthlyIncome]]&lt;=60000,"Medium",IF(EmployeeData[[#This Row],[MonthlyIncome]]&lt;=100000,"High","Very High")))</f>
        <v>Medium</v>
      </c>
      <c r="AB868">
        <f>IF(EmployeeData[[#This Row],[Attrition]]="Yes",1,0)</f>
        <v>0</v>
      </c>
      <c r="AC868" t="str">
        <f ca="1">IF(EmployeeData[[#This Row],[Tenure Years]]&lt;1,"Less than 1 Year",IF(EmployeeData[[#This Row],[Tenure Years]]&lt;=3,"1-3 Years",IF(EmployeeData[[#This Row],[Tenure Years]]&lt;=5,"4-5 Years",IF(EmployeeData[[#This Row],[Tenure Years]]&lt;=10,"6-10 Years","More than 10 Years"))))</f>
        <v>6-10 Years</v>
      </c>
      <c r="AD868">
        <f>ROUND(AVERAGE(EmployeeData[[#This Row],[JobSatisfaction]],EmployeeData[[#This Row],[EnvironmentSatisfaction]],EmployeeData[[#This Row],[WorkLifeBalance]]),2)</f>
        <v>2.67</v>
      </c>
      <c r="AE868" t="str">
        <f>IF(EmployeeData[[#This Row],[Satisfaction Score]]&lt;2,"Low",IF(EmployeeData[[#This Row],[Satisfaction Score]]&lt;3,"Medium","High"))</f>
        <v>Medium</v>
      </c>
    </row>
    <row r="869" spans="1:31" x14ac:dyDescent="0.25">
      <c r="A869" t="s">
        <v>4026</v>
      </c>
      <c r="B869" t="s">
        <v>4027</v>
      </c>
      <c r="C869" t="s">
        <v>49</v>
      </c>
      <c r="D869">
        <v>33</v>
      </c>
      <c r="E869" t="s">
        <v>5461</v>
      </c>
      <c r="F869" t="s">
        <v>261</v>
      </c>
      <c r="G869" s="1">
        <v>45529</v>
      </c>
      <c r="H869">
        <v>98901</v>
      </c>
      <c r="I869" t="s">
        <v>42</v>
      </c>
      <c r="J869" t="s">
        <v>53</v>
      </c>
      <c r="K869" t="s">
        <v>54</v>
      </c>
      <c r="L869" t="s">
        <v>62</v>
      </c>
      <c r="M869">
        <v>7</v>
      </c>
      <c r="N869" t="s">
        <v>34</v>
      </c>
      <c r="O869">
        <v>3</v>
      </c>
      <c r="P869">
        <v>4</v>
      </c>
      <c r="Q869">
        <v>1</v>
      </c>
      <c r="R869">
        <v>2</v>
      </c>
      <c r="S869">
        <v>2</v>
      </c>
      <c r="T869">
        <v>3</v>
      </c>
      <c r="U869">
        <v>17</v>
      </c>
      <c r="V869" t="s">
        <v>4029</v>
      </c>
      <c r="W869" t="s">
        <v>34</v>
      </c>
      <c r="Y869" s="2" t="str">
        <f>IF(EmployeeData[[#This Row],[Age]]&lt;25,"Under 25",IF(EmployeeData[[#This Row],[Age]]&lt;=34,"25-34",IF(EmployeeData[[#This Row],[Age]]&lt;=44,"35-44",IF(EmployeeData[[#This Row],[Age]]&lt;=54,"45-54","55+"))))</f>
        <v>25-34</v>
      </c>
      <c r="Z869">
        <f ca="1">DATEDIF(EmployeeData[[#This Row],[DateOfJoining]],IF(AND(EmployeeData[[#This Row],[Attrition]]="Yes",EmployeeData[[#This Row],[LastWorkingDate]]&lt;&gt;""),EmployeeData[[#This Row],[LastWorkingDate]],TODAY()),"Y")</f>
        <v>2</v>
      </c>
      <c r="AA869" t="str">
        <f>IF(EmployeeData[[#This Row],[MonthlyIncome]]&lt;30000,"Low",IF(EmployeeData[[#This Row],[MonthlyIncome]]&lt;=60000,"Medium",IF(EmployeeData[[#This Row],[MonthlyIncome]]&lt;=100000,"High","Very High")))</f>
        <v>High</v>
      </c>
      <c r="AB869">
        <f>IF(EmployeeData[[#This Row],[Attrition]]="Yes",1,0)</f>
        <v>0</v>
      </c>
      <c r="AC869" t="str">
        <f ca="1">IF(EmployeeData[[#This Row],[Tenure Years]]&lt;1,"Less than 1 Year",IF(EmployeeData[[#This Row],[Tenure Years]]&lt;=3,"1-3 Years",IF(EmployeeData[[#This Row],[Tenure Years]]&lt;=5,"4-5 Years",IF(EmployeeData[[#This Row],[Tenure Years]]&lt;=10,"6-10 Years","More than 10 Years"))))</f>
        <v>1-3 Years</v>
      </c>
      <c r="AD869">
        <f>ROUND(AVERAGE(EmployeeData[[#This Row],[JobSatisfaction]],EmployeeData[[#This Row],[EnvironmentSatisfaction]],EmployeeData[[#This Row],[WorkLifeBalance]]),2)</f>
        <v>2.67</v>
      </c>
      <c r="AE869" t="str">
        <f>IF(EmployeeData[[#This Row],[Satisfaction Score]]&lt;2,"Low",IF(EmployeeData[[#This Row],[Satisfaction Score]]&lt;3,"Medium","High"))</f>
        <v>Medium</v>
      </c>
    </row>
    <row r="870" spans="1:31" x14ac:dyDescent="0.25">
      <c r="A870" t="s">
        <v>4030</v>
      </c>
      <c r="B870" t="s">
        <v>4031</v>
      </c>
      <c r="C870" t="s">
        <v>58</v>
      </c>
      <c r="D870">
        <v>40</v>
      </c>
      <c r="E870" t="s">
        <v>197</v>
      </c>
      <c r="F870" t="s">
        <v>573</v>
      </c>
      <c r="G870" s="1">
        <v>42851</v>
      </c>
      <c r="H870">
        <v>66960</v>
      </c>
      <c r="I870" t="s">
        <v>42</v>
      </c>
      <c r="J870" t="s">
        <v>5459</v>
      </c>
      <c r="K870" t="s">
        <v>131</v>
      </c>
      <c r="L870" t="s">
        <v>33</v>
      </c>
      <c r="M870">
        <v>12</v>
      </c>
      <c r="N870" t="s">
        <v>45</v>
      </c>
      <c r="O870">
        <v>2</v>
      </c>
      <c r="P870">
        <v>4</v>
      </c>
      <c r="Q870">
        <v>3</v>
      </c>
      <c r="R870">
        <v>4</v>
      </c>
      <c r="S870">
        <v>1</v>
      </c>
      <c r="T870">
        <v>0</v>
      </c>
      <c r="U870">
        <v>19</v>
      </c>
      <c r="V870" t="s">
        <v>4035</v>
      </c>
      <c r="W870" t="s">
        <v>45</v>
      </c>
      <c r="X870" s="1">
        <v>42948</v>
      </c>
      <c r="Y870" s="2" t="str">
        <f>IF(EmployeeData[[#This Row],[Age]]&lt;25,"Under 25",IF(EmployeeData[[#This Row],[Age]]&lt;=34,"25-34",IF(EmployeeData[[#This Row],[Age]]&lt;=44,"35-44",IF(EmployeeData[[#This Row],[Age]]&lt;=54,"45-54","55+"))))</f>
        <v>35-44</v>
      </c>
      <c r="Z870">
        <f ca="1">DATEDIF(EmployeeData[[#This Row],[DateOfJoining]],IF(AND(EmployeeData[[#This Row],[Attrition]]="Yes",EmployeeData[[#This Row],[LastWorkingDate]]&lt;&gt;""),EmployeeData[[#This Row],[LastWorkingDate]],TODAY()),"Y")</f>
        <v>0</v>
      </c>
      <c r="AA870" t="str">
        <f>IF(EmployeeData[[#This Row],[MonthlyIncome]]&lt;30000,"Low",IF(EmployeeData[[#This Row],[MonthlyIncome]]&lt;=60000,"Medium",IF(EmployeeData[[#This Row],[MonthlyIncome]]&lt;=100000,"High","Very High")))</f>
        <v>High</v>
      </c>
      <c r="AB870">
        <f>IF(EmployeeData[[#This Row],[Attrition]]="Yes",1,0)</f>
        <v>1</v>
      </c>
      <c r="AC870" t="str">
        <f ca="1">IF(EmployeeData[[#This Row],[Tenure Years]]&lt;1,"Less than 1 Year",IF(EmployeeData[[#This Row],[Tenure Years]]&lt;=3,"1-3 Years",IF(EmployeeData[[#This Row],[Tenure Years]]&lt;=5,"4-5 Years",IF(EmployeeData[[#This Row],[Tenure Years]]&lt;=10,"6-10 Years","More than 10 Years"))))</f>
        <v>Less than 1 Year</v>
      </c>
      <c r="AD870">
        <f>ROUND(AVERAGE(EmployeeData[[#This Row],[JobSatisfaction]],EmployeeData[[#This Row],[EnvironmentSatisfaction]],EmployeeData[[#This Row],[WorkLifeBalance]]),2)</f>
        <v>3</v>
      </c>
      <c r="AE870" t="str">
        <f>IF(EmployeeData[[#This Row],[Satisfaction Score]]&lt;2,"Low",IF(EmployeeData[[#This Row],[Satisfaction Score]]&lt;3,"Medium","High"))</f>
        <v>High</v>
      </c>
    </row>
    <row r="871" spans="1:31" x14ac:dyDescent="0.25">
      <c r="A871" t="s">
        <v>4037</v>
      </c>
      <c r="B871" t="s">
        <v>4038</v>
      </c>
      <c r="C871" t="s">
        <v>58</v>
      </c>
      <c r="D871">
        <v>34</v>
      </c>
      <c r="E871" t="s">
        <v>5461</v>
      </c>
      <c r="F871" t="s">
        <v>483</v>
      </c>
      <c r="G871" s="1">
        <v>43203</v>
      </c>
      <c r="H871">
        <v>72388</v>
      </c>
      <c r="I871" t="s">
        <v>42</v>
      </c>
      <c r="J871" t="s">
        <v>61</v>
      </c>
      <c r="K871" t="s">
        <v>32</v>
      </c>
      <c r="L871" t="s">
        <v>33</v>
      </c>
      <c r="M871">
        <v>18</v>
      </c>
      <c r="N871" t="s">
        <v>34</v>
      </c>
      <c r="O871">
        <v>3</v>
      </c>
      <c r="P871">
        <v>3</v>
      </c>
      <c r="Q871">
        <v>2</v>
      </c>
      <c r="R871">
        <v>3</v>
      </c>
      <c r="S871">
        <v>6</v>
      </c>
      <c r="T871">
        <v>3</v>
      </c>
      <c r="U871">
        <v>15</v>
      </c>
      <c r="V871" t="s">
        <v>4040</v>
      </c>
      <c r="W871" t="s">
        <v>34</v>
      </c>
      <c r="Y871" s="2" t="str">
        <f>IF(EmployeeData[[#This Row],[Age]]&lt;25,"Under 25",IF(EmployeeData[[#This Row],[Age]]&lt;=34,"25-34",IF(EmployeeData[[#This Row],[Age]]&lt;=44,"35-44",IF(EmployeeData[[#This Row],[Age]]&lt;=54,"45-54","55+"))))</f>
        <v>25-34</v>
      </c>
      <c r="Z871">
        <f ca="1">DATEDIF(EmployeeData[[#This Row],[DateOfJoining]],IF(AND(EmployeeData[[#This Row],[Attrition]]="Yes",EmployeeData[[#This Row],[LastWorkingDate]]&lt;&gt;""),EmployeeData[[#This Row],[LastWorkingDate]],TODAY()),"Y")</f>
        <v>8</v>
      </c>
      <c r="AA871" t="str">
        <f>IF(EmployeeData[[#This Row],[MonthlyIncome]]&lt;30000,"Low",IF(EmployeeData[[#This Row],[MonthlyIncome]]&lt;=60000,"Medium",IF(EmployeeData[[#This Row],[MonthlyIncome]]&lt;=100000,"High","Very High")))</f>
        <v>High</v>
      </c>
      <c r="AB871">
        <f>IF(EmployeeData[[#This Row],[Attrition]]="Yes",1,0)</f>
        <v>0</v>
      </c>
      <c r="AC871" t="str">
        <f ca="1">IF(EmployeeData[[#This Row],[Tenure Years]]&lt;1,"Less than 1 Year",IF(EmployeeData[[#This Row],[Tenure Years]]&lt;=3,"1-3 Years",IF(EmployeeData[[#This Row],[Tenure Years]]&lt;=5,"4-5 Years",IF(EmployeeData[[#This Row],[Tenure Years]]&lt;=10,"6-10 Years","More than 10 Years"))))</f>
        <v>6-10 Years</v>
      </c>
      <c r="AD871">
        <f>ROUND(AVERAGE(EmployeeData[[#This Row],[JobSatisfaction]],EmployeeData[[#This Row],[EnvironmentSatisfaction]],EmployeeData[[#This Row],[WorkLifeBalance]]),2)</f>
        <v>2.67</v>
      </c>
      <c r="AE871" t="str">
        <f>IF(EmployeeData[[#This Row],[Satisfaction Score]]&lt;2,"Low",IF(EmployeeData[[#This Row],[Satisfaction Score]]&lt;3,"Medium","High"))</f>
        <v>Medium</v>
      </c>
    </row>
    <row r="872" spans="1:31" x14ac:dyDescent="0.25">
      <c r="A872" t="s">
        <v>4041</v>
      </c>
      <c r="B872" t="s">
        <v>4042</v>
      </c>
      <c r="C872" t="s">
        <v>49</v>
      </c>
      <c r="D872">
        <v>35</v>
      </c>
      <c r="E872" t="s">
        <v>5461</v>
      </c>
      <c r="F872" t="s">
        <v>483</v>
      </c>
      <c r="G872" s="1">
        <v>42851</v>
      </c>
      <c r="H872">
        <v>83627</v>
      </c>
      <c r="I872" t="s">
        <v>42</v>
      </c>
      <c r="J872" t="s">
        <v>61</v>
      </c>
      <c r="K872" t="s">
        <v>200</v>
      </c>
      <c r="L872" t="s">
        <v>62</v>
      </c>
      <c r="M872">
        <v>38</v>
      </c>
      <c r="N872" t="s">
        <v>34</v>
      </c>
      <c r="O872">
        <v>1</v>
      </c>
      <c r="P872">
        <v>3</v>
      </c>
      <c r="Q872">
        <v>2</v>
      </c>
      <c r="R872">
        <v>2</v>
      </c>
      <c r="S872">
        <v>5</v>
      </c>
      <c r="T872">
        <v>6</v>
      </c>
      <c r="U872">
        <v>19</v>
      </c>
      <c r="V872" t="s">
        <v>4044</v>
      </c>
      <c r="W872" t="s">
        <v>45</v>
      </c>
      <c r="X872" s="1">
        <v>46214</v>
      </c>
      <c r="Y872" s="2" t="str">
        <f>IF(EmployeeData[[#This Row],[Age]]&lt;25,"Under 25",IF(EmployeeData[[#This Row],[Age]]&lt;=34,"25-34",IF(EmployeeData[[#This Row],[Age]]&lt;=44,"35-44",IF(EmployeeData[[#This Row],[Age]]&lt;=54,"45-54","55+"))))</f>
        <v>35-44</v>
      </c>
      <c r="Z872">
        <f ca="1">DATEDIF(EmployeeData[[#This Row],[DateOfJoining]],IF(AND(EmployeeData[[#This Row],[Attrition]]="Yes",EmployeeData[[#This Row],[LastWorkingDate]]&lt;&gt;""),EmployeeData[[#This Row],[LastWorkingDate]],TODAY()),"Y")</f>
        <v>9</v>
      </c>
      <c r="AA872" t="str">
        <f>IF(EmployeeData[[#This Row],[MonthlyIncome]]&lt;30000,"Low",IF(EmployeeData[[#This Row],[MonthlyIncome]]&lt;=60000,"Medium",IF(EmployeeData[[#This Row],[MonthlyIncome]]&lt;=100000,"High","Very High")))</f>
        <v>High</v>
      </c>
      <c r="AB872">
        <f>IF(EmployeeData[[#This Row],[Attrition]]="Yes",1,0)</f>
        <v>1</v>
      </c>
      <c r="AC872" t="str">
        <f ca="1">IF(EmployeeData[[#This Row],[Tenure Years]]&lt;1,"Less than 1 Year",IF(EmployeeData[[#This Row],[Tenure Years]]&lt;=3,"1-3 Years",IF(EmployeeData[[#This Row],[Tenure Years]]&lt;=5,"4-5 Years",IF(EmployeeData[[#This Row],[Tenure Years]]&lt;=10,"6-10 Years","More than 10 Years"))))</f>
        <v>6-10 Years</v>
      </c>
      <c r="AD872">
        <f>ROUND(AVERAGE(EmployeeData[[#This Row],[JobSatisfaction]],EmployeeData[[#This Row],[EnvironmentSatisfaction]],EmployeeData[[#This Row],[WorkLifeBalance]]),2)</f>
        <v>2</v>
      </c>
      <c r="AE872" t="str">
        <f>IF(EmployeeData[[#This Row],[Satisfaction Score]]&lt;2,"Low",IF(EmployeeData[[#This Row],[Satisfaction Score]]&lt;3,"Medium","High"))</f>
        <v>Medium</v>
      </c>
    </row>
    <row r="873" spans="1:31" x14ac:dyDescent="0.25">
      <c r="A873" t="s">
        <v>4046</v>
      </c>
      <c r="B873" t="s">
        <v>4047</v>
      </c>
      <c r="C873" t="s">
        <v>49</v>
      </c>
      <c r="D873">
        <v>26</v>
      </c>
      <c r="E873" t="s">
        <v>5459</v>
      </c>
      <c r="F873" t="s">
        <v>255</v>
      </c>
      <c r="G873" s="1">
        <v>44499</v>
      </c>
      <c r="H873">
        <v>43537</v>
      </c>
      <c r="I873" t="s">
        <v>52</v>
      </c>
      <c r="J873" t="s">
        <v>143</v>
      </c>
      <c r="K873" t="s">
        <v>98</v>
      </c>
      <c r="L873" t="s">
        <v>62</v>
      </c>
      <c r="M873">
        <v>18</v>
      </c>
      <c r="N873" t="s">
        <v>34</v>
      </c>
      <c r="O873">
        <v>1</v>
      </c>
      <c r="P873">
        <v>4</v>
      </c>
      <c r="Q873">
        <v>3</v>
      </c>
      <c r="R873">
        <v>3</v>
      </c>
      <c r="S873">
        <v>1</v>
      </c>
      <c r="T873">
        <v>5</v>
      </c>
      <c r="U873">
        <v>19</v>
      </c>
      <c r="V873" t="s">
        <v>4049</v>
      </c>
      <c r="W873" t="s">
        <v>34</v>
      </c>
      <c r="Y873" s="2" t="str">
        <f>IF(EmployeeData[[#This Row],[Age]]&lt;25,"Under 25",IF(EmployeeData[[#This Row],[Age]]&lt;=34,"25-34",IF(EmployeeData[[#This Row],[Age]]&lt;=44,"35-44",IF(EmployeeData[[#This Row],[Age]]&lt;=54,"45-54","55+"))))</f>
        <v>25-34</v>
      </c>
      <c r="Z873">
        <f ca="1">DATEDIF(EmployeeData[[#This Row],[DateOfJoining]],IF(AND(EmployeeData[[#This Row],[Attrition]]="Yes",EmployeeData[[#This Row],[LastWorkingDate]]&lt;&gt;""),EmployeeData[[#This Row],[LastWorkingDate]],TODAY()),"Y")</f>
        <v>4</v>
      </c>
      <c r="AA873" t="str">
        <f>IF(EmployeeData[[#This Row],[MonthlyIncome]]&lt;30000,"Low",IF(EmployeeData[[#This Row],[MonthlyIncome]]&lt;=60000,"Medium",IF(EmployeeData[[#This Row],[MonthlyIncome]]&lt;=100000,"High","Very High")))</f>
        <v>Medium</v>
      </c>
      <c r="AB873">
        <f>IF(EmployeeData[[#This Row],[Attrition]]="Yes",1,0)</f>
        <v>0</v>
      </c>
      <c r="AC873" t="str">
        <f ca="1">IF(EmployeeData[[#This Row],[Tenure Years]]&lt;1,"Less than 1 Year",IF(EmployeeData[[#This Row],[Tenure Years]]&lt;=3,"1-3 Years",IF(EmployeeData[[#This Row],[Tenure Years]]&lt;=5,"4-5 Years",IF(EmployeeData[[#This Row],[Tenure Years]]&lt;=10,"6-10 Years","More than 10 Years"))))</f>
        <v>4-5 Years</v>
      </c>
      <c r="AD873">
        <f>ROUND(AVERAGE(EmployeeData[[#This Row],[JobSatisfaction]],EmployeeData[[#This Row],[EnvironmentSatisfaction]],EmployeeData[[#This Row],[WorkLifeBalance]]),2)</f>
        <v>2.67</v>
      </c>
      <c r="AE873" t="str">
        <f>IF(EmployeeData[[#This Row],[Satisfaction Score]]&lt;2,"Low",IF(EmployeeData[[#This Row],[Satisfaction Score]]&lt;3,"Medium","High"))</f>
        <v>Medium</v>
      </c>
    </row>
    <row r="874" spans="1:31" x14ac:dyDescent="0.25">
      <c r="A874" t="s">
        <v>4050</v>
      </c>
      <c r="B874" t="s">
        <v>4051</v>
      </c>
      <c r="C874" t="s">
        <v>58</v>
      </c>
      <c r="D874">
        <v>27</v>
      </c>
      <c r="E874" t="s">
        <v>128</v>
      </c>
      <c r="F874" t="s">
        <v>226</v>
      </c>
      <c r="G874" s="1">
        <v>45064</v>
      </c>
      <c r="H874">
        <v>60308</v>
      </c>
      <c r="I874" t="s">
        <v>42</v>
      </c>
      <c r="J874" t="s">
        <v>143</v>
      </c>
      <c r="K874" t="s">
        <v>131</v>
      </c>
      <c r="L874" t="s">
        <v>33</v>
      </c>
      <c r="M874">
        <v>41</v>
      </c>
      <c r="N874" t="s">
        <v>45</v>
      </c>
      <c r="O874">
        <v>4</v>
      </c>
      <c r="P874">
        <v>2</v>
      </c>
      <c r="Q874">
        <v>3</v>
      </c>
      <c r="R874">
        <v>3</v>
      </c>
      <c r="S874">
        <v>2</v>
      </c>
      <c r="T874">
        <v>8</v>
      </c>
      <c r="U874">
        <v>18</v>
      </c>
      <c r="V874" t="s">
        <v>4053</v>
      </c>
      <c r="W874" t="s">
        <v>34</v>
      </c>
      <c r="Y874" s="2" t="str">
        <f>IF(EmployeeData[[#This Row],[Age]]&lt;25,"Under 25",IF(EmployeeData[[#This Row],[Age]]&lt;=34,"25-34",IF(EmployeeData[[#This Row],[Age]]&lt;=44,"35-44",IF(EmployeeData[[#This Row],[Age]]&lt;=54,"45-54","55+"))))</f>
        <v>25-34</v>
      </c>
      <c r="Z874">
        <f ca="1">DATEDIF(EmployeeData[[#This Row],[DateOfJoining]],IF(AND(EmployeeData[[#This Row],[Attrition]]="Yes",EmployeeData[[#This Row],[LastWorkingDate]]&lt;&gt;""),EmployeeData[[#This Row],[LastWorkingDate]],TODAY()),"Y")</f>
        <v>3</v>
      </c>
      <c r="AA874" t="str">
        <f>IF(EmployeeData[[#This Row],[MonthlyIncome]]&lt;30000,"Low",IF(EmployeeData[[#This Row],[MonthlyIncome]]&lt;=60000,"Medium",IF(EmployeeData[[#This Row],[MonthlyIncome]]&lt;=100000,"High","Very High")))</f>
        <v>High</v>
      </c>
      <c r="AB874">
        <f>IF(EmployeeData[[#This Row],[Attrition]]="Yes",1,0)</f>
        <v>0</v>
      </c>
      <c r="AC874" t="str">
        <f ca="1">IF(EmployeeData[[#This Row],[Tenure Years]]&lt;1,"Less than 1 Year",IF(EmployeeData[[#This Row],[Tenure Years]]&lt;=3,"1-3 Years",IF(EmployeeData[[#This Row],[Tenure Years]]&lt;=5,"4-5 Years",IF(EmployeeData[[#This Row],[Tenure Years]]&lt;=10,"6-10 Years","More than 10 Years"))))</f>
        <v>1-3 Years</v>
      </c>
      <c r="AD874">
        <f>ROUND(AVERAGE(EmployeeData[[#This Row],[JobSatisfaction]],EmployeeData[[#This Row],[EnvironmentSatisfaction]],EmployeeData[[#This Row],[WorkLifeBalance]]),2)</f>
        <v>3</v>
      </c>
      <c r="AE874" t="str">
        <f>IF(EmployeeData[[#This Row],[Satisfaction Score]]&lt;2,"Low",IF(EmployeeData[[#This Row],[Satisfaction Score]]&lt;3,"Medium","High"))</f>
        <v>High</v>
      </c>
    </row>
    <row r="875" spans="1:31" x14ac:dyDescent="0.25">
      <c r="A875" t="s">
        <v>4054</v>
      </c>
      <c r="B875" t="s">
        <v>4055</v>
      </c>
      <c r="C875" t="s">
        <v>49</v>
      </c>
      <c r="D875">
        <v>36</v>
      </c>
      <c r="E875" t="s">
        <v>27</v>
      </c>
      <c r="F875" t="s">
        <v>188</v>
      </c>
      <c r="G875" s="1">
        <v>44098</v>
      </c>
      <c r="H875">
        <v>56183</v>
      </c>
      <c r="I875" t="s">
        <v>42</v>
      </c>
      <c r="J875" t="s">
        <v>61</v>
      </c>
      <c r="K875" t="s">
        <v>167</v>
      </c>
      <c r="L875" t="s">
        <v>62</v>
      </c>
      <c r="M875">
        <v>5</v>
      </c>
      <c r="N875" t="s">
        <v>34</v>
      </c>
      <c r="O875">
        <v>3</v>
      </c>
      <c r="P875">
        <v>1</v>
      </c>
      <c r="Q875">
        <v>3</v>
      </c>
      <c r="R875">
        <v>3</v>
      </c>
      <c r="S875">
        <v>3</v>
      </c>
      <c r="T875">
        <v>0</v>
      </c>
      <c r="U875">
        <v>16</v>
      </c>
      <c r="V875" t="s">
        <v>4057</v>
      </c>
      <c r="W875" t="s">
        <v>34</v>
      </c>
      <c r="Y875" s="2" t="str">
        <f>IF(EmployeeData[[#This Row],[Age]]&lt;25,"Under 25",IF(EmployeeData[[#This Row],[Age]]&lt;=34,"25-34",IF(EmployeeData[[#This Row],[Age]]&lt;=44,"35-44",IF(EmployeeData[[#This Row],[Age]]&lt;=54,"45-54","55+"))))</f>
        <v>35-44</v>
      </c>
      <c r="Z875">
        <f ca="1">DATEDIF(EmployeeData[[#This Row],[DateOfJoining]],IF(AND(EmployeeData[[#This Row],[Attrition]]="Yes",EmployeeData[[#This Row],[LastWorkingDate]]&lt;&gt;""),EmployeeData[[#This Row],[LastWorkingDate]],TODAY()),"Y")</f>
        <v>5</v>
      </c>
      <c r="AA875" t="str">
        <f>IF(EmployeeData[[#This Row],[MonthlyIncome]]&lt;30000,"Low",IF(EmployeeData[[#This Row],[MonthlyIncome]]&lt;=60000,"Medium",IF(EmployeeData[[#This Row],[MonthlyIncome]]&lt;=100000,"High","Very High")))</f>
        <v>Medium</v>
      </c>
      <c r="AB875">
        <f>IF(EmployeeData[[#This Row],[Attrition]]="Yes",1,0)</f>
        <v>0</v>
      </c>
      <c r="AC875" t="str">
        <f ca="1">IF(EmployeeData[[#This Row],[Tenure Years]]&lt;1,"Less than 1 Year",IF(EmployeeData[[#This Row],[Tenure Years]]&lt;=3,"1-3 Years",IF(EmployeeData[[#This Row],[Tenure Years]]&lt;=5,"4-5 Years",IF(EmployeeData[[#This Row],[Tenure Years]]&lt;=10,"6-10 Years","More than 10 Years"))))</f>
        <v>4-5 Years</v>
      </c>
      <c r="AD875">
        <f>ROUND(AVERAGE(EmployeeData[[#This Row],[JobSatisfaction]],EmployeeData[[#This Row],[EnvironmentSatisfaction]],EmployeeData[[#This Row],[WorkLifeBalance]]),2)</f>
        <v>2.33</v>
      </c>
      <c r="AE875" t="str">
        <f>IF(EmployeeData[[#This Row],[Satisfaction Score]]&lt;2,"Low",IF(EmployeeData[[#This Row],[Satisfaction Score]]&lt;3,"Medium","High"))</f>
        <v>Medium</v>
      </c>
    </row>
    <row r="876" spans="1:31" x14ac:dyDescent="0.25">
      <c r="A876" t="s">
        <v>4058</v>
      </c>
      <c r="B876" t="s">
        <v>4059</v>
      </c>
      <c r="C876" t="s">
        <v>58</v>
      </c>
      <c r="D876">
        <v>32</v>
      </c>
      <c r="E876" t="s">
        <v>27</v>
      </c>
      <c r="F876" t="s">
        <v>59</v>
      </c>
      <c r="G876" s="1">
        <v>44135</v>
      </c>
      <c r="H876">
        <v>50206</v>
      </c>
      <c r="I876" t="s">
        <v>30</v>
      </c>
      <c r="J876" t="s">
        <v>61</v>
      </c>
      <c r="K876" t="s">
        <v>113</v>
      </c>
      <c r="L876" t="s">
        <v>33</v>
      </c>
      <c r="M876">
        <v>10</v>
      </c>
      <c r="N876" t="s">
        <v>34</v>
      </c>
      <c r="O876">
        <v>1</v>
      </c>
      <c r="P876">
        <v>3</v>
      </c>
      <c r="Q876">
        <v>3</v>
      </c>
      <c r="R876">
        <v>3</v>
      </c>
      <c r="S876">
        <v>0</v>
      </c>
      <c r="T876">
        <v>5</v>
      </c>
      <c r="U876">
        <v>14</v>
      </c>
      <c r="V876" t="s">
        <v>4061</v>
      </c>
      <c r="W876" t="s">
        <v>34</v>
      </c>
      <c r="Y876" s="2" t="str">
        <f>IF(EmployeeData[[#This Row],[Age]]&lt;25,"Under 25",IF(EmployeeData[[#This Row],[Age]]&lt;=34,"25-34",IF(EmployeeData[[#This Row],[Age]]&lt;=44,"35-44",IF(EmployeeData[[#This Row],[Age]]&lt;=54,"45-54","55+"))))</f>
        <v>25-34</v>
      </c>
      <c r="Z876">
        <f ca="1">DATEDIF(EmployeeData[[#This Row],[DateOfJoining]],IF(AND(EmployeeData[[#This Row],[Attrition]]="Yes",EmployeeData[[#This Row],[LastWorkingDate]]&lt;&gt;""),EmployeeData[[#This Row],[LastWorkingDate]],TODAY()),"Y")</f>
        <v>5</v>
      </c>
      <c r="AA876" t="str">
        <f>IF(EmployeeData[[#This Row],[MonthlyIncome]]&lt;30000,"Low",IF(EmployeeData[[#This Row],[MonthlyIncome]]&lt;=60000,"Medium",IF(EmployeeData[[#This Row],[MonthlyIncome]]&lt;=100000,"High","Very High")))</f>
        <v>Medium</v>
      </c>
      <c r="AB876">
        <f>IF(EmployeeData[[#This Row],[Attrition]]="Yes",1,0)</f>
        <v>0</v>
      </c>
      <c r="AC876" t="str">
        <f ca="1">IF(EmployeeData[[#This Row],[Tenure Years]]&lt;1,"Less than 1 Year",IF(EmployeeData[[#This Row],[Tenure Years]]&lt;=3,"1-3 Years",IF(EmployeeData[[#This Row],[Tenure Years]]&lt;=5,"4-5 Years",IF(EmployeeData[[#This Row],[Tenure Years]]&lt;=10,"6-10 Years","More than 10 Years"))))</f>
        <v>4-5 Years</v>
      </c>
      <c r="AD876">
        <f>ROUND(AVERAGE(EmployeeData[[#This Row],[JobSatisfaction]],EmployeeData[[#This Row],[EnvironmentSatisfaction]],EmployeeData[[#This Row],[WorkLifeBalance]]),2)</f>
        <v>2.33</v>
      </c>
      <c r="AE876" t="str">
        <f>IF(EmployeeData[[#This Row],[Satisfaction Score]]&lt;2,"Low",IF(EmployeeData[[#This Row],[Satisfaction Score]]&lt;3,"Medium","High"))</f>
        <v>Medium</v>
      </c>
    </row>
    <row r="877" spans="1:31" x14ac:dyDescent="0.25">
      <c r="A877" t="s">
        <v>4062</v>
      </c>
      <c r="B877" t="s">
        <v>4063</v>
      </c>
      <c r="C877" t="s">
        <v>5459</v>
      </c>
      <c r="D877">
        <v>25</v>
      </c>
      <c r="E877" t="s">
        <v>128</v>
      </c>
      <c r="F877" t="s">
        <v>255</v>
      </c>
      <c r="G877" s="1">
        <v>41413</v>
      </c>
      <c r="H877">
        <v>106525</v>
      </c>
      <c r="I877" t="s">
        <v>30</v>
      </c>
      <c r="J877" t="s">
        <v>61</v>
      </c>
      <c r="K877" t="s">
        <v>98</v>
      </c>
      <c r="L877" t="s">
        <v>33</v>
      </c>
      <c r="M877">
        <v>13</v>
      </c>
      <c r="N877" t="s">
        <v>34</v>
      </c>
      <c r="O877">
        <v>4</v>
      </c>
      <c r="P877">
        <v>1</v>
      </c>
      <c r="Q877">
        <v>4</v>
      </c>
      <c r="R877">
        <v>4</v>
      </c>
      <c r="S877">
        <v>0</v>
      </c>
      <c r="T877">
        <v>5</v>
      </c>
      <c r="U877">
        <v>17</v>
      </c>
      <c r="V877" t="s">
        <v>4065</v>
      </c>
      <c r="W877" t="s">
        <v>34</v>
      </c>
      <c r="Y877" s="2" t="str">
        <f>IF(EmployeeData[[#This Row],[Age]]&lt;25,"Under 25",IF(EmployeeData[[#This Row],[Age]]&lt;=34,"25-34",IF(EmployeeData[[#This Row],[Age]]&lt;=44,"35-44",IF(EmployeeData[[#This Row],[Age]]&lt;=54,"45-54","55+"))))</f>
        <v>25-34</v>
      </c>
      <c r="Z877">
        <f ca="1">DATEDIF(EmployeeData[[#This Row],[DateOfJoining]],IF(AND(EmployeeData[[#This Row],[Attrition]]="Yes",EmployeeData[[#This Row],[LastWorkingDate]]&lt;&gt;""),EmployeeData[[#This Row],[LastWorkingDate]],TODAY()),"Y")</f>
        <v>13</v>
      </c>
      <c r="AA877" t="str">
        <f>IF(EmployeeData[[#This Row],[MonthlyIncome]]&lt;30000,"Low",IF(EmployeeData[[#This Row],[MonthlyIncome]]&lt;=60000,"Medium",IF(EmployeeData[[#This Row],[MonthlyIncome]]&lt;=100000,"High","Very High")))</f>
        <v>Very High</v>
      </c>
      <c r="AB877">
        <f>IF(EmployeeData[[#This Row],[Attrition]]="Yes",1,0)</f>
        <v>0</v>
      </c>
      <c r="AC877" t="str">
        <f ca="1">IF(EmployeeData[[#This Row],[Tenure Years]]&lt;1,"Less than 1 Year",IF(EmployeeData[[#This Row],[Tenure Years]]&lt;=3,"1-3 Years",IF(EmployeeData[[#This Row],[Tenure Years]]&lt;=5,"4-5 Years",IF(EmployeeData[[#This Row],[Tenure Years]]&lt;=10,"6-10 Years","More than 10 Years"))))</f>
        <v>More than 10 Years</v>
      </c>
      <c r="AD877">
        <f>ROUND(AVERAGE(EmployeeData[[#This Row],[JobSatisfaction]],EmployeeData[[#This Row],[EnvironmentSatisfaction]],EmployeeData[[#This Row],[WorkLifeBalance]]),2)</f>
        <v>3</v>
      </c>
      <c r="AE877" t="str">
        <f>IF(EmployeeData[[#This Row],[Satisfaction Score]]&lt;2,"Low",IF(EmployeeData[[#This Row],[Satisfaction Score]]&lt;3,"Medium","High"))</f>
        <v>High</v>
      </c>
    </row>
    <row r="878" spans="1:31" x14ac:dyDescent="0.25">
      <c r="A878" t="s">
        <v>4066</v>
      </c>
      <c r="B878" t="s">
        <v>4067</v>
      </c>
      <c r="C878" t="s">
        <v>49</v>
      </c>
      <c r="D878">
        <v>41</v>
      </c>
      <c r="E878" t="s">
        <v>27</v>
      </c>
      <c r="F878" t="s">
        <v>59</v>
      </c>
      <c r="G878" s="1">
        <v>42395</v>
      </c>
      <c r="H878">
        <v>67063</v>
      </c>
      <c r="I878" t="s">
        <v>52</v>
      </c>
      <c r="J878" t="s">
        <v>31</v>
      </c>
      <c r="K878" t="s">
        <v>131</v>
      </c>
      <c r="L878" t="s">
        <v>43</v>
      </c>
      <c r="M878">
        <v>17</v>
      </c>
      <c r="N878" t="s">
        <v>45</v>
      </c>
      <c r="O878">
        <v>3</v>
      </c>
      <c r="P878">
        <v>3</v>
      </c>
      <c r="Q878">
        <v>4</v>
      </c>
      <c r="R878">
        <v>3</v>
      </c>
      <c r="S878">
        <v>6</v>
      </c>
      <c r="T878">
        <v>2</v>
      </c>
      <c r="U878">
        <v>17</v>
      </c>
      <c r="V878" t="s">
        <v>4069</v>
      </c>
      <c r="W878" t="s">
        <v>34</v>
      </c>
      <c r="Y878" s="2" t="str">
        <f>IF(EmployeeData[[#This Row],[Age]]&lt;25,"Under 25",IF(EmployeeData[[#This Row],[Age]]&lt;=34,"25-34",IF(EmployeeData[[#This Row],[Age]]&lt;=44,"35-44",IF(EmployeeData[[#This Row],[Age]]&lt;=54,"45-54","55+"))))</f>
        <v>35-44</v>
      </c>
      <c r="Z878">
        <f ca="1">DATEDIF(EmployeeData[[#This Row],[DateOfJoining]],IF(AND(EmployeeData[[#This Row],[Attrition]]="Yes",EmployeeData[[#This Row],[LastWorkingDate]]&lt;&gt;""),EmployeeData[[#This Row],[LastWorkingDate]],TODAY()),"Y")</f>
        <v>10</v>
      </c>
      <c r="AA878" t="str">
        <f>IF(EmployeeData[[#This Row],[MonthlyIncome]]&lt;30000,"Low",IF(EmployeeData[[#This Row],[MonthlyIncome]]&lt;=60000,"Medium",IF(EmployeeData[[#This Row],[MonthlyIncome]]&lt;=100000,"High","Very High")))</f>
        <v>High</v>
      </c>
      <c r="AB878">
        <f>IF(EmployeeData[[#This Row],[Attrition]]="Yes",1,0)</f>
        <v>0</v>
      </c>
      <c r="AC878" t="str">
        <f ca="1">IF(EmployeeData[[#This Row],[Tenure Years]]&lt;1,"Less than 1 Year",IF(EmployeeData[[#This Row],[Tenure Years]]&lt;=3,"1-3 Years",IF(EmployeeData[[#This Row],[Tenure Years]]&lt;=5,"4-5 Years",IF(EmployeeData[[#This Row],[Tenure Years]]&lt;=10,"6-10 Years","More than 10 Years"))))</f>
        <v>6-10 Years</v>
      </c>
      <c r="AD878">
        <f>ROUND(AVERAGE(EmployeeData[[#This Row],[JobSatisfaction]],EmployeeData[[#This Row],[EnvironmentSatisfaction]],EmployeeData[[#This Row],[WorkLifeBalance]]),2)</f>
        <v>3.33</v>
      </c>
      <c r="AE878" t="str">
        <f>IF(EmployeeData[[#This Row],[Satisfaction Score]]&lt;2,"Low",IF(EmployeeData[[#This Row],[Satisfaction Score]]&lt;3,"Medium","High"))</f>
        <v>High</v>
      </c>
    </row>
    <row r="879" spans="1:31" x14ac:dyDescent="0.25">
      <c r="A879" t="s">
        <v>4070</v>
      </c>
      <c r="B879" t="s">
        <v>4071</v>
      </c>
      <c r="C879" t="s">
        <v>5459</v>
      </c>
      <c r="D879">
        <v>29</v>
      </c>
      <c r="E879" t="s">
        <v>27</v>
      </c>
      <c r="F879" t="s">
        <v>50</v>
      </c>
      <c r="G879" s="1">
        <v>45305</v>
      </c>
      <c r="H879">
        <v>41561</v>
      </c>
      <c r="I879" t="s">
        <v>42</v>
      </c>
      <c r="J879" t="s">
        <v>53</v>
      </c>
      <c r="K879" t="s">
        <v>83</v>
      </c>
      <c r="L879" t="s">
        <v>62</v>
      </c>
      <c r="M879">
        <v>40</v>
      </c>
      <c r="N879" t="s">
        <v>34</v>
      </c>
      <c r="O879">
        <v>4</v>
      </c>
      <c r="P879">
        <v>3</v>
      </c>
      <c r="Q879">
        <v>1</v>
      </c>
      <c r="R879">
        <v>4</v>
      </c>
      <c r="S879">
        <v>2</v>
      </c>
      <c r="T879">
        <v>2</v>
      </c>
      <c r="U879">
        <v>19</v>
      </c>
      <c r="V879" t="s">
        <v>4073</v>
      </c>
      <c r="W879" t="s">
        <v>34</v>
      </c>
      <c r="Y879" s="2" t="str">
        <f>IF(EmployeeData[[#This Row],[Age]]&lt;25,"Under 25",IF(EmployeeData[[#This Row],[Age]]&lt;=34,"25-34",IF(EmployeeData[[#This Row],[Age]]&lt;=44,"35-44",IF(EmployeeData[[#This Row],[Age]]&lt;=54,"45-54","55+"))))</f>
        <v>25-34</v>
      </c>
      <c r="Z879">
        <f ca="1">DATEDIF(EmployeeData[[#This Row],[DateOfJoining]],IF(AND(EmployeeData[[#This Row],[Attrition]]="Yes",EmployeeData[[#This Row],[LastWorkingDate]]&lt;&gt;""),EmployeeData[[#This Row],[LastWorkingDate]],TODAY()),"Y")</f>
        <v>2</v>
      </c>
      <c r="AA879" t="str">
        <f>IF(EmployeeData[[#This Row],[MonthlyIncome]]&lt;30000,"Low",IF(EmployeeData[[#This Row],[MonthlyIncome]]&lt;=60000,"Medium",IF(EmployeeData[[#This Row],[MonthlyIncome]]&lt;=100000,"High","Very High")))</f>
        <v>Medium</v>
      </c>
      <c r="AB879">
        <f>IF(EmployeeData[[#This Row],[Attrition]]="Yes",1,0)</f>
        <v>0</v>
      </c>
      <c r="AC879" t="str">
        <f ca="1">IF(EmployeeData[[#This Row],[Tenure Years]]&lt;1,"Less than 1 Year",IF(EmployeeData[[#This Row],[Tenure Years]]&lt;=3,"1-3 Years",IF(EmployeeData[[#This Row],[Tenure Years]]&lt;=5,"4-5 Years",IF(EmployeeData[[#This Row],[Tenure Years]]&lt;=10,"6-10 Years","More than 10 Years"))))</f>
        <v>1-3 Years</v>
      </c>
      <c r="AD879">
        <f>ROUND(AVERAGE(EmployeeData[[#This Row],[JobSatisfaction]],EmployeeData[[#This Row],[EnvironmentSatisfaction]],EmployeeData[[#This Row],[WorkLifeBalance]]),2)</f>
        <v>2.67</v>
      </c>
      <c r="AE879" t="str">
        <f>IF(EmployeeData[[#This Row],[Satisfaction Score]]&lt;2,"Low",IF(EmployeeData[[#This Row],[Satisfaction Score]]&lt;3,"Medium","High"))</f>
        <v>Medium</v>
      </c>
    </row>
    <row r="880" spans="1:31" x14ac:dyDescent="0.25">
      <c r="A880" t="s">
        <v>4074</v>
      </c>
      <c r="B880" t="s">
        <v>4075</v>
      </c>
      <c r="C880" t="s">
        <v>49</v>
      </c>
      <c r="D880">
        <v>32</v>
      </c>
      <c r="E880" t="s">
        <v>412</v>
      </c>
      <c r="F880" t="s">
        <v>1093</v>
      </c>
      <c r="G880" s="1">
        <v>46145</v>
      </c>
      <c r="H880">
        <v>51074</v>
      </c>
      <c r="I880" t="s">
        <v>30</v>
      </c>
      <c r="J880" t="s">
        <v>97</v>
      </c>
      <c r="K880" t="s">
        <v>54</v>
      </c>
      <c r="L880" t="s">
        <v>43</v>
      </c>
      <c r="M880">
        <v>35</v>
      </c>
      <c r="N880" t="s">
        <v>34</v>
      </c>
      <c r="O880">
        <v>1</v>
      </c>
      <c r="P880">
        <v>3</v>
      </c>
      <c r="Q880">
        <v>3</v>
      </c>
      <c r="R880">
        <v>2</v>
      </c>
      <c r="S880">
        <v>1</v>
      </c>
      <c r="T880">
        <v>1</v>
      </c>
      <c r="U880">
        <v>16</v>
      </c>
      <c r="V880" t="s">
        <v>4077</v>
      </c>
      <c r="W880" t="s">
        <v>45</v>
      </c>
      <c r="X880" s="1">
        <v>46226</v>
      </c>
      <c r="Y880" s="2" t="str">
        <f>IF(EmployeeData[[#This Row],[Age]]&lt;25,"Under 25",IF(EmployeeData[[#This Row],[Age]]&lt;=34,"25-34",IF(EmployeeData[[#This Row],[Age]]&lt;=44,"35-44",IF(EmployeeData[[#This Row],[Age]]&lt;=54,"45-54","55+"))))</f>
        <v>25-34</v>
      </c>
      <c r="Z880">
        <f ca="1">DATEDIF(EmployeeData[[#This Row],[DateOfJoining]],IF(AND(EmployeeData[[#This Row],[Attrition]]="Yes",EmployeeData[[#This Row],[LastWorkingDate]]&lt;&gt;""),EmployeeData[[#This Row],[LastWorkingDate]],TODAY()),"Y")</f>
        <v>0</v>
      </c>
      <c r="AA880" t="str">
        <f>IF(EmployeeData[[#This Row],[MonthlyIncome]]&lt;30000,"Low",IF(EmployeeData[[#This Row],[MonthlyIncome]]&lt;=60000,"Medium",IF(EmployeeData[[#This Row],[MonthlyIncome]]&lt;=100000,"High","Very High")))</f>
        <v>Medium</v>
      </c>
      <c r="AB880">
        <f>IF(EmployeeData[[#This Row],[Attrition]]="Yes",1,0)</f>
        <v>1</v>
      </c>
      <c r="AC880" t="str">
        <f ca="1">IF(EmployeeData[[#This Row],[Tenure Years]]&lt;1,"Less than 1 Year",IF(EmployeeData[[#This Row],[Tenure Years]]&lt;=3,"1-3 Years",IF(EmployeeData[[#This Row],[Tenure Years]]&lt;=5,"4-5 Years",IF(EmployeeData[[#This Row],[Tenure Years]]&lt;=10,"6-10 Years","More than 10 Years"))))</f>
        <v>Less than 1 Year</v>
      </c>
      <c r="AD880">
        <f>ROUND(AVERAGE(EmployeeData[[#This Row],[JobSatisfaction]],EmployeeData[[#This Row],[EnvironmentSatisfaction]],EmployeeData[[#This Row],[WorkLifeBalance]]),2)</f>
        <v>2.33</v>
      </c>
      <c r="AE880" t="str">
        <f>IF(EmployeeData[[#This Row],[Satisfaction Score]]&lt;2,"Low",IF(EmployeeData[[#This Row],[Satisfaction Score]]&lt;3,"Medium","High"))</f>
        <v>Medium</v>
      </c>
    </row>
    <row r="881" spans="1:31" x14ac:dyDescent="0.25">
      <c r="A881" t="s">
        <v>4079</v>
      </c>
      <c r="B881" t="s">
        <v>4080</v>
      </c>
      <c r="C881" t="s">
        <v>58</v>
      </c>
      <c r="D881">
        <v>28</v>
      </c>
      <c r="E881" t="s">
        <v>128</v>
      </c>
      <c r="F881" t="s">
        <v>123</v>
      </c>
      <c r="G881" s="1">
        <v>44939</v>
      </c>
      <c r="H881">
        <v>71864</v>
      </c>
      <c r="I881" t="s">
        <v>30</v>
      </c>
      <c r="J881" t="s">
        <v>61</v>
      </c>
      <c r="K881" t="s">
        <v>83</v>
      </c>
      <c r="L881" t="s">
        <v>33</v>
      </c>
      <c r="M881">
        <v>44</v>
      </c>
      <c r="N881" t="s">
        <v>34</v>
      </c>
      <c r="O881">
        <v>2</v>
      </c>
      <c r="P881">
        <v>4</v>
      </c>
      <c r="Q881">
        <v>1</v>
      </c>
      <c r="R881">
        <v>2</v>
      </c>
      <c r="S881">
        <v>2</v>
      </c>
      <c r="T881">
        <v>5</v>
      </c>
      <c r="U881">
        <v>25</v>
      </c>
      <c r="V881" t="s">
        <v>4082</v>
      </c>
      <c r="W881" t="s">
        <v>34</v>
      </c>
      <c r="Y881" s="2" t="str">
        <f>IF(EmployeeData[[#This Row],[Age]]&lt;25,"Under 25",IF(EmployeeData[[#This Row],[Age]]&lt;=34,"25-34",IF(EmployeeData[[#This Row],[Age]]&lt;=44,"35-44",IF(EmployeeData[[#This Row],[Age]]&lt;=54,"45-54","55+"))))</f>
        <v>25-34</v>
      </c>
      <c r="Z881">
        <f ca="1">DATEDIF(EmployeeData[[#This Row],[DateOfJoining]],IF(AND(EmployeeData[[#This Row],[Attrition]]="Yes",EmployeeData[[#This Row],[LastWorkingDate]]&lt;&gt;""),EmployeeData[[#This Row],[LastWorkingDate]],TODAY()),"Y")</f>
        <v>3</v>
      </c>
      <c r="AA881" t="str">
        <f>IF(EmployeeData[[#This Row],[MonthlyIncome]]&lt;30000,"Low",IF(EmployeeData[[#This Row],[MonthlyIncome]]&lt;=60000,"Medium",IF(EmployeeData[[#This Row],[MonthlyIncome]]&lt;=100000,"High","Very High")))</f>
        <v>High</v>
      </c>
      <c r="AB881">
        <f>IF(EmployeeData[[#This Row],[Attrition]]="Yes",1,0)</f>
        <v>0</v>
      </c>
      <c r="AC881" t="str">
        <f ca="1">IF(EmployeeData[[#This Row],[Tenure Years]]&lt;1,"Less than 1 Year",IF(EmployeeData[[#This Row],[Tenure Years]]&lt;=3,"1-3 Years",IF(EmployeeData[[#This Row],[Tenure Years]]&lt;=5,"4-5 Years",IF(EmployeeData[[#This Row],[Tenure Years]]&lt;=10,"6-10 Years","More than 10 Years"))))</f>
        <v>1-3 Years</v>
      </c>
      <c r="AD881">
        <f>ROUND(AVERAGE(EmployeeData[[#This Row],[JobSatisfaction]],EmployeeData[[#This Row],[EnvironmentSatisfaction]],EmployeeData[[#This Row],[WorkLifeBalance]]),2)</f>
        <v>2.33</v>
      </c>
      <c r="AE881" t="str">
        <f>IF(EmployeeData[[#This Row],[Satisfaction Score]]&lt;2,"Low",IF(EmployeeData[[#This Row],[Satisfaction Score]]&lt;3,"Medium","High"))</f>
        <v>Medium</v>
      </c>
    </row>
    <row r="882" spans="1:31" x14ac:dyDescent="0.25">
      <c r="A882" t="s">
        <v>4083</v>
      </c>
      <c r="B882" t="s">
        <v>4084</v>
      </c>
      <c r="C882" t="s">
        <v>49</v>
      </c>
      <c r="D882">
        <v>27</v>
      </c>
      <c r="E882" t="s">
        <v>27</v>
      </c>
      <c r="F882" t="s">
        <v>59</v>
      </c>
      <c r="G882" s="1">
        <v>41446</v>
      </c>
      <c r="H882">
        <v>128096</v>
      </c>
      <c r="I882" t="s">
        <v>30</v>
      </c>
      <c r="J882" t="s">
        <v>31</v>
      </c>
      <c r="K882" t="s">
        <v>200</v>
      </c>
      <c r="L882" t="s">
        <v>33</v>
      </c>
      <c r="M882">
        <v>44</v>
      </c>
      <c r="N882" t="s">
        <v>34</v>
      </c>
      <c r="O882">
        <v>1</v>
      </c>
      <c r="P882">
        <v>3</v>
      </c>
      <c r="Q882">
        <v>4</v>
      </c>
      <c r="R882">
        <v>3</v>
      </c>
      <c r="S882">
        <v>3</v>
      </c>
      <c r="T882">
        <v>8</v>
      </c>
      <c r="U882">
        <v>19</v>
      </c>
      <c r="V882" t="s">
        <v>4086</v>
      </c>
      <c r="W882" t="s">
        <v>34</v>
      </c>
      <c r="Y882" s="2" t="str">
        <f>IF(EmployeeData[[#This Row],[Age]]&lt;25,"Under 25",IF(EmployeeData[[#This Row],[Age]]&lt;=34,"25-34",IF(EmployeeData[[#This Row],[Age]]&lt;=44,"35-44",IF(EmployeeData[[#This Row],[Age]]&lt;=54,"45-54","55+"))))</f>
        <v>25-34</v>
      </c>
      <c r="Z882">
        <f ca="1">DATEDIF(EmployeeData[[#This Row],[DateOfJoining]],IF(AND(EmployeeData[[#This Row],[Attrition]]="Yes",EmployeeData[[#This Row],[LastWorkingDate]]&lt;&gt;""),EmployeeData[[#This Row],[LastWorkingDate]],TODAY()),"Y")</f>
        <v>13</v>
      </c>
      <c r="AA882" t="str">
        <f>IF(EmployeeData[[#This Row],[MonthlyIncome]]&lt;30000,"Low",IF(EmployeeData[[#This Row],[MonthlyIncome]]&lt;=60000,"Medium",IF(EmployeeData[[#This Row],[MonthlyIncome]]&lt;=100000,"High","Very High")))</f>
        <v>Very High</v>
      </c>
      <c r="AB882">
        <f>IF(EmployeeData[[#This Row],[Attrition]]="Yes",1,0)</f>
        <v>0</v>
      </c>
      <c r="AC882" t="str">
        <f ca="1">IF(EmployeeData[[#This Row],[Tenure Years]]&lt;1,"Less than 1 Year",IF(EmployeeData[[#This Row],[Tenure Years]]&lt;=3,"1-3 Years",IF(EmployeeData[[#This Row],[Tenure Years]]&lt;=5,"4-5 Years",IF(EmployeeData[[#This Row],[Tenure Years]]&lt;=10,"6-10 Years","More than 10 Years"))))</f>
        <v>More than 10 Years</v>
      </c>
      <c r="AD882">
        <f>ROUND(AVERAGE(EmployeeData[[#This Row],[JobSatisfaction]],EmployeeData[[#This Row],[EnvironmentSatisfaction]],EmployeeData[[#This Row],[WorkLifeBalance]]),2)</f>
        <v>2.67</v>
      </c>
      <c r="AE882" t="str">
        <f>IF(EmployeeData[[#This Row],[Satisfaction Score]]&lt;2,"Low",IF(EmployeeData[[#This Row],[Satisfaction Score]]&lt;3,"Medium","High"))</f>
        <v>Medium</v>
      </c>
    </row>
    <row r="883" spans="1:31" x14ac:dyDescent="0.25">
      <c r="A883" t="s">
        <v>4087</v>
      </c>
      <c r="B883" t="s">
        <v>4088</v>
      </c>
      <c r="C883" t="s">
        <v>58</v>
      </c>
      <c r="D883">
        <v>33</v>
      </c>
      <c r="E883" t="s">
        <v>94</v>
      </c>
      <c r="F883" t="s">
        <v>266</v>
      </c>
      <c r="G883" s="1">
        <v>45126</v>
      </c>
      <c r="H883">
        <v>121351</v>
      </c>
      <c r="I883" t="s">
        <v>52</v>
      </c>
      <c r="J883" t="s">
        <v>61</v>
      </c>
      <c r="K883" t="s">
        <v>200</v>
      </c>
      <c r="L883" t="s">
        <v>43</v>
      </c>
      <c r="M883">
        <v>42</v>
      </c>
      <c r="N883" t="s">
        <v>34</v>
      </c>
      <c r="O883">
        <v>1</v>
      </c>
      <c r="P883">
        <v>2</v>
      </c>
      <c r="Q883">
        <v>4</v>
      </c>
      <c r="R883">
        <v>4</v>
      </c>
      <c r="S883">
        <v>1</v>
      </c>
      <c r="T883">
        <v>0</v>
      </c>
      <c r="U883">
        <v>18</v>
      </c>
      <c r="V883" t="s">
        <v>4090</v>
      </c>
      <c r="W883" t="s">
        <v>34</v>
      </c>
      <c r="Y883" s="2" t="str">
        <f>IF(EmployeeData[[#This Row],[Age]]&lt;25,"Under 25",IF(EmployeeData[[#This Row],[Age]]&lt;=34,"25-34",IF(EmployeeData[[#This Row],[Age]]&lt;=44,"35-44",IF(EmployeeData[[#This Row],[Age]]&lt;=54,"45-54","55+"))))</f>
        <v>25-34</v>
      </c>
      <c r="Z883">
        <f ca="1">DATEDIF(EmployeeData[[#This Row],[DateOfJoining]],IF(AND(EmployeeData[[#This Row],[Attrition]]="Yes",EmployeeData[[#This Row],[LastWorkingDate]]&lt;&gt;""),EmployeeData[[#This Row],[LastWorkingDate]],TODAY()),"Y")</f>
        <v>3</v>
      </c>
      <c r="AA883" t="str">
        <f>IF(EmployeeData[[#This Row],[MonthlyIncome]]&lt;30000,"Low",IF(EmployeeData[[#This Row],[MonthlyIncome]]&lt;=60000,"Medium",IF(EmployeeData[[#This Row],[MonthlyIncome]]&lt;=100000,"High","Very High")))</f>
        <v>Very High</v>
      </c>
      <c r="AB883">
        <f>IF(EmployeeData[[#This Row],[Attrition]]="Yes",1,0)</f>
        <v>0</v>
      </c>
      <c r="AC883" t="str">
        <f ca="1">IF(EmployeeData[[#This Row],[Tenure Years]]&lt;1,"Less than 1 Year",IF(EmployeeData[[#This Row],[Tenure Years]]&lt;=3,"1-3 Years",IF(EmployeeData[[#This Row],[Tenure Years]]&lt;=5,"4-5 Years",IF(EmployeeData[[#This Row],[Tenure Years]]&lt;=10,"6-10 Years","More than 10 Years"))))</f>
        <v>1-3 Years</v>
      </c>
      <c r="AD883">
        <f>ROUND(AVERAGE(EmployeeData[[#This Row],[JobSatisfaction]],EmployeeData[[#This Row],[EnvironmentSatisfaction]],EmployeeData[[#This Row],[WorkLifeBalance]]),2)</f>
        <v>2.33</v>
      </c>
      <c r="AE883" t="str">
        <f>IF(EmployeeData[[#This Row],[Satisfaction Score]]&lt;2,"Low",IF(EmployeeData[[#This Row],[Satisfaction Score]]&lt;3,"Medium","High"))</f>
        <v>Medium</v>
      </c>
    </row>
    <row r="884" spans="1:31" x14ac:dyDescent="0.25">
      <c r="A884" t="s">
        <v>4091</v>
      </c>
      <c r="B884" t="s">
        <v>1621</v>
      </c>
      <c r="C884" t="s">
        <v>49</v>
      </c>
      <c r="D884">
        <v>34</v>
      </c>
      <c r="E884" t="s">
        <v>27</v>
      </c>
      <c r="F884" t="s">
        <v>50</v>
      </c>
      <c r="G884" s="1">
        <v>45073</v>
      </c>
      <c r="H884">
        <v>42047</v>
      </c>
      <c r="I884" t="s">
        <v>30</v>
      </c>
      <c r="J884" t="s">
        <v>31</v>
      </c>
      <c r="K884" t="s">
        <v>98</v>
      </c>
      <c r="L884" t="s">
        <v>62</v>
      </c>
      <c r="M884">
        <v>22</v>
      </c>
      <c r="N884" t="s">
        <v>34</v>
      </c>
      <c r="O884">
        <v>3</v>
      </c>
      <c r="P884">
        <v>1</v>
      </c>
      <c r="Q884">
        <v>3</v>
      </c>
      <c r="R884">
        <v>4</v>
      </c>
      <c r="S884">
        <v>3</v>
      </c>
      <c r="T884">
        <v>2</v>
      </c>
      <c r="U884">
        <v>14</v>
      </c>
      <c r="V884" t="s">
        <v>4093</v>
      </c>
      <c r="W884" t="s">
        <v>34</v>
      </c>
      <c r="Y884" s="2" t="str">
        <f>IF(EmployeeData[[#This Row],[Age]]&lt;25,"Under 25",IF(EmployeeData[[#This Row],[Age]]&lt;=34,"25-34",IF(EmployeeData[[#This Row],[Age]]&lt;=44,"35-44",IF(EmployeeData[[#This Row],[Age]]&lt;=54,"45-54","55+"))))</f>
        <v>25-34</v>
      </c>
      <c r="Z884">
        <f ca="1">DATEDIF(EmployeeData[[#This Row],[DateOfJoining]],IF(AND(EmployeeData[[#This Row],[Attrition]]="Yes",EmployeeData[[#This Row],[LastWorkingDate]]&lt;&gt;""),EmployeeData[[#This Row],[LastWorkingDate]],TODAY()),"Y")</f>
        <v>3</v>
      </c>
      <c r="AA884" t="str">
        <f>IF(EmployeeData[[#This Row],[MonthlyIncome]]&lt;30000,"Low",IF(EmployeeData[[#This Row],[MonthlyIncome]]&lt;=60000,"Medium",IF(EmployeeData[[#This Row],[MonthlyIncome]]&lt;=100000,"High","Very High")))</f>
        <v>Medium</v>
      </c>
      <c r="AB884">
        <f>IF(EmployeeData[[#This Row],[Attrition]]="Yes",1,0)</f>
        <v>0</v>
      </c>
      <c r="AC884" t="str">
        <f ca="1">IF(EmployeeData[[#This Row],[Tenure Years]]&lt;1,"Less than 1 Year",IF(EmployeeData[[#This Row],[Tenure Years]]&lt;=3,"1-3 Years",IF(EmployeeData[[#This Row],[Tenure Years]]&lt;=5,"4-5 Years",IF(EmployeeData[[#This Row],[Tenure Years]]&lt;=10,"6-10 Years","More than 10 Years"))))</f>
        <v>1-3 Years</v>
      </c>
      <c r="AD884">
        <f>ROUND(AVERAGE(EmployeeData[[#This Row],[JobSatisfaction]],EmployeeData[[#This Row],[EnvironmentSatisfaction]],EmployeeData[[#This Row],[WorkLifeBalance]]),2)</f>
        <v>2.33</v>
      </c>
      <c r="AE884" t="str">
        <f>IF(EmployeeData[[#This Row],[Satisfaction Score]]&lt;2,"Low",IF(EmployeeData[[#This Row],[Satisfaction Score]]&lt;3,"Medium","High"))</f>
        <v>Medium</v>
      </c>
    </row>
    <row r="885" spans="1:31" x14ac:dyDescent="0.25">
      <c r="A885" t="s">
        <v>4094</v>
      </c>
      <c r="B885" t="s">
        <v>4095</v>
      </c>
      <c r="C885" t="s">
        <v>49</v>
      </c>
      <c r="D885">
        <v>29</v>
      </c>
      <c r="E885" t="s">
        <v>128</v>
      </c>
      <c r="F885" t="s">
        <v>123</v>
      </c>
      <c r="G885" s="1">
        <v>40987</v>
      </c>
      <c r="H885">
        <v>100089</v>
      </c>
      <c r="I885" t="s">
        <v>30</v>
      </c>
      <c r="J885" t="s">
        <v>31</v>
      </c>
      <c r="K885" t="s">
        <v>113</v>
      </c>
      <c r="L885" t="s">
        <v>33</v>
      </c>
      <c r="M885">
        <v>6</v>
      </c>
      <c r="N885" t="s">
        <v>34</v>
      </c>
      <c r="O885">
        <v>1</v>
      </c>
      <c r="P885">
        <v>1</v>
      </c>
      <c r="Q885">
        <v>2</v>
      </c>
      <c r="R885">
        <v>3</v>
      </c>
      <c r="S885">
        <v>3</v>
      </c>
      <c r="T885">
        <v>6</v>
      </c>
      <c r="U885">
        <v>20</v>
      </c>
      <c r="V885" t="s">
        <v>4097</v>
      </c>
      <c r="W885" t="s">
        <v>34</v>
      </c>
      <c r="Y885" s="2" t="str">
        <f>IF(EmployeeData[[#This Row],[Age]]&lt;25,"Under 25",IF(EmployeeData[[#This Row],[Age]]&lt;=34,"25-34",IF(EmployeeData[[#This Row],[Age]]&lt;=44,"35-44",IF(EmployeeData[[#This Row],[Age]]&lt;=54,"45-54","55+"))))</f>
        <v>25-34</v>
      </c>
      <c r="Z885">
        <f ca="1">DATEDIF(EmployeeData[[#This Row],[DateOfJoining]],IF(AND(EmployeeData[[#This Row],[Attrition]]="Yes",EmployeeData[[#This Row],[LastWorkingDate]]&lt;&gt;""),EmployeeData[[#This Row],[LastWorkingDate]],TODAY()),"Y")</f>
        <v>14</v>
      </c>
      <c r="AA885" t="str">
        <f>IF(EmployeeData[[#This Row],[MonthlyIncome]]&lt;30000,"Low",IF(EmployeeData[[#This Row],[MonthlyIncome]]&lt;=60000,"Medium",IF(EmployeeData[[#This Row],[MonthlyIncome]]&lt;=100000,"High","Very High")))</f>
        <v>Very High</v>
      </c>
      <c r="AB885">
        <f>IF(EmployeeData[[#This Row],[Attrition]]="Yes",1,0)</f>
        <v>0</v>
      </c>
      <c r="AC885" t="str">
        <f ca="1">IF(EmployeeData[[#This Row],[Tenure Years]]&lt;1,"Less than 1 Year",IF(EmployeeData[[#This Row],[Tenure Years]]&lt;=3,"1-3 Years",IF(EmployeeData[[#This Row],[Tenure Years]]&lt;=5,"4-5 Years",IF(EmployeeData[[#This Row],[Tenure Years]]&lt;=10,"6-10 Years","More than 10 Years"))))</f>
        <v>More than 10 Years</v>
      </c>
      <c r="AD885">
        <f>ROUND(AVERAGE(EmployeeData[[#This Row],[JobSatisfaction]],EmployeeData[[#This Row],[EnvironmentSatisfaction]],EmployeeData[[#This Row],[WorkLifeBalance]]),2)</f>
        <v>1.33</v>
      </c>
      <c r="AE885" t="str">
        <f>IF(EmployeeData[[#This Row],[Satisfaction Score]]&lt;2,"Low",IF(EmployeeData[[#This Row],[Satisfaction Score]]&lt;3,"Medium","High"))</f>
        <v>Low</v>
      </c>
    </row>
    <row r="886" spans="1:31" x14ac:dyDescent="0.25">
      <c r="A886" t="s">
        <v>4098</v>
      </c>
      <c r="B886" t="s">
        <v>4099</v>
      </c>
      <c r="C886" t="s">
        <v>58</v>
      </c>
      <c r="D886">
        <v>34</v>
      </c>
      <c r="E886" t="s">
        <v>128</v>
      </c>
      <c r="F886" t="s">
        <v>226</v>
      </c>
      <c r="G886" s="1">
        <v>45218</v>
      </c>
      <c r="H886">
        <v>39660</v>
      </c>
      <c r="I886" t="s">
        <v>30</v>
      </c>
      <c r="J886" t="s">
        <v>61</v>
      </c>
      <c r="K886" t="s">
        <v>32</v>
      </c>
      <c r="L886" t="s">
        <v>33</v>
      </c>
      <c r="M886">
        <v>4</v>
      </c>
      <c r="N886" t="s">
        <v>34</v>
      </c>
      <c r="O886">
        <v>3</v>
      </c>
      <c r="P886">
        <v>2</v>
      </c>
      <c r="Q886">
        <v>1</v>
      </c>
      <c r="R886">
        <v>4</v>
      </c>
      <c r="S886">
        <v>3</v>
      </c>
      <c r="T886">
        <v>5</v>
      </c>
      <c r="U886">
        <v>24</v>
      </c>
      <c r="V886" t="s">
        <v>4101</v>
      </c>
      <c r="W886" t="s">
        <v>34</v>
      </c>
      <c r="Y886" s="2" t="str">
        <f>IF(EmployeeData[[#This Row],[Age]]&lt;25,"Under 25",IF(EmployeeData[[#This Row],[Age]]&lt;=34,"25-34",IF(EmployeeData[[#This Row],[Age]]&lt;=44,"35-44",IF(EmployeeData[[#This Row],[Age]]&lt;=54,"45-54","55+"))))</f>
        <v>25-34</v>
      </c>
      <c r="Z886">
        <f ca="1">DATEDIF(EmployeeData[[#This Row],[DateOfJoining]],IF(AND(EmployeeData[[#This Row],[Attrition]]="Yes",EmployeeData[[#This Row],[LastWorkingDate]]&lt;&gt;""),EmployeeData[[#This Row],[LastWorkingDate]],TODAY()),"Y")</f>
        <v>2</v>
      </c>
      <c r="AA886" t="str">
        <f>IF(EmployeeData[[#This Row],[MonthlyIncome]]&lt;30000,"Low",IF(EmployeeData[[#This Row],[MonthlyIncome]]&lt;=60000,"Medium",IF(EmployeeData[[#This Row],[MonthlyIncome]]&lt;=100000,"High","Very High")))</f>
        <v>Medium</v>
      </c>
      <c r="AB886">
        <f>IF(EmployeeData[[#This Row],[Attrition]]="Yes",1,0)</f>
        <v>0</v>
      </c>
      <c r="AC886" t="str">
        <f ca="1">IF(EmployeeData[[#This Row],[Tenure Years]]&lt;1,"Less than 1 Year",IF(EmployeeData[[#This Row],[Tenure Years]]&lt;=3,"1-3 Years",IF(EmployeeData[[#This Row],[Tenure Years]]&lt;=5,"4-5 Years",IF(EmployeeData[[#This Row],[Tenure Years]]&lt;=10,"6-10 Years","More than 10 Years"))))</f>
        <v>1-3 Years</v>
      </c>
      <c r="AD886">
        <f>ROUND(AVERAGE(EmployeeData[[#This Row],[JobSatisfaction]],EmployeeData[[#This Row],[EnvironmentSatisfaction]],EmployeeData[[#This Row],[WorkLifeBalance]]),2)</f>
        <v>2</v>
      </c>
      <c r="AE886" t="str">
        <f>IF(EmployeeData[[#This Row],[Satisfaction Score]]&lt;2,"Low",IF(EmployeeData[[#This Row],[Satisfaction Score]]&lt;3,"Medium","High"))</f>
        <v>Medium</v>
      </c>
    </row>
    <row r="887" spans="1:31" x14ac:dyDescent="0.25">
      <c r="A887" t="s">
        <v>4102</v>
      </c>
      <c r="B887" t="s">
        <v>4103</v>
      </c>
      <c r="C887" t="s">
        <v>58</v>
      </c>
      <c r="D887">
        <v>38</v>
      </c>
      <c r="E887" t="s">
        <v>5461</v>
      </c>
      <c r="F887" t="s">
        <v>483</v>
      </c>
      <c r="G887" s="1">
        <v>42978</v>
      </c>
      <c r="H887">
        <v>126537</v>
      </c>
      <c r="I887" t="s">
        <v>30</v>
      </c>
      <c r="J887" t="s">
        <v>31</v>
      </c>
      <c r="K887" t="s">
        <v>113</v>
      </c>
      <c r="L887" t="s">
        <v>43</v>
      </c>
      <c r="M887">
        <v>3</v>
      </c>
      <c r="N887" t="s">
        <v>45</v>
      </c>
      <c r="O887">
        <v>3</v>
      </c>
      <c r="P887">
        <v>4</v>
      </c>
      <c r="Q887">
        <v>4</v>
      </c>
      <c r="R887">
        <v>5</v>
      </c>
      <c r="S887">
        <v>0</v>
      </c>
      <c r="T887">
        <v>1</v>
      </c>
      <c r="U887">
        <v>13</v>
      </c>
      <c r="V887" t="s">
        <v>4106</v>
      </c>
      <c r="W887" t="s">
        <v>34</v>
      </c>
      <c r="Y887" s="2" t="str">
        <f>IF(EmployeeData[[#This Row],[Age]]&lt;25,"Under 25",IF(EmployeeData[[#This Row],[Age]]&lt;=34,"25-34",IF(EmployeeData[[#This Row],[Age]]&lt;=44,"35-44",IF(EmployeeData[[#This Row],[Age]]&lt;=54,"45-54","55+"))))</f>
        <v>35-44</v>
      </c>
      <c r="Z887">
        <f ca="1">DATEDIF(EmployeeData[[#This Row],[DateOfJoining]],IF(AND(EmployeeData[[#This Row],[Attrition]]="Yes",EmployeeData[[#This Row],[LastWorkingDate]]&lt;&gt;""),EmployeeData[[#This Row],[LastWorkingDate]],TODAY()),"Y")</f>
        <v>9</v>
      </c>
      <c r="AA887" t="str">
        <f>IF(EmployeeData[[#This Row],[MonthlyIncome]]&lt;30000,"Low",IF(EmployeeData[[#This Row],[MonthlyIncome]]&lt;=60000,"Medium",IF(EmployeeData[[#This Row],[MonthlyIncome]]&lt;=100000,"High","Very High")))</f>
        <v>Very High</v>
      </c>
      <c r="AB887">
        <f>IF(EmployeeData[[#This Row],[Attrition]]="Yes",1,0)</f>
        <v>0</v>
      </c>
      <c r="AC887" t="str">
        <f ca="1">IF(EmployeeData[[#This Row],[Tenure Years]]&lt;1,"Less than 1 Year",IF(EmployeeData[[#This Row],[Tenure Years]]&lt;=3,"1-3 Years",IF(EmployeeData[[#This Row],[Tenure Years]]&lt;=5,"4-5 Years",IF(EmployeeData[[#This Row],[Tenure Years]]&lt;=10,"6-10 Years","More than 10 Years"))))</f>
        <v>6-10 Years</v>
      </c>
      <c r="AD887">
        <f>ROUND(AVERAGE(EmployeeData[[#This Row],[JobSatisfaction]],EmployeeData[[#This Row],[EnvironmentSatisfaction]],EmployeeData[[#This Row],[WorkLifeBalance]]),2)</f>
        <v>3.67</v>
      </c>
      <c r="AE887" t="str">
        <f>IF(EmployeeData[[#This Row],[Satisfaction Score]]&lt;2,"Low",IF(EmployeeData[[#This Row],[Satisfaction Score]]&lt;3,"Medium","High"))</f>
        <v>High</v>
      </c>
    </row>
    <row r="888" spans="1:31" x14ac:dyDescent="0.25">
      <c r="A888" t="s">
        <v>4107</v>
      </c>
      <c r="B888" t="s">
        <v>4108</v>
      </c>
      <c r="C888" t="s">
        <v>49</v>
      </c>
      <c r="D888">
        <v>26</v>
      </c>
      <c r="E888" t="s">
        <v>27</v>
      </c>
      <c r="F888" t="s">
        <v>75</v>
      </c>
      <c r="G888" s="1">
        <v>40991</v>
      </c>
      <c r="H888">
        <v>65915</v>
      </c>
      <c r="I888" t="s">
        <v>42</v>
      </c>
      <c r="J888" t="s">
        <v>143</v>
      </c>
      <c r="K888" t="s">
        <v>83</v>
      </c>
      <c r="L888" t="s">
        <v>62</v>
      </c>
      <c r="M888">
        <v>13</v>
      </c>
      <c r="N888" t="s">
        <v>34</v>
      </c>
      <c r="O888">
        <v>2</v>
      </c>
      <c r="P888">
        <v>4</v>
      </c>
      <c r="Q888">
        <v>1</v>
      </c>
      <c r="R888">
        <v>3</v>
      </c>
      <c r="S888">
        <v>3</v>
      </c>
      <c r="T888">
        <v>4</v>
      </c>
      <c r="U888">
        <v>13</v>
      </c>
      <c r="V888" t="s">
        <v>4110</v>
      </c>
      <c r="W888" t="s">
        <v>34</v>
      </c>
      <c r="Y888" s="2" t="str">
        <f>IF(EmployeeData[[#This Row],[Age]]&lt;25,"Under 25",IF(EmployeeData[[#This Row],[Age]]&lt;=34,"25-34",IF(EmployeeData[[#This Row],[Age]]&lt;=44,"35-44",IF(EmployeeData[[#This Row],[Age]]&lt;=54,"45-54","55+"))))</f>
        <v>25-34</v>
      </c>
      <c r="Z888">
        <f ca="1">DATEDIF(EmployeeData[[#This Row],[DateOfJoining]],IF(AND(EmployeeData[[#This Row],[Attrition]]="Yes",EmployeeData[[#This Row],[LastWorkingDate]]&lt;&gt;""),EmployeeData[[#This Row],[LastWorkingDate]],TODAY()),"Y")</f>
        <v>14</v>
      </c>
      <c r="AA888" t="str">
        <f>IF(EmployeeData[[#This Row],[MonthlyIncome]]&lt;30000,"Low",IF(EmployeeData[[#This Row],[MonthlyIncome]]&lt;=60000,"Medium",IF(EmployeeData[[#This Row],[MonthlyIncome]]&lt;=100000,"High","Very High")))</f>
        <v>High</v>
      </c>
      <c r="AB888">
        <f>IF(EmployeeData[[#This Row],[Attrition]]="Yes",1,0)</f>
        <v>0</v>
      </c>
      <c r="AC888" t="str">
        <f ca="1">IF(EmployeeData[[#This Row],[Tenure Years]]&lt;1,"Less than 1 Year",IF(EmployeeData[[#This Row],[Tenure Years]]&lt;=3,"1-3 Years",IF(EmployeeData[[#This Row],[Tenure Years]]&lt;=5,"4-5 Years",IF(EmployeeData[[#This Row],[Tenure Years]]&lt;=10,"6-10 Years","More than 10 Years"))))</f>
        <v>More than 10 Years</v>
      </c>
      <c r="AD888">
        <f>ROUND(AVERAGE(EmployeeData[[#This Row],[JobSatisfaction]],EmployeeData[[#This Row],[EnvironmentSatisfaction]],EmployeeData[[#This Row],[WorkLifeBalance]]),2)</f>
        <v>2.33</v>
      </c>
      <c r="AE888" t="str">
        <f>IF(EmployeeData[[#This Row],[Satisfaction Score]]&lt;2,"Low",IF(EmployeeData[[#This Row],[Satisfaction Score]]&lt;3,"Medium","High"))</f>
        <v>Medium</v>
      </c>
    </row>
    <row r="889" spans="1:31" x14ac:dyDescent="0.25">
      <c r="A889" t="s">
        <v>4111</v>
      </c>
      <c r="B889" t="s">
        <v>4112</v>
      </c>
      <c r="C889" t="s">
        <v>58</v>
      </c>
      <c r="D889">
        <v>44</v>
      </c>
      <c r="E889" t="s">
        <v>5461</v>
      </c>
      <c r="F889" t="s">
        <v>483</v>
      </c>
      <c r="G889" s="1">
        <v>44090</v>
      </c>
      <c r="H889">
        <v>140752</v>
      </c>
      <c r="I889" t="s">
        <v>42</v>
      </c>
      <c r="J889" t="s">
        <v>53</v>
      </c>
      <c r="K889" t="s">
        <v>54</v>
      </c>
      <c r="L889" t="s">
        <v>43</v>
      </c>
      <c r="M889">
        <v>20</v>
      </c>
      <c r="N889" t="s">
        <v>45</v>
      </c>
      <c r="O889">
        <v>3</v>
      </c>
      <c r="P889">
        <v>1</v>
      </c>
      <c r="Q889">
        <v>4</v>
      </c>
      <c r="R889">
        <v>3</v>
      </c>
      <c r="S889">
        <v>2</v>
      </c>
      <c r="T889">
        <v>4</v>
      </c>
      <c r="U889">
        <v>25</v>
      </c>
      <c r="V889" t="s">
        <v>4115</v>
      </c>
      <c r="W889" t="s">
        <v>34</v>
      </c>
      <c r="Y889" s="2" t="str">
        <f>IF(EmployeeData[[#This Row],[Age]]&lt;25,"Under 25",IF(EmployeeData[[#This Row],[Age]]&lt;=34,"25-34",IF(EmployeeData[[#This Row],[Age]]&lt;=44,"35-44",IF(EmployeeData[[#This Row],[Age]]&lt;=54,"45-54","55+"))))</f>
        <v>35-44</v>
      </c>
      <c r="Z889">
        <f ca="1">DATEDIF(EmployeeData[[#This Row],[DateOfJoining]],IF(AND(EmployeeData[[#This Row],[Attrition]]="Yes",EmployeeData[[#This Row],[LastWorkingDate]]&lt;&gt;""),EmployeeData[[#This Row],[LastWorkingDate]],TODAY()),"Y")</f>
        <v>5</v>
      </c>
      <c r="AA889" t="str">
        <f>IF(EmployeeData[[#This Row],[MonthlyIncome]]&lt;30000,"Low",IF(EmployeeData[[#This Row],[MonthlyIncome]]&lt;=60000,"Medium",IF(EmployeeData[[#This Row],[MonthlyIncome]]&lt;=100000,"High","Very High")))</f>
        <v>Very High</v>
      </c>
      <c r="AB889">
        <f>IF(EmployeeData[[#This Row],[Attrition]]="Yes",1,0)</f>
        <v>0</v>
      </c>
      <c r="AC889" t="str">
        <f ca="1">IF(EmployeeData[[#This Row],[Tenure Years]]&lt;1,"Less than 1 Year",IF(EmployeeData[[#This Row],[Tenure Years]]&lt;=3,"1-3 Years",IF(EmployeeData[[#This Row],[Tenure Years]]&lt;=5,"4-5 Years",IF(EmployeeData[[#This Row],[Tenure Years]]&lt;=10,"6-10 Years","More than 10 Years"))))</f>
        <v>4-5 Years</v>
      </c>
      <c r="AD889">
        <f>ROUND(AVERAGE(EmployeeData[[#This Row],[JobSatisfaction]],EmployeeData[[#This Row],[EnvironmentSatisfaction]],EmployeeData[[#This Row],[WorkLifeBalance]]),2)</f>
        <v>2.67</v>
      </c>
      <c r="AE889" t="str">
        <f>IF(EmployeeData[[#This Row],[Satisfaction Score]]&lt;2,"Low",IF(EmployeeData[[#This Row],[Satisfaction Score]]&lt;3,"Medium","High"))</f>
        <v>Medium</v>
      </c>
    </row>
    <row r="890" spans="1:31" x14ac:dyDescent="0.25">
      <c r="A890" t="s">
        <v>4116</v>
      </c>
      <c r="B890" t="s">
        <v>4117</v>
      </c>
      <c r="C890" t="s">
        <v>49</v>
      </c>
      <c r="D890">
        <v>42</v>
      </c>
      <c r="E890" t="s">
        <v>94</v>
      </c>
      <c r="F890" t="s">
        <v>266</v>
      </c>
      <c r="G890" s="1">
        <v>41508</v>
      </c>
      <c r="H890">
        <v>85824</v>
      </c>
      <c r="I890" t="s">
        <v>52</v>
      </c>
      <c r="J890" t="s">
        <v>61</v>
      </c>
      <c r="K890" t="s">
        <v>131</v>
      </c>
      <c r="L890" t="s">
        <v>43</v>
      </c>
      <c r="M890">
        <v>18</v>
      </c>
      <c r="N890" t="s">
        <v>34</v>
      </c>
      <c r="O890">
        <v>1</v>
      </c>
      <c r="P890">
        <v>4</v>
      </c>
      <c r="Q890">
        <v>3</v>
      </c>
      <c r="R890">
        <v>4</v>
      </c>
      <c r="S890">
        <v>1</v>
      </c>
      <c r="T890">
        <v>6</v>
      </c>
      <c r="U890">
        <v>20</v>
      </c>
      <c r="V890" t="s">
        <v>4119</v>
      </c>
      <c r="W890" t="s">
        <v>34</v>
      </c>
      <c r="Y890" s="2" t="str">
        <f>IF(EmployeeData[[#This Row],[Age]]&lt;25,"Under 25",IF(EmployeeData[[#This Row],[Age]]&lt;=34,"25-34",IF(EmployeeData[[#This Row],[Age]]&lt;=44,"35-44",IF(EmployeeData[[#This Row],[Age]]&lt;=54,"45-54","55+"))))</f>
        <v>35-44</v>
      </c>
      <c r="Z890">
        <f ca="1">DATEDIF(EmployeeData[[#This Row],[DateOfJoining]],IF(AND(EmployeeData[[#This Row],[Attrition]]="Yes",EmployeeData[[#This Row],[LastWorkingDate]]&lt;&gt;""),EmployeeData[[#This Row],[LastWorkingDate]],TODAY()),"Y")</f>
        <v>13</v>
      </c>
      <c r="AA890" t="str">
        <f>IF(EmployeeData[[#This Row],[MonthlyIncome]]&lt;30000,"Low",IF(EmployeeData[[#This Row],[MonthlyIncome]]&lt;=60000,"Medium",IF(EmployeeData[[#This Row],[MonthlyIncome]]&lt;=100000,"High","Very High")))</f>
        <v>High</v>
      </c>
      <c r="AB890">
        <f>IF(EmployeeData[[#This Row],[Attrition]]="Yes",1,0)</f>
        <v>0</v>
      </c>
      <c r="AC890" t="str">
        <f ca="1">IF(EmployeeData[[#This Row],[Tenure Years]]&lt;1,"Less than 1 Year",IF(EmployeeData[[#This Row],[Tenure Years]]&lt;=3,"1-3 Years",IF(EmployeeData[[#This Row],[Tenure Years]]&lt;=5,"4-5 Years",IF(EmployeeData[[#This Row],[Tenure Years]]&lt;=10,"6-10 Years","More than 10 Years"))))</f>
        <v>More than 10 Years</v>
      </c>
      <c r="AD890">
        <f>ROUND(AVERAGE(EmployeeData[[#This Row],[JobSatisfaction]],EmployeeData[[#This Row],[EnvironmentSatisfaction]],EmployeeData[[#This Row],[WorkLifeBalance]]),2)</f>
        <v>2.67</v>
      </c>
      <c r="AE890" t="str">
        <f>IF(EmployeeData[[#This Row],[Satisfaction Score]]&lt;2,"Low",IF(EmployeeData[[#This Row],[Satisfaction Score]]&lt;3,"Medium","High"))</f>
        <v>Medium</v>
      </c>
    </row>
    <row r="891" spans="1:31" x14ac:dyDescent="0.25">
      <c r="A891" t="s">
        <v>4120</v>
      </c>
      <c r="B891" t="s">
        <v>4121</v>
      </c>
      <c r="C891" t="s">
        <v>49</v>
      </c>
      <c r="D891">
        <v>40</v>
      </c>
      <c r="E891" t="s">
        <v>5461</v>
      </c>
      <c r="F891" t="s">
        <v>89</v>
      </c>
      <c r="G891" s="1">
        <v>44375</v>
      </c>
      <c r="H891">
        <v>120703</v>
      </c>
      <c r="I891" t="s">
        <v>52</v>
      </c>
      <c r="J891" t="s">
        <v>61</v>
      </c>
      <c r="K891" t="s">
        <v>98</v>
      </c>
      <c r="L891" t="s">
        <v>33</v>
      </c>
      <c r="M891">
        <v>29</v>
      </c>
      <c r="N891" t="s">
        <v>34</v>
      </c>
      <c r="O891">
        <v>3</v>
      </c>
      <c r="P891">
        <v>3</v>
      </c>
      <c r="Q891">
        <v>4</v>
      </c>
      <c r="R891">
        <v>3</v>
      </c>
      <c r="S891">
        <v>5</v>
      </c>
      <c r="T891">
        <v>5</v>
      </c>
      <c r="U891">
        <v>21</v>
      </c>
      <c r="V891" t="s">
        <v>4123</v>
      </c>
      <c r="W891" t="s">
        <v>34</v>
      </c>
      <c r="Y891" s="2" t="str">
        <f>IF(EmployeeData[[#This Row],[Age]]&lt;25,"Under 25",IF(EmployeeData[[#This Row],[Age]]&lt;=34,"25-34",IF(EmployeeData[[#This Row],[Age]]&lt;=44,"35-44",IF(EmployeeData[[#This Row],[Age]]&lt;=54,"45-54","55+"))))</f>
        <v>35-44</v>
      </c>
      <c r="Z891">
        <f ca="1">DATEDIF(EmployeeData[[#This Row],[DateOfJoining]],IF(AND(EmployeeData[[#This Row],[Attrition]]="Yes",EmployeeData[[#This Row],[LastWorkingDate]]&lt;&gt;""),EmployeeData[[#This Row],[LastWorkingDate]],TODAY()),"Y")</f>
        <v>5</v>
      </c>
      <c r="AA891" t="str">
        <f>IF(EmployeeData[[#This Row],[MonthlyIncome]]&lt;30000,"Low",IF(EmployeeData[[#This Row],[MonthlyIncome]]&lt;=60000,"Medium",IF(EmployeeData[[#This Row],[MonthlyIncome]]&lt;=100000,"High","Very High")))</f>
        <v>Very High</v>
      </c>
      <c r="AB891">
        <f>IF(EmployeeData[[#This Row],[Attrition]]="Yes",1,0)</f>
        <v>0</v>
      </c>
      <c r="AC891" t="str">
        <f ca="1">IF(EmployeeData[[#This Row],[Tenure Years]]&lt;1,"Less than 1 Year",IF(EmployeeData[[#This Row],[Tenure Years]]&lt;=3,"1-3 Years",IF(EmployeeData[[#This Row],[Tenure Years]]&lt;=5,"4-5 Years",IF(EmployeeData[[#This Row],[Tenure Years]]&lt;=10,"6-10 Years","More than 10 Years"))))</f>
        <v>4-5 Years</v>
      </c>
      <c r="AD891">
        <f>ROUND(AVERAGE(EmployeeData[[#This Row],[JobSatisfaction]],EmployeeData[[#This Row],[EnvironmentSatisfaction]],EmployeeData[[#This Row],[WorkLifeBalance]]),2)</f>
        <v>3.33</v>
      </c>
      <c r="AE891" t="str">
        <f>IF(EmployeeData[[#This Row],[Satisfaction Score]]&lt;2,"Low",IF(EmployeeData[[#This Row],[Satisfaction Score]]&lt;3,"Medium","High"))</f>
        <v>High</v>
      </c>
    </row>
    <row r="892" spans="1:31" x14ac:dyDescent="0.25">
      <c r="A892" t="s">
        <v>4124</v>
      </c>
      <c r="B892" t="s">
        <v>4125</v>
      </c>
      <c r="C892" t="s">
        <v>49</v>
      </c>
      <c r="D892">
        <v>45</v>
      </c>
      <c r="E892" t="s">
        <v>128</v>
      </c>
      <c r="F892" t="s">
        <v>123</v>
      </c>
      <c r="G892" s="1">
        <v>43968</v>
      </c>
      <c r="H892">
        <v>71695</v>
      </c>
      <c r="I892" t="s">
        <v>42</v>
      </c>
      <c r="J892" t="s">
        <v>97</v>
      </c>
      <c r="K892" t="s">
        <v>77</v>
      </c>
      <c r="L892" t="s">
        <v>43</v>
      </c>
      <c r="M892">
        <v>35</v>
      </c>
      <c r="N892" t="s">
        <v>34</v>
      </c>
      <c r="O892">
        <v>3</v>
      </c>
      <c r="P892">
        <v>1</v>
      </c>
      <c r="Q892">
        <v>3</v>
      </c>
      <c r="R892">
        <v>4</v>
      </c>
      <c r="S892">
        <v>4</v>
      </c>
      <c r="T892">
        <v>7</v>
      </c>
      <c r="U892">
        <v>17</v>
      </c>
      <c r="V892" t="s">
        <v>4127</v>
      </c>
      <c r="W892" t="s">
        <v>34</v>
      </c>
      <c r="Y892" s="2" t="str">
        <f>IF(EmployeeData[[#This Row],[Age]]&lt;25,"Under 25",IF(EmployeeData[[#This Row],[Age]]&lt;=34,"25-34",IF(EmployeeData[[#This Row],[Age]]&lt;=44,"35-44",IF(EmployeeData[[#This Row],[Age]]&lt;=54,"45-54","55+"))))</f>
        <v>45-54</v>
      </c>
      <c r="Z892">
        <f ca="1">DATEDIF(EmployeeData[[#This Row],[DateOfJoining]],IF(AND(EmployeeData[[#This Row],[Attrition]]="Yes",EmployeeData[[#This Row],[LastWorkingDate]]&lt;&gt;""),EmployeeData[[#This Row],[LastWorkingDate]],TODAY()),"Y")</f>
        <v>6</v>
      </c>
      <c r="AA892" t="str">
        <f>IF(EmployeeData[[#This Row],[MonthlyIncome]]&lt;30000,"Low",IF(EmployeeData[[#This Row],[MonthlyIncome]]&lt;=60000,"Medium",IF(EmployeeData[[#This Row],[MonthlyIncome]]&lt;=100000,"High","Very High")))</f>
        <v>High</v>
      </c>
      <c r="AB892">
        <f>IF(EmployeeData[[#This Row],[Attrition]]="Yes",1,0)</f>
        <v>0</v>
      </c>
      <c r="AC892" t="str">
        <f ca="1">IF(EmployeeData[[#This Row],[Tenure Years]]&lt;1,"Less than 1 Year",IF(EmployeeData[[#This Row],[Tenure Years]]&lt;=3,"1-3 Years",IF(EmployeeData[[#This Row],[Tenure Years]]&lt;=5,"4-5 Years",IF(EmployeeData[[#This Row],[Tenure Years]]&lt;=10,"6-10 Years","More than 10 Years"))))</f>
        <v>6-10 Years</v>
      </c>
      <c r="AD892">
        <f>ROUND(AVERAGE(EmployeeData[[#This Row],[JobSatisfaction]],EmployeeData[[#This Row],[EnvironmentSatisfaction]],EmployeeData[[#This Row],[WorkLifeBalance]]),2)</f>
        <v>2.33</v>
      </c>
      <c r="AE892" t="str">
        <f>IF(EmployeeData[[#This Row],[Satisfaction Score]]&lt;2,"Low",IF(EmployeeData[[#This Row],[Satisfaction Score]]&lt;3,"Medium","High"))</f>
        <v>Medium</v>
      </c>
    </row>
    <row r="893" spans="1:31" x14ac:dyDescent="0.25">
      <c r="A893" t="s">
        <v>4128</v>
      </c>
      <c r="B893" t="s">
        <v>4129</v>
      </c>
      <c r="C893" t="s">
        <v>58</v>
      </c>
      <c r="D893">
        <v>42</v>
      </c>
      <c r="E893" t="s">
        <v>94</v>
      </c>
      <c r="F893" t="s">
        <v>356</v>
      </c>
      <c r="G893" s="1">
        <v>43382</v>
      </c>
      <c r="H893">
        <v>133552</v>
      </c>
      <c r="I893" t="s">
        <v>30</v>
      </c>
      <c r="J893" t="s">
        <v>61</v>
      </c>
      <c r="K893" t="s">
        <v>83</v>
      </c>
      <c r="L893" t="s">
        <v>33</v>
      </c>
      <c r="M893">
        <v>41</v>
      </c>
      <c r="N893" t="s">
        <v>34</v>
      </c>
      <c r="O893">
        <v>4</v>
      </c>
      <c r="P893">
        <v>4</v>
      </c>
      <c r="Q893">
        <v>3</v>
      </c>
      <c r="R893">
        <v>2</v>
      </c>
      <c r="S893">
        <v>1</v>
      </c>
      <c r="T893">
        <v>6</v>
      </c>
      <c r="U893">
        <v>23</v>
      </c>
      <c r="V893" t="s">
        <v>4132</v>
      </c>
      <c r="W893" t="s">
        <v>34</v>
      </c>
      <c r="Y893" s="2" t="str">
        <f>IF(EmployeeData[[#This Row],[Age]]&lt;25,"Under 25",IF(EmployeeData[[#This Row],[Age]]&lt;=34,"25-34",IF(EmployeeData[[#This Row],[Age]]&lt;=44,"35-44",IF(EmployeeData[[#This Row],[Age]]&lt;=54,"45-54","55+"))))</f>
        <v>35-44</v>
      </c>
      <c r="Z893">
        <f ca="1">DATEDIF(EmployeeData[[#This Row],[DateOfJoining]],IF(AND(EmployeeData[[#This Row],[Attrition]]="Yes",EmployeeData[[#This Row],[LastWorkingDate]]&lt;&gt;""),EmployeeData[[#This Row],[LastWorkingDate]],TODAY()),"Y")</f>
        <v>7</v>
      </c>
      <c r="AA893" t="str">
        <f>IF(EmployeeData[[#This Row],[MonthlyIncome]]&lt;30000,"Low",IF(EmployeeData[[#This Row],[MonthlyIncome]]&lt;=60000,"Medium",IF(EmployeeData[[#This Row],[MonthlyIncome]]&lt;=100000,"High","Very High")))</f>
        <v>Very High</v>
      </c>
      <c r="AB893">
        <f>IF(EmployeeData[[#This Row],[Attrition]]="Yes",1,0)</f>
        <v>0</v>
      </c>
      <c r="AC893" t="str">
        <f ca="1">IF(EmployeeData[[#This Row],[Tenure Years]]&lt;1,"Less than 1 Year",IF(EmployeeData[[#This Row],[Tenure Years]]&lt;=3,"1-3 Years",IF(EmployeeData[[#This Row],[Tenure Years]]&lt;=5,"4-5 Years",IF(EmployeeData[[#This Row],[Tenure Years]]&lt;=10,"6-10 Years","More than 10 Years"))))</f>
        <v>6-10 Years</v>
      </c>
      <c r="AD893">
        <f>ROUND(AVERAGE(EmployeeData[[#This Row],[JobSatisfaction]],EmployeeData[[#This Row],[EnvironmentSatisfaction]],EmployeeData[[#This Row],[WorkLifeBalance]]),2)</f>
        <v>3.67</v>
      </c>
      <c r="AE893" t="str">
        <f>IF(EmployeeData[[#This Row],[Satisfaction Score]]&lt;2,"Low",IF(EmployeeData[[#This Row],[Satisfaction Score]]&lt;3,"Medium","High"))</f>
        <v>High</v>
      </c>
    </row>
    <row r="894" spans="1:31" x14ac:dyDescent="0.25">
      <c r="A894" t="s">
        <v>4133</v>
      </c>
      <c r="B894" t="s">
        <v>4134</v>
      </c>
      <c r="C894" t="s">
        <v>58</v>
      </c>
      <c r="D894">
        <v>32</v>
      </c>
      <c r="E894" t="s">
        <v>94</v>
      </c>
      <c r="F894" t="s">
        <v>356</v>
      </c>
      <c r="G894" s="1">
        <v>43814</v>
      </c>
      <c r="H894">
        <v>51705</v>
      </c>
      <c r="I894" t="s">
        <v>52</v>
      </c>
      <c r="J894" t="s">
        <v>143</v>
      </c>
      <c r="K894" t="s">
        <v>77</v>
      </c>
      <c r="L894" t="s">
        <v>33</v>
      </c>
      <c r="M894">
        <v>3</v>
      </c>
      <c r="N894" t="s">
        <v>34</v>
      </c>
      <c r="O894">
        <v>4</v>
      </c>
      <c r="P894">
        <v>1</v>
      </c>
      <c r="Q894">
        <v>1</v>
      </c>
      <c r="R894">
        <v>1</v>
      </c>
      <c r="S894">
        <v>3</v>
      </c>
      <c r="T894">
        <v>6</v>
      </c>
      <c r="U894">
        <v>18</v>
      </c>
      <c r="V894" t="s">
        <v>4136</v>
      </c>
      <c r="W894" t="s">
        <v>34</v>
      </c>
      <c r="Y894" s="2" t="str">
        <f>IF(EmployeeData[[#This Row],[Age]]&lt;25,"Under 25",IF(EmployeeData[[#This Row],[Age]]&lt;=34,"25-34",IF(EmployeeData[[#This Row],[Age]]&lt;=44,"35-44",IF(EmployeeData[[#This Row],[Age]]&lt;=54,"45-54","55+"))))</f>
        <v>25-34</v>
      </c>
      <c r="Z894">
        <f ca="1">DATEDIF(EmployeeData[[#This Row],[DateOfJoining]],IF(AND(EmployeeData[[#This Row],[Attrition]]="Yes",EmployeeData[[#This Row],[LastWorkingDate]]&lt;&gt;""),EmployeeData[[#This Row],[LastWorkingDate]],TODAY()),"Y")</f>
        <v>6</v>
      </c>
      <c r="AA894" t="str">
        <f>IF(EmployeeData[[#This Row],[MonthlyIncome]]&lt;30000,"Low",IF(EmployeeData[[#This Row],[MonthlyIncome]]&lt;=60000,"Medium",IF(EmployeeData[[#This Row],[MonthlyIncome]]&lt;=100000,"High","Very High")))</f>
        <v>Medium</v>
      </c>
      <c r="AB894">
        <f>IF(EmployeeData[[#This Row],[Attrition]]="Yes",1,0)</f>
        <v>0</v>
      </c>
      <c r="AC894" t="str">
        <f ca="1">IF(EmployeeData[[#This Row],[Tenure Years]]&lt;1,"Less than 1 Year",IF(EmployeeData[[#This Row],[Tenure Years]]&lt;=3,"1-3 Years",IF(EmployeeData[[#This Row],[Tenure Years]]&lt;=5,"4-5 Years",IF(EmployeeData[[#This Row],[Tenure Years]]&lt;=10,"6-10 Years","More than 10 Years"))))</f>
        <v>6-10 Years</v>
      </c>
      <c r="AD894">
        <f>ROUND(AVERAGE(EmployeeData[[#This Row],[JobSatisfaction]],EmployeeData[[#This Row],[EnvironmentSatisfaction]],EmployeeData[[#This Row],[WorkLifeBalance]]),2)</f>
        <v>2</v>
      </c>
      <c r="AE894" t="str">
        <f>IF(EmployeeData[[#This Row],[Satisfaction Score]]&lt;2,"Low",IF(EmployeeData[[#This Row],[Satisfaction Score]]&lt;3,"Medium","High"))</f>
        <v>Medium</v>
      </c>
    </row>
    <row r="895" spans="1:31" x14ac:dyDescent="0.25">
      <c r="A895" t="s">
        <v>4137</v>
      </c>
      <c r="B895" t="s">
        <v>4138</v>
      </c>
      <c r="C895" t="s">
        <v>49</v>
      </c>
      <c r="D895">
        <v>32</v>
      </c>
      <c r="E895" t="s">
        <v>128</v>
      </c>
      <c r="F895" t="s">
        <v>271</v>
      </c>
      <c r="G895" s="1">
        <v>44449</v>
      </c>
      <c r="H895">
        <v>77207</v>
      </c>
      <c r="I895" t="s">
        <v>30</v>
      </c>
      <c r="J895" t="s">
        <v>97</v>
      </c>
      <c r="K895" t="s">
        <v>200</v>
      </c>
      <c r="L895" t="s">
        <v>33</v>
      </c>
      <c r="M895">
        <v>41</v>
      </c>
      <c r="N895" t="s">
        <v>34</v>
      </c>
      <c r="O895">
        <v>3</v>
      </c>
      <c r="P895">
        <v>3</v>
      </c>
      <c r="Q895">
        <v>1</v>
      </c>
      <c r="R895">
        <v>3</v>
      </c>
      <c r="S895">
        <v>2</v>
      </c>
      <c r="T895">
        <v>3</v>
      </c>
      <c r="U895">
        <v>13</v>
      </c>
      <c r="V895" t="s">
        <v>4140</v>
      </c>
      <c r="W895" t="s">
        <v>34</v>
      </c>
      <c r="Y895" s="2" t="str">
        <f>IF(EmployeeData[[#This Row],[Age]]&lt;25,"Under 25",IF(EmployeeData[[#This Row],[Age]]&lt;=34,"25-34",IF(EmployeeData[[#This Row],[Age]]&lt;=44,"35-44",IF(EmployeeData[[#This Row],[Age]]&lt;=54,"45-54","55+"))))</f>
        <v>25-34</v>
      </c>
      <c r="Z895">
        <f ca="1">DATEDIF(EmployeeData[[#This Row],[DateOfJoining]],IF(AND(EmployeeData[[#This Row],[Attrition]]="Yes",EmployeeData[[#This Row],[LastWorkingDate]]&lt;&gt;""),EmployeeData[[#This Row],[LastWorkingDate]],TODAY()),"Y")</f>
        <v>4</v>
      </c>
      <c r="AA895" t="str">
        <f>IF(EmployeeData[[#This Row],[MonthlyIncome]]&lt;30000,"Low",IF(EmployeeData[[#This Row],[MonthlyIncome]]&lt;=60000,"Medium",IF(EmployeeData[[#This Row],[MonthlyIncome]]&lt;=100000,"High","Very High")))</f>
        <v>High</v>
      </c>
      <c r="AB895">
        <f>IF(EmployeeData[[#This Row],[Attrition]]="Yes",1,0)</f>
        <v>0</v>
      </c>
      <c r="AC895" t="str">
        <f ca="1">IF(EmployeeData[[#This Row],[Tenure Years]]&lt;1,"Less than 1 Year",IF(EmployeeData[[#This Row],[Tenure Years]]&lt;=3,"1-3 Years",IF(EmployeeData[[#This Row],[Tenure Years]]&lt;=5,"4-5 Years",IF(EmployeeData[[#This Row],[Tenure Years]]&lt;=10,"6-10 Years","More than 10 Years"))))</f>
        <v>4-5 Years</v>
      </c>
      <c r="AD895">
        <f>ROUND(AVERAGE(EmployeeData[[#This Row],[JobSatisfaction]],EmployeeData[[#This Row],[EnvironmentSatisfaction]],EmployeeData[[#This Row],[WorkLifeBalance]]),2)</f>
        <v>2.33</v>
      </c>
      <c r="AE895" t="str">
        <f>IF(EmployeeData[[#This Row],[Satisfaction Score]]&lt;2,"Low",IF(EmployeeData[[#This Row],[Satisfaction Score]]&lt;3,"Medium","High"))</f>
        <v>Medium</v>
      </c>
    </row>
    <row r="896" spans="1:31" x14ac:dyDescent="0.25">
      <c r="A896" t="s">
        <v>4141</v>
      </c>
      <c r="B896" t="s">
        <v>4142</v>
      </c>
      <c r="C896" t="s">
        <v>49</v>
      </c>
      <c r="D896">
        <v>35</v>
      </c>
      <c r="E896" t="s">
        <v>5461</v>
      </c>
      <c r="F896" t="s">
        <v>5464</v>
      </c>
      <c r="G896" s="1">
        <v>44080</v>
      </c>
      <c r="H896">
        <v>79052</v>
      </c>
      <c r="I896" t="s">
        <v>52</v>
      </c>
      <c r="J896" t="s">
        <v>61</v>
      </c>
      <c r="K896" t="s">
        <v>32</v>
      </c>
      <c r="L896" t="s">
        <v>5459</v>
      </c>
      <c r="M896">
        <v>43</v>
      </c>
      <c r="N896" t="s">
        <v>34</v>
      </c>
      <c r="O896">
        <v>4</v>
      </c>
      <c r="P896">
        <v>3</v>
      </c>
      <c r="Q896">
        <v>4</v>
      </c>
      <c r="R896">
        <v>2</v>
      </c>
      <c r="S896">
        <v>3</v>
      </c>
      <c r="T896">
        <v>0</v>
      </c>
      <c r="U896">
        <v>14</v>
      </c>
      <c r="V896" t="s">
        <v>4144</v>
      </c>
      <c r="W896" t="s">
        <v>34</v>
      </c>
      <c r="Y896" s="2" t="str">
        <f>IF(EmployeeData[[#This Row],[Age]]&lt;25,"Under 25",IF(EmployeeData[[#This Row],[Age]]&lt;=34,"25-34",IF(EmployeeData[[#This Row],[Age]]&lt;=44,"35-44",IF(EmployeeData[[#This Row],[Age]]&lt;=54,"45-54","55+"))))</f>
        <v>35-44</v>
      </c>
      <c r="Z896">
        <f ca="1">DATEDIF(EmployeeData[[#This Row],[DateOfJoining]],IF(AND(EmployeeData[[#This Row],[Attrition]]="Yes",EmployeeData[[#This Row],[LastWorkingDate]]&lt;&gt;""),EmployeeData[[#This Row],[LastWorkingDate]],TODAY()),"Y")</f>
        <v>5</v>
      </c>
      <c r="AA896" t="str">
        <f>IF(EmployeeData[[#This Row],[MonthlyIncome]]&lt;30000,"Low",IF(EmployeeData[[#This Row],[MonthlyIncome]]&lt;=60000,"Medium",IF(EmployeeData[[#This Row],[MonthlyIncome]]&lt;=100000,"High","Very High")))</f>
        <v>High</v>
      </c>
      <c r="AB896">
        <f>IF(EmployeeData[[#This Row],[Attrition]]="Yes",1,0)</f>
        <v>0</v>
      </c>
      <c r="AC896" t="str">
        <f ca="1">IF(EmployeeData[[#This Row],[Tenure Years]]&lt;1,"Less than 1 Year",IF(EmployeeData[[#This Row],[Tenure Years]]&lt;=3,"1-3 Years",IF(EmployeeData[[#This Row],[Tenure Years]]&lt;=5,"4-5 Years",IF(EmployeeData[[#This Row],[Tenure Years]]&lt;=10,"6-10 Years","More than 10 Years"))))</f>
        <v>4-5 Years</v>
      </c>
      <c r="AD896">
        <f>ROUND(AVERAGE(EmployeeData[[#This Row],[JobSatisfaction]],EmployeeData[[#This Row],[EnvironmentSatisfaction]],EmployeeData[[#This Row],[WorkLifeBalance]]),2)</f>
        <v>3.67</v>
      </c>
      <c r="AE896" t="str">
        <f>IF(EmployeeData[[#This Row],[Satisfaction Score]]&lt;2,"Low",IF(EmployeeData[[#This Row],[Satisfaction Score]]&lt;3,"Medium","High"))</f>
        <v>High</v>
      </c>
    </row>
    <row r="897" spans="1:31" x14ac:dyDescent="0.25">
      <c r="A897" t="s">
        <v>4145</v>
      </c>
      <c r="B897" t="s">
        <v>4146</v>
      </c>
      <c r="C897" t="s">
        <v>58</v>
      </c>
      <c r="D897">
        <v>35</v>
      </c>
      <c r="E897" t="s">
        <v>27</v>
      </c>
      <c r="F897" t="s">
        <v>59</v>
      </c>
      <c r="G897" s="1">
        <v>44470</v>
      </c>
      <c r="H897">
        <v>49979</v>
      </c>
      <c r="I897" t="s">
        <v>52</v>
      </c>
      <c r="J897" t="s">
        <v>31</v>
      </c>
      <c r="K897" t="s">
        <v>77</v>
      </c>
      <c r="L897" t="s">
        <v>5459</v>
      </c>
      <c r="M897">
        <v>23</v>
      </c>
      <c r="N897" t="s">
        <v>34</v>
      </c>
      <c r="O897">
        <v>4</v>
      </c>
      <c r="P897">
        <v>4</v>
      </c>
      <c r="Q897">
        <v>1</v>
      </c>
      <c r="R897">
        <v>1</v>
      </c>
      <c r="S897">
        <v>3</v>
      </c>
      <c r="T897">
        <v>8</v>
      </c>
      <c r="U897">
        <v>18</v>
      </c>
      <c r="V897" t="s">
        <v>4149</v>
      </c>
      <c r="W897" t="s">
        <v>34</v>
      </c>
      <c r="Y897" s="2" t="str">
        <f>IF(EmployeeData[[#This Row],[Age]]&lt;25,"Under 25",IF(EmployeeData[[#This Row],[Age]]&lt;=34,"25-34",IF(EmployeeData[[#This Row],[Age]]&lt;=44,"35-44",IF(EmployeeData[[#This Row],[Age]]&lt;=54,"45-54","55+"))))</f>
        <v>35-44</v>
      </c>
      <c r="Z897">
        <f ca="1">DATEDIF(EmployeeData[[#This Row],[DateOfJoining]],IF(AND(EmployeeData[[#This Row],[Attrition]]="Yes",EmployeeData[[#This Row],[LastWorkingDate]]&lt;&gt;""),EmployeeData[[#This Row],[LastWorkingDate]],TODAY()),"Y")</f>
        <v>4</v>
      </c>
      <c r="AA897" t="str">
        <f>IF(EmployeeData[[#This Row],[MonthlyIncome]]&lt;30000,"Low",IF(EmployeeData[[#This Row],[MonthlyIncome]]&lt;=60000,"Medium",IF(EmployeeData[[#This Row],[MonthlyIncome]]&lt;=100000,"High","Very High")))</f>
        <v>Medium</v>
      </c>
      <c r="AB897">
        <f>IF(EmployeeData[[#This Row],[Attrition]]="Yes",1,0)</f>
        <v>0</v>
      </c>
      <c r="AC897" t="str">
        <f ca="1">IF(EmployeeData[[#This Row],[Tenure Years]]&lt;1,"Less than 1 Year",IF(EmployeeData[[#This Row],[Tenure Years]]&lt;=3,"1-3 Years",IF(EmployeeData[[#This Row],[Tenure Years]]&lt;=5,"4-5 Years",IF(EmployeeData[[#This Row],[Tenure Years]]&lt;=10,"6-10 Years","More than 10 Years"))))</f>
        <v>4-5 Years</v>
      </c>
      <c r="AD897">
        <f>ROUND(AVERAGE(EmployeeData[[#This Row],[JobSatisfaction]],EmployeeData[[#This Row],[EnvironmentSatisfaction]],EmployeeData[[#This Row],[WorkLifeBalance]]),2)</f>
        <v>3</v>
      </c>
      <c r="AE897" t="str">
        <f>IF(EmployeeData[[#This Row],[Satisfaction Score]]&lt;2,"Low",IF(EmployeeData[[#This Row],[Satisfaction Score]]&lt;3,"Medium","High"))</f>
        <v>High</v>
      </c>
    </row>
    <row r="898" spans="1:31" x14ac:dyDescent="0.25">
      <c r="A898" t="s">
        <v>4150</v>
      </c>
      <c r="B898" t="s">
        <v>4151</v>
      </c>
      <c r="C898" t="s">
        <v>49</v>
      </c>
      <c r="D898">
        <v>19</v>
      </c>
      <c r="E898" t="s">
        <v>128</v>
      </c>
      <c r="F898" t="s">
        <v>255</v>
      </c>
      <c r="G898" s="1">
        <v>43641</v>
      </c>
      <c r="H898">
        <v>60692</v>
      </c>
      <c r="I898" t="s">
        <v>42</v>
      </c>
      <c r="J898" t="s">
        <v>31</v>
      </c>
      <c r="K898" t="s">
        <v>32</v>
      </c>
      <c r="L898" t="s">
        <v>43</v>
      </c>
      <c r="M898">
        <v>14</v>
      </c>
      <c r="N898" t="s">
        <v>45</v>
      </c>
      <c r="O898">
        <v>2</v>
      </c>
      <c r="P898">
        <v>4</v>
      </c>
      <c r="Q898">
        <v>1</v>
      </c>
      <c r="R898">
        <v>3</v>
      </c>
      <c r="S898">
        <v>6</v>
      </c>
      <c r="T898">
        <v>6</v>
      </c>
      <c r="U898">
        <v>21</v>
      </c>
      <c r="V898" t="s">
        <v>4153</v>
      </c>
      <c r="W898" t="s">
        <v>45</v>
      </c>
      <c r="X898" s="1">
        <v>44946</v>
      </c>
      <c r="Y898" s="2" t="str">
        <f>IF(EmployeeData[[#This Row],[Age]]&lt;25,"Under 25",IF(EmployeeData[[#This Row],[Age]]&lt;=34,"25-34",IF(EmployeeData[[#This Row],[Age]]&lt;=44,"35-44",IF(EmployeeData[[#This Row],[Age]]&lt;=54,"45-54","55+"))))</f>
        <v>Under 25</v>
      </c>
      <c r="Z898">
        <f ca="1">DATEDIF(EmployeeData[[#This Row],[DateOfJoining]],IF(AND(EmployeeData[[#This Row],[Attrition]]="Yes",EmployeeData[[#This Row],[LastWorkingDate]]&lt;&gt;""),EmployeeData[[#This Row],[LastWorkingDate]],TODAY()),"Y")</f>
        <v>3</v>
      </c>
      <c r="AA898" t="str">
        <f>IF(EmployeeData[[#This Row],[MonthlyIncome]]&lt;30000,"Low",IF(EmployeeData[[#This Row],[MonthlyIncome]]&lt;=60000,"Medium",IF(EmployeeData[[#This Row],[MonthlyIncome]]&lt;=100000,"High","Very High")))</f>
        <v>High</v>
      </c>
      <c r="AB898">
        <f>IF(EmployeeData[[#This Row],[Attrition]]="Yes",1,0)</f>
        <v>1</v>
      </c>
      <c r="AC898" t="str">
        <f ca="1">IF(EmployeeData[[#This Row],[Tenure Years]]&lt;1,"Less than 1 Year",IF(EmployeeData[[#This Row],[Tenure Years]]&lt;=3,"1-3 Years",IF(EmployeeData[[#This Row],[Tenure Years]]&lt;=5,"4-5 Years",IF(EmployeeData[[#This Row],[Tenure Years]]&lt;=10,"6-10 Years","More than 10 Years"))))</f>
        <v>1-3 Years</v>
      </c>
      <c r="AD898">
        <f>ROUND(AVERAGE(EmployeeData[[#This Row],[JobSatisfaction]],EmployeeData[[#This Row],[EnvironmentSatisfaction]],EmployeeData[[#This Row],[WorkLifeBalance]]),2)</f>
        <v>2.33</v>
      </c>
      <c r="AE898" t="str">
        <f>IF(EmployeeData[[#This Row],[Satisfaction Score]]&lt;2,"Low",IF(EmployeeData[[#This Row],[Satisfaction Score]]&lt;3,"Medium","High"))</f>
        <v>Medium</v>
      </c>
    </row>
    <row r="899" spans="1:31" x14ac:dyDescent="0.25">
      <c r="A899" t="s">
        <v>4154</v>
      </c>
      <c r="B899" t="s">
        <v>4155</v>
      </c>
      <c r="C899" t="s">
        <v>5459</v>
      </c>
      <c r="D899">
        <v>25</v>
      </c>
      <c r="E899" t="s">
        <v>197</v>
      </c>
      <c r="F899" t="s">
        <v>5459</v>
      </c>
      <c r="G899" s="1">
        <v>44209</v>
      </c>
      <c r="H899">
        <v>86524</v>
      </c>
      <c r="I899" t="s">
        <v>52</v>
      </c>
      <c r="J899" t="s">
        <v>5459</v>
      </c>
      <c r="K899" t="s">
        <v>77</v>
      </c>
      <c r="L899" t="s">
        <v>62</v>
      </c>
      <c r="M899">
        <v>21</v>
      </c>
      <c r="N899" t="s">
        <v>34</v>
      </c>
      <c r="O899">
        <v>3</v>
      </c>
      <c r="P899">
        <v>4</v>
      </c>
      <c r="Q899">
        <v>4</v>
      </c>
      <c r="R899">
        <v>4</v>
      </c>
      <c r="S899">
        <v>3</v>
      </c>
      <c r="T899">
        <v>8</v>
      </c>
      <c r="U899">
        <v>25</v>
      </c>
      <c r="V899" t="s">
        <v>4157</v>
      </c>
      <c r="W899" t="s">
        <v>34</v>
      </c>
      <c r="Y899" s="2" t="str">
        <f>IF(EmployeeData[[#This Row],[Age]]&lt;25,"Under 25",IF(EmployeeData[[#This Row],[Age]]&lt;=34,"25-34",IF(EmployeeData[[#This Row],[Age]]&lt;=44,"35-44",IF(EmployeeData[[#This Row],[Age]]&lt;=54,"45-54","55+"))))</f>
        <v>25-34</v>
      </c>
      <c r="Z899">
        <f ca="1">DATEDIF(EmployeeData[[#This Row],[DateOfJoining]],IF(AND(EmployeeData[[#This Row],[Attrition]]="Yes",EmployeeData[[#This Row],[LastWorkingDate]]&lt;&gt;""),EmployeeData[[#This Row],[LastWorkingDate]],TODAY()),"Y")</f>
        <v>5</v>
      </c>
      <c r="AA899" t="str">
        <f>IF(EmployeeData[[#This Row],[MonthlyIncome]]&lt;30000,"Low",IF(EmployeeData[[#This Row],[MonthlyIncome]]&lt;=60000,"Medium",IF(EmployeeData[[#This Row],[MonthlyIncome]]&lt;=100000,"High","Very High")))</f>
        <v>High</v>
      </c>
      <c r="AB899">
        <f>IF(EmployeeData[[#This Row],[Attrition]]="Yes",1,0)</f>
        <v>0</v>
      </c>
      <c r="AC899" t="str">
        <f ca="1">IF(EmployeeData[[#This Row],[Tenure Years]]&lt;1,"Less than 1 Year",IF(EmployeeData[[#This Row],[Tenure Years]]&lt;=3,"1-3 Years",IF(EmployeeData[[#This Row],[Tenure Years]]&lt;=5,"4-5 Years",IF(EmployeeData[[#This Row],[Tenure Years]]&lt;=10,"6-10 Years","More than 10 Years"))))</f>
        <v>4-5 Years</v>
      </c>
      <c r="AD899">
        <f>ROUND(AVERAGE(EmployeeData[[#This Row],[JobSatisfaction]],EmployeeData[[#This Row],[EnvironmentSatisfaction]],EmployeeData[[#This Row],[WorkLifeBalance]]),2)</f>
        <v>3.67</v>
      </c>
      <c r="AE899" t="str">
        <f>IF(EmployeeData[[#This Row],[Satisfaction Score]]&lt;2,"Low",IF(EmployeeData[[#This Row],[Satisfaction Score]]&lt;3,"Medium","High"))</f>
        <v>High</v>
      </c>
    </row>
    <row r="900" spans="1:31" x14ac:dyDescent="0.25">
      <c r="A900" t="s">
        <v>4158</v>
      </c>
      <c r="B900" t="s">
        <v>4159</v>
      </c>
      <c r="C900" t="s">
        <v>58</v>
      </c>
      <c r="D900">
        <v>48</v>
      </c>
      <c r="E900" t="s">
        <v>128</v>
      </c>
      <c r="F900" t="s">
        <v>271</v>
      </c>
      <c r="G900" s="1">
        <v>41129</v>
      </c>
      <c r="H900">
        <v>82361</v>
      </c>
      <c r="I900" t="s">
        <v>52</v>
      </c>
      <c r="J900" t="s">
        <v>61</v>
      </c>
      <c r="K900" t="s">
        <v>77</v>
      </c>
      <c r="L900" t="s">
        <v>33</v>
      </c>
      <c r="M900">
        <v>1</v>
      </c>
      <c r="N900" t="s">
        <v>45</v>
      </c>
      <c r="O900">
        <v>2</v>
      </c>
      <c r="P900">
        <v>3</v>
      </c>
      <c r="Q900">
        <v>4</v>
      </c>
      <c r="R900">
        <v>3</v>
      </c>
      <c r="S900">
        <v>5</v>
      </c>
      <c r="T900">
        <v>7</v>
      </c>
      <c r="U900">
        <v>18</v>
      </c>
      <c r="V900" t="s">
        <v>4161</v>
      </c>
      <c r="W900" t="s">
        <v>45</v>
      </c>
      <c r="X900" s="1">
        <v>45115</v>
      </c>
      <c r="Y900" s="2" t="str">
        <f>IF(EmployeeData[[#This Row],[Age]]&lt;25,"Under 25",IF(EmployeeData[[#This Row],[Age]]&lt;=34,"25-34",IF(EmployeeData[[#This Row],[Age]]&lt;=44,"35-44",IF(EmployeeData[[#This Row],[Age]]&lt;=54,"45-54","55+"))))</f>
        <v>45-54</v>
      </c>
      <c r="Z900">
        <f ca="1">DATEDIF(EmployeeData[[#This Row],[DateOfJoining]],IF(AND(EmployeeData[[#This Row],[Attrition]]="Yes",EmployeeData[[#This Row],[LastWorkingDate]]&lt;&gt;""),EmployeeData[[#This Row],[LastWorkingDate]],TODAY()),"Y")</f>
        <v>10</v>
      </c>
      <c r="AA900" t="str">
        <f>IF(EmployeeData[[#This Row],[MonthlyIncome]]&lt;30000,"Low",IF(EmployeeData[[#This Row],[MonthlyIncome]]&lt;=60000,"Medium",IF(EmployeeData[[#This Row],[MonthlyIncome]]&lt;=100000,"High","Very High")))</f>
        <v>High</v>
      </c>
      <c r="AB900">
        <f>IF(EmployeeData[[#This Row],[Attrition]]="Yes",1,0)</f>
        <v>1</v>
      </c>
      <c r="AC900" t="str">
        <f ca="1">IF(EmployeeData[[#This Row],[Tenure Years]]&lt;1,"Less than 1 Year",IF(EmployeeData[[#This Row],[Tenure Years]]&lt;=3,"1-3 Years",IF(EmployeeData[[#This Row],[Tenure Years]]&lt;=5,"4-5 Years",IF(EmployeeData[[#This Row],[Tenure Years]]&lt;=10,"6-10 Years","More than 10 Years"))))</f>
        <v>6-10 Years</v>
      </c>
      <c r="AD900">
        <f>ROUND(AVERAGE(EmployeeData[[#This Row],[JobSatisfaction]],EmployeeData[[#This Row],[EnvironmentSatisfaction]],EmployeeData[[#This Row],[WorkLifeBalance]]),2)</f>
        <v>3</v>
      </c>
      <c r="AE900" t="str">
        <f>IF(EmployeeData[[#This Row],[Satisfaction Score]]&lt;2,"Low",IF(EmployeeData[[#This Row],[Satisfaction Score]]&lt;3,"Medium","High"))</f>
        <v>High</v>
      </c>
    </row>
    <row r="901" spans="1:31" x14ac:dyDescent="0.25">
      <c r="A901" t="s">
        <v>4162</v>
      </c>
      <c r="B901" t="s">
        <v>4163</v>
      </c>
      <c r="C901" t="s">
        <v>58</v>
      </c>
      <c r="D901">
        <v>37</v>
      </c>
      <c r="E901" t="s">
        <v>128</v>
      </c>
      <c r="F901" t="s">
        <v>255</v>
      </c>
      <c r="G901" s="1">
        <v>44951</v>
      </c>
      <c r="H901">
        <v>42268</v>
      </c>
      <c r="I901" t="s">
        <v>30</v>
      </c>
      <c r="J901" t="s">
        <v>61</v>
      </c>
      <c r="K901" t="s">
        <v>131</v>
      </c>
      <c r="L901" t="s">
        <v>43</v>
      </c>
      <c r="M901">
        <v>22</v>
      </c>
      <c r="N901" t="s">
        <v>34</v>
      </c>
      <c r="O901">
        <v>4</v>
      </c>
      <c r="P901">
        <v>1</v>
      </c>
      <c r="Q901">
        <v>3</v>
      </c>
      <c r="R901">
        <v>2</v>
      </c>
      <c r="S901">
        <v>0</v>
      </c>
      <c r="T901">
        <v>1</v>
      </c>
      <c r="U901">
        <v>17</v>
      </c>
      <c r="V901" t="s">
        <v>4165</v>
      </c>
      <c r="W901" t="s">
        <v>34</v>
      </c>
      <c r="Y901" s="2" t="str">
        <f>IF(EmployeeData[[#This Row],[Age]]&lt;25,"Under 25",IF(EmployeeData[[#This Row],[Age]]&lt;=34,"25-34",IF(EmployeeData[[#This Row],[Age]]&lt;=44,"35-44",IF(EmployeeData[[#This Row],[Age]]&lt;=54,"45-54","55+"))))</f>
        <v>35-44</v>
      </c>
      <c r="Z901">
        <f ca="1">DATEDIF(EmployeeData[[#This Row],[DateOfJoining]],IF(AND(EmployeeData[[#This Row],[Attrition]]="Yes",EmployeeData[[#This Row],[LastWorkingDate]]&lt;&gt;""),EmployeeData[[#This Row],[LastWorkingDate]],TODAY()),"Y")</f>
        <v>3</v>
      </c>
      <c r="AA901" t="str">
        <f>IF(EmployeeData[[#This Row],[MonthlyIncome]]&lt;30000,"Low",IF(EmployeeData[[#This Row],[MonthlyIncome]]&lt;=60000,"Medium",IF(EmployeeData[[#This Row],[MonthlyIncome]]&lt;=100000,"High","Very High")))</f>
        <v>Medium</v>
      </c>
      <c r="AB901">
        <f>IF(EmployeeData[[#This Row],[Attrition]]="Yes",1,0)</f>
        <v>0</v>
      </c>
      <c r="AC901" t="str">
        <f ca="1">IF(EmployeeData[[#This Row],[Tenure Years]]&lt;1,"Less than 1 Year",IF(EmployeeData[[#This Row],[Tenure Years]]&lt;=3,"1-3 Years",IF(EmployeeData[[#This Row],[Tenure Years]]&lt;=5,"4-5 Years",IF(EmployeeData[[#This Row],[Tenure Years]]&lt;=10,"6-10 Years","More than 10 Years"))))</f>
        <v>1-3 Years</v>
      </c>
      <c r="AD901">
        <f>ROUND(AVERAGE(EmployeeData[[#This Row],[JobSatisfaction]],EmployeeData[[#This Row],[EnvironmentSatisfaction]],EmployeeData[[#This Row],[WorkLifeBalance]]),2)</f>
        <v>2.67</v>
      </c>
      <c r="AE901" t="str">
        <f>IF(EmployeeData[[#This Row],[Satisfaction Score]]&lt;2,"Low",IF(EmployeeData[[#This Row],[Satisfaction Score]]&lt;3,"Medium","High"))</f>
        <v>Medium</v>
      </c>
    </row>
    <row r="902" spans="1:31" x14ac:dyDescent="0.25">
      <c r="A902" t="s">
        <v>4166</v>
      </c>
      <c r="B902" t="s">
        <v>4167</v>
      </c>
      <c r="C902" t="s">
        <v>5459</v>
      </c>
      <c r="D902">
        <v>50</v>
      </c>
      <c r="E902" t="s">
        <v>94</v>
      </c>
      <c r="F902" t="s">
        <v>266</v>
      </c>
      <c r="G902" s="1">
        <v>41260</v>
      </c>
      <c r="H902">
        <v>75857</v>
      </c>
      <c r="I902" t="s">
        <v>42</v>
      </c>
      <c r="J902" t="s">
        <v>97</v>
      </c>
      <c r="K902" t="s">
        <v>106</v>
      </c>
      <c r="L902" t="s">
        <v>33</v>
      </c>
      <c r="M902">
        <v>36</v>
      </c>
      <c r="N902" t="s">
        <v>34</v>
      </c>
      <c r="O902">
        <v>1</v>
      </c>
      <c r="P902">
        <v>1</v>
      </c>
      <c r="Q902">
        <v>2</v>
      </c>
      <c r="R902">
        <v>4</v>
      </c>
      <c r="S902">
        <v>2</v>
      </c>
      <c r="T902">
        <v>7</v>
      </c>
      <c r="U902">
        <v>25</v>
      </c>
      <c r="V902" t="s">
        <v>4169</v>
      </c>
      <c r="W902" t="s">
        <v>45</v>
      </c>
      <c r="X902" s="1">
        <v>43596</v>
      </c>
      <c r="Y902" s="2" t="str">
        <f>IF(EmployeeData[[#This Row],[Age]]&lt;25,"Under 25",IF(EmployeeData[[#This Row],[Age]]&lt;=34,"25-34",IF(EmployeeData[[#This Row],[Age]]&lt;=44,"35-44",IF(EmployeeData[[#This Row],[Age]]&lt;=54,"45-54","55+"))))</f>
        <v>45-54</v>
      </c>
      <c r="Z902">
        <f ca="1">DATEDIF(EmployeeData[[#This Row],[DateOfJoining]],IF(AND(EmployeeData[[#This Row],[Attrition]]="Yes",EmployeeData[[#This Row],[LastWorkingDate]]&lt;&gt;""),EmployeeData[[#This Row],[LastWorkingDate]],TODAY()),"Y")</f>
        <v>6</v>
      </c>
      <c r="AA902" t="str">
        <f>IF(EmployeeData[[#This Row],[MonthlyIncome]]&lt;30000,"Low",IF(EmployeeData[[#This Row],[MonthlyIncome]]&lt;=60000,"Medium",IF(EmployeeData[[#This Row],[MonthlyIncome]]&lt;=100000,"High","Very High")))</f>
        <v>High</v>
      </c>
      <c r="AB902">
        <f>IF(EmployeeData[[#This Row],[Attrition]]="Yes",1,0)</f>
        <v>1</v>
      </c>
      <c r="AC902" t="str">
        <f ca="1">IF(EmployeeData[[#This Row],[Tenure Years]]&lt;1,"Less than 1 Year",IF(EmployeeData[[#This Row],[Tenure Years]]&lt;=3,"1-3 Years",IF(EmployeeData[[#This Row],[Tenure Years]]&lt;=5,"4-5 Years",IF(EmployeeData[[#This Row],[Tenure Years]]&lt;=10,"6-10 Years","More than 10 Years"))))</f>
        <v>6-10 Years</v>
      </c>
      <c r="AD902">
        <f>ROUND(AVERAGE(EmployeeData[[#This Row],[JobSatisfaction]],EmployeeData[[#This Row],[EnvironmentSatisfaction]],EmployeeData[[#This Row],[WorkLifeBalance]]),2)</f>
        <v>1.33</v>
      </c>
      <c r="AE902" t="str">
        <f>IF(EmployeeData[[#This Row],[Satisfaction Score]]&lt;2,"Low",IF(EmployeeData[[#This Row],[Satisfaction Score]]&lt;3,"Medium","High"))</f>
        <v>Low</v>
      </c>
    </row>
    <row r="903" spans="1:31" x14ac:dyDescent="0.25">
      <c r="A903" t="s">
        <v>4171</v>
      </c>
      <c r="B903" t="s">
        <v>4172</v>
      </c>
      <c r="C903" t="s">
        <v>49</v>
      </c>
      <c r="D903">
        <v>41</v>
      </c>
      <c r="E903" t="s">
        <v>197</v>
      </c>
      <c r="F903" t="s">
        <v>235</v>
      </c>
      <c r="G903" s="1">
        <v>43531</v>
      </c>
      <c r="H903">
        <v>99364</v>
      </c>
      <c r="I903" t="s">
        <v>52</v>
      </c>
      <c r="J903" t="s">
        <v>31</v>
      </c>
      <c r="K903" t="s">
        <v>200</v>
      </c>
      <c r="L903" t="s">
        <v>62</v>
      </c>
      <c r="M903">
        <v>24</v>
      </c>
      <c r="N903" t="s">
        <v>34</v>
      </c>
      <c r="O903">
        <v>1</v>
      </c>
      <c r="P903">
        <v>1</v>
      </c>
      <c r="Q903">
        <v>4</v>
      </c>
      <c r="R903">
        <v>1</v>
      </c>
      <c r="S903">
        <v>2</v>
      </c>
      <c r="T903">
        <v>1</v>
      </c>
      <c r="U903">
        <v>22</v>
      </c>
      <c r="V903" t="s">
        <v>4174</v>
      </c>
      <c r="W903" t="s">
        <v>34</v>
      </c>
      <c r="Y903" s="2" t="str">
        <f>IF(EmployeeData[[#This Row],[Age]]&lt;25,"Under 25",IF(EmployeeData[[#This Row],[Age]]&lt;=34,"25-34",IF(EmployeeData[[#This Row],[Age]]&lt;=44,"35-44",IF(EmployeeData[[#This Row],[Age]]&lt;=54,"45-54","55+"))))</f>
        <v>35-44</v>
      </c>
      <c r="Z903">
        <f ca="1">DATEDIF(EmployeeData[[#This Row],[DateOfJoining]],IF(AND(EmployeeData[[#This Row],[Attrition]]="Yes",EmployeeData[[#This Row],[LastWorkingDate]]&lt;&gt;""),EmployeeData[[#This Row],[LastWorkingDate]],TODAY()),"Y")</f>
        <v>7</v>
      </c>
      <c r="AA903" t="str">
        <f>IF(EmployeeData[[#This Row],[MonthlyIncome]]&lt;30000,"Low",IF(EmployeeData[[#This Row],[MonthlyIncome]]&lt;=60000,"Medium",IF(EmployeeData[[#This Row],[MonthlyIncome]]&lt;=100000,"High","Very High")))</f>
        <v>High</v>
      </c>
      <c r="AB903">
        <f>IF(EmployeeData[[#This Row],[Attrition]]="Yes",1,0)</f>
        <v>0</v>
      </c>
      <c r="AC903" t="str">
        <f ca="1">IF(EmployeeData[[#This Row],[Tenure Years]]&lt;1,"Less than 1 Year",IF(EmployeeData[[#This Row],[Tenure Years]]&lt;=3,"1-3 Years",IF(EmployeeData[[#This Row],[Tenure Years]]&lt;=5,"4-5 Years",IF(EmployeeData[[#This Row],[Tenure Years]]&lt;=10,"6-10 Years","More than 10 Years"))))</f>
        <v>6-10 Years</v>
      </c>
      <c r="AD903">
        <f>ROUND(AVERAGE(EmployeeData[[#This Row],[JobSatisfaction]],EmployeeData[[#This Row],[EnvironmentSatisfaction]],EmployeeData[[#This Row],[WorkLifeBalance]]),2)</f>
        <v>2</v>
      </c>
      <c r="AE903" t="str">
        <f>IF(EmployeeData[[#This Row],[Satisfaction Score]]&lt;2,"Low",IF(EmployeeData[[#This Row],[Satisfaction Score]]&lt;3,"Medium","High"))</f>
        <v>Medium</v>
      </c>
    </row>
    <row r="904" spans="1:31" x14ac:dyDescent="0.25">
      <c r="A904" t="s">
        <v>4175</v>
      </c>
      <c r="B904" t="s">
        <v>4176</v>
      </c>
      <c r="C904" t="s">
        <v>58</v>
      </c>
      <c r="D904">
        <v>23</v>
      </c>
      <c r="E904" t="s">
        <v>94</v>
      </c>
      <c r="F904" t="s">
        <v>266</v>
      </c>
      <c r="G904" s="1">
        <v>40819</v>
      </c>
      <c r="H904">
        <v>137873</v>
      </c>
      <c r="I904" t="s">
        <v>52</v>
      </c>
      <c r="J904" t="s">
        <v>143</v>
      </c>
      <c r="K904" t="s">
        <v>83</v>
      </c>
      <c r="L904" t="s">
        <v>33</v>
      </c>
      <c r="M904">
        <v>12</v>
      </c>
      <c r="N904" t="s">
        <v>45</v>
      </c>
      <c r="O904">
        <v>3</v>
      </c>
      <c r="P904">
        <v>4</v>
      </c>
      <c r="Q904">
        <v>2</v>
      </c>
      <c r="R904">
        <v>3</v>
      </c>
      <c r="S904">
        <v>3</v>
      </c>
      <c r="T904">
        <v>1</v>
      </c>
      <c r="U904">
        <v>21</v>
      </c>
      <c r="V904" t="s">
        <v>4179</v>
      </c>
      <c r="W904" t="s">
        <v>45</v>
      </c>
      <c r="X904" s="1">
        <v>45556</v>
      </c>
      <c r="Y904" s="2" t="str">
        <f>IF(EmployeeData[[#This Row],[Age]]&lt;25,"Under 25",IF(EmployeeData[[#This Row],[Age]]&lt;=34,"25-34",IF(EmployeeData[[#This Row],[Age]]&lt;=44,"35-44",IF(EmployeeData[[#This Row],[Age]]&lt;=54,"45-54","55+"))))</f>
        <v>Under 25</v>
      </c>
      <c r="Z904">
        <f ca="1">DATEDIF(EmployeeData[[#This Row],[DateOfJoining]],IF(AND(EmployeeData[[#This Row],[Attrition]]="Yes",EmployeeData[[#This Row],[LastWorkingDate]]&lt;&gt;""),EmployeeData[[#This Row],[LastWorkingDate]],TODAY()),"Y")</f>
        <v>12</v>
      </c>
      <c r="AA904" t="str">
        <f>IF(EmployeeData[[#This Row],[MonthlyIncome]]&lt;30000,"Low",IF(EmployeeData[[#This Row],[MonthlyIncome]]&lt;=60000,"Medium",IF(EmployeeData[[#This Row],[MonthlyIncome]]&lt;=100000,"High","Very High")))</f>
        <v>Very High</v>
      </c>
      <c r="AB904">
        <f>IF(EmployeeData[[#This Row],[Attrition]]="Yes",1,0)</f>
        <v>1</v>
      </c>
      <c r="AC904" t="str">
        <f ca="1">IF(EmployeeData[[#This Row],[Tenure Years]]&lt;1,"Less than 1 Year",IF(EmployeeData[[#This Row],[Tenure Years]]&lt;=3,"1-3 Years",IF(EmployeeData[[#This Row],[Tenure Years]]&lt;=5,"4-5 Years",IF(EmployeeData[[#This Row],[Tenure Years]]&lt;=10,"6-10 Years","More than 10 Years"))))</f>
        <v>More than 10 Years</v>
      </c>
      <c r="AD904">
        <f>ROUND(AVERAGE(EmployeeData[[#This Row],[JobSatisfaction]],EmployeeData[[#This Row],[EnvironmentSatisfaction]],EmployeeData[[#This Row],[WorkLifeBalance]]),2)</f>
        <v>3</v>
      </c>
      <c r="AE904" t="str">
        <f>IF(EmployeeData[[#This Row],[Satisfaction Score]]&lt;2,"Low",IF(EmployeeData[[#This Row],[Satisfaction Score]]&lt;3,"Medium","High"))</f>
        <v>High</v>
      </c>
    </row>
    <row r="905" spans="1:31" x14ac:dyDescent="0.25">
      <c r="A905" t="s">
        <v>4181</v>
      </c>
      <c r="B905" t="s">
        <v>4182</v>
      </c>
      <c r="C905" t="s">
        <v>58</v>
      </c>
      <c r="D905">
        <v>29</v>
      </c>
      <c r="E905" t="s">
        <v>27</v>
      </c>
      <c r="F905" t="s">
        <v>75</v>
      </c>
      <c r="G905" s="1">
        <v>41239</v>
      </c>
      <c r="H905">
        <v>64296</v>
      </c>
      <c r="I905" t="s">
        <v>42</v>
      </c>
      <c r="J905" t="s">
        <v>31</v>
      </c>
      <c r="K905" t="s">
        <v>131</v>
      </c>
      <c r="L905" t="s">
        <v>62</v>
      </c>
      <c r="M905">
        <v>7</v>
      </c>
      <c r="N905" t="s">
        <v>34</v>
      </c>
      <c r="O905">
        <v>4</v>
      </c>
      <c r="P905">
        <v>3</v>
      </c>
      <c r="Q905">
        <v>4</v>
      </c>
      <c r="R905">
        <v>5</v>
      </c>
      <c r="S905">
        <v>4</v>
      </c>
      <c r="T905">
        <v>5</v>
      </c>
      <c r="U905">
        <v>18</v>
      </c>
      <c r="V905" t="s">
        <v>4185</v>
      </c>
      <c r="W905" t="s">
        <v>34</v>
      </c>
      <c r="Y905" s="2" t="str">
        <f>IF(EmployeeData[[#This Row],[Age]]&lt;25,"Under 25",IF(EmployeeData[[#This Row],[Age]]&lt;=34,"25-34",IF(EmployeeData[[#This Row],[Age]]&lt;=44,"35-44",IF(EmployeeData[[#This Row],[Age]]&lt;=54,"45-54","55+"))))</f>
        <v>25-34</v>
      </c>
      <c r="Z905">
        <f ca="1">DATEDIF(EmployeeData[[#This Row],[DateOfJoining]],IF(AND(EmployeeData[[#This Row],[Attrition]]="Yes",EmployeeData[[#This Row],[LastWorkingDate]]&lt;&gt;""),EmployeeData[[#This Row],[LastWorkingDate]],TODAY()),"Y")</f>
        <v>13</v>
      </c>
      <c r="AA905" t="str">
        <f>IF(EmployeeData[[#This Row],[MonthlyIncome]]&lt;30000,"Low",IF(EmployeeData[[#This Row],[MonthlyIncome]]&lt;=60000,"Medium",IF(EmployeeData[[#This Row],[MonthlyIncome]]&lt;=100000,"High","Very High")))</f>
        <v>High</v>
      </c>
      <c r="AB905">
        <f>IF(EmployeeData[[#This Row],[Attrition]]="Yes",1,0)</f>
        <v>0</v>
      </c>
      <c r="AC905" t="str">
        <f ca="1">IF(EmployeeData[[#This Row],[Tenure Years]]&lt;1,"Less than 1 Year",IF(EmployeeData[[#This Row],[Tenure Years]]&lt;=3,"1-3 Years",IF(EmployeeData[[#This Row],[Tenure Years]]&lt;=5,"4-5 Years",IF(EmployeeData[[#This Row],[Tenure Years]]&lt;=10,"6-10 Years","More than 10 Years"))))</f>
        <v>More than 10 Years</v>
      </c>
      <c r="AD905">
        <f>ROUND(AVERAGE(EmployeeData[[#This Row],[JobSatisfaction]],EmployeeData[[#This Row],[EnvironmentSatisfaction]],EmployeeData[[#This Row],[WorkLifeBalance]]),2)</f>
        <v>3.67</v>
      </c>
      <c r="AE905" t="str">
        <f>IF(EmployeeData[[#This Row],[Satisfaction Score]]&lt;2,"Low",IF(EmployeeData[[#This Row],[Satisfaction Score]]&lt;3,"Medium","High"))</f>
        <v>High</v>
      </c>
    </row>
    <row r="906" spans="1:31" x14ac:dyDescent="0.25">
      <c r="A906" t="s">
        <v>4186</v>
      </c>
      <c r="B906" t="s">
        <v>4187</v>
      </c>
      <c r="C906" t="s">
        <v>49</v>
      </c>
      <c r="D906">
        <v>44</v>
      </c>
      <c r="E906" t="s">
        <v>5461</v>
      </c>
      <c r="F906" t="s">
        <v>89</v>
      </c>
      <c r="G906" s="1">
        <v>44587</v>
      </c>
      <c r="H906">
        <v>75482</v>
      </c>
      <c r="I906" t="s">
        <v>30</v>
      </c>
      <c r="J906" t="s">
        <v>61</v>
      </c>
      <c r="K906" t="s">
        <v>54</v>
      </c>
      <c r="L906" t="s">
        <v>43</v>
      </c>
      <c r="M906">
        <v>30</v>
      </c>
      <c r="N906" t="s">
        <v>34</v>
      </c>
      <c r="O906">
        <v>2</v>
      </c>
      <c r="P906">
        <v>4</v>
      </c>
      <c r="Q906">
        <v>4</v>
      </c>
      <c r="R906">
        <v>3</v>
      </c>
      <c r="S906">
        <v>5</v>
      </c>
      <c r="T906">
        <v>8</v>
      </c>
      <c r="U906">
        <v>22</v>
      </c>
      <c r="V906" t="s">
        <v>4189</v>
      </c>
      <c r="W906" t="s">
        <v>34</v>
      </c>
      <c r="Y906" s="2" t="str">
        <f>IF(EmployeeData[[#This Row],[Age]]&lt;25,"Under 25",IF(EmployeeData[[#This Row],[Age]]&lt;=34,"25-34",IF(EmployeeData[[#This Row],[Age]]&lt;=44,"35-44",IF(EmployeeData[[#This Row],[Age]]&lt;=54,"45-54","55+"))))</f>
        <v>35-44</v>
      </c>
      <c r="Z906">
        <f ca="1">DATEDIF(EmployeeData[[#This Row],[DateOfJoining]],IF(AND(EmployeeData[[#This Row],[Attrition]]="Yes",EmployeeData[[#This Row],[LastWorkingDate]]&lt;&gt;""),EmployeeData[[#This Row],[LastWorkingDate]],TODAY()),"Y")</f>
        <v>4</v>
      </c>
      <c r="AA906" t="str">
        <f>IF(EmployeeData[[#This Row],[MonthlyIncome]]&lt;30000,"Low",IF(EmployeeData[[#This Row],[MonthlyIncome]]&lt;=60000,"Medium",IF(EmployeeData[[#This Row],[MonthlyIncome]]&lt;=100000,"High","Very High")))</f>
        <v>High</v>
      </c>
      <c r="AB906">
        <f>IF(EmployeeData[[#This Row],[Attrition]]="Yes",1,0)</f>
        <v>0</v>
      </c>
      <c r="AC906" t="str">
        <f ca="1">IF(EmployeeData[[#This Row],[Tenure Years]]&lt;1,"Less than 1 Year",IF(EmployeeData[[#This Row],[Tenure Years]]&lt;=3,"1-3 Years",IF(EmployeeData[[#This Row],[Tenure Years]]&lt;=5,"4-5 Years",IF(EmployeeData[[#This Row],[Tenure Years]]&lt;=10,"6-10 Years","More than 10 Years"))))</f>
        <v>4-5 Years</v>
      </c>
      <c r="AD906">
        <f>ROUND(AVERAGE(EmployeeData[[#This Row],[JobSatisfaction]],EmployeeData[[#This Row],[EnvironmentSatisfaction]],EmployeeData[[#This Row],[WorkLifeBalance]]),2)</f>
        <v>3.33</v>
      </c>
      <c r="AE906" t="str">
        <f>IF(EmployeeData[[#This Row],[Satisfaction Score]]&lt;2,"Low",IF(EmployeeData[[#This Row],[Satisfaction Score]]&lt;3,"Medium","High"))</f>
        <v>High</v>
      </c>
    </row>
    <row r="907" spans="1:31" x14ac:dyDescent="0.25">
      <c r="A907" t="s">
        <v>4190</v>
      </c>
      <c r="B907" t="s">
        <v>4191</v>
      </c>
      <c r="C907" t="s">
        <v>58</v>
      </c>
      <c r="D907">
        <v>27</v>
      </c>
      <c r="E907" t="s">
        <v>128</v>
      </c>
      <c r="F907" t="s">
        <v>255</v>
      </c>
      <c r="G907" s="1">
        <v>43183</v>
      </c>
      <c r="H907">
        <v>56529</v>
      </c>
      <c r="I907" t="s">
        <v>30</v>
      </c>
      <c r="J907" t="s">
        <v>61</v>
      </c>
      <c r="K907" t="s">
        <v>200</v>
      </c>
      <c r="L907" t="s">
        <v>43</v>
      </c>
      <c r="M907">
        <v>25</v>
      </c>
      <c r="N907" t="s">
        <v>45</v>
      </c>
      <c r="O907">
        <v>4</v>
      </c>
      <c r="P907">
        <v>3</v>
      </c>
      <c r="Q907">
        <v>2</v>
      </c>
      <c r="R907">
        <v>3</v>
      </c>
      <c r="S907">
        <v>5</v>
      </c>
      <c r="T907">
        <v>1</v>
      </c>
      <c r="U907">
        <v>20</v>
      </c>
      <c r="V907" t="s">
        <v>4193</v>
      </c>
      <c r="W907" t="s">
        <v>34</v>
      </c>
      <c r="Y907" s="2" t="str">
        <f>IF(EmployeeData[[#This Row],[Age]]&lt;25,"Under 25",IF(EmployeeData[[#This Row],[Age]]&lt;=34,"25-34",IF(EmployeeData[[#This Row],[Age]]&lt;=44,"35-44",IF(EmployeeData[[#This Row],[Age]]&lt;=54,"45-54","55+"))))</f>
        <v>25-34</v>
      </c>
      <c r="Z907">
        <f ca="1">DATEDIF(EmployeeData[[#This Row],[DateOfJoining]],IF(AND(EmployeeData[[#This Row],[Attrition]]="Yes",EmployeeData[[#This Row],[LastWorkingDate]]&lt;&gt;""),EmployeeData[[#This Row],[LastWorkingDate]],TODAY()),"Y")</f>
        <v>8</v>
      </c>
      <c r="AA907" t="str">
        <f>IF(EmployeeData[[#This Row],[MonthlyIncome]]&lt;30000,"Low",IF(EmployeeData[[#This Row],[MonthlyIncome]]&lt;=60000,"Medium",IF(EmployeeData[[#This Row],[MonthlyIncome]]&lt;=100000,"High","Very High")))</f>
        <v>Medium</v>
      </c>
      <c r="AB907">
        <f>IF(EmployeeData[[#This Row],[Attrition]]="Yes",1,0)</f>
        <v>0</v>
      </c>
      <c r="AC907" t="str">
        <f ca="1">IF(EmployeeData[[#This Row],[Tenure Years]]&lt;1,"Less than 1 Year",IF(EmployeeData[[#This Row],[Tenure Years]]&lt;=3,"1-3 Years",IF(EmployeeData[[#This Row],[Tenure Years]]&lt;=5,"4-5 Years",IF(EmployeeData[[#This Row],[Tenure Years]]&lt;=10,"6-10 Years","More than 10 Years"))))</f>
        <v>6-10 Years</v>
      </c>
      <c r="AD907">
        <f>ROUND(AVERAGE(EmployeeData[[#This Row],[JobSatisfaction]],EmployeeData[[#This Row],[EnvironmentSatisfaction]],EmployeeData[[#This Row],[WorkLifeBalance]]),2)</f>
        <v>3</v>
      </c>
      <c r="AE907" t="str">
        <f>IF(EmployeeData[[#This Row],[Satisfaction Score]]&lt;2,"Low",IF(EmployeeData[[#This Row],[Satisfaction Score]]&lt;3,"Medium","High"))</f>
        <v>High</v>
      </c>
    </row>
    <row r="908" spans="1:31" x14ac:dyDescent="0.25">
      <c r="A908" t="s">
        <v>4194</v>
      </c>
      <c r="B908" t="s">
        <v>4195</v>
      </c>
      <c r="C908" t="s">
        <v>58</v>
      </c>
      <c r="D908">
        <v>23</v>
      </c>
      <c r="E908" t="s">
        <v>197</v>
      </c>
      <c r="F908" t="s">
        <v>235</v>
      </c>
      <c r="G908" s="1">
        <v>45840</v>
      </c>
      <c r="H908">
        <v>80257</v>
      </c>
      <c r="I908" t="s">
        <v>42</v>
      </c>
      <c r="J908" t="s">
        <v>61</v>
      </c>
      <c r="K908" t="s">
        <v>113</v>
      </c>
      <c r="L908" t="s">
        <v>62</v>
      </c>
      <c r="M908">
        <v>35</v>
      </c>
      <c r="N908" t="s">
        <v>34</v>
      </c>
      <c r="O908">
        <v>2</v>
      </c>
      <c r="P908">
        <v>1</v>
      </c>
      <c r="Q908">
        <v>4</v>
      </c>
      <c r="R908">
        <v>2</v>
      </c>
      <c r="S908">
        <v>3</v>
      </c>
      <c r="T908">
        <v>8</v>
      </c>
      <c r="U908">
        <v>13</v>
      </c>
      <c r="V908" t="s">
        <v>4197</v>
      </c>
      <c r="W908" t="s">
        <v>45</v>
      </c>
      <c r="X908" s="1">
        <v>46026</v>
      </c>
      <c r="Y908" s="2" t="str">
        <f>IF(EmployeeData[[#This Row],[Age]]&lt;25,"Under 25",IF(EmployeeData[[#This Row],[Age]]&lt;=34,"25-34",IF(EmployeeData[[#This Row],[Age]]&lt;=44,"35-44",IF(EmployeeData[[#This Row],[Age]]&lt;=54,"45-54","55+"))))</f>
        <v>Under 25</v>
      </c>
      <c r="Z908">
        <f ca="1">DATEDIF(EmployeeData[[#This Row],[DateOfJoining]],IF(AND(EmployeeData[[#This Row],[Attrition]]="Yes",EmployeeData[[#This Row],[LastWorkingDate]]&lt;&gt;""),EmployeeData[[#This Row],[LastWorkingDate]],TODAY()),"Y")</f>
        <v>0</v>
      </c>
      <c r="AA908" t="str">
        <f>IF(EmployeeData[[#This Row],[MonthlyIncome]]&lt;30000,"Low",IF(EmployeeData[[#This Row],[MonthlyIncome]]&lt;=60000,"Medium",IF(EmployeeData[[#This Row],[MonthlyIncome]]&lt;=100000,"High","Very High")))</f>
        <v>High</v>
      </c>
      <c r="AB908">
        <f>IF(EmployeeData[[#This Row],[Attrition]]="Yes",1,0)</f>
        <v>1</v>
      </c>
      <c r="AC908" t="str">
        <f ca="1">IF(EmployeeData[[#This Row],[Tenure Years]]&lt;1,"Less than 1 Year",IF(EmployeeData[[#This Row],[Tenure Years]]&lt;=3,"1-3 Years",IF(EmployeeData[[#This Row],[Tenure Years]]&lt;=5,"4-5 Years",IF(EmployeeData[[#This Row],[Tenure Years]]&lt;=10,"6-10 Years","More than 10 Years"))))</f>
        <v>Less than 1 Year</v>
      </c>
      <c r="AD908">
        <f>ROUND(AVERAGE(EmployeeData[[#This Row],[JobSatisfaction]],EmployeeData[[#This Row],[EnvironmentSatisfaction]],EmployeeData[[#This Row],[WorkLifeBalance]]),2)</f>
        <v>2.33</v>
      </c>
      <c r="AE908" t="str">
        <f>IF(EmployeeData[[#This Row],[Satisfaction Score]]&lt;2,"Low",IF(EmployeeData[[#This Row],[Satisfaction Score]]&lt;3,"Medium","High"))</f>
        <v>Medium</v>
      </c>
    </row>
    <row r="909" spans="1:31" x14ac:dyDescent="0.25">
      <c r="A909" t="s">
        <v>4199</v>
      </c>
      <c r="B909" t="s">
        <v>4200</v>
      </c>
      <c r="C909" t="s">
        <v>49</v>
      </c>
      <c r="D909">
        <v>40</v>
      </c>
      <c r="E909" t="s">
        <v>94</v>
      </c>
      <c r="F909" t="s">
        <v>306</v>
      </c>
      <c r="G909" s="1">
        <v>44683</v>
      </c>
      <c r="H909">
        <v>121047</v>
      </c>
      <c r="I909" t="s">
        <v>52</v>
      </c>
      <c r="J909" t="s">
        <v>31</v>
      </c>
      <c r="K909" t="s">
        <v>77</v>
      </c>
      <c r="L909" t="s">
        <v>43</v>
      </c>
      <c r="M909">
        <v>28</v>
      </c>
      <c r="N909" t="s">
        <v>45</v>
      </c>
      <c r="O909">
        <v>4</v>
      </c>
      <c r="P909">
        <v>2</v>
      </c>
      <c r="Q909">
        <v>2</v>
      </c>
      <c r="R909">
        <v>2</v>
      </c>
      <c r="S909">
        <v>5</v>
      </c>
      <c r="T909">
        <v>4</v>
      </c>
      <c r="U909">
        <v>13</v>
      </c>
      <c r="V909" t="s">
        <v>4202</v>
      </c>
      <c r="W909" t="s">
        <v>45</v>
      </c>
      <c r="X909" s="1">
        <v>45833</v>
      </c>
      <c r="Y909" s="2" t="str">
        <f>IF(EmployeeData[[#This Row],[Age]]&lt;25,"Under 25",IF(EmployeeData[[#This Row],[Age]]&lt;=34,"25-34",IF(EmployeeData[[#This Row],[Age]]&lt;=44,"35-44",IF(EmployeeData[[#This Row],[Age]]&lt;=54,"45-54","55+"))))</f>
        <v>35-44</v>
      </c>
      <c r="Z909">
        <f ca="1">DATEDIF(EmployeeData[[#This Row],[DateOfJoining]],IF(AND(EmployeeData[[#This Row],[Attrition]]="Yes",EmployeeData[[#This Row],[LastWorkingDate]]&lt;&gt;""),EmployeeData[[#This Row],[LastWorkingDate]],TODAY()),"Y")</f>
        <v>3</v>
      </c>
      <c r="AA909" t="str">
        <f>IF(EmployeeData[[#This Row],[MonthlyIncome]]&lt;30000,"Low",IF(EmployeeData[[#This Row],[MonthlyIncome]]&lt;=60000,"Medium",IF(EmployeeData[[#This Row],[MonthlyIncome]]&lt;=100000,"High","Very High")))</f>
        <v>Very High</v>
      </c>
      <c r="AB909">
        <f>IF(EmployeeData[[#This Row],[Attrition]]="Yes",1,0)</f>
        <v>1</v>
      </c>
      <c r="AC909" t="str">
        <f ca="1">IF(EmployeeData[[#This Row],[Tenure Years]]&lt;1,"Less than 1 Year",IF(EmployeeData[[#This Row],[Tenure Years]]&lt;=3,"1-3 Years",IF(EmployeeData[[#This Row],[Tenure Years]]&lt;=5,"4-5 Years",IF(EmployeeData[[#This Row],[Tenure Years]]&lt;=10,"6-10 Years","More than 10 Years"))))</f>
        <v>1-3 Years</v>
      </c>
      <c r="AD909">
        <f>ROUND(AVERAGE(EmployeeData[[#This Row],[JobSatisfaction]],EmployeeData[[#This Row],[EnvironmentSatisfaction]],EmployeeData[[#This Row],[WorkLifeBalance]]),2)</f>
        <v>2.67</v>
      </c>
      <c r="AE909" t="str">
        <f>IF(EmployeeData[[#This Row],[Satisfaction Score]]&lt;2,"Low",IF(EmployeeData[[#This Row],[Satisfaction Score]]&lt;3,"Medium","High"))</f>
        <v>Medium</v>
      </c>
    </row>
    <row r="910" spans="1:31" x14ac:dyDescent="0.25">
      <c r="A910" t="s">
        <v>4204</v>
      </c>
      <c r="B910" t="s">
        <v>4205</v>
      </c>
      <c r="C910" t="s">
        <v>49</v>
      </c>
      <c r="D910">
        <v>35</v>
      </c>
      <c r="E910" t="s">
        <v>94</v>
      </c>
      <c r="F910" t="s">
        <v>266</v>
      </c>
      <c r="G910" s="1">
        <v>43148</v>
      </c>
      <c r="H910">
        <v>51568</v>
      </c>
      <c r="I910" t="s">
        <v>42</v>
      </c>
      <c r="J910" t="s">
        <v>61</v>
      </c>
      <c r="K910" t="s">
        <v>106</v>
      </c>
      <c r="L910" t="s">
        <v>43</v>
      </c>
      <c r="M910">
        <v>26</v>
      </c>
      <c r="N910" t="s">
        <v>34</v>
      </c>
      <c r="O910">
        <v>1</v>
      </c>
      <c r="P910">
        <v>4</v>
      </c>
      <c r="Q910">
        <v>4</v>
      </c>
      <c r="R910">
        <v>5</v>
      </c>
      <c r="S910">
        <v>4</v>
      </c>
      <c r="T910">
        <v>0</v>
      </c>
      <c r="U910">
        <v>18</v>
      </c>
      <c r="V910" t="s">
        <v>4207</v>
      </c>
      <c r="W910" t="s">
        <v>34</v>
      </c>
      <c r="Y910" s="2" t="str">
        <f>IF(EmployeeData[[#This Row],[Age]]&lt;25,"Under 25",IF(EmployeeData[[#This Row],[Age]]&lt;=34,"25-34",IF(EmployeeData[[#This Row],[Age]]&lt;=44,"35-44",IF(EmployeeData[[#This Row],[Age]]&lt;=54,"45-54","55+"))))</f>
        <v>35-44</v>
      </c>
      <c r="Z910">
        <f ca="1">DATEDIF(EmployeeData[[#This Row],[DateOfJoining]],IF(AND(EmployeeData[[#This Row],[Attrition]]="Yes",EmployeeData[[#This Row],[LastWorkingDate]]&lt;&gt;""),EmployeeData[[#This Row],[LastWorkingDate]],TODAY()),"Y")</f>
        <v>8</v>
      </c>
      <c r="AA910" t="str">
        <f>IF(EmployeeData[[#This Row],[MonthlyIncome]]&lt;30000,"Low",IF(EmployeeData[[#This Row],[MonthlyIncome]]&lt;=60000,"Medium",IF(EmployeeData[[#This Row],[MonthlyIncome]]&lt;=100000,"High","Very High")))</f>
        <v>Medium</v>
      </c>
      <c r="AB910">
        <f>IF(EmployeeData[[#This Row],[Attrition]]="Yes",1,0)</f>
        <v>0</v>
      </c>
      <c r="AC910" t="str">
        <f ca="1">IF(EmployeeData[[#This Row],[Tenure Years]]&lt;1,"Less than 1 Year",IF(EmployeeData[[#This Row],[Tenure Years]]&lt;=3,"1-3 Years",IF(EmployeeData[[#This Row],[Tenure Years]]&lt;=5,"4-5 Years",IF(EmployeeData[[#This Row],[Tenure Years]]&lt;=10,"6-10 Years","More than 10 Years"))))</f>
        <v>6-10 Years</v>
      </c>
      <c r="AD910">
        <f>ROUND(AVERAGE(EmployeeData[[#This Row],[JobSatisfaction]],EmployeeData[[#This Row],[EnvironmentSatisfaction]],EmployeeData[[#This Row],[WorkLifeBalance]]),2)</f>
        <v>3</v>
      </c>
      <c r="AE910" t="str">
        <f>IF(EmployeeData[[#This Row],[Satisfaction Score]]&lt;2,"Low",IF(EmployeeData[[#This Row],[Satisfaction Score]]&lt;3,"Medium","High"))</f>
        <v>High</v>
      </c>
    </row>
    <row r="911" spans="1:31" x14ac:dyDescent="0.25">
      <c r="A911" t="s">
        <v>4208</v>
      </c>
      <c r="B911" t="s">
        <v>4209</v>
      </c>
      <c r="C911" t="s">
        <v>58</v>
      </c>
      <c r="D911">
        <v>19</v>
      </c>
      <c r="E911" t="s">
        <v>128</v>
      </c>
      <c r="F911" t="s">
        <v>255</v>
      </c>
      <c r="G911" s="1">
        <v>43490</v>
      </c>
      <c r="H911">
        <v>77123</v>
      </c>
      <c r="I911" t="s">
        <v>52</v>
      </c>
      <c r="J911" t="s">
        <v>61</v>
      </c>
      <c r="K911" t="s">
        <v>131</v>
      </c>
      <c r="L911" t="s">
        <v>62</v>
      </c>
      <c r="M911">
        <v>37</v>
      </c>
      <c r="N911" t="s">
        <v>34</v>
      </c>
      <c r="O911">
        <v>4</v>
      </c>
      <c r="P911">
        <v>1</v>
      </c>
      <c r="Q911">
        <v>2</v>
      </c>
      <c r="R911">
        <v>5</v>
      </c>
      <c r="S911">
        <v>3</v>
      </c>
      <c r="T911">
        <v>6</v>
      </c>
      <c r="U911">
        <v>24</v>
      </c>
      <c r="V911" t="s">
        <v>4212</v>
      </c>
      <c r="W911" t="s">
        <v>34</v>
      </c>
      <c r="Y911" s="2" t="str">
        <f>IF(EmployeeData[[#This Row],[Age]]&lt;25,"Under 25",IF(EmployeeData[[#This Row],[Age]]&lt;=34,"25-34",IF(EmployeeData[[#This Row],[Age]]&lt;=44,"35-44",IF(EmployeeData[[#This Row],[Age]]&lt;=54,"45-54","55+"))))</f>
        <v>Under 25</v>
      </c>
      <c r="Z911">
        <f ca="1">DATEDIF(EmployeeData[[#This Row],[DateOfJoining]],IF(AND(EmployeeData[[#This Row],[Attrition]]="Yes",EmployeeData[[#This Row],[LastWorkingDate]]&lt;&gt;""),EmployeeData[[#This Row],[LastWorkingDate]],TODAY()),"Y")</f>
        <v>7</v>
      </c>
      <c r="AA911" t="str">
        <f>IF(EmployeeData[[#This Row],[MonthlyIncome]]&lt;30000,"Low",IF(EmployeeData[[#This Row],[MonthlyIncome]]&lt;=60000,"Medium",IF(EmployeeData[[#This Row],[MonthlyIncome]]&lt;=100000,"High","Very High")))</f>
        <v>High</v>
      </c>
      <c r="AB911">
        <f>IF(EmployeeData[[#This Row],[Attrition]]="Yes",1,0)</f>
        <v>0</v>
      </c>
      <c r="AC911" t="str">
        <f ca="1">IF(EmployeeData[[#This Row],[Tenure Years]]&lt;1,"Less than 1 Year",IF(EmployeeData[[#This Row],[Tenure Years]]&lt;=3,"1-3 Years",IF(EmployeeData[[#This Row],[Tenure Years]]&lt;=5,"4-5 Years",IF(EmployeeData[[#This Row],[Tenure Years]]&lt;=10,"6-10 Years","More than 10 Years"))))</f>
        <v>6-10 Years</v>
      </c>
      <c r="AD911">
        <f>ROUND(AVERAGE(EmployeeData[[#This Row],[JobSatisfaction]],EmployeeData[[#This Row],[EnvironmentSatisfaction]],EmployeeData[[#This Row],[WorkLifeBalance]]),2)</f>
        <v>2.33</v>
      </c>
      <c r="AE911" t="str">
        <f>IF(EmployeeData[[#This Row],[Satisfaction Score]]&lt;2,"Low",IF(EmployeeData[[#This Row],[Satisfaction Score]]&lt;3,"Medium","High"))</f>
        <v>Medium</v>
      </c>
    </row>
    <row r="912" spans="1:31" x14ac:dyDescent="0.25">
      <c r="A912" t="s">
        <v>4213</v>
      </c>
      <c r="B912" t="s">
        <v>4214</v>
      </c>
      <c r="C912" t="s">
        <v>58</v>
      </c>
      <c r="D912">
        <v>35</v>
      </c>
      <c r="E912" t="s">
        <v>5461</v>
      </c>
      <c r="F912" t="s">
        <v>89</v>
      </c>
      <c r="G912" s="1">
        <v>42824</v>
      </c>
      <c r="H912">
        <v>69600</v>
      </c>
      <c r="I912" t="s">
        <v>52</v>
      </c>
      <c r="J912" t="s">
        <v>31</v>
      </c>
      <c r="K912" t="s">
        <v>131</v>
      </c>
      <c r="L912" t="s">
        <v>62</v>
      </c>
      <c r="M912">
        <v>14</v>
      </c>
      <c r="N912" t="s">
        <v>34</v>
      </c>
      <c r="O912">
        <v>1</v>
      </c>
      <c r="P912">
        <v>3</v>
      </c>
      <c r="Q912">
        <v>1</v>
      </c>
      <c r="R912">
        <v>3</v>
      </c>
      <c r="S912">
        <v>1</v>
      </c>
      <c r="T912">
        <v>1</v>
      </c>
      <c r="U912">
        <v>21</v>
      </c>
      <c r="V912" t="s">
        <v>4216</v>
      </c>
      <c r="W912" t="s">
        <v>34</v>
      </c>
      <c r="Y912" s="2" t="str">
        <f>IF(EmployeeData[[#This Row],[Age]]&lt;25,"Under 25",IF(EmployeeData[[#This Row],[Age]]&lt;=34,"25-34",IF(EmployeeData[[#This Row],[Age]]&lt;=44,"35-44",IF(EmployeeData[[#This Row],[Age]]&lt;=54,"45-54","55+"))))</f>
        <v>35-44</v>
      </c>
      <c r="Z912">
        <f ca="1">DATEDIF(EmployeeData[[#This Row],[DateOfJoining]],IF(AND(EmployeeData[[#This Row],[Attrition]]="Yes",EmployeeData[[#This Row],[LastWorkingDate]]&lt;&gt;""),EmployeeData[[#This Row],[LastWorkingDate]],TODAY()),"Y")</f>
        <v>9</v>
      </c>
      <c r="AA912" t="str">
        <f>IF(EmployeeData[[#This Row],[MonthlyIncome]]&lt;30000,"Low",IF(EmployeeData[[#This Row],[MonthlyIncome]]&lt;=60000,"Medium",IF(EmployeeData[[#This Row],[MonthlyIncome]]&lt;=100000,"High","Very High")))</f>
        <v>High</v>
      </c>
      <c r="AB912">
        <f>IF(EmployeeData[[#This Row],[Attrition]]="Yes",1,0)</f>
        <v>0</v>
      </c>
      <c r="AC912" t="str">
        <f ca="1">IF(EmployeeData[[#This Row],[Tenure Years]]&lt;1,"Less than 1 Year",IF(EmployeeData[[#This Row],[Tenure Years]]&lt;=3,"1-3 Years",IF(EmployeeData[[#This Row],[Tenure Years]]&lt;=5,"4-5 Years",IF(EmployeeData[[#This Row],[Tenure Years]]&lt;=10,"6-10 Years","More than 10 Years"))))</f>
        <v>6-10 Years</v>
      </c>
      <c r="AD912">
        <f>ROUND(AVERAGE(EmployeeData[[#This Row],[JobSatisfaction]],EmployeeData[[#This Row],[EnvironmentSatisfaction]],EmployeeData[[#This Row],[WorkLifeBalance]]),2)</f>
        <v>1.67</v>
      </c>
      <c r="AE912" t="str">
        <f>IF(EmployeeData[[#This Row],[Satisfaction Score]]&lt;2,"Low",IF(EmployeeData[[#This Row],[Satisfaction Score]]&lt;3,"Medium","High"))</f>
        <v>Low</v>
      </c>
    </row>
    <row r="913" spans="1:31" x14ac:dyDescent="0.25">
      <c r="A913" t="s">
        <v>4217</v>
      </c>
      <c r="B913" t="s">
        <v>4218</v>
      </c>
      <c r="C913" t="s">
        <v>58</v>
      </c>
      <c r="D913">
        <v>28</v>
      </c>
      <c r="E913" t="s">
        <v>27</v>
      </c>
      <c r="F913" t="s">
        <v>188</v>
      </c>
      <c r="G913" s="1">
        <v>44672</v>
      </c>
      <c r="H913">
        <v>122268</v>
      </c>
      <c r="I913" t="s">
        <v>52</v>
      </c>
      <c r="J913" t="s">
        <v>5459</v>
      </c>
      <c r="K913" t="s">
        <v>131</v>
      </c>
      <c r="L913" t="s">
        <v>43</v>
      </c>
      <c r="M913">
        <v>23</v>
      </c>
      <c r="N913" t="s">
        <v>34</v>
      </c>
      <c r="O913">
        <v>2</v>
      </c>
      <c r="P913">
        <v>2</v>
      </c>
      <c r="Q913">
        <v>2</v>
      </c>
      <c r="R913">
        <v>4</v>
      </c>
      <c r="S913">
        <v>4</v>
      </c>
      <c r="T913">
        <v>0</v>
      </c>
      <c r="U913">
        <v>22</v>
      </c>
      <c r="V913" t="s">
        <v>4220</v>
      </c>
      <c r="W913" t="s">
        <v>34</v>
      </c>
      <c r="Y913" s="2" t="str">
        <f>IF(EmployeeData[[#This Row],[Age]]&lt;25,"Under 25",IF(EmployeeData[[#This Row],[Age]]&lt;=34,"25-34",IF(EmployeeData[[#This Row],[Age]]&lt;=44,"35-44",IF(EmployeeData[[#This Row],[Age]]&lt;=54,"45-54","55+"))))</f>
        <v>25-34</v>
      </c>
      <c r="Z913">
        <f ca="1">DATEDIF(EmployeeData[[#This Row],[DateOfJoining]],IF(AND(EmployeeData[[#This Row],[Attrition]]="Yes",EmployeeData[[#This Row],[LastWorkingDate]]&lt;&gt;""),EmployeeData[[#This Row],[LastWorkingDate]],TODAY()),"Y")</f>
        <v>4</v>
      </c>
      <c r="AA913" t="str">
        <f>IF(EmployeeData[[#This Row],[MonthlyIncome]]&lt;30000,"Low",IF(EmployeeData[[#This Row],[MonthlyIncome]]&lt;=60000,"Medium",IF(EmployeeData[[#This Row],[MonthlyIncome]]&lt;=100000,"High","Very High")))</f>
        <v>Very High</v>
      </c>
      <c r="AB913">
        <f>IF(EmployeeData[[#This Row],[Attrition]]="Yes",1,0)</f>
        <v>0</v>
      </c>
      <c r="AC913" t="str">
        <f ca="1">IF(EmployeeData[[#This Row],[Tenure Years]]&lt;1,"Less than 1 Year",IF(EmployeeData[[#This Row],[Tenure Years]]&lt;=3,"1-3 Years",IF(EmployeeData[[#This Row],[Tenure Years]]&lt;=5,"4-5 Years",IF(EmployeeData[[#This Row],[Tenure Years]]&lt;=10,"6-10 Years","More than 10 Years"))))</f>
        <v>4-5 Years</v>
      </c>
      <c r="AD913">
        <f>ROUND(AVERAGE(EmployeeData[[#This Row],[JobSatisfaction]],EmployeeData[[#This Row],[EnvironmentSatisfaction]],EmployeeData[[#This Row],[WorkLifeBalance]]),2)</f>
        <v>2</v>
      </c>
      <c r="AE913" t="str">
        <f>IF(EmployeeData[[#This Row],[Satisfaction Score]]&lt;2,"Low",IF(EmployeeData[[#This Row],[Satisfaction Score]]&lt;3,"Medium","High"))</f>
        <v>Medium</v>
      </c>
    </row>
    <row r="914" spans="1:31" x14ac:dyDescent="0.25">
      <c r="A914" t="s">
        <v>4221</v>
      </c>
      <c r="B914" t="s">
        <v>4222</v>
      </c>
      <c r="C914" t="s">
        <v>49</v>
      </c>
      <c r="D914">
        <v>28</v>
      </c>
      <c r="E914" t="s">
        <v>412</v>
      </c>
      <c r="F914" t="s">
        <v>1093</v>
      </c>
      <c r="G914" s="1">
        <v>44857</v>
      </c>
      <c r="H914">
        <v>54459</v>
      </c>
      <c r="I914" t="s">
        <v>30</v>
      </c>
      <c r="J914" t="s">
        <v>61</v>
      </c>
      <c r="K914" t="s">
        <v>54</v>
      </c>
      <c r="L914" t="s">
        <v>33</v>
      </c>
      <c r="M914">
        <v>36</v>
      </c>
      <c r="N914" t="s">
        <v>45</v>
      </c>
      <c r="O914">
        <v>1</v>
      </c>
      <c r="P914">
        <v>4</v>
      </c>
      <c r="Q914">
        <v>4</v>
      </c>
      <c r="R914">
        <v>3</v>
      </c>
      <c r="S914">
        <v>0</v>
      </c>
      <c r="T914">
        <v>6</v>
      </c>
      <c r="U914">
        <v>13</v>
      </c>
      <c r="V914" t="s">
        <v>4224</v>
      </c>
      <c r="W914" t="s">
        <v>45</v>
      </c>
      <c r="X914" s="1">
        <v>44891</v>
      </c>
      <c r="Y914" s="2" t="str">
        <f>IF(EmployeeData[[#This Row],[Age]]&lt;25,"Under 25",IF(EmployeeData[[#This Row],[Age]]&lt;=34,"25-34",IF(EmployeeData[[#This Row],[Age]]&lt;=44,"35-44",IF(EmployeeData[[#This Row],[Age]]&lt;=54,"45-54","55+"))))</f>
        <v>25-34</v>
      </c>
      <c r="Z914">
        <f ca="1">DATEDIF(EmployeeData[[#This Row],[DateOfJoining]],IF(AND(EmployeeData[[#This Row],[Attrition]]="Yes",EmployeeData[[#This Row],[LastWorkingDate]]&lt;&gt;""),EmployeeData[[#This Row],[LastWorkingDate]],TODAY()),"Y")</f>
        <v>0</v>
      </c>
      <c r="AA914" t="str">
        <f>IF(EmployeeData[[#This Row],[MonthlyIncome]]&lt;30000,"Low",IF(EmployeeData[[#This Row],[MonthlyIncome]]&lt;=60000,"Medium",IF(EmployeeData[[#This Row],[MonthlyIncome]]&lt;=100000,"High","Very High")))</f>
        <v>Medium</v>
      </c>
      <c r="AB914">
        <f>IF(EmployeeData[[#This Row],[Attrition]]="Yes",1,0)</f>
        <v>1</v>
      </c>
      <c r="AC914" t="str">
        <f ca="1">IF(EmployeeData[[#This Row],[Tenure Years]]&lt;1,"Less than 1 Year",IF(EmployeeData[[#This Row],[Tenure Years]]&lt;=3,"1-3 Years",IF(EmployeeData[[#This Row],[Tenure Years]]&lt;=5,"4-5 Years",IF(EmployeeData[[#This Row],[Tenure Years]]&lt;=10,"6-10 Years","More than 10 Years"))))</f>
        <v>Less than 1 Year</v>
      </c>
      <c r="AD914">
        <f>ROUND(AVERAGE(EmployeeData[[#This Row],[JobSatisfaction]],EmployeeData[[#This Row],[EnvironmentSatisfaction]],EmployeeData[[#This Row],[WorkLifeBalance]]),2)</f>
        <v>3</v>
      </c>
      <c r="AE914" t="str">
        <f>IF(EmployeeData[[#This Row],[Satisfaction Score]]&lt;2,"Low",IF(EmployeeData[[#This Row],[Satisfaction Score]]&lt;3,"Medium","High"))</f>
        <v>High</v>
      </c>
    </row>
    <row r="915" spans="1:31" x14ac:dyDescent="0.25">
      <c r="A915" t="s">
        <v>4226</v>
      </c>
      <c r="B915" t="s">
        <v>4227</v>
      </c>
      <c r="C915" t="s">
        <v>49</v>
      </c>
      <c r="D915">
        <v>23</v>
      </c>
      <c r="E915" t="s">
        <v>5461</v>
      </c>
      <c r="F915" t="s">
        <v>5464</v>
      </c>
      <c r="G915" s="1">
        <v>44663</v>
      </c>
      <c r="H915">
        <v>118628</v>
      </c>
      <c r="I915" t="s">
        <v>30</v>
      </c>
      <c r="J915" t="s">
        <v>31</v>
      </c>
      <c r="K915" t="s">
        <v>5459</v>
      </c>
      <c r="L915" t="s">
        <v>62</v>
      </c>
      <c r="M915">
        <v>36</v>
      </c>
      <c r="N915" t="s">
        <v>34</v>
      </c>
      <c r="O915">
        <v>1</v>
      </c>
      <c r="P915">
        <v>2</v>
      </c>
      <c r="Q915">
        <v>3</v>
      </c>
      <c r="R915">
        <v>4</v>
      </c>
      <c r="S915">
        <v>5</v>
      </c>
      <c r="T915">
        <v>4</v>
      </c>
      <c r="U915">
        <v>22</v>
      </c>
      <c r="V915" t="s">
        <v>3811</v>
      </c>
      <c r="W915" t="s">
        <v>34</v>
      </c>
      <c r="Y915" s="2" t="str">
        <f>IF(EmployeeData[[#This Row],[Age]]&lt;25,"Under 25",IF(EmployeeData[[#This Row],[Age]]&lt;=34,"25-34",IF(EmployeeData[[#This Row],[Age]]&lt;=44,"35-44",IF(EmployeeData[[#This Row],[Age]]&lt;=54,"45-54","55+"))))</f>
        <v>Under 25</v>
      </c>
      <c r="Z915">
        <f ca="1">DATEDIF(EmployeeData[[#This Row],[DateOfJoining]],IF(AND(EmployeeData[[#This Row],[Attrition]]="Yes",EmployeeData[[#This Row],[LastWorkingDate]]&lt;&gt;""),EmployeeData[[#This Row],[LastWorkingDate]],TODAY()),"Y")</f>
        <v>4</v>
      </c>
      <c r="AA915" t="str">
        <f>IF(EmployeeData[[#This Row],[MonthlyIncome]]&lt;30000,"Low",IF(EmployeeData[[#This Row],[MonthlyIncome]]&lt;=60000,"Medium",IF(EmployeeData[[#This Row],[MonthlyIncome]]&lt;=100000,"High","Very High")))</f>
        <v>Very High</v>
      </c>
      <c r="AB915">
        <f>IF(EmployeeData[[#This Row],[Attrition]]="Yes",1,0)</f>
        <v>0</v>
      </c>
      <c r="AC915" t="str">
        <f ca="1">IF(EmployeeData[[#This Row],[Tenure Years]]&lt;1,"Less than 1 Year",IF(EmployeeData[[#This Row],[Tenure Years]]&lt;=3,"1-3 Years",IF(EmployeeData[[#This Row],[Tenure Years]]&lt;=5,"4-5 Years",IF(EmployeeData[[#This Row],[Tenure Years]]&lt;=10,"6-10 Years","More than 10 Years"))))</f>
        <v>4-5 Years</v>
      </c>
      <c r="AD915">
        <f>ROUND(AVERAGE(EmployeeData[[#This Row],[JobSatisfaction]],EmployeeData[[#This Row],[EnvironmentSatisfaction]],EmployeeData[[#This Row],[WorkLifeBalance]]),2)</f>
        <v>2</v>
      </c>
      <c r="AE915" t="str">
        <f>IF(EmployeeData[[#This Row],[Satisfaction Score]]&lt;2,"Low",IF(EmployeeData[[#This Row],[Satisfaction Score]]&lt;3,"Medium","High"))</f>
        <v>Medium</v>
      </c>
    </row>
    <row r="916" spans="1:31" x14ac:dyDescent="0.25">
      <c r="A916" t="s">
        <v>4229</v>
      </c>
      <c r="B916" t="s">
        <v>4230</v>
      </c>
      <c r="C916" t="s">
        <v>49</v>
      </c>
      <c r="D916">
        <v>40</v>
      </c>
      <c r="E916" t="s">
        <v>5461</v>
      </c>
      <c r="F916" t="s">
        <v>89</v>
      </c>
      <c r="G916" s="1">
        <v>42351</v>
      </c>
      <c r="H916">
        <v>146837</v>
      </c>
      <c r="I916" t="s">
        <v>52</v>
      </c>
      <c r="J916" t="s">
        <v>143</v>
      </c>
      <c r="K916" t="s">
        <v>32</v>
      </c>
      <c r="L916" t="s">
        <v>62</v>
      </c>
      <c r="M916">
        <v>4</v>
      </c>
      <c r="N916" t="s">
        <v>34</v>
      </c>
      <c r="O916">
        <v>1</v>
      </c>
      <c r="P916">
        <v>3</v>
      </c>
      <c r="Q916">
        <v>3</v>
      </c>
      <c r="R916">
        <v>3</v>
      </c>
      <c r="S916">
        <v>3</v>
      </c>
      <c r="T916">
        <v>2</v>
      </c>
      <c r="U916">
        <v>22</v>
      </c>
      <c r="V916" t="s">
        <v>4232</v>
      </c>
      <c r="W916" t="s">
        <v>34</v>
      </c>
      <c r="Y916" s="2" t="str">
        <f>IF(EmployeeData[[#This Row],[Age]]&lt;25,"Under 25",IF(EmployeeData[[#This Row],[Age]]&lt;=34,"25-34",IF(EmployeeData[[#This Row],[Age]]&lt;=44,"35-44",IF(EmployeeData[[#This Row],[Age]]&lt;=54,"45-54","55+"))))</f>
        <v>35-44</v>
      </c>
      <c r="Z916">
        <f ca="1">DATEDIF(EmployeeData[[#This Row],[DateOfJoining]],IF(AND(EmployeeData[[#This Row],[Attrition]]="Yes",EmployeeData[[#This Row],[LastWorkingDate]]&lt;&gt;""),EmployeeData[[#This Row],[LastWorkingDate]],TODAY()),"Y")</f>
        <v>10</v>
      </c>
      <c r="AA916" t="str">
        <f>IF(EmployeeData[[#This Row],[MonthlyIncome]]&lt;30000,"Low",IF(EmployeeData[[#This Row],[MonthlyIncome]]&lt;=60000,"Medium",IF(EmployeeData[[#This Row],[MonthlyIncome]]&lt;=100000,"High","Very High")))</f>
        <v>Very High</v>
      </c>
      <c r="AB916">
        <f>IF(EmployeeData[[#This Row],[Attrition]]="Yes",1,0)</f>
        <v>0</v>
      </c>
      <c r="AC916" t="str">
        <f ca="1">IF(EmployeeData[[#This Row],[Tenure Years]]&lt;1,"Less than 1 Year",IF(EmployeeData[[#This Row],[Tenure Years]]&lt;=3,"1-3 Years",IF(EmployeeData[[#This Row],[Tenure Years]]&lt;=5,"4-5 Years",IF(EmployeeData[[#This Row],[Tenure Years]]&lt;=10,"6-10 Years","More than 10 Years"))))</f>
        <v>6-10 Years</v>
      </c>
      <c r="AD916">
        <f>ROUND(AVERAGE(EmployeeData[[#This Row],[JobSatisfaction]],EmployeeData[[#This Row],[EnvironmentSatisfaction]],EmployeeData[[#This Row],[WorkLifeBalance]]),2)</f>
        <v>2.33</v>
      </c>
      <c r="AE916" t="str">
        <f>IF(EmployeeData[[#This Row],[Satisfaction Score]]&lt;2,"Low",IF(EmployeeData[[#This Row],[Satisfaction Score]]&lt;3,"Medium","High"))</f>
        <v>Medium</v>
      </c>
    </row>
    <row r="917" spans="1:31" x14ac:dyDescent="0.25">
      <c r="A917" t="s">
        <v>4233</v>
      </c>
      <c r="B917" t="s">
        <v>4234</v>
      </c>
      <c r="C917" t="s">
        <v>58</v>
      </c>
      <c r="D917">
        <v>40</v>
      </c>
      <c r="E917" t="s">
        <v>38</v>
      </c>
      <c r="F917" t="s">
        <v>5465</v>
      </c>
      <c r="G917" s="1">
        <v>43558</v>
      </c>
      <c r="H917">
        <v>51722</v>
      </c>
      <c r="I917" t="s">
        <v>30</v>
      </c>
      <c r="J917" t="s">
        <v>61</v>
      </c>
      <c r="K917" t="s">
        <v>83</v>
      </c>
      <c r="L917" t="s">
        <v>43</v>
      </c>
      <c r="M917">
        <v>26</v>
      </c>
      <c r="N917" t="s">
        <v>45</v>
      </c>
      <c r="O917">
        <v>1</v>
      </c>
      <c r="P917">
        <v>1</v>
      </c>
      <c r="Q917">
        <v>1</v>
      </c>
      <c r="R917">
        <v>5</v>
      </c>
      <c r="S917">
        <v>2</v>
      </c>
      <c r="T917">
        <v>1</v>
      </c>
      <c r="U917">
        <v>19</v>
      </c>
      <c r="V917" t="s">
        <v>4236</v>
      </c>
      <c r="W917" t="s">
        <v>45</v>
      </c>
      <c r="X917" s="1">
        <v>44296</v>
      </c>
      <c r="Y917" s="2" t="str">
        <f>IF(EmployeeData[[#This Row],[Age]]&lt;25,"Under 25",IF(EmployeeData[[#This Row],[Age]]&lt;=34,"25-34",IF(EmployeeData[[#This Row],[Age]]&lt;=44,"35-44",IF(EmployeeData[[#This Row],[Age]]&lt;=54,"45-54","55+"))))</f>
        <v>35-44</v>
      </c>
      <c r="Z917">
        <f ca="1">DATEDIF(EmployeeData[[#This Row],[DateOfJoining]],IF(AND(EmployeeData[[#This Row],[Attrition]]="Yes",EmployeeData[[#This Row],[LastWorkingDate]]&lt;&gt;""),EmployeeData[[#This Row],[LastWorkingDate]],TODAY()),"Y")</f>
        <v>2</v>
      </c>
      <c r="AA917" t="str">
        <f>IF(EmployeeData[[#This Row],[MonthlyIncome]]&lt;30000,"Low",IF(EmployeeData[[#This Row],[MonthlyIncome]]&lt;=60000,"Medium",IF(EmployeeData[[#This Row],[MonthlyIncome]]&lt;=100000,"High","Very High")))</f>
        <v>Medium</v>
      </c>
      <c r="AB917">
        <f>IF(EmployeeData[[#This Row],[Attrition]]="Yes",1,0)</f>
        <v>1</v>
      </c>
      <c r="AC917" t="str">
        <f ca="1">IF(EmployeeData[[#This Row],[Tenure Years]]&lt;1,"Less than 1 Year",IF(EmployeeData[[#This Row],[Tenure Years]]&lt;=3,"1-3 Years",IF(EmployeeData[[#This Row],[Tenure Years]]&lt;=5,"4-5 Years",IF(EmployeeData[[#This Row],[Tenure Years]]&lt;=10,"6-10 Years","More than 10 Years"))))</f>
        <v>1-3 Years</v>
      </c>
      <c r="AD917">
        <f>ROUND(AVERAGE(EmployeeData[[#This Row],[JobSatisfaction]],EmployeeData[[#This Row],[EnvironmentSatisfaction]],EmployeeData[[#This Row],[WorkLifeBalance]]),2)</f>
        <v>1</v>
      </c>
      <c r="AE917" t="str">
        <f>IF(EmployeeData[[#This Row],[Satisfaction Score]]&lt;2,"Low",IF(EmployeeData[[#This Row],[Satisfaction Score]]&lt;3,"Medium","High"))</f>
        <v>Low</v>
      </c>
    </row>
    <row r="918" spans="1:31" x14ac:dyDescent="0.25">
      <c r="A918" t="s">
        <v>4238</v>
      </c>
      <c r="B918" t="s">
        <v>4239</v>
      </c>
      <c r="C918" t="s">
        <v>49</v>
      </c>
      <c r="D918">
        <v>41</v>
      </c>
      <c r="E918" t="s">
        <v>27</v>
      </c>
      <c r="F918" t="s">
        <v>59</v>
      </c>
      <c r="G918" s="1">
        <v>45117</v>
      </c>
      <c r="H918">
        <v>92800</v>
      </c>
      <c r="I918" t="s">
        <v>30</v>
      </c>
      <c r="J918" t="s">
        <v>143</v>
      </c>
      <c r="K918" t="s">
        <v>113</v>
      </c>
      <c r="L918" t="s">
        <v>33</v>
      </c>
      <c r="M918">
        <v>37</v>
      </c>
      <c r="N918" t="s">
        <v>45</v>
      </c>
      <c r="O918">
        <v>2</v>
      </c>
      <c r="P918">
        <v>2</v>
      </c>
      <c r="Q918">
        <v>4</v>
      </c>
      <c r="R918">
        <v>4</v>
      </c>
      <c r="S918">
        <v>6</v>
      </c>
      <c r="T918">
        <v>3</v>
      </c>
      <c r="U918">
        <v>21</v>
      </c>
      <c r="V918" t="s">
        <v>4241</v>
      </c>
      <c r="W918" t="s">
        <v>45</v>
      </c>
      <c r="X918" s="1">
        <v>45506</v>
      </c>
      <c r="Y918" s="2" t="str">
        <f>IF(EmployeeData[[#This Row],[Age]]&lt;25,"Under 25",IF(EmployeeData[[#This Row],[Age]]&lt;=34,"25-34",IF(EmployeeData[[#This Row],[Age]]&lt;=44,"35-44",IF(EmployeeData[[#This Row],[Age]]&lt;=54,"45-54","55+"))))</f>
        <v>35-44</v>
      </c>
      <c r="Z918">
        <f ca="1">DATEDIF(EmployeeData[[#This Row],[DateOfJoining]],IF(AND(EmployeeData[[#This Row],[Attrition]]="Yes",EmployeeData[[#This Row],[LastWorkingDate]]&lt;&gt;""),EmployeeData[[#This Row],[LastWorkingDate]],TODAY()),"Y")</f>
        <v>1</v>
      </c>
      <c r="AA918" t="str">
        <f>IF(EmployeeData[[#This Row],[MonthlyIncome]]&lt;30000,"Low",IF(EmployeeData[[#This Row],[MonthlyIncome]]&lt;=60000,"Medium",IF(EmployeeData[[#This Row],[MonthlyIncome]]&lt;=100000,"High","Very High")))</f>
        <v>High</v>
      </c>
      <c r="AB918">
        <f>IF(EmployeeData[[#This Row],[Attrition]]="Yes",1,0)</f>
        <v>1</v>
      </c>
      <c r="AC918" t="str">
        <f ca="1">IF(EmployeeData[[#This Row],[Tenure Years]]&lt;1,"Less than 1 Year",IF(EmployeeData[[#This Row],[Tenure Years]]&lt;=3,"1-3 Years",IF(EmployeeData[[#This Row],[Tenure Years]]&lt;=5,"4-5 Years",IF(EmployeeData[[#This Row],[Tenure Years]]&lt;=10,"6-10 Years","More than 10 Years"))))</f>
        <v>1-3 Years</v>
      </c>
      <c r="AD918">
        <f>ROUND(AVERAGE(EmployeeData[[#This Row],[JobSatisfaction]],EmployeeData[[#This Row],[EnvironmentSatisfaction]],EmployeeData[[#This Row],[WorkLifeBalance]]),2)</f>
        <v>2.67</v>
      </c>
      <c r="AE918" t="str">
        <f>IF(EmployeeData[[#This Row],[Satisfaction Score]]&lt;2,"Low",IF(EmployeeData[[#This Row],[Satisfaction Score]]&lt;3,"Medium","High"))</f>
        <v>Medium</v>
      </c>
    </row>
    <row r="919" spans="1:31" x14ac:dyDescent="0.25">
      <c r="A919" t="s">
        <v>4243</v>
      </c>
      <c r="B919" t="s">
        <v>4244</v>
      </c>
      <c r="C919" t="s">
        <v>58</v>
      </c>
      <c r="D919">
        <v>33</v>
      </c>
      <c r="E919" t="s">
        <v>5461</v>
      </c>
      <c r="F919" t="s">
        <v>5464</v>
      </c>
      <c r="G919" s="1">
        <v>41098</v>
      </c>
      <c r="H919">
        <v>72689</v>
      </c>
      <c r="I919" t="s">
        <v>30</v>
      </c>
      <c r="J919" t="s">
        <v>61</v>
      </c>
      <c r="K919" t="s">
        <v>167</v>
      </c>
      <c r="L919" t="s">
        <v>43</v>
      </c>
      <c r="M919">
        <v>23</v>
      </c>
      <c r="N919" t="s">
        <v>34</v>
      </c>
      <c r="O919">
        <v>3</v>
      </c>
      <c r="P919">
        <v>4</v>
      </c>
      <c r="Q919">
        <v>1</v>
      </c>
      <c r="R919">
        <v>5</v>
      </c>
      <c r="S919">
        <v>3</v>
      </c>
      <c r="T919">
        <v>1</v>
      </c>
      <c r="U919">
        <v>11</v>
      </c>
      <c r="V919" t="s">
        <v>5459</v>
      </c>
      <c r="W919" t="s">
        <v>34</v>
      </c>
      <c r="Y919" s="2" t="str">
        <f>IF(EmployeeData[[#This Row],[Age]]&lt;25,"Under 25",IF(EmployeeData[[#This Row],[Age]]&lt;=34,"25-34",IF(EmployeeData[[#This Row],[Age]]&lt;=44,"35-44",IF(EmployeeData[[#This Row],[Age]]&lt;=54,"45-54","55+"))))</f>
        <v>25-34</v>
      </c>
      <c r="Z919">
        <f ca="1">DATEDIF(EmployeeData[[#This Row],[DateOfJoining]],IF(AND(EmployeeData[[#This Row],[Attrition]]="Yes",EmployeeData[[#This Row],[LastWorkingDate]]&lt;&gt;""),EmployeeData[[#This Row],[LastWorkingDate]],TODAY()),"Y")</f>
        <v>14</v>
      </c>
      <c r="AA919" t="str">
        <f>IF(EmployeeData[[#This Row],[MonthlyIncome]]&lt;30000,"Low",IF(EmployeeData[[#This Row],[MonthlyIncome]]&lt;=60000,"Medium",IF(EmployeeData[[#This Row],[MonthlyIncome]]&lt;=100000,"High","Very High")))</f>
        <v>High</v>
      </c>
      <c r="AB919">
        <f>IF(EmployeeData[[#This Row],[Attrition]]="Yes",1,0)</f>
        <v>0</v>
      </c>
      <c r="AC919" t="str">
        <f ca="1">IF(EmployeeData[[#This Row],[Tenure Years]]&lt;1,"Less than 1 Year",IF(EmployeeData[[#This Row],[Tenure Years]]&lt;=3,"1-3 Years",IF(EmployeeData[[#This Row],[Tenure Years]]&lt;=5,"4-5 Years",IF(EmployeeData[[#This Row],[Tenure Years]]&lt;=10,"6-10 Years","More than 10 Years"))))</f>
        <v>More than 10 Years</v>
      </c>
      <c r="AD919">
        <f>ROUND(AVERAGE(EmployeeData[[#This Row],[JobSatisfaction]],EmployeeData[[#This Row],[EnvironmentSatisfaction]],EmployeeData[[#This Row],[WorkLifeBalance]]),2)</f>
        <v>2.67</v>
      </c>
      <c r="AE919" t="str">
        <f>IF(EmployeeData[[#This Row],[Satisfaction Score]]&lt;2,"Low",IF(EmployeeData[[#This Row],[Satisfaction Score]]&lt;3,"Medium","High"))</f>
        <v>Medium</v>
      </c>
    </row>
    <row r="920" spans="1:31" x14ac:dyDescent="0.25">
      <c r="A920" t="s">
        <v>4246</v>
      </c>
      <c r="B920" t="s">
        <v>4247</v>
      </c>
      <c r="C920" t="s">
        <v>58</v>
      </c>
      <c r="D920">
        <v>43</v>
      </c>
      <c r="E920" t="s">
        <v>27</v>
      </c>
      <c r="F920" t="s">
        <v>188</v>
      </c>
      <c r="G920" s="1">
        <v>42376</v>
      </c>
      <c r="H920">
        <v>76798</v>
      </c>
      <c r="I920" t="s">
        <v>42</v>
      </c>
      <c r="J920" t="s">
        <v>5459</v>
      </c>
      <c r="K920" t="s">
        <v>98</v>
      </c>
      <c r="L920" t="s">
        <v>43</v>
      </c>
      <c r="M920">
        <v>28</v>
      </c>
      <c r="N920" t="s">
        <v>34</v>
      </c>
      <c r="O920">
        <v>1</v>
      </c>
      <c r="P920">
        <v>3</v>
      </c>
      <c r="Q920">
        <v>1</v>
      </c>
      <c r="R920">
        <v>2</v>
      </c>
      <c r="S920">
        <v>2</v>
      </c>
      <c r="T920">
        <v>8</v>
      </c>
      <c r="U920">
        <v>19</v>
      </c>
      <c r="V920" t="s">
        <v>4250</v>
      </c>
      <c r="W920" t="s">
        <v>34</v>
      </c>
      <c r="Y920" s="2" t="str">
        <f>IF(EmployeeData[[#This Row],[Age]]&lt;25,"Under 25",IF(EmployeeData[[#This Row],[Age]]&lt;=34,"25-34",IF(EmployeeData[[#This Row],[Age]]&lt;=44,"35-44",IF(EmployeeData[[#This Row],[Age]]&lt;=54,"45-54","55+"))))</f>
        <v>35-44</v>
      </c>
      <c r="Z920">
        <f ca="1">DATEDIF(EmployeeData[[#This Row],[DateOfJoining]],IF(AND(EmployeeData[[#This Row],[Attrition]]="Yes",EmployeeData[[#This Row],[LastWorkingDate]]&lt;&gt;""),EmployeeData[[#This Row],[LastWorkingDate]],TODAY()),"Y")</f>
        <v>10</v>
      </c>
      <c r="AA920" t="str">
        <f>IF(EmployeeData[[#This Row],[MonthlyIncome]]&lt;30000,"Low",IF(EmployeeData[[#This Row],[MonthlyIncome]]&lt;=60000,"Medium",IF(EmployeeData[[#This Row],[MonthlyIncome]]&lt;=100000,"High","Very High")))</f>
        <v>High</v>
      </c>
      <c r="AB920">
        <f>IF(EmployeeData[[#This Row],[Attrition]]="Yes",1,0)</f>
        <v>0</v>
      </c>
      <c r="AC920" t="str">
        <f ca="1">IF(EmployeeData[[#This Row],[Tenure Years]]&lt;1,"Less than 1 Year",IF(EmployeeData[[#This Row],[Tenure Years]]&lt;=3,"1-3 Years",IF(EmployeeData[[#This Row],[Tenure Years]]&lt;=5,"4-5 Years",IF(EmployeeData[[#This Row],[Tenure Years]]&lt;=10,"6-10 Years","More than 10 Years"))))</f>
        <v>6-10 Years</v>
      </c>
      <c r="AD920">
        <f>ROUND(AVERAGE(EmployeeData[[#This Row],[JobSatisfaction]],EmployeeData[[#This Row],[EnvironmentSatisfaction]],EmployeeData[[#This Row],[WorkLifeBalance]]),2)</f>
        <v>1.67</v>
      </c>
      <c r="AE920" t="str">
        <f>IF(EmployeeData[[#This Row],[Satisfaction Score]]&lt;2,"Low",IF(EmployeeData[[#This Row],[Satisfaction Score]]&lt;3,"Medium","High"))</f>
        <v>Low</v>
      </c>
    </row>
    <row r="921" spans="1:31" x14ac:dyDescent="0.25">
      <c r="A921" t="s">
        <v>4251</v>
      </c>
      <c r="B921" t="s">
        <v>4252</v>
      </c>
      <c r="C921" t="s">
        <v>58</v>
      </c>
      <c r="D921">
        <v>41</v>
      </c>
      <c r="E921" t="s">
        <v>27</v>
      </c>
      <c r="F921" t="s">
        <v>188</v>
      </c>
      <c r="G921" s="1">
        <v>44133</v>
      </c>
      <c r="H921">
        <v>98164</v>
      </c>
      <c r="I921" t="s">
        <v>52</v>
      </c>
      <c r="J921" t="s">
        <v>97</v>
      </c>
      <c r="K921" t="s">
        <v>54</v>
      </c>
      <c r="L921" t="s">
        <v>43</v>
      </c>
      <c r="M921">
        <v>37</v>
      </c>
      <c r="N921" t="s">
        <v>34</v>
      </c>
      <c r="O921">
        <v>2</v>
      </c>
      <c r="P921">
        <v>1</v>
      </c>
      <c r="Q921">
        <v>1</v>
      </c>
      <c r="R921">
        <v>3</v>
      </c>
      <c r="S921">
        <v>6</v>
      </c>
      <c r="T921">
        <v>4</v>
      </c>
      <c r="U921">
        <v>14</v>
      </c>
      <c r="V921" t="s">
        <v>4255</v>
      </c>
      <c r="W921" t="s">
        <v>34</v>
      </c>
      <c r="Y921" s="2" t="str">
        <f>IF(EmployeeData[[#This Row],[Age]]&lt;25,"Under 25",IF(EmployeeData[[#This Row],[Age]]&lt;=34,"25-34",IF(EmployeeData[[#This Row],[Age]]&lt;=44,"35-44",IF(EmployeeData[[#This Row],[Age]]&lt;=54,"45-54","55+"))))</f>
        <v>35-44</v>
      </c>
      <c r="Z921">
        <f ca="1">DATEDIF(EmployeeData[[#This Row],[DateOfJoining]],IF(AND(EmployeeData[[#This Row],[Attrition]]="Yes",EmployeeData[[#This Row],[LastWorkingDate]]&lt;&gt;""),EmployeeData[[#This Row],[LastWorkingDate]],TODAY()),"Y")</f>
        <v>5</v>
      </c>
      <c r="AA921" t="str">
        <f>IF(EmployeeData[[#This Row],[MonthlyIncome]]&lt;30000,"Low",IF(EmployeeData[[#This Row],[MonthlyIncome]]&lt;=60000,"Medium",IF(EmployeeData[[#This Row],[MonthlyIncome]]&lt;=100000,"High","Very High")))</f>
        <v>High</v>
      </c>
      <c r="AB921">
        <f>IF(EmployeeData[[#This Row],[Attrition]]="Yes",1,0)</f>
        <v>0</v>
      </c>
      <c r="AC921" t="str">
        <f ca="1">IF(EmployeeData[[#This Row],[Tenure Years]]&lt;1,"Less than 1 Year",IF(EmployeeData[[#This Row],[Tenure Years]]&lt;=3,"1-3 Years",IF(EmployeeData[[#This Row],[Tenure Years]]&lt;=5,"4-5 Years",IF(EmployeeData[[#This Row],[Tenure Years]]&lt;=10,"6-10 Years","More than 10 Years"))))</f>
        <v>4-5 Years</v>
      </c>
      <c r="AD921">
        <f>ROUND(AVERAGE(EmployeeData[[#This Row],[JobSatisfaction]],EmployeeData[[#This Row],[EnvironmentSatisfaction]],EmployeeData[[#This Row],[WorkLifeBalance]]),2)</f>
        <v>1.33</v>
      </c>
      <c r="AE921" t="str">
        <f>IF(EmployeeData[[#This Row],[Satisfaction Score]]&lt;2,"Low",IF(EmployeeData[[#This Row],[Satisfaction Score]]&lt;3,"Medium","High"))</f>
        <v>Low</v>
      </c>
    </row>
    <row r="922" spans="1:31" x14ac:dyDescent="0.25">
      <c r="A922" t="s">
        <v>4256</v>
      </c>
      <c r="B922" t="s">
        <v>4257</v>
      </c>
      <c r="C922" t="s">
        <v>58</v>
      </c>
      <c r="D922">
        <v>22</v>
      </c>
      <c r="E922" t="s">
        <v>128</v>
      </c>
      <c r="F922" t="s">
        <v>255</v>
      </c>
      <c r="G922" s="1">
        <v>41811</v>
      </c>
      <c r="H922">
        <v>83385</v>
      </c>
      <c r="I922" t="s">
        <v>52</v>
      </c>
      <c r="J922" t="s">
        <v>53</v>
      </c>
      <c r="K922" t="s">
        <v>32</v>
      </c>
      <c r="L922" t="s">
        <v>33</v>
      </c>
      <c r="M922">
        <v>4</v>
      </c>
      <c r="N922" t="s">
        <v>34</v>
      </c>
      <c r="O922">
        <v>3</v>
      </c>
      <c r="P922">
        <v>2</v>
      </c>
      <c r="Q922">
        <v>4</v>
      </c>
      <c r="R922">
        <v>3</v>
      </c>
      <c r="S922">
        <v>4</v>
      </c>
      <c r="T922">
        <v>5</v>
      </c>
      <c r="U922">
        <v>12</v>
      </c>
      <c r="V922" t="s">
        <v>4259</v>
      </c>
      <c r="W922" t="s">
        <v>34</v>
      </c>
      <c r="Y922" s="2" t="str">
        <f>IF(EmployeeData[[#This Row],[Age]]&lt;25,"Under 25",IF(EmployeeData[[#This Row],[Age]]&lt;=34,"25-34",IF(EmployeeData[[#This Row],[Age]]&lt;=44,"35-44",IF(EmployeeData[[#This Row],[Age]]&lt;=54,"45-54","55+"))))</f>
        <v>Under 25</v>
      </c>
      <c r="Z922">
        <f ca="1">DATEDIF(EmployeeData[[#This Row],[DateOfJoining]],IF(AND(EmployeeData[[#This Row],[Attrition]]="Yes",EmployeeData[[#This Row],[LastWorkingDate]]&lt;&gt;""),EmployeeData[[#This Row],[LastWorkingDate]],TODAY()),"Y")</f>
        <v>12</v>
      </c>
      <c r="AA922" t="str">
        <f>IF(EmployeeData[[#This Row],[MonthlyIncome]]&lt;30000,"Low",IF(EmployeeData[[#This Row],[MonthlyIncome]]&lt;=60000,"Medium",IF(EmployeeData[[#This Row],[MonthlyIncome]]&lt;=100000,"High","Very High")))</f>
        <v>High</v>
      </c>
      <c r="AB922">
        <f>IF(EmployeeData[[#This Row],[Attrition]]="Yes",1,0)</f>
        <v>0</v>
      </c>
      <c r="AC922" t="str">
        <f ca="1">IF(EmployeeData[[#This Row],[Tenure Years]]&lt;1,"Less than 1 Year",IF(EmployeeData[[#This Row],[Tenure Years]]&lt;=3,"1-3 Years",IF(EmployeeData[[#This Row],[Tenure Years]]&lt;=5,"4-5 Years",IF(EmployeeData[[#This Row],[Tenure Years]]&lt;=10,"6-10 Years","More than 10 Years"))))</f>
        <v>More than 10 Years</v>
      </c>
      <c r="AD922">
        <f>ROUND(AVERAGE(EmployeeData[[#This Row],[JobSatisfaction]],EmployeeData[[#This Row],[EnvironmentSatisfaction]],EmployeeData[[#This Row],[WorkLifeBalance]]),2)</f>
        <v>3</v>
      </c>
      <c r="AE922" t="str">
        <f>IF(EmployeeData[[#This Row],[Satisfaction Score]]&lt;2,"Low",IF(EmployeeData[[#This Row],[Satisfaction Score]]&lt;3,"Medium","High"))</f>
        <v>High</v>
      </c>
    </row>
    <row r="923" spans="1:31" x14ac:dyDescent="0.25">
      <c r="A923" t="s">
        <v>4260</v>
      </c>
      <c r="B923" t="s">
        <v>4261</v>
      </c>
      <c r="C923" t="s">
        <v>49</v>
      </c>
      <c r="D923">
        <v>34</v>
      </c>
      <c r="E923" t="s">
        <v>38</v>
      </c>
      <c r="F923" t="s">
        <v>792</v>
      </c>
      <c r="G923" s="1">
        <v>45763</v>
      </c>
      <c r="H923">
        <v>32553</v>
      </c>
      <c r="I923" t="s">
        <v>52</v>
      </c>
      <c r="J923" t="s">
        <v>53</v>
      </c>
      <c r="K923" t="s">
        <v>106</v>
      </c>
      <c r="L923" t="s">
        <v>33</v>
      </c>
      <c r="M923">
        <v>4</v>
      </c>
      <c r="N923" t="s">
        <v>34</v>
      </c>
      <c r="O923">
        <v>2</v>
      </c>
      <c r="P923">
        <v>2</v>
      </c>
      <c r="Q923">
        <v>2</v>
      </c>
      <c r="R923">
        <v>3</v>
      </c>
      <c r="S923">
        <v>4</v>
      </c>
      <c r="T923">
        <v>8</v>
      </c>
      <c r="U923">
        <v>12</v>
      </c>
      <c r="V923" t="s">
        <v>4264</v>
      </c>
      <c r="W923" t="s">
        <v>45</v>
      </c>
      <c r="X923" s="1">
        <v>46179</v>
      </c>
      <c r="Y923" s="2" t="str">
        <f>IF(EmployeeData[[#This Row],[Age]]&lt;25,"Under 25",IF(EmployeeData[[#This Row],[Age]]&lt;=34,"25-34",IF(EmployeeData[[#This Row],[Age]]&lt;=44,"35-44",IF(EmployeeData[[#This Row],[Age]]&lt;=54,"45-54","55+"))))</f>
        <v>25-34</v>
      </c>
      <c r="Z923">
        <f ca="1">DATEDIF(EmployeeData[[#This Row],[DateOfJoining]],IF(AND(EmployeeData[[#This Row],[Attrition]]="Yes",EmployeeData[[#This Row],[LastWorkingDate]]&lt;&gt;""),EmployeeData[[#This Row],[LastWorkingDate]],TODAY()),"Y")</f>
        <v>1</v>
      </c>
      <c r="AA923" t="str">
        <f>IF(EmployeeData[[#This Row],[MonthlyIncome]]&lt;30000,"Low",IF(EmployeeData[[#This Row],[MonthlyIncome]]&lt;=60000,"Medium",IF(EmployeeData[[#This Row],[MonthlyIncome]]&lt;=100000,"High","Very High")))</f>
        <v>Medium</v>
      </c>
      <c r="AB923">
        <f>IF(EmployeeData[[#This Row],[Attrition]]="Yes",1,0)</f>
        <v>1</v>
      </c>
      <c r="AC923" t="str">
        <f ca="1">IF(EmployeeData[[#This Row],[Tenure Years]]&lt;1,"Less than 1 Year",IF(EmployeeData[[#This Row],[Tenure Years]]&lt;=3,"1-3 Years",IF(EmployeeData[[#This Row],[Tenure Years]]&lt;=5,"4-5 Years",IF(EmployeeData[[#This Row],[Tenure Years]]&lt;=10,"6-10 Years","More than 10 Years"))))</f>
        <v>1-3 Years</v>
      </c>
      <c r="AD923">
        <f>ROUND(AVERAGE(EmployeeData[[#This Row],[JobSatisfaction]],EmployeeData[[#This Row],[EnvironmentSatisfaction]],EmployeeData[[#This Row],[WorkLifeBalance]]),2)</f>
        <v>2</v>
      </c>
      <c r="AE923" t="str">
        <f>IF(EmployeeData[[#This Row],[Satisfaction Score]]&lt;2,"Low",IF(EmployeeData[[#This Row],[Satisfaction Score]]&lt;3,"Medium","High"))</f>
        <v>Medium</v>
      </c>
    </row>
    <row r="924" spans="1:31" x14ac:dyDescent="0.25">
      <c r="A924" t="s">
        <v>4265</v>
      </c>
      <c r="B924" t="s">
        <v>4266</v>
      </c>
      <c r="C924" t="s">
        <v>49</v>
      </c>
      <c r="D924">
        <v>36</v>
      </c>
      <c r="E924" t="s">
        <v>94</v>
      </c>
      <c r="F924" t="s">
        <v>356</v>
      </c>
      <c r="G924" s="1">
        <v>42392</v>
      </c>
      <c r="H924">
        <v>56980</v>
      </c>
      <c r="I924" t="s">
        <v>52</v>
      </c>
      <c r="J924" t="s">
        <v>53</v>
      </c>
      <c r="K924" t="s">
        <v>32</v>
      </c>
      <c r="L924" t="s">
        <v>33</v>
      </c>
      <c r="M924">
        <v>2</v>
      </c>
      <c r="N924" t="s">
        <v>34</v>
      </c>
      <c r="O924">
        <v>1</v>
      </c>
      <c r="P924">
        <v>3</v>
      </c>
      <c r="Q924">
        <v>2</v>
      </c>
      <c r="R924">
        <v>4</v>
      </c>
      <c r="S924">
        <v>6</v>
      </c>
      <c r="T924">
        <v>2</v>
      </c>
      <c r="U924">
        <v>17</v>
      </c>
      <c r="V924" t="s">
        <v>5459</v>
      </c>
      <c r="W924" t="s">
        <v>34</v>
      </c>
      <c r="Y924" s="2" t="str">
        <f>IF(EmployeeData[[#This Row],[Age]]&lt;25,"Under 25",IF(EmployeeData[[#This Row],[Age]]&lt;=34,"25-34",IF(EmployeeData[[#This Row],[Age]]&lt;=44,"35-44",IF(EmployeeData[[#This Row],[Age]]&lt;=54,"45-54","55+"))))</f>
        <v>35-44</v>
      </c>
      <c r="Z924">
        <f ca="1">DATEDIF(EmployeeData[[#This Row],[DateOfJoining]],IF(AND(EmployeeData[[#This Row],[Attrition]]="Yes",EmployeeData[[#This Row],[LastWorkingDate]]&lt;&gt;""),EmployeeData[[#This Row],[LastWorkingDate]],TODAY()),"Y")</f>
        <v>10</v>
      </c>
      <c r="AA924" t="str">
        <f>IF(EmployeeData[[#This Row],[MonthlyIncome]]&lt;30000,"Low",IF(EmployeeData[[#This Row],[MonthlyIncome]]&lt;=60000,"Medium",IF(EmployeeData[[#This Row],[MonthlyIncome]]&lt;=100000,"High","Very High")))</f>
        <v>Medium</v>
      </c>
      <c r="AB924">
        <f>IF(EmployeeData[[#This Row],[Attrition]]="Yes",1,0)</f>
        <v>0</v>
      </c>
      <c r="AC924" t="str">
        <f ca="1">IF(EmployeeData[[#This Row],[Tenure Years]]&lt;1,"Less than 1 Year",IF(EmployeeData[[#This Row],[Tenure Years]]&lt;=3,"1-3 Years",IF(EmployeeData[[#This Row],[Tenure Years]]&lt;=5,"4-5 Years",IF(EmployeeData[[#This Row],[Tenure Years]]&lt;=10,"6-10 Years","More than 10 Years"))))</f>
        <v>6-10 Years</v>
      </c>
      <c r="AD924">
        <f>ROUND(AVERAGE(EmployeeData[[#This Row],[JobSatisfaction]],EmployeeData[[#This Row],[EnvironmentSatisfaction]],EmployeeData[[#This Row],[WorkLifeBalance]]),2)</f>
        <v>2</v>
      </c>
      <c r="AE924" t="str">
        <f>IF(EmployeeData[[#This Row],[Satisfaction Score]]&lt;2,"Low",IF(EmployeeData[[#This Row],[Satisfaction Score]]&lt;3,"Medium","High"))</f>
        <v>Medium</v>
      </c>
    </row>
    <row r="925" spans="1:31" x14ac:dyDescent="0.25">
      <c r="A925" t="s">
        <v>4268</v>
      </c>
      <c r="B925" t="s">
        <v>4269</v>
      </c>
      <c r="C925" t="s">
        <v>49</v>
      </c>
      <c r="D925">
        <v>44</v>
      </c>
      <c r="E925" t="s">
        <v>128</v>
      </c>
      <c r="F925" t="s">
        <v>5459</v>
      </c>
      <c r="G925" s="1">
        <v>42397</v>
      </c>
      <c r="H925">
        <v>45213</v>
      </c>
      <c r="I925" t="s">
        <v>42</v>
      </c>
      <c r="J925" t="s">
        <v>61</v>
      </c>
      <c r="K925" t="s">
        <v>131</v>
      </c>
      <c r="L925" t="s">
        <v>33</v>
      </c>
      <c r="M925">
        <v>10</v>
      </c>
      <c r="N925" t="s">
        <v>34</v>
      </c>
      <c r="O925">
        <v>3</v>
      </c>
      <c r="P925">
        <v>1</v>
      </c>
      <c r="Q925">
        <v>3</v>
      </c>
      <c r="R925">
        <v>3</v>
      </c>
      <c r="S925">
        <v>1</v>
      </c>
      <c r="T925">
        <v>8</v>
      </c>
      <c r="U925">
        <v>19</v>
      </c>
      <c r="V925" t="s">
        <v>4271</v>
      </c>
      <c r="W925" t="s">
        <v>34</v>
      </c>
      <c r="Y925" s="2" t="str">
        <f>IF(EmployeeData[[#This Row],[Age]]&lt;25,"Under 25",IF(EmployeeData[[#This Row],[Age]]&lt;=34,"25-34",IF(EmployeeData[[#This Row],[Age]]&lt;=44,"35-44",IF(EmployeeData[[#This Row],[Age]]&lt;=54,"45-54","55+"))))</f>
        <v>35-44</v>
      </c>
      <c r="Z925">
        <f ca="1">DATEDIF(EmployeeData[[#This Row],[DateOfJoining]],IF(AND(EmployeeData[[#This Row],[Attrition]]="Yes",EmployeeData[[#This Row],[LastWorkingDate]]&lt;&gt;""),EmployeeData[[#This Row],[LastWorkingDate]],TODAY()),"Y")</f>
        <v>10</v>
      </c>
      <c r="AA925" t="str">
        <f>IF(EmployeeData[[#This Row],[MonthlyIncome]]&lt;30000,"Low",IF(EmployeeData[[#This Row],[MonthlyIncome]]&lt;=60000,"Medium",IF(EmployeeData[[#This Row],[MonthlyIncome]]&lt;=100000,"High","Very High")))</f>
        <v>Medium</v>
      </c>
      <c r="AB925">
        <f>IF(EmployeeData[[#This Row],[Attrition]]="Yes",1,0)</f>
        <v>0</v>
      </c>
      <c r="AC925" t="str">
        <f ca="1">IF(EmployeeData[[#This Row],[Tenure Years]]&lt;1,"Less than 1 Year",IF(EmployeeData[[#This Row],[Tenure Years]]&lt;=3,"1-3 Years",IF(EmployeeData[[#This Row],[Tenure Years]]&lt;=5,"4-5 Years",IF(EmployeeData[[#This Row],[Tenure Years]]&lt;=10,"6-10 Years","More than 10 Years"))))</f>
        <v>6-10 Years</v>
      </c>
      <c r="AD925">
        <f>ROUND(AVERAGE(EmployeeData[[#This Row],[JobSatisfaction]],EmployeeData[[#This Row],[EnvironmentSatisfaction]],EmployeeData[[#This Row],[WorkLifeBalance]]),2)</f>
        <v>2.33</v>
      </c>
      <c r="AE925" t="str">
        <f>IF(EmployeeData[[#This Row],[Satisfaction Score]]&lt;2,"Low",IF(EmployeeData[[#This Row],[Satisfaction Score]]&lt;3,"Medium","High"))</f>
        <v>Medium</v>
      </c>
    </row>
    <row r="926" spans="1:31" x14ac:dyDescent="0.25">
      <c r="A926" t="s">
        <v>4272</v>
      </c>
      <c r="B926" t="s">
        <v>4273</v>
      </c>
      <c r="C926" t="s">
        <v>49</v>
      </c>
      <c r="D926">
        <v>32</v>
      </c>
      <c r="E926" t="s">
        <v>197</v>
      </c>
      <c r="F926" t="s">
        <v>323</v>
      </c>
      <c r="G926" s="1">
        <v>42164</v>
      </c>
      <c r="H926">
        <v>91365</v>
      </c>
      <c r="I926" t="s">
        <v>5459</v>
      </c>
      <c r="J926" t="s">
        <v>5459</v>
      </c>
      <c r="K926" t="s">
        <v>106</v>
      </c>
      <c r="L926" t="s">
        <v>62</v>
      </c>
      <c r="M926">
        <v>5</v>
      </c>
      <c r="N926" t="s">
        <v>34</v>
      </c>
      <c r="O926">
        <v>3</v>
      </c>
      <c r="P926">
        <v>2</v>
      </c>
      <c r="Q926">
        <v>2</v>
      </c>
      <c r="R926">
        <v>3</v>
      </c>
      <c r="S926">
        <v>6</v>
      </c>
      <c r="T926">
        <v>1</v>
      </c>
      <c r="U926">
        <v>21</v>
      </c>
      <c r="V926" t="s">
        <v>4275</v>
      </c>
      <c r="W926" t="s">
        <v>34</v>
      </c>
      <c r="Y926" s="2" t="str">
        <f>IF(EmployeeData[[#This Row],[Age]]&lt;25,"Under 25",IF(EmployeeData[[#This Row],[Age]]&lt;=34,"25-34",IF(EmployeeData[[#This Row],[Age]]&lt;=44,"35-44",IF(EmployeeData[[#This Row],[Age]]&lt;=54,"45-54","55+"))))</f>
        <v>25-34</v>
      </c>
      <c r="Z926">
        <f ca="1">DATEDIF(EmployeeData[[#This Row],[DateOfJoining]],IF(AND(EmployeeData[[#This Row],[Attrition]]="Yes",EmployeeData[[#This Row],[LastWorkingDate]]&lt;&gt;""),EmployeeData[[#This Row],[LastWorkingDate]],TODAY()),"Y")</f>
        <v>11</v>
      </c>
      <c r="AA926" t="str">
        <f>IF(EmployeeData[[#This Row],[MonthlyIncome]]&lt;30000,"Low",IF(EmployeeData[[#This Row],[MonthlyIncome]]&lt;=60000,"Medium",IF(EmployeeData[[#This Row],[MonthlyIncome]]&lt;=100000,"High","Very High")))</f>
        <v>High</v>
      </c>
      <c r="AB926">
        <f>IF(EmployeeData[[#This Row],[Attrition]]="Yes",1,0)</f>
        <v>0</v>
      </c>
      <c r="AC926" t="str">
        <f ca="1">IF(EmployeeData[[#This Row],[Tenure Years]]&lt;1,"Less than 1 Year",IF(EmployeeData[[#This Row],[Tenure Years]]&lt;=3,"1-3 Years",IF(EmployeeData[[#This Row],[Tenure Years]]&lt;=5,"4-5 Years",IF(EmployeeData[[#This Row],[Tenure Years]]&lt;=10,"6-10 Years","More than 10 Years"))))</f>
        <v>More than 10 Years</v>
      </c>
      <c r="AD926">
        <f>ROUND(AVERAGE(EmployeeData[[#This Row],[JobSatisfaction]],EmployeeData[[#This Row],[EnvironmentSatisfaction]],EmployeeData[[#This Row],[WorkLifeBalance]]),2)</f>
        <v>2.33</v>
      </c>
      <c r="AE926" t="str">
        <f>IF(EmployeeData[[#This Row],[Satisfaction Score]]&lt;2,"Low",IF(EmployeeData[[#This Row],[Satisfaction Score]]&lt;3,"Medium","High"))</f>
        <v>Medium</v>
      </c>
    </row>
    <row r="927" spans="1:31" x14ac:dyDescent="0.25">
      <c r="A927" t="s">
        <v>4276</v>
      </c>
      <c r="B927" t="s">
        <v>4277</v>
      </c>
      <c r="C927" t="s">
        <v>58</v>
      </c>
      <c r="D927">
        <v>47</v>
      </c>
      <c r="E927" t="s">
        <v>38</v>
      </c>
      <c r="F927" t="s">
        <v>792</v>
      </c>
      <c r="G927" s="1">
        <v>43756</v>
      </c>
      <c r="H927">
        <v>71661</v>
      </c>
      <c r="I927" t="s">
        <v>30</v>
      </c>
      <c r="J927" t="s">
        <v>61</v>
      </c>
      <c r="K927" t="s">
        <v>98</v>
      </c>
      <c r="L927" t="s">
        <v>33</v>
      </c>
      <c r="M927">
        <v>1</v>
      </c>
      <c r="N927" t="s">
        <v>34</v>
      </c>
      <c r="O927">
        <v>4</v>
      </c>
      <c r="P927">
        <v>3</v>
      </c>
      <c r="Q927">
        <v>4</v>
      </c>
      <c r="R927">
        <v>3</v>
      </c>
      <c r="S927">
        <v>4</v>
      </c>
      <c r="T927">
        <v>2</v>
      </c>
      <c r="U927">
        <v>25</v>
      </c>
      <c r="V927" t="s">
        <v>4280</v>
      </c>
      <c r="W927" t="s">
        <v>34</v>
      </c>
      <c r="Y927" s="2" t="str">
        <f>IF(EmployeeData[[#This Row],[Age]]&lt;25,"Under 25",IF(EmployeeData[[#This Row],[Age]]&lt;=34,"25-34",IF(EmployeeData[[#This Row],[Age]]&lt;=44,"35-44",IF(EmployeeData[[#This Row],[Age]]&lt;=54,"45-54","55+"))))</f>
        <v>45-54</v>
      </c>
      <c r="Z927">
        <f ca="1">DATEDIF(EmployeeData[[#This Row],[DateOfJoining]],IF(AND(EmployeeData[[#This Row],[Attrition]]="Yes",EmployeeData[[#This Row],[LastWorkingDate]]&lt;&gt;""),EmployeeData[[#This Row],[LastWorkingDate]],TODAY()),"Y")</f>
        <v>6</v>
      </c>
      <c r="AA927" t="str">
        <f>IF(EmployeeData[[#This Row],[MonthlyIncome]]&lt;30000,"Low",IF(EmployeeData[[#This Row],[MonthlyIncome]]&lt;=60000,"Medium",IF(EmployeeData[[#This Row],[MonthlyIncome]]&lt;=100000,"High","Very High")))</f>
        <v>High</v>
      </c>
      <c r="AB927">
        <f>IF(EmployeeData[[#This Row],[Attrition]]="Yes",1,0)</f>
        <v>0</v>
      </c>
      <c r="AC927" t="str">
        <f ca="1">IF(EmployeeData[[#This Row],[Tenure Years]]&lt;1,"Less than 1 Year",IF(EmployeeData[[#This Row],[Tenure Years]]&lt;=3,"1-3 Years",IF(EmployeeData[[#This Row],[Tenure Years]]&lt;=5,"4-5 Years",IF(EmployeeData[[#This Row],[Tenure Years]]&lt;=10,"6-10 Years","More than 10 Years"))))</f>
        <v>6-10 Years</v>
      </c>
      <c r="AD927">
        <f>ROUND(AVERAGE(EmployeeData[[#This Row],[JobSatisfaction]],EmployeeData[[#This Row],[EnvironmentSatisfaction]],EmployeeData[[#This Row],[WorkLifeBalance]]),2)</f>
        <v>3.67</v>
      </c>
      <c r="AE927" t="str">
        <f>IF(EmployeeData[[#This Row],[Satisfaction Score]]&lt;2,"Low",IF(EmployeeData[[#This Row],[Satisfaction Score]]&lt;3,"Medium","High"))</f>
        <v>High</v>
      </c>
    </row>
    <row r="928" spans="1:31" x14ac:dyDescent="0.25">
      <c r="A928" t="s">
        <v>4281</v>
      </c>
      <c r="B928" t="s">
        <v>4282</v>
      </c>
      <c r="C928" t="s">
        <v>49</v>
      </c>
      <c r="D928">
        <v>19</v>
      </c>
      <c r="E928" t="s">
        <v>5459</v>
      </c>
      <c r="F928" t="s">
        <v>75</v>
      </c>
      <c r="G928" s="1">
        <v>44015</v>
      </c>
      <c r="H928">
        <v>45005</v>
      </c>
      <c r="I928" t="s">
        <v>52</v>
      </c>
      <c r="J928" t="s">
        <v>61</v>
      </c>
      <c r="K928" t="s">
        <v>54</v>
      </c>
      <c r="L928" t="s">
        <v>62</v>
      </c>
      <c r="M928">
        <v>23</v>
      </c>
      <c r="N928" t="s">
        <v>34</v>
      </c>
      <c r="O928">
        <v>3</v>
      </c>
      <c r="P928">
        <v>2</v>
      </c>
      <c r="Q928">
        <v>4</v>
      </c>
      <c r="R928">
        <v>3</v>
      </c>
      <c r="S928">
        <v>6</v>
      </c>
      <c r="T928">
        <v>4</v>
      </c>
      <c r="U928">
        <v>13</v>
      </c>
      <c r="V928" t="s">
        <v>5459</v>
      </c>
      <c r="W928" t="s">
        <v>34</v>
      </c>
      <c r="Y928" s="2" t="str">
        <f>IF(EmployeeData[[#This Row],[Age]]&lt;25,"Under 25",IF(EmployeeData[[#This Row],[Age]]&lt;=34,"25-34",IF(EmployeeData[[#This Row],[Age]]&lt;=44,"35-44",IF(EmployeeData[[#This Row],[Age]]&lt;=54,"45-54","55+"))))</f>
        <v>Under 25</v>
      </c>
      <c r="Z928">
        <f ca="1">DATEDIF(EmployeeData[[#This Row],[DateOfJoining]],IF(AND(EmployeeData[[#This Row],[Attrition]]="Yes",EmployeeData[[#This Row],[LastWorkingDate]]&lt;&gt;""),EmployeeData[[#This Row],[LastWorkingDate]],TODAY()),"Y")</f>
        <v>6</v>
      </c>
      <c r="AA928" t="str">
        <f>IF(EmployeeData[[#This Row],[MonthlyIncome]]&lt;30000,"Low",IF(EmployeeData[[#This Row],[MonthlyIncome]]&lt;=60000,"Medium",IF(EmployeeData[[#This Row],[MonthlyIncome]]&lt;=100000,"High","Very High")))</f>
        <v>Medium</v>
      </c>
      <c r="AB928">
        <f>IF(EmployeeData[[#This Row],[Attrition]]="Yes",1,0)</f>
        <v>0</v>
      </c>
      <c r="AC928" t="str">
        <f ca="1">IF(EmployeeData[[#This Row],[Tenure Years]]&lt;1,"Less than 1 Year",IF(EmployeeData[[#This Row],[Tenure Years]]&lt;=3,"1-3 Years",IF(EmployeeData[[#This Row],[Tenure Years]]&lt;=5,"4-5 Years",IF(EmployeeData[[#This Row],[Tenure Years]]&lt;=10,"6-10 Years","More than 10 Years"))))</f>
        <v>6-10 Years</v>
      </c>
      <c r="AD928">
        <f>ROUND(AVERAGE(EmployeeData[[#This Row],[JobSatisfaction]],EmployeeData[[#This Row],[EnvironmentSatisfaction]],EmployeeData[[#This Row],[WorkLifeBalance]]),2)</f>
        <v>3</v>
      </c>
      <c r="AE928" t="str">
        <f>IF(EmployeeData[[#This Row],[Satisfaction Score]]&lt;2,"Low",IF(EmployeeData[[#This Row],[Satisfaction Score]]&lt;3,"Medium","High"))</f>
        <v>High</v>
      </c>
    </row>
    <row r="929" spans="1:31" x14ac:dyDescent="0.25">
      <c r="A929" t="s">
        <v>4284</v>
      </c>
      <c r="B929" t="s">
        <v>4285</v>
      </c>
      <c r="C929" t="s">
        <v>49</v>
      </c>
      <c r="D929">
        <v>52</v>
      </c>
      <c r="E929" t="s">
        <v>38</v>
      </c>
      <c r="F929" t="s">
        <v>792</v>
      </c>
      <c r="G929" s="1">
        <v>41091</v>
      </c>
      <c r="H929">
        <v>63040</v>
      </c>
      <c r="I929" t="s">
        <v>42</v>
      </c>
      <c r="J929" t="s">
        <v>31</v>
      </c>
      <c r="K929" t="s">
        <v>200</v>
      </c>
      <c r="L929" t="s">
        <v>62</v>
      </c>
      <c r="M929">
        <v>12</v>
      </c>
      <c r="N929" t="s">
        <v>34</v>
      </c>
      <c r="O929">
        <v>3</v>
      </c>
      <c r="P929">
        <v>2</v>
      </c>
      <c r="Q929">
        <v>4</v>
      </c>
      <c r="R929">
        <v>4</v>
      </c>
      <c r="S929">
        <v>3</v>
      </c>
      <c r="T929">
        <v>0</v>
      </c>
      <c r="U929">
        <v>18</v>
      </c>
      <c r="V929" t="s">
        <v>4288</v>
      </c>
      <c r="W929" t="s">
        <v>34</v>
      </c>
      <c r="Y929" s="2" t="str">
        <f>IF(EmployeeData[[#This Row],[Age]]&lt;25,"Under 25",IF(EmployeeData[[#This Row],[Age]]&lt;=34,"25-34",IF(EmployeeData[[#This Row],[Age]]&lt;=44,"35-44",IF(EmployeeData[[#This Row],[Age]]&lt;=54,"45-54","55+"))))</f>
        <v>45-54</v>
      </c>
      <c r="Z929">
        <f ca="1">DATEDIF(EmployeeData[[#This Row],[DateOfJoining]],IF(AND(EmployeeData[[#This Row],[Attrition]]="Yes",EmployeeData[[#This Row],[LastWorkingDate]]&lt;&gt;""),EmployeeData[[#This Row],[LastWorkingDate]],TODAY()),"Y")</f>
        <v>14</v>
      </c>
      <c r="AA929" t="str">
        <f>IF(EmployeeData[[#This Row],[MonthlyIncome]]&lt;30000,"Low",IF(EmployeeData[[#This Row],[MonthlyIncome]]&lt;=60000,"Medium",IF(EmployeeData[[#This Row],[MonthlyIncome]]&lt;=100000,"High","Very High")))</f>
        <v>High</v>
      </c>
      <c r="AB929">
        <f>IF(EmployeeData[[#This Row],[Attrition]]="Yes",1,0)</f>
        <v>0</v>
      </c>
      <c r="AC929" t="str">
        <f ca="1">IF(EmployeeData[[#This Row],[Tenure Years]]&lt;1,"Less than 1 Year",IF(EmployeeData[[#This Row],[Tenure Years]]&lt;=3,"1-3 Years",IF(EmployeeData[[#This Row],[Tenure Years]]&lt;=5,"4-5 Years",IF(EmployeeData[[#This Row],[Tenure Years]]&lt;=10,"6-10 Years","More than 10 Years"))))</f>
        <v>More than 10 Years</v>
      </c>
      <c r="AD929">
        <f>ROUND(AVERAGE(EmployeeData[[#This Row],[JobSatisfaction]],EmployeeData[[#This Row],[EnvironmentSatisfaction]],EmployeeData[[#This Row],[WorkLifeBalance]]),2)</f>
        <v>3</v>
      </c>
      <c r="AE929" t="str">
        <f>IF(EmployeeData[[#This Row],[Satisfaction Score]]&lt;2,"Low",IF(EmployeeData[[#This Row],[Satisfaction Score]]&lt;3,"Medium","High"))</f>
        <v>High</v>
      </c>
    </row>
    <row r="930" spans="1:31" x14ac:dyDescent="0.25">
      <c r="A930" t="s">
        <v>4289</v>
      </c>
      <c r="B930" t="s">
        <v>4290</v>
      </c>
      <c r="C930" t="s">
        <v>58</v>
      </c>
      <c r="D930">
        <v>39</v>
      </c>
      <c r="E930" t="s">
        <v>5461</v>
      </c>
      <c r="F930" t="s">
        <v>89</v>
      </c>
      <c r="G930" s="1">
        <v>45272</v>
      </c>
      <c r="H930">
        <v>135850</v>
      </c>
      <c r="I930" t="s">
        <v>42</v>
      </c>
      <c r="J930" t="s">
        <v>61</v>
      </c>
      <c r="K930" t="s">
        <v>131</v>
      </c>
      <c r="L930" t="s">
        <v>62</v>
      </c>
      <c r="M930">
        <v>35</v>
      </c>
      <c r="N930" t="s">
        <v>34</v>
      </c>
      <c r="O930">
        <v>4</v>
      </c>
      <c r="P930">
        <v>2</v>
      </c>
      <c r="Q930">
        <v>1</v>
      </c>
      <c r="R930">
        <v>3</v>
      </c>
      <c r="S930">
        <v>2</v>
      </c>
      <c r="T930">
        <v>3</v>
      </c>
      <c r="U930">
        <v>11</v>
      </c>
      <c r="V930" t="s">
        <v>4292</v>
      </c>
      <c r="W930" t="s">
        <v>34</v>
      </c>
      <c r="Y930" s="2" t="str">
        <f>IF(EmployeeData[[#This Row],[Age]]&lt;25,"Under 25",IF(EmployeeData[[#This Row],[Age]]&lt;=34,"25-34",IF(EmployeeData[[#This Row],[Age]]&lt;=44,"35-44",IF(EmployeeData[[#This Row],[Age]]&lt;=54,"45-54","55+"))))</f>
        <v>35-44</v>
      </c>
      <c r="Z930">
        <f ca="1">DATEDIF(EmployeeData[[#This Row],[DateOfJoining]],IF(AND(EmployeeData[[#This Row],[Attrition]]="Yes",EmployeeData[[#This Row],[LastWorkingDate]]&lt;&gt;""),EmployeeData[[#This Row],[LastWorkingDate]],TODAY()),"Y")</f>
        <v>2</v>
      </c>
      <c r="AA930" t="str">
        <f>IF(EmployeeData[[#This Row],[MonthlyIncome]]&lt;30000,"Low",IF(EmployeeData[[#This Row],[MonthlyIncome]]&lt;=60000,"Medium",IF(EmployeeData[[#This Row],[MonthlyIncome]]&lt;=100000,"High","Very High")))</f>
        <v>Very High</v>
      </c>
      <c r="AB930">
        <f>IF(EmployeeData[[#This Row],[Attrition]]="Yes",1,0)</f>
        <v>0</v>
      </c>
      <c r="AC930" t="str">
        <f ca="1">IF(EmployeeData[[#This Row],[Tenure Years]]&lt;1,"Less than 1 Year",IF(EmployeeData[[#This Row],[Tenure Years]]&lt;=3,"1-3 Years",IF(EmployeeData[[#This Row],[Tenure Years]]&lt;=5,"4-5 Years",IF(EmployeeData[[#This Row],[Tenure Years]]&lt;=10,"6-10 Years","More than 10 Years"))))</f>
        <v>1-3 Years</v>
      </c>
      <c r="AD930">
        <f>ROUND(AVERAGE(EmployeeData[[#This Row],[JobSatisfaction]],EmployeeData[[#This Row],[EnvironmentSatisfaction]],EmployeeData[[#This Row],[WorkLifeBalance]]),2)</f>
        <v>2.33</v>
      </c>
      <c r="AE930" t="str">
        <f>IF(EmployeeData[[#This Row],[Satisfaction Score]]&lt;2,"Low",IF(EmployeeData[[#This Row],[Satisfaction Score]]&lt;3,"Medium","High"))</f>
        <v>Medium</v>
      </c>
    </row>
    <row r="931" spans="1:31" x14ac:dyDescent="0.25">
      <c r="A931" t="s">
        <v>4293</v>
      </c>
      <c r="B931" t="s">
        <v>4294</v>
      </c>
      <c r="C931" t="s">
        <v>58</v>
      </c>
      <c r="D931">
        <v>35</v>
      </c>
      <c r="E931" t="s">
        <v>5461</v>
      </c>
      <c r="F931" t="s">
        <v>5464</v>
      </c>
      <c r="G931" s="1">
        <v>46165</v>
      </c>
      <c r="H931">
        <v>86416</v>
      </c>
      <c r="I931" t="s">
        <v>30</v>
      </c>
      <c r="J931" t="s">
        <v>61</v>
      </c>
      <c r="K931" t="s">
        <v>131</v>
      </c>
      <c r="L931" t="s">
        <v>43</v>
      </c>
      <c r="M931">
        <v>29</v>
      </c>
      <c r="N931" t="s">
        <v>45</v>
      </c>
      <c r="O931">
        <v>4</v>
      </c>
      <c r="P931">
        <v>2</v>
      </c>
      <c r="Q931">
        <v>2</v>
      </c>
      <c r="R931">
        <v>2</v>
      </c>
      <c r="S931">
        <v>4</v>
      </c>
      <c r="T931">
        <v>4</v>
      </c>
      <c r="U931">
        <v>23</v>
      </c>
      <c r="V931" t="s">
        <v>4296</v>
      </c>
      <c r="W931" t="s">
        <v>45</v>
      </c>
      <c r="X931" s="1">
        <v>46230</v>
      </c>
      <c r="Y931" s="2" t="str">
        <f>IF(EmployeeData[[#This Row],[Age]]&lt;25,"Under 25",IF(EmployeeData[[#This Row],[Age]]&lt;=34,"25-34",IF(EmployeeData[[#This Row],[Age]]&lt;=44,"35-44",IF(EmployeeData[[#This Row],[Age]]&lt;=54,"45-54","55+"))))</f>
        <v>35-44</v>
      </c>
      <c r="Z931">
        <f ca="1">DATEDIF(EmployeeData[[#This Row],[DateOfJoining]],IF(AND(EmployeeData[[#This Row],[Attrition]]="Yes",EmployeeData[[#This Row],[LastWorkingDate]]&lt;&gt;""),EmployeeData[[#This Row],[LastWorkingDate]],TODAY()),"Y")</f>
        <v>0</v>
      </c>
      <c r="AA931" t="str">
        <f>IF(EmployeeData[[#This Row],[MonthlyIncome]]&lt;30000,"Low",IF(EmployeeData[[#This Row],[MonthlyIncome]]&lt;=60000,"Medium",IF(EmployeeData[[#This Row],[MonthlyIncome]]&lt;=100000,"High","Very High")))</f>
        <v>High</v>
      </c>
      <c r="AB931">
        <f>IF(EmployeeData[[#This Row],[Attrition]]="Yes",1,0)</f>
        <v>1</v>
      </c>
      <c r="AC931" t="str">
        <f ca="1">IF(EmployeeData[[#This Row],[Tenure Years]]&lt;1,"Less than 1 Year",IF(EmployeeData[[#This Row],[Tenure Years]]&lt;=3,"1-3 Years",IF(EmployeeData[[#This Row],[Tenure Years]]&lt;=5,"4-5 Years",IF(EmployeeData[[#This Row],[Tenure Years]]&lt;=10,"6-10 Years","More than 10 Years"))))</f>
        <v>Less than 1 Year</v>
      </c>
      <c r="AD931">
        <f>ROUND(AVERAGE(EmployeeData[[#This Row],[JobSatisfaction]],EmployeeData[[#This Row],[EnvironmentSatisfaction]],EmployeeData[[#This Row],[WorkLifeBalance]]),2)</f>
        <v>2.67</v>
      </c>
      <c r="AE931" t="str">
        <f>IF(EmployeeData[[#This Row],[Satisfaction Score]]&lt;2,"Low",IF(EmployeeData[[#This Row],[Satisfaction Score]]&lt;3,"Medium","High"))</f>
        <v>Medium</v>
      </c>
    </row>
    <row r="932" spans="1:31" x14ac:dyDescent="0.25">
      <c r="A932" t="s">
        <v>4298</v>
      </c>
      <c r="B932" t="s">
        <v>4299</v>
      </c>
      <c r="C932" t="s">
        <v>49</v>
      </c>
      <c r="D932">
        <v>27</v>
      </c>
      <c r="E932" t="s">
        <v>128</v>
      </c>
      <c r="F932" t="s">
        <v>271</v>
      </c>
      <c r="G932" s="1">
        <v>42082</v>
      </c>
      <c r="H932">
        <v>105608</v>
      </c>
      <c r="I932" t="s">
        <v>42</v>
      </c>
      <c r="J932" t="s">
        <v>143</v>
      </c>
      <c r="K932" t="s">
        <v>200</v>
      </c>
      <c r="L932" t="s">
        <v>62</v>
      </c>
      <c r="M932">
        <v>4</v>
      </c>
      <c r="N932" t="s">
        <v>34</v>
      </c>
      <c r="O932">
        <v>2</v>
      </c>
      <c r="P932">
        <v>3</v>
      </c>
      <c r="Q932">
        <v>4</v>
      </c>
      <c r="R932">
        <v>2</v>
      </c>
      <c r="S932">
        <v>3</v>
      </c>
      <c r="T932">
        <v>0</v>
      </c>
      <c r="U932">
        <v>12</v>
      </c>
      <c r="V932" t="s">
        <v>1614</v>
      </c>
      <c r="W932" t="s">
        <v>34</v>
      </c>
      <c r="Y932" s="2" t="str">
        <f>IF(EmployeeData[[#This Row],[Age]]&lt;25,"Under 25",IF(EmployeeData[[#This Row],[Age]]&lt;=34,"25-34",IF(EmployeeData[[#This Row],[Age]]&lt;=44,"35-44",IF(EmployeeData[[#This Row],[Age]]&lt;=54,"45-54","55+"))))</f>
        <v>25-34</v>
      </c>
      <c r="Z932">
        <f ca="1">DATEDIF(EmployeeData[[#This Row],[DateOfJoining]],IF(AND(EmployeeData[[#This Row],[Attrition]]="Yes",EmployeeData[[#This Row],[LastWorkingDate]]&lt;&gt;""),EmployeeData[[#This Row],[LastWorkingDate]],TODAY()),"Y")</f>
        <v>11</v>
      </c>
      <c r="AA932" t="str">
        <f>IF(EmployeeData[[#This Row],[MonthlyIncome]]&lt;30000,"Low",IF(EmployeeData[[#This Row],[MonthlyIncome]]&lt;=60000,"Medium",IF(EmployeeData[[#This Row],[MonthlyIncome]]&lt;=100000,"High","Very High")))</f>
        <v>Very High</v>
      </c>
      <c r="AB932">
        <f>IF(EmployeeData[[#This Row],[Attrition]]="Yes",1,0)</f>
        <v>0</v>
      </c>
      <c r="AC932" t="str">
        <f ca="1">IF(EmployeeData[[#This Row],[Tenure Years]]&lt;1,"Less than 1 Year",IF(EmployeeData[[#This Row],[Tenure Years]]&lt;=3,"1-3 Years",IF(EmployeeData[[#This Row],[Tenure Years]]&lt;=5,"4-5 Years",IF(EmployeeData[[#This Row],[Tenure Years]]&lt;=10,"6-10 Years","More than 10 Years"))))</f>
        <v>More than 10 Years</v>
      </c>
      <c r="AD932">
        <f>ROUND(AVERAGE(EmployeeData[[#This Row],[JobSatisfaction]],EmployeeData[[#This Row],[EnvironmentSatisfaction]],EmployeeData[[#This Row],[WorkLifeBalance]]),2)</f>
        <v>3</v>
      </c>
      <c r="AE932" t="str">
        <f>IF(EmployeeData[[#This Row],[Satisfaction Score]]&lt;2,"Low",IF(EmployeeData[[#This Row],[Satisfaction Score]]&lt;3,"Medium","High"))</f>
        <v>High</v>
      </c>
    </row>
    <row r="933" spans="1:31" x14ac:dyDescent="0.25">
      <c r="A933" t="s">
        <v>4300</v>
      </c>
      <c r="B933" t="s">
        <v>4301</v>
      </c>
      <c r="C933" t="s">
        <v>49</v>
      </c>
      <c r="D933">
        <v>40</v>
      </c>
      <c r="E933" t="s">
        <v>94</v>
      </c>
      <c r="F933" t="s">
        <v>639</v>
      </c>
      <c r="G933" s="1">
        <v>43424</v>
      </c>
      <c r="H933">
        <v>126787</v>
      </c>
      <c r="I933" t="s">
        <v>30</v>
      </c>
      <c r="J933" t="s">
        <v>97</v>
      </c>
      <c r="K933" t="s">
        <v>83</v>
      </c>
      <c r="L933" t="s">
        <v>43</v>
      </c>
      <c r="M933">
        <v>16</v>
      </c>
      <c r="N933" t="s">
        <v>34</v>
      </c>
      <c r="O933">
        <v>1</v>
      </c>
      <c r="P933">
        <v>3</v>
      </c>
      <c r="Q933">
        <v>4</v>
      </c>
      <c r="R933">
        <v>4</v>
      </c>
      <c r="S933">
        <v>4</v>
      </c>
      <c r="T933">
        <v>1</v>
      </c>
      <c r="U933">
        <v>12</v>
      </c>
      <c r="V933" t="s">
        <v>4303</v>
      </c>
      <c r="W933" t="s">
        <v>34</v>
      </c>
      <c r="Y933" s="2" t="str">
        <f>IF(EmployeeData[[#This Row],[Age]]&lt;25,"Under 25",IF(EmployeeData[[#This Row],[Age]]&lt;=34,"25-34",IF(EmployeeData[[#This Row],[Age]]&lt;=44,"35-44",IF(EmployeeData[[#This Row],[Age]]&lt;=54,"45-54","55+"))))</f>
        <v>35-44</v>
      </c>
      <c r="Z933">
        <f ca="1">DATEDIF(EmployeeData[[#This Row],[DateOfJoining]],IF(AND(EmployeeData[[#This Row],[Attrition]]="Yes",EmployeeData[[#This Row],[LastWorkingDate]]&lt;&gt;""),EmployeeData[[#This Row],[LastWorkingDate]],TODAY()),"Y")</f>
        <v>7</v>
      </c>
      <c r="AA933" t="str">
        <f>IF(EmployeeData[[#This Row],[MonthlyIncome]]&lt;30000,"Low",IF(EmployeeData[[#This Row],[MonthlyIncome]]&lt;=60000,"Medium",IF(EmployeeData[[#This Row],[MonthlyIncome]]&lt;=100000,"High","Very High")))</f>
        <v>Very High</v>
      </c>
      <c r="AB933">
        <f>IF(EmployeeData[[#This Row],[Attrition]]="Yes",1,0)</f>
        <v>0</v>
      </c>
      <c r="AC933" t="str">
        <f ca="1">IF(EmployeeData[[#This Row],[Tenure Years]]&lt;1,"Less than 1 Year",IF(EmployeeData[[#This Row],[Tenure Years]]&lt;=3,"1-3 Years",IF(EmployeeData[[#This Row],[Tenure Years]]&lt;=5,"4-5 Years",IF(EmployeeData[[#This Row],[Tenure Years]]&lt;=10,"6-10 Years","More than 10 Years"))))</f>
        <v>6-10 Years</v>
      </c>
      <c r="AD933">
        <f>ROUND(AVERAGE(EmployeeData[[#This Row],[JobSatisfaction]],EmployeeData[[#This Row],[EnvironmentSatisfaction]],EmployeeData[[#This Row],[WorkLifeBalance]]),2)</f>
        <v>2.67</v>
      </c>
      <c r="AE933" t="str">
        <f>IF(EmployeeData[[#This Row],[Satisfaction Score]]&lt;2,"Low",IF(EmployeeData[[#This Row],[Satisfaction Score]]&lt;3,"Medium","High"))</f>
        <v>Medium</v>
      </c>
    </row>
    <row r="934" spans="1:31" x14ac:dyDescent="0.25">
      <c r="A934" t="s">
        <v>4304</v>
      </c>
      <c r="B934" t="s">
        <v>4305</v>
      </c>
      <c r="C934" t="s">
        <v>49</v>
      </c>
      <c r="D934">
        <v>39</v>
      </c>
      <c r="E934" t="s">
        <v>27</v>
      </c>
      <c r="F934" t="s">
        <v>188</v>
      </c>
      <c r="G934" s="1">
        <v>41051</v>
      </c>
      <c r="H934">
        <v>58124</v>
      </c>
      <c r="I934" t="s">
        <v>52</v>
      </c>
      <c r="J934" t="s">
        <v>61</v>
      </c>
      <c r="K934" t="s">
        <v>106</v>
      </c>
      <c r="L934" t="s">
        <v>33</v>
      </c>
      <c r="M934">
        <v>5</v>
      </c>
      <c r="N934" t="s">
        <v>34</v>
      </c>
      <c r="O934">
        <v>2</v>
      </c>
      <c r="P934">
        <v>3</v>
      </c>
      <c r="Q934">
        <v>4</v>
      </c>
      <c r="R934">
        <v>3</v>
      </c>
      <c r="S934">
        <v>5</v>
      </c>
      <c r="T934">
        <v>2</v>
      </c>
      <c r="U934">
        <v>20</v>
      </c>
      <c r="V934" t="s">
        <v>4308</v>
      </c>
      <c r="W934" t="s">
        <v>34</v>
      </c>
      <c r="Y934" s="2" t="str">
        <f>IF(EmployeeData[[#This Row],[Age]]&lt;25,"Under 25",IF(EmployeeData[[#This Row],[Age]]&lt;=34,"25-34",IF(EmployeeData[[#This Row],[Age]]&lt;=44,"35-44",IF(EmployeeData[[#This Row],[Age]]&lt;=54,"45-54","55+"))))</f>
        <v>35-44</v>
      </c>
      <c r="Z934">
        <f ca="1">DATEDIF(EmployeeData[[#This Row],[DateOfJoining]],IF(AND(EmployeeData[[#This Row],[Attrition]]="Yes",EmployeeData[[#This Row],[LastWorkingDate]]&lt;&gt;""),EmployeeData[[#This Row],[LastWorkingDate]],TODAY()),"Y")</f>
        <v>14</v>
      </c>
      <c r="AA934" t="str">
        <f>IF(EmployeeData[[#This Row],[MonthlyIncome]]&lt;30000,"Low",IF(EmployeeData[[#This Row],[MonthlyIncome]]&lt;=60000,"Medium",IF(EmployeeData[[#This Row],[MonthlyIncome]]&lt;=100000,"High","Very High")))</f>
        <v>Medium</v>
      </c>
      <c r="AB934">
        <f>IF(EmployeeData[[#This Row],[Attrition]]="Yes",1,0)</f>
        <v>0</v>
      </c>
      <c r="AC934" t="str">
        <f ca="1">IF(EmployeeData[[#This Row],[Tenure Years]]&lt;1,"Less than 1 Year",IF(EmployeeData[[#This Row],[Tenure Years]]&lt;=3,"1-3 Years",IF(EmployeeData[[#This Row],[Tenure Years]]&lt;=5,"4-5 Years",IF(EmployeeData[[#This Row],[Tenure Years]]&lt;=10,"6-10 Years","More than 10 Years"))))</f>
        <v>More than 10 Years</v>
      </c>
      <c r="AD934">
        <f>ROUND(AVERAGE(EmployeeData[[#This Row],[JobSatisfaction]],EmployeeData[[#This Row],[EnvironmentSatisfaction]],EmployeeData[[#This Row],[WorkLifeBalance]]),2)</f>
        <v>3</v>
      </c>
      <c r="AE934" t="str">
        <f>IF(EmployeeData[[#This Row],[Satisfaction Score]]&lt;2,"Low",IF(EmployeeData[[#This Row],[Satisfaction Score]]&lt;3,"Medium","High"))</f>
        <v>High</v>
      </c>
    </row>
    <row r="935" spans="1:31" x14ac:dyDescent="0.25">
      <c r="A935" t="s">
        <v>4309</v>
      </c>
      <c r="B935" t="s">
        <v>4310</v>
      </c>
      <c r="C935" t="s">
        <v>49</v>
      </c>
      <c r="D935">
        <v>35</v>
      </c>
      <c r="E935" t="s">
        <v>27</v>
      </c>
      <c r="F935" t="s">
        <v>188</v>
      </c>
      <c r="G935" s="1">
        <v>43378</v>
      </c>
      <c r="H935">
        <v>83084</v>
      </c>
      <c r="I935" t="s">
        <v>30</v>
      </c>
      <c r="J935" t="s">
        <v>5459</v>
      </c>
      <c r="K935" t="s">
        <v>106</v>
      </c>
      <c r="L935" t="s">
        <v>62</v>
      </c>
      <c r="M935">
        <v>32</v>
      </c>
      <c r="N935" t="s">
        <v>34</v>
      </c>
      <c r="O935">
        <v>1</v>
      </c>
      <c r="P935">
        <v>2</v>
      </c>
      <c r="Q935">
        <v>2</v>
      </c>
      <c r="R935">
        <v>4</v>
      </c>
      <c r="S935">
        <v>2</v>
      </c>
      <c r="T935">
        <v>4</v>
      </c>
      <c r="U935">
        <v>23</v>
      </c>
      <c r="V935" t="s">
        <v>4312</v>
      </c>
      <c r="W935" t="s">
        <v>34</v>
      </c>
      <c r="Y935" s="2" t="str">
        <f>IF(EmployeeData[[#This Row],[Age]]&lt;25,"Under 25",IF(EmployeeData[[#This Row],[Age]]&lt;=34,"25-34",IF(EmployeeData[[#This Row],[Age]]&lt;=44,"35-44",IF(EmployeeData[[#This Row],[Age]]&lt;=54,"45-54","55+"))))</f>
        <v>35-44</v>
      </c>
      <c r="Z935">
        <f ca="1">DATEDIF(EmployeeData[[#This Row],[DateOfJoining]],IF(AND(EmployeeData[[#This Row],[Attrition]]="Yes",EmployeeData[[#This Row],[LastWorkingDate]]&lt;&gt;""),EmployeeData[[#This Row],[LastWorkingDate]],TODAY()),"Y")</f>
        <v>7</v>
      </c>
      <c r="AA935" t="str">
        <f>IF(EmployeeData[[#This Row],[MonthlyIncome]]&lt;30000,"Low",IF(EmployeeData[[#This Row],[MonthlyIncome]]&lt;=60000,"Medium",IF(EmployeeData[[#This Row],[MonthlyIncome]]&lt;=100000,"High","Very High")))</f>
        <v>High</v>
      </c>
      <c r="AB935">
        <f>IF(EmployeeData[[#This Row],[Attrition]]="Yes",1,0)</f>
        <v>0</v>
      </c>
      <c r="AC935" t="str">
        <f ca="1">IF(EmployeeData[[#This Row],[Tenure Years]]&lt;1,"Less than 1 Year",IF(EmployeeData[[#This Row],[Tenure Years]]&lt;=3,"1-3 Years",IF(EmployeeData[[#This Row],[Tenure Years]]&lt;=5,"4-5 Years",IF(EmployeeData[[#This Row],[Tenure Years]]&lt;=10,"6-10 Years","More than 10 Years"))))</f>
        <v>6-10 Years</v>
      </c>
      <c r="AD935">
        <f>ROUND(AVERAGE(EmployeeData[[#This Row],[JobSatisfaction]],EmployeeData[[#This Row],[EnvironmentSatisfaction]],EmployeeData[[#This Row],[WorkLifeBalance]]),2)</f>
        <v>1.67</v>
      </c>
      <c r="AE935" t="str">
        <f>IF(EmployeeData[[#This Row],[Satisfaction Score]]&lt;2,"Low",IF(EmployeeData[[#This Row],[Satisfaction Score]]&lt;3,"Medium","High"))</f>
        <v>Low</v>
      </c>
    </row>
    <row r="936" spans="1:31" x14ac:dyDescent="0.25">
      <c r="A936" t="s">
        <v>4313</v>
      </c>
      <c r="B936" t="s">
        <v>4314</v>
      </c>
      <c r="C936" t="s">
        <v>49</v>
      </c>
      <c r="D936">
        <v>26</v>
      </c>
      <c r="E936" t="s">
        <v>27</v>
      </c>
      <c r="F936" t="s">
        <v>59</v>
      </c>
      <c r="G936" s="1">
        <v>43910</v>
      </c>
      <c r="H936">
        <v>104490</v>
      </c>
      <c r="I936" t="s">
        <v>52</v>
      </c>
      <c r="J936" t="s">
        <v>61</v>
      </c>
      <c r="K936" t="s">
        <v>167</v>
      </c>
      <c r="L936" t="s">
        <v>33</v>
      </c>
      <c r="M936">
        <v>34</v>
      </c>
      <c r="N936" t="s">
        <v>34</v>
      </c>
      <c r="O936">
        <v>3</v>
      </c>
      <c r="P936">
        <v>2</v>
      </c>
      <c r="Q936">
        <v>1</v>
      </c>
      <c r="R936">
        <v>3</v>
      </c>
      <c r="S936">
        <v>0</v>
      </c>
      <c r="T936">
        <v>4</v>
      </c>
      <c r="U936">
        <v>17</v>
      </c>
      <c r="V936" t="s">
        <v>2269</v>
      </c>
      <c r="W936" t="s">
        <v>34</v>
      </c>
      <c r="Y936" s="2" t="str">
        <f>IF(EmployeeData[[#This Row],[Age]]&lt;25,"Under 25",IF(EmployeeData[[#This Row],[Age]]&lt;=34,"25-34",IF(EmployeeData[[#This Row],[Age]]&lt;=44,"35-44",IF(EmployeeData[[#This Row],[Age]]&lt;=54,"45-54","55+"))))</f>
        <v>25-34</v>
      </c>
      <c r="Z936">
        <f ca="1">DATEDIF(EmployeeData[[#This Row],[DateOfJoining]],IF(AND(EmployeeData[[#This Row],[Attrition]]="Yes",EmployeeData[[#This Row],[LastWorkingDate]]&lt;&gt;""),EmployeeData[[#This Row],[LastWorkingDate]],TODAY()),"Y")</f>
        <v>6</v>
      </c>
      <c r="AA936" t="str">
        <f>IF(EmployeeData[[#This Row],[MonthlyIncome]]&lt;30000,"Low",IF(EmployeeData[[#This Row],[MonthlyIncome]]&lt;=60000,"Medium",IF(EmployeeData[[#This Row],[MonthlyIncome]]&lt;=100000,"High","Very High")))</f>
        <v>Very High</v>
      </c>
      <c r="AB936">
        <f>IF(EmployeeData[[#This Row],[Attrition]]="Yes",1,0)</f>
        <v>0</v>
      </c>
      <c r="AC936" t="str">
        <f ca="1">IF(EmployeeData[[#This Row],[Tenure Years]]&lt;1,"Less than 1 Year",IF(EmployeeData[[#This Row],[Tenure Years]]&lt;=3,"1-3 Years",IF(EmployeeData[[#This Row],[Tenure Years]]&lt;=5,"4-5 Years",IF(EmployeeData[[#This Row],[Tenure Years]]&lt;=10,"6-10 Years","More than 10 Years"))))</f>
        <v>6-10 Years</v>
      </c>
      <c r="AD936">
        <f>ROUND(AVERAGE(EmployeeData[[#This Row],[JobSatisfaction]],EmployeeData[[#This Row],[EnvironmentSatisfaction]],EmployeeData[[#This Row],[WorkLifeBalance]]),2)</f>
        <v>2</v>
      </c>
      <c r="AE936" t="str">
        <f>IF(EmployeeData[[#This Row],[Satisfaction Score]]&lt;2,"Low",IF(EmployeeData[[#This Row],[Satisfaction Score]]&lt;3,"Medium","High"))</f>
        <v>Medium</v>
      </c>
    </row>
    <row r="937" spans="1:31" x14ac:dyDescent="0.25">
      <c r="A937" t="s">
        <v>4317</v>
      </c>
      <c r="B937" t="s">
        <v>4318</v>
      </c>
      <c r="C937" t="s">
        <v>58</v>
      </c>
      <c r="D937">
        <v>26</v>
      </c>
      <c r="E937" t="s">
        <v>128</v>
      </c>
      <c r="F937" t="s">
        <v>226</v>
      </c>
      <c r="G937" s="1">
        <v>45444</v>
      </c>
      <c r="H937">
        <v>77940</v>
      </c>
      <c r="I937" t="s">
        <v>42</v>
      </c>
      <c r="J937" t="s">
        <v>31</v>
      </c>
      <c r="K937" t="s">
        <v>106</v>
      </c>
      <c r="L937" t="s">
        <v>43</v>
      </c>
      <c r="M937">
        <v>29</v>
      </c>
      <c r="N937" t="s">
        <v>45</v>
      </c>
      <c r="O937">
        <v>3</v>
      </c>
      <c r="P937">
        <v>2</v>
      </c>
      <c r="Q937">
        <v>1</v>
      </c>
      <c r="R937">
        <v>3</v>
      </c>
      <c r="S937">
        <v>1</v>
      </c>
      <c r="T937">
        <v>8</v>
      </c>
      <c r="U937">
        <v>11</v>
      </c>
      <c r="V937" t="s">
        <v>4321</v>
      </c>
      <c r="W937" t="s">
        <v>34</v>
      </c>
      <c r="Y937" s="2" t="str">
        <f>IF(EmployeeData[[#This Row],[Age]]&lt;25,"Under 25",IF(EmployeeData[[#This Row],[Age]]&lt;=34,"25-34",IF(EmployeeData[[#This Row],[Age]]&lt;=44,"35-44",IF(EmployeeData[[#This Row],[Age]]&lt;=54,"45-54","55+"))))</f>
        <v>25-34</v>
      </c>
      <c r="Z937">
        <f ca="1">DATEDIF(EmployeeData[[#This Row],[DateOfJoining]],IF(AND(EmployeeData[[#This Row],[Attrition]]="Yes",EmployeeData[[#This Row],[LastWorkingDate]]&lt;&gt;""),EmployeeData[[#This Row],[LastWorkingDate]],TODAY()),"Y")</f>
        <v>2</v>
      </c>
      <c r="AA937" t="str">
        <f>IF(EmployeeData[[#This Row],[MonthlyIncome]]&lt;30000,"Low",IF(EmployeeData[[#This Row],[MonthlyIncome]]&lt;=60000,"Medium",IF(EmployeeData[[#This Row],[MonthlyIncome]]&lt;=100000,"High","Very High")))</f>
        <v>High</v>
      </c>
      <c r="AB937">
        <f>IF(EmployeeData[[#This Row],[Attrition]]="Yes",1,0)</f>
        <v>0</v>
      </c>
      <c r="AC937" t="str">
        <f ca="1">IF(EmployeeData[[#This Row],[Tenure Years]]&lt;1,"Less than 1 Year",IF(EmployeeData[[#This Row],[Tenure Years]]&lt;=3,"1-3 Years",IF(EmployeeData[[#This Row],[Tenure Years]]&lt;=5,"4-5 Years",IF(EmployeeData[[#This Row],[Tenure Years]]&lt;=10,"6-10 Years","More than 10 Years"))))</f>
        <v>1-3 Years</v>
      </c>
      <c r="AD937">
        <f>ROUND(AVERAGE(EmployeeData[[#This Row],[JobSatisfaction]],EmployeeData[[#This Row],[EnvironmentSatisfaction]],EmployeeData[[#This Row],[WorkLifeBalance]]),2)</f>
        <v>2</v>
      </c>
      <c r="AE937" t="str">
        <f>IF(EmployeeData[[#This Row],[Satisfaction Score]]&lt;2,"Low",IF(EmployeeData[[#This Row],[Satisfaction Score]]&lt;3,"Medium","High"))</f>
        <v>Medium</v>
      </c>
    </row>
    <row r="938" spans="1:31" x14ac:dyDescent="0.25">
      <c r="A938" t="s">
        <v>4322</v>
      </c>
      <c r="B938" t="s">
        <v>4323</v>
      </c>
      <c r="C938" t="s">
        <v>58</v>
      </c>
      <c r="D938">
        <v>44</v>
      </c>
      <c r="E938" t="s">
        <v>5461</v>
      </c>
      <c r="F938" t="s">
        <v>5463</v>
      </c>
      <c r="G938" s="1">
        <v>45037</v>
      </c>
      <c r="H938">
        <v>73017</v>
      </c>
      <c r="I938" t="s">
        <v>30</v>
      </c>
      <c r="J938" t="s">
        <v>31</v>
      </c>
      <c r="K938" t="s">
        <v>5459</v>
      </c>
      <c r="L938" t="s">
        <v>33</v>
      </c>
      <c r="M938">
        <v>42</v>
      </c>
      <c r="N938" t="s">
        <v>45</v>
      </c>
      <c r="O938">
        <v>3</v>
      </c>
      <c r="P938">
        <v>1</v>
      </c>
      <c r="Q938">
        <v>4</v>
      </c>
      <c r="R938">
        <v>3</v>
      </c>
      <c r="S938">
        <v>2</v>
      </c>
      <c r="T938">
        <v>5</v>
      </c>
      <c r="U938">
        <v>14</v>
      </c>
      <c r="V938" t="s">
        <v>4325</v>
      </c>
      <c r="W938" t="s">
        <v>34</v>
      </c>
      <c r="Y938" s="2" t="str">
        <f>IF(EmployeeData[[#This Row],[Age]]&lt;25,"Under 25",IF(EmployeeData[[#This Row],[Age]]&lt;=34,"25-34",IF(EmployeeData[[#This Row],[Age]]&lt;=44,"35-44",IF(EmployeeData[[#This Row],[Age]]&lt;=54,"45-54","55+"))))</f>
        <v>35-44</v>
      </c>
      <c r="Z938">
        <f ca="1">DATEDIF(EmployeeData[[#This Row],[DateOfJoining]],IF(AND(EmployeeData[[#This Row],[Attrition]]="Yes",EmployeeData[[#This Row],[LastWorkingDate]]&lt;&gt;""),EmployeeData[[#This Row],[LastWorkingDate]],TODAY()),"Y")</f>
        <v>3</v>
      </c>
      <c r="AA938" t="str">
        <f>IF(EmployeeData[[#This Row],[MonthlyIncome]]&lt;30000,"Low",IF(EmployeeData[[#This Row],[MonthlyIncome]]&lt;=60000,"Medium",IF(EmployeeData[[#This Row],[MonthlyIncome]]&lt;=100000,"High","Very High")))</f>
        <v>High</v>
      </c>
      <c r="AB938">
        <f>IF(EmployeeData[[#This Row],[Attrition]]="Yes",1,0)</f>
        <v>0</v>
      </c>
      <c r="AC938" t="str">
        <f ca="1">IF(EmployeeData[[#This Row],[Tenure Years]]&lt;1,"Less than 1 Year",IF(EmployeeData[[#This Row],[Tenure Years]]&lt;=3,"1-3 Years",IF(EmployeeData[[#This Row],[Tenure Years]]&lt;=5,"4-5 Years",IF(EmployeeData[[#This Row],[Tenure Years]]&lt;=10,"6-10 Years","More than 10 Years"))))</f>
        <v>1-3 Years</v>
      </c>
      <c r="AD938">
        <f>ROUND(AVERAGE(EmployeeData[[#This Row],[JobSatisfaction]],EmployeeData[[#This Row],[EnvironmentSatisfaction]],EmployeeData[[#This Row],[WorkLifeBalance]]),2)</f>
        <v>2.67</v>
      </c>
      <c r="AE938" t="str">
        <f>IF(EmployeeData[[#This Row],[Satisfaction Score]]&lt;2,"Low",IF(EmployeeData[[#This Row],[Satisfaction Score]]&lt;3,"Medium","High"))</f>
        <v>Medium</v>
      </c>
    </row>
    <row r="939" spans="1:31" x14ac:dyDescent="0.25">
      <c r="A939" t="s">
        <v>4326</v>
      </c>
      <c r="B939" t="s">
        <v>4327</v>
      </c>
      <c r="C939" t="s">
        <v>58</v>
      </c>
      <c r="D939">
        <v>52</v>
      </c>
      <c r="E939" t="s">
        <v>27</v>
      </c>
      <c r="F939" t="s">
        <v>59</v>
      </c>
      <c r="G939" s="1">
        <v>44494</v>
      </c>
      <c r="H939">
        <v>72844</v>
      </c>
      <c r="I939" t="s">
        <v>42</v>
      </c>
      <c r="J939" t="s">
        <v>31</v>
      </c>
      <c r="K939" t="s">
        <v>200</v>
      </c>
      <c r="L939" t="s">
        <v>43</v>
      </c>
      <c r="M939">
        <v>2</v>
      </c>
      <c r="N939" t="s">
        <v>34</v>
      </c>
      <c r="O939">
        <v>2</v>
      </c>
      <c r="P939">
        <v>4</v>
      </c>
      <c r="Q939">
        <v>4</v>
      </c>
      <c r="R939">
        <v>3</v>
      </c>
      <c r="S939">
        <v>3</v>
      </c>
      <c r="T939">
        <v>8</v>
      </c>
      <c r="U939">
        <v>14</v>
      </c>
      <c r="V939" t="s">
        <v>4330</v>
      </c>
      <c r="W939" t="s">
        <v>34</v>
      </c>
      <c r="Y939" s="2" t="str">
        <f>IF(EmployeeData[[#This Row],[Age]]&lt;25,"Under 25",IF(EmployeeData[[#This Row],[Age]]&lt;=34,"25-34",IF(EmployeeData[[#This Row],[Age]]&lt;=44,"35-44",IF(EmployeeData[[#This Row],[Age]]&lt;=54,"45-54","55+"))))</f>
        <v>45-54</v>
      </c>
      <c r="Z939">
        <f ca="1">DATEDIF(EmployeeData[[#This Row],[DateOfJoining]],IF(AND(EmployeeData[[#This Row],[Attrition]]="Yes",EmployeeData[[#This Row],[LastWorkingDate]]&lt;&gt;""),EmployeeData[[#This Row],[LastWorkingDate]],TODAY()),"Y")</f>
        <v>4</v>
      </c>
      <c r="AA939" t="str">
        <f>IF(EmployeeData[[#This Row],[MonthlyIncome]]&lt;30000,"Low",IF(EmployeeData[[#This Row],[MonthlyIncome]]&lt;=60000,"Medium",IF(EmployeeData[[#This Row],[MonthlyIncome]]&lt;=100000,"High","Very High")))</f>
        <v>High</v>
      </c>
      <c r="AB939">
        <f>IF(EmployeeData[[#This Row],[Attrition]]="Yes",1,0)</f>
        <v>0</v>
      </c>
      <c r="AC939" t="str">
        <f ca="1">IF(EmployeeData[[#This Row],[Tenure Years]]&lt;1,"Less than 1 Year",IF(EmployeeData[[#This Row],[Tenure Years]]&lt;=3,"1-3 Years",IF(EmployeeData[[#This Row],[Tenure Years]]&lt;=5,"4-5 Years",IF(EmployeeData[[#This Row],[Tenure Years]]&lt;=10,"6-10 Years","More than 10 Years"))))</f>
        <v>4-5 Years</v>
      </c>
      <c r="AD939">
        <f>ROUND(AVERAGE(EmployeeData[[#This Row],[JobSatisfaction]],EmployeeData[[#This Row],[EnvironmentSatisfaction]],EmployeeData[[#This Row],[WorkLifeBalance]]),2)</f>
        <v>3.33</v>
      </c>
      <c r="AE939" t="str">
        <f>IF(EmployeeData[[#This Row],[Satisfaction Score]]&lt;2,"Low",IF(EmployeeData[[#This Row],[Satisfaction Score]]&lt;3,"Medium","High"))</f>
        <v>High</v>
      </c>
    </row>
    <row r="940" spans="1:31" x14ac:dyDescent="0.25">
      <c r="A940" t="s">
        <v>4331</v>
      </c>
      <c r="B940" t="s">
        <v>4332</v>
      </c>
      <c r="C940" t="s">
        <v>58</v>
      </c>
      <c r="D940">
        <v>37</v>
      </c>
      <c r="E940" t="s">
        <v>5461</v>
      </c>
      <c r="F940" t="s">
        <v>261</v>
      </c>
      <c r="G940" s="1">
        <v>43928</v>
      </c>
      <c r="H940">
        <v>54851</v>
      </c>
      <c r="I940" t="s">
        <v>52</v>
      </c>
      <c r="J940" t="s">
        <v>143</v>
      </c>
      <c r="K940" t="s">
        <v>113</v>
      </c>
      <c r="L940" t="s">
        <v>62</v>
      </c>
      <c r="M940">
        <v>9</v>
      </c>
      <c r="N940" t="s">
        <v>34</v>
      </c>
      <c r="O940">
        <v>1</v>
      </c>
      <c r="P940">
        <v>2</v>
      </c>
      <c r="Q940">
        <v>1</v>
      </c>
      <c r="R940">
        <v>3</v>
      </c>
      <c r="S940">
        <v>3</v>
      </c>
      <c r="T940">
        <v>4</v>
      </c>
      <c r="U940">
        <v>17</v>
      </c>
      <c r="V940" t="s">
        <v>4335</v>
      </c>
      <c r="W940" t="s">
        <v>34</v>
      </c>
      <c r="Y940" s="2" t="str">
        <f>IF(EmployeeData[[#This Row],[Age]]&lt;25,"Under 25",IF(EmployeeData[[#This Row],[Age]]&lt;=34,"25-34",IF(EmployeeData[[#This Row],[Age]]&lt;=44,"35-44",IF(EmployeeData[[#This Row],[Age]]&lt;=54,"45-54","55+"))))</f>
        <v>35-44</v>
      </c>
      <c r="Z940">
        <f ca="1">DATEDIF(EmployeeData[[#This Row],[DateOfJoining]],IF(AND(EmployeeData[[#This Row],[Attrition]]="Yes",EmployeeData[[#This Row],[LastWorkingDate]]&lt;&gt;""),EmployeeData[[#This Row],[LastWorkingDate]],TODAY()),"Y")</f>
        <v>6</v>
      </c>
      <c r="AA940" t="str">
        <f>IF(EmployeeData[[#This Row],[MonthlyIncome]]&lt;30000,"Low",IF(EmployeeData[[#This Row],[MonthlyIncome]]&lt;=60000,"Medium",IF(EmployeeData[[#This Row],[MonthlyIncome]]&lt;=100000,"High","Very High")))</f>
        <v>Medium</v>
      </c>
      <c r="AB940">
        <f>IF(EmployeeData[[#This Row],[Attrition]]="Yes",1,0)</f>
        <v>0</v>
      </c>
      <c r="AC940" t="str">
        <f ca="1">IF(EmployeeData[[#This Row],[Tenure Years]]&lt;1,"Less than 1 Year",IF(EmployeeData[[#This Row],[Tenure Years]]&lt;=3,"1-3 Years",IF(EmployeeData[[#This Row],[Tenure Years]]&lt;=5,"4-5 Years",IF(EmployeeData[[#This Row],[Tenure Years]]&lt;=10,"6-10 Years","More than 10 Years"))))</f>
        <v>6-10 Years</v>
      </c>
      <c r="AD940">
        <f>ROUND(AVERAGE(EmployeeData[[#This Row],[JobSatisfaction]],EmployeeData[[#This Row],[EnvironmentSatisfaction]],EmployeeData[[#This Row],[WorkLifeBalance]]),2)</f>
        <v>1.33</v>
      </c>
      <c r="AE940" t="str">
        <f>IF(EmployeeData[[#This Row],[Satisfaction Score]]&lt;2,"Low",IF(EmployeeData[[#This Row],[Satisfaction Score]]&lt;3,"Medium","High"))</f>
        <v>Low</v>
      </c>
    </row>
    <row r="941" spans="1:31" x14ac:dyDescent="0.25">
      <c r="A941" t="s">
        <v>4336</v>
      </c>
      <c r="B941" t="s">
        <v>4337</v>
      </c>
      <c r="C941" t="s">
        <v>58</v>
      </c>
      <c r="D941">
        <v>22</v>
      </c>
      <c r="E941" t="s">
        <v>5461</v>
      </c>
      <c r="F941" t="s">
        <v>261</v>
      </c>
      <c r="G941" s="1">
        <v>42892</v>
      </c>
      <c r="H941">
        <v>62811</v>
      </c>
      <c r="I941" t="s">
        <v>42</v>
      </c>
      <c r="J941" t="s">
        <v>31</v>
      </c>
      <c r="K941" t="s">
        <v>98</v>
      </c>
      <c r="L941" t="s">
        <v>43</v>
      </c>
      <c r="M941">
        <v>34</v>
      </c>
      <c r="N941" t="s">
        <v>45</v>
      </c>
      <c r="O941">
        <v>2</v>
      </c>
      <c r="P941">
        <v>1</v>
      </c>
      <c r="Q941">
        <v>3</v>
      </c>
      <c r="R941">
        <v>5</v>
      </c>
      <c r="S941">
        <v>6</v>
      </c>
      <c r="T941">
        <v>1</v>
      </c>
      <c r="U941">
        <v>21</v>
      </c>
      <c r="V941" t="s">
        <v>4340</v>
      </c>
      <c r="W941" t="s">
        <v>45</v>
      </c>
      <c r="X941" s="1">
        <v>46176</v>
      </c>
      <c r="Y941" s="2" t="str">
        <f>IF(EmployeeData[[#This Row],[Age]]&lt;25,"Under 25",IF(EmployeeData[[#This Row],[Age]]&lt;=34,"25-34",IF(EmployeeData[[#This Row],[Age]]&lt;=44,"35-44",IF(EmployeeData[[#This Row],[Age]]&lt;=54,"45-54","55+"))))</f>
        <v>Under 25</v>
      </c>
      <c r="Z941">
        <f ca="1">DATEDIF(EmployeeData[[#This Row],[DateOfJoining]],IF(AND(EmployeeData[[#This Row],[Attrition]]="Yes",EmployeeData[[#This Row],[LastWorkingDate]]&lt;&gt;""),EmployeeData[[#This Row],[LastWorkingDate]],TODAY()),"Y")</f>
        <v>8</v>
      </c>
      <c r="AA941" t="str">
        <f>IF(EmployeeData[[#This Row],[MonthlyIncome]]&lt;30000,"Low",IF(EmployeeData[[#This Row],[MonthlyIncome]]&lt;=60000,"Medium",IF(EmployeeData[[#This Row],[MonthlyIncome]]&lt;=100000,"High","Very High")))</f>
        <v>High</v>
      </c>
      <c r="AB941">
        <f>IF(EmployeeData[[#This Row],[Attrition]]="Yes",1,0)</f>
        <v>1</v>
      </c>
      <c r="AC941" t="str">
        <f ca="1">IF(EmployeeData[[#This Row],[Tenure Years]]&lt;1,"Less than 1 Year",IF(EmployeeData[[#This Row],[Tenure Years]]&lt;=3,"1-3 Years",IF(EmployeeData[[#This Row],[Tenure Years]]&lt;=5,"4-5 Years",IF(EmployeeData[[#This Row],[Tenure Years]]&lt;=10,"6-10 Years","More than 10 Years"))))</f>
        <v>6-10 Years</v>
      </c>
      <c r="AD941">
        <f>ROUND(AVERAGE(EmployeeData[[#This Row],[JobSatisfaction]],EmployeeData[[#This Row],[EnvironmentSatisfaction]],EmployeeData[[#This Row],[WorkLifeBalance]]),2)</f>
        <v>2</v>
      </c>
      <c r="AE941" t="str">
        <f>IF(EmployeeData[[#This Row],[Satisfaction Score]]&lt;2,"Low",IF(EmployeeData[[#This Row],[Satisfaction Score]]&lt;3,"Medium","High"))</f>
        <v>Medium</v>
      </c>
    </row>
    <row r="942" spans="1:31" x14ac:dyDescent="0.25">
      <c r="A942" t="s">
        <v>4342</v>
      </c>
      <c r="B942" t="s">
        <v>4343</v>
      </c>
      <c r="C942" t="s">
        <v>58</v>
      </c>
      <c r="D942">
        <v>44</v>
      </c>
      <c r="E942" t="s">
        <v>27</v>
      </c>
      <c r="F942" t="s">
        <v>188</v>
      </c>
      <c r="G942" s="1">
        <v>44464</v>
      </c>
      <c r="H942">
        <v>113760</v>
      </c>
      <c r="I942" t="s">
        <v>30</v>
      </c>
      <c r="J942" t="s">
        <v>53</v>
      </c>
      <c r="K942" t="s">
        <v>77</v>
      </c>
      <c r="L942" t="s">
        <v>43</v>
      </c>
      <c r="M942">
        <v>23</v>
      </c>
      <c r="N942" t="s">
        <v>45</v>
      </c>
      <c r="O942">
        <v>4</v>
      </c>
      <c r="P942">
        <v>2</v>
      </c>
      <c r="Q942">
        <v>3</v>
      </c>
      <c r="R942">
        <v>5</v>
      </c>
      <c r="S942">
        <v>2</v>
      </c>
      <c r="T942">
        <v>5</v>
      </c>
      <c r="U942">
        <v>22</v>
      </c>
      <c r="V942" t="s">
        <v>4345</v>
      </c>
      <c r="W942" t="s">
        <v>34</v>
      </c>
      <c r="Y942" s="2" t="str">
        <f>IF(EmployeeData[[#This Row],[Age]]&lt;25,"Under 25",IF(EmployeeData[[#This Row],[Age]]&lt;=34,"25-34",IF(EmployeeData[[#This Row],[Age]]&lt;=44,"35-44",IF(EmployeeData[[#This Row],[Age]]&lt;=54,"45-54","55+"))))</f>
        <v>35-44</v>
      </c>
      <c r="Z942">
        <f ca="1">DATEDIF(EmployeeData[[#This Row],[DateOfJoining]],IF(AND(EmployeeData[[#This Row],[Attrition]]="Yes",EmployeeData[[#This Row],[LastWorkingDate]]&lt;&gt;""),EmployeeData[[#This Row],[LastWorkingDate]],TODAY()),"Y")</f>
        <v>4</v>
      </c>
      <c r="AA942" t="str">
        <f>IF(EmployeeData[[#This Row],[MonthlyIncome]]&lt;30000,"Low",IF(EmployeeData[[#This Row],[MonthlyIncome]]&lt;=60000,"Medium",IF(EmployeeData[[#This Row],[MonthlyIncome]]&lt;=100000,"High","Very High")))</f>
        <v>Very High</v>
      </c>
      <c r="AB942">
        <f>IF(EmployeeData[[#This Row],[Attrition]]="Yes",1,0)</f>
        <v>0</v>
      </c>
      <c r="AC942" t="str">
        <f ca="1">IF(EmployeeData[[#This Row],[Tenure Years]]&lt;1,"Less than 1 Year",IF(EmployeeData[[#This Row],[Tenure Years]]&lt;=3,"1-3 Years",IF(EmployeeData[[#This Row],[Tenure Years]]&lt;=5,"4-5 Years",IF(EmployeeData[[#This Row],[Tenure Years]]&lt;=10,"6-10 Years","More than 10 Years"))))</f>
        <v>4-5 Years</v>
      </c>
      <c r="AD942">
        <f>ROUND(AVERAGE(EmployeeData[[#This Row],[JobSatisfaction]],EmployeeData[[#This Row],[EnvironmentSatisfaction]],EmployeeData[[#This Row],[WorkLifeBalance]]),2)</f>
        <v>3</v>
      </c>
      <c r="AE942" t="str">
        <f>IF(EmployeeData[[#This Row],[Satisfaction Score]]&lt;2,"Low",IF(EmployeeData[[#This Row],[Satisfaction Score]]&lt;3,"Medium","High"))</f>
        <v>High</v>
      </c>
    </row>
    <row r="943" spans="1:31" x14ac:dyDescent="0.25">
      <c r="A943" t="s">
        <v>4346</v>
      </c>
      <c r="B943" t="s">
        <v>4347</v>
      </c>
      <c r="C943" t="s">
        <v>49</v>
      </c>
      <c r="D943">
        <v>42</v>
      </c>
      <c r="E943" t="s">
        <v>197</v>
      </c>
      <c r="F943" t="s">
        <v>235</v>
      </c>
      <c r="G943" s="1">
        <v>45912</v>
      </c>
      <c r="H943">
        <v>81650</v>
      </c>
      <c r="I943" t="s">
        <v>52</v>
      </c>
      <c r="J943" t="s">
        <v>61</v>
      </c>
      <c r="K943" t="s">
        <v>54</v>
      </c>
      <c r="L943" t="s">
        <v>33</v>
      </c>
      <c r="M943">
        <v>26</v>
      </c>
      <c r="N943" t="s">
        <v>45</v>
      </c>
      <c r="O943">
        <v>3</v>
      </c>
      <c r="P943">
        <v>4</v>
      </c>
      <c r="Q943">
        <v>4</v>
      </c>
      <c r="R943">
        <v>4</v>
      </c>
      <c r="S943">
        <v>4</v>
      </c>
      <c r="T943">
        <v>2</v>
      </c>
      <c r="U943">
        <v>18</v>
      </c>
      <c r="V943" t="s">
        <v>4349</v>
      </c>
      <c r="W943" t="s">
        <v>45</v>
      </c>
      <c r="X943" s="1">
        <v>46155</v>
      </c>
      <c r="Y943" s="2" t="str">
        <f>IF(EmployeeData[[#This Row],[Age]]&lt;25,"Under 25",IF(EmployeeData[[#This Row],[Age]]&lt;=34,"25-34",IF(EmployeeData[[#This Row],[Age]]&lt;=44,"35-44",IF(EmployeeData[[#This Row],[Age]]&lt;=54,"45-54","55+"))))</f>
        <v>35-44</v>
      </c>
      <c r="Z943">
        <f ca="1">DATEDIF(EmployeeData[[#This Row],[DateOfJoining]],IF(AND(EmployeeData[[#This Row],[Attrition]]="Yes",EmployeeData[[#This Row],[LastWorkingDate]]&lt;&gt;""),EmployeeData[[#This Row],[LastWorkingDate]],TODAY()),"Y")</f>
        <v>0</v>
      </c>
      <c r="AA943" t="str">
        <f>IF(EmployeeData[[#This Row],[MonthlyIncome]]&lt;30000,"Low",IF(EmployeeData[[#This Row],[MonthlyIncome]]&lt;=60000,"Medium",IF(EmployeeData[[#This Row],[MonthlyIncome]]&lt;=100000,"High","Very High")))</f>
        <v>High</v>
      </c>
      <c r="AB943">
        <f>IF(EmployeeData[[#This Row],[Attrition]]="Yes",1,0)</f>
        <v>1</v>
      </c>
      <c r="AC943" t="str">
        <f ca="1">IF(EmployeeData[[#This Row],[Tenure Years]]&lt;1,"Less than 1 Year",IF(EmployeeData[[#This Row],[Tenure Years]]&lt;=3,"1-3 Years",IF(EmployeeData[[#This Row],[Tenure Years]]&lt;=5,"4-5 Years",IF(EmployeeData[[#This Row],[Tenure Years]]&lt;=10,"6-10 Years","More than 10 Years"))))</f>
        <v>Less than 1 Year</v>
      </c>
      <c r="AD943">
        <f>ROUND(AVERAGE(EmployeeData[[#This Row],[JobSatisfaction]],EmployeeData[[#This Row],[EnvironmentSatisfaction]],EmployeeData[[#This Row],[WorkLifeBalance]]),2)</f>
        <v>3.67</v>
      </c>
      <c r="AE943" t="str">
        <f>IF(EmployeeData[[#This Row],[Satisfaction Score]]&lt;2,"Low",IF(EmployeeData[[#This Row],[Satisfaction Score]]&lt;3,"Medium","High"))</f>
        <v>High</v>
      </c>
    </row>
    <row r="944" spans="1:31" x14ac:dyDescent="0.25">
      <c r="A944" t="s">
        <v>4351</v>
      </c>
      <c r="B944" t="s">
        <v>4352</v>
      </c>
      <c r="C944" t="s">
        <v>49</v>
      </c>
      <c r="D944">
        <v>38</v>
      </c>
      <c r="E944" t="s">
        <v>27</v>
      </c>
      <c r="F944" t="s">
        <v>59</v>
      </c>
      <c r="G944" s="1">
        <v>42381</v>
      </c>
      <c r="H944">
        <v>54971</v>
      </c>
      <c r="I944" t="s">
        <v>42</v>
      </c>
      <c r="J944" t="s">
        <v>31</v>
      </c>
      <c r="K944" t="s">
        <v>113</v>
      </c>
      <c r="L944" t="s">
        <v>62</v>
      </c>
      <c r="M944">
        <v>22</v>
      </c>
      <c r="N944" t="s">
        <v>34</v>
      </c>
      <c r="O944">
        <v>3</v>
      </c>
      <c r="P944">
        <v>3</v>
      </c>
      <c r="Q944">
        <v>2</v>
      </c>
      <c r="R944">
        <v>1</v>
      </c>
      <c r="S944">
        <v>6</v>
      </c>
      <c r="T944">
        <v>4</v>
      </c>
      <c r="U944">
        <v>21</v>
      </c>
      <c r="V944" t="s">
        <v>4354</v>
      </c>
      <c r="W944" t="s">
        <v>34</v>
      </c>
      <c r="Y944" s="2" t="str">
        <f>IF(EmployeeData[[#This Row],[Age]]&lt;25,"Under 25",IF(EmployeeData[[#This Row],[Age]]&lt;=34,"25-34",IF(EmployeeData[[#This Row],[Age]]&lt;=44,"35-44",IF(EmployeeData[[#This Row],[Age]]&lt;=54,"45-54","55+"))))</f>
        <v>35-44</v>
      </c>
      <c r="Z944">
        <f ca="1">DATEDIF(EmployeeData[[#This Row],[DateOfJoining]],IF(AND(EmployeeData[[#This Row],[Attrition]]="Yes",EmployeeData[[#This Row],[LastWorkingDate]]&lt;&gt;""),EmployeeData[[#This Row],[LastWorkingDate]],TODAY()),"Y")</f>
        <v>10</v>
      </c>
      <c r="AA944" t="str">
        <f>IF(EmployeeData[[#This Row],[MonthlyIncome]]&lt;30000,"Low",IF(EmployeeData[[#This Row],[MonthlyIncome]]&lt;=60000,"Medium",IF(EmployeeData[[#This Row],[MonthlyIncome]]&lt;=100000,"High","Very High")))</f>
        <v>Medium</v>
      </c>
      <c r="AB944">
        <f>IF(EmployeeData[[#This Row],[Attrition]]="Yes",1,0)</f>
        <v>0</v>
      </c>
      <c r="AC944" t="str">
        <f ca="1">IF(EmployeeData[[#This Row],[Tenure Years]]&lt;1,"Less than 1 Year",IF(EmployeeData[[#This Row],[Tenure Years]]&lt;=3,"1-3 Years",IF(EmployeeData[[#This Row],[Tenure Years]]&lt;=5,"4-5 Years",IF(EmployeeData[[#This Row],[Tenure Years]]&lt;=10,"6-10 Years","More than 10 Years"))))</f>
        <v>6-10 Years</v>
      </c>
      <c r="AD944">
        <f>ROUND(AVERAGE(EmployeeData[[#This Row],[JobSatisfaction]],EmployeeData[[#This Row],[EnvironmentSatisfaction]],EmployeeData[[#This Row],[WorkLifeBalance]]),2)</f>
        <v>2.67</v>
      </c>
      <c r="AE944" t="str">
        <f>IF(EmployeeData[[#This Row],[Satisfaction Score]]&lt;2,"Low",IF(EmployeeData[[#This Row],[Satisfaction Score]]&lt;3,"Medium","High"))</f>
        <v>Medium</v>
      </c>
    </row>
    <row r="945" spans="1:31" x14ac:dyDescent="0.25">
      <c r="A945" t="s">
        <v>4355</v>
      </c>
      <c r="B945" t="s">
        <v>4356</v>
      </c>
      <c r="C945" t="s">
        <v>49</v>
      </c>
      <c r="D945">
        <v>19</v>
      </c>
      <c r="E945" t="s">
        <v>197</v>
      </c>
      <c r="F945" t="s">
        <v>235</v>
      </c>
      <c r="G945" s="1">
        <v>41616</v>
      </c>
      <c r="H945">
        <v>77630</v>
      </c>
      <c r="I945" t="s">
        <v>52</v>
      </c>
      <c r="J945" t="s">
        <v>61</v>
      </c>
      <c r="K945" t="s">
        <v>98</v>
      </c>
      <c r="L945" t="s">
        <v>62</v>
      </c>
      <c r="M945">
        <v>2</v>
      </c>
      <c r="N945" t="s">
        <v>45</v>
      </c>
      <c r="O945">
        <v>2</v>
      </c>
      <c r="P945">
        <v>3</v>
      </c>
      <c r="Q945">
        <v>2</v>
      </c>
      <c r="R945">
        <v>2</v>
      </c>
      <c r="S945">
        <v>2</v>
      </c>
      <c r="T945">
        <v>4</v>
      </c>
      <c r="U945">
        <v>14</v>
      </c>
      <c r="V945" t="s">
        <v>4358</v>
      </c>
      <c r="W945" t="s">
        <v>45</v>
      </c>
      <c r="X945" s="1">
        <v>44882</v>
      </c>
      <c r="Y945" s="2" t="str">
        <f>IF(EmployeeData[[#This Row],[Age]]&lt;25,"Under 25",IF(EmployeeData[[#This Row],[Age]]&lt;=34,"25-34",IF(EmployeeData[[#This Row],[Age]]&lt;=44,"35-44",IF(EmployeeData[[#This Row],[Age]]&lt;=54,"45-54","55+"))))</f>
        <v>Under 25</v>
      </c>
      <c r="Z945">
        <f ca="1">DATEDIF(EmployeeData[[#This Row],[DateOfJoining]],IF(AND(EmployeeData[[#This Row],[Attrition]]="Yes",EmployeeData[[#This Row],[LastWorkingDate]]&lt;&gt;""),EmployeeData[[#This Row],[LastWorkingDate]],TODAY()),"Y")</f>
        <v>8</v>
      </c>
      <c r="AA945" t="str">
        <f>IF(EmployeeData[[#This Row],[MonthlyIncome]]&lt;30000,"Low",IF(EmployeeData[[#This Row],[MonthlyIncome]]&lt;=60000,"Medium",IF(EmployeeData[[#This Row],[MonthlyIncome]]&lt;=100000,"High","Very High")))</f>
        <v>High</v>
      </c>
      <c r="AB945">
        <f>IF(EmployeeData[[#This Row],[Attrition]]="Yes",1,0)</f>
        <v>1</v>
      </c>
      <c r="AC945" t="str">
        <f ca="1">IF(EmployeeData[[#This Row],[Tenure Years]]&lt;1,"Less than 1 Year",IF(EmployeeData[[#This Row],[Tenure Years]]&lt;=3,"1-3 Years",IF(EmployeeData[[#This Row],[Tenure Years]]&lt;=5,"4-5 Years",IF(EmployeeData[[#This Row],[Tenure Years]]&lt;=10,"6-10 Years","More than 10 Years"))))</f>
        <v>6-10 Years</v>
      </c>
      <c r="AD945">
        <f>ROUND(AVERAGE(EmployeeData[[#This Row],[JobSatisfaction]],EmployeeData[[#This Row],[EnvironmentSatisfaction]],EmployeeData[[#This Row],[WorkLifeBalance]]),2)</f>
        <v>2.33</v>
      </c>
      <c r="AE945" t="str">
        <f>IF(EmployeeData[[#This Row],[Satisfaction Score]]&lt;2,"Low",IF(EmployeeData[[#This Row],[Satisfaction Score]]&lt;3,"Medium","High"))</f>
        <v>Medium</v>
      </c>
    </row>
    <row r="946" spans="1:31" x14ac:dyDescent="0.25">
      <c r="A946" t="s">
        <v>4360</v>
      </c>
      <c r="B946" t="s">
        <v>4361</v>
      </c>
      <c r="C946" t="s">
        <v>58</v>
      </c>
      <c r="D946">
        <v>19</v>
      </c>
      <c r="E946" t="s">
        <v>5461</v>
      </c>
      <c r="F946" t="s">
        <v>261</v>
      </c>
      <c r="G946" s="1">
        <v>43345</v>
      </c>
      <c r="H946">
        <v>100527</v>
      </c>
      <c r="I946" t="s">
        <v>52</v>
      </c>
      <c r="J946" t="s">
        <v>31</v>
      </c>
      <c r="K946" t="s">
        <v>113</v>
      </c>
      <c r="L946" t="s">
        <v>33</v>
      </c>
      <c r="M946">
        <v>23</v>
      </c>
      <c r="N946" t="s">
        <v>34</v>
      </c>
      <c r="O946">
        <v>1</v>
      </c>
      <c r="P946">
        <v>1</v>
      </c>
      <c r="Q946">
        <v>3</v>
      </c>
      <c r="R946">
        <v>5</v>
      </c>
      <c r="S946">
        <v>2</v>
      </c>
      <c r="T946">
        <v>5</v>
      </c>
      <c r="U946">
        <v>19</v>
      </c>
      <c r="V946" t="s">
        <v>4363</v>
      </c>
      <c r="W946" t="s">
        <v>34</v>
      </c>
      <c r="Y946" s="2" t="str">
        <f>IF(EmployeeData[[#This Row],[Age]]&lt;25,"Under 25",IF(EmployeeData[[#This Row],[Age]]&lt;=34,"25-34",IF(EmployeeData[[#This Row],[Age]]&lt;=44,"35-44",IF(EmployeeData[[#This Row],[Age]]&lt;=54,"45-54","55+"))))</f>
        <v>Under 25</v>
      </c>
      <c r="Z946">
        <f ca="1">DATEDIF(EmployeeData[[#This Row],[DateOfJoining]],IF(AND(EmployeeData[[#This Row],[Attrition]]="Yes",EmployeeData[[#This Row],[LastWorkingDate]]&lt;&gt;""),EmployeeData[[#This Row],[LastWorkingDate]],TODAY()),"Y")</f>
        <v>8</v>
      </c>
      <c r="AA946" t="str">
        <f>IF(EmployeeData[[#This Row],[MonthlyIncome]]&lt;30000,"Low",IF(EmployeeData[[#This Row],[MonthlyIncome]]&lt;=60000,"Medium",IF(EmployeeData[[#This Row],[MonthlyIncome]]&lt;=100000,"High","Very High")))</f>
        <v>Very High</v>
      </c>
      <c r="AB946">
        <f>IF(EmployeeData[[#This Row],[Attrition]]="Yes",1,0)</f>
        <v>0</v>
      </c>
      <c r="AC946" t="str">
        <f ca="1">IF(EmployeeData[[#This Row],[Tenure Years]]&lt;1,"Less than 1 Year",IF(EmployeeData[[#This Row],[Tenure Years]]&lt;=3,"1-3 Years",IF(EmployeeData[[#This Row],[Tenure Years]]&lt;=5,"4-5 Years",IF(EmployeeData[[#This Row],[Tenure Years]]&lt;=10,"6-10 Years","More than 10 Years"))))</f>
        <v>6-10 Years</v>
      </c>
      <c r="AD946">
        <f>ROUND(AVERAGE(EmployeeData[[#This Row],[JobSatisfaction]],EmployeeData[[#This Row],[EnvironmentSatisfaction]],EmployeeData[[#This Row],[WorkLifeBalance]]),2)</f>
        <v>1.67</v>
      </c>
      <c r="AE946" t="str">
        <f>IF(EmployeeData[[#This Row],[Satisfaction Score]]&lt;2,"Low",IF(EmployeeData[[#This Row],[Satisfaction Score]]&lt;3,"Medium","High"))</f>
        <v>Low</v>
      </c>
    </row>
    <row r="947" spans="1:31" x14ac:dyDescent="0.25">
      <c r="A947" t="s">
        <v>4364</v>
      </c>
      <c r="B947" t="s">
        <v>4365</v>
      </c>
      <c r="C947" t="s">
        <v>49</v>
      </c>
      <c r="D947">
        <v>20</v>
      </c>
      <c r="E947" t="s">
        <v>5461</v>
      </c>
      <c r="F947" t="s">
        <v>89</v>
      </c>
      <c r="G947" s="1">
        <v>43617</v>
      </c>
      <c r="H947">
        <v>123761</v>
      </c>
      <c r="I947" t="s">
        <v>42</v>
      </c>
      <c r="J947" t="s">
        <v>61</v>
      </c>
      <c r="K947" t="s">
        <v>131</v>
      </c>
      <c r="L947" t="s">
        <v>33</v>
      </c>
      <c r="M947">
        <v>20</v>
      </c>
      <c r="N947" t="s">
        <v>45</v>
      </c>
      <c r="O947">
        <v>2</v>
      </c>
      <c r="P947">
        <v>4</v>
      </c>
      <c r="Q947">
        <v>1</v>
      </c>
      <c r="R947">
        <v>4</v>
      </c>
      <c r="S947">
        <v>2</v>
      </c>
      <c r="T947">
        <v>7</v>
      </c>
      <c r="U947">
        <v>17</v>
      </c>
      <c r="V947" t="s">
        <v>4366</v>
      </c>
      <c r="W947" t="s">
        <v>45</v>
      </c>
      <c r="X947" s="1">
        <v>45290</v>
      </c>
      <c r="Y947" s="2" t="str">
        <f>IF(EmployeeData[[#This Row],[Age]]&lt;25,"Under 25",IF(EmployeeData[[#This Row],[Age]]&lt;=34,"25-34",IF(EmployeeData[[#This Row],[Age]]&lt;=44,"35-44",IF(EmployeeData[[#This Row],[Age]]&lt;=54,"45-54","55+"))))</f>
        <v>Under 25</v>
      </c>
      <c r="Z947">
        <f ca="1">DATEDIF(EmployeeData[[#This Row],[DateOfJoining]],IF(AND(EmployeeData[[#This Row],[Attrition]]="Yes",EmployeeData[[#This Row],[LastWorkingDate]]&lt;&gt;""),EmployeeData[[#This Row],[LastWorkingDate]],TODAY()),"Y")</f>
        <v>4</v>
      </c>
      <c r="AA947" t="str">
        <f>IF(EmployeeData[[#This Row],[MonthlyIncome]]&lt;30000,"Low",IF(EmployeeData[[#This Row],[MonthlyIncome]]&lt;=60000,"Medium",IF(EmployeeData[[#This Row],[MonthlyIncome]]&lt;=100000,"High","Very High")))</f>
        <v>Very High</v>
      </c>
      <c r="AB947">
        <f>IF(EmployeeData[[#This Row],[Attrition]]="Yes",1,0)</f>
        <v>1</v>
      </c>
      <c r="AC947" t="str">
        <f ca="1">IF(EmployeeData[[#This Row],[Tenure Years]]&lt;1,"Less than 1 Year",IF(EmployeeData[[#This Row],[Tenure Years]]&lt;=3,"1-3 Years",IF(EmployeeData[[#This Row],[Tenure Years]]&lt;=5,"4-5 Years",IF(EmployeeData[[#This Row],[Tenure Years]]&lt;=10,"6-10 Years","More than 10 Years"))))</f>
        <v>4-5 Years</v>
      </c>
      <c r="AD947">
        <f>ROUND(AVERAGE(EmployeeData[[#This Row],[JobSatisfaction]],EmployeeData[[#This Row],[EnvironmentSatisfaction]],EmployeeData[[#This Row],[WorkLifeBalance]]),2)</f>
        <v>2.33</v>
      </c>
      <c r="AE947" t="str">
        <f>IF(EmployeeData[[#This Row],[Satisfaction Score]]&lt;2,"Low",IF(EmployeeData[[#This Row],[Satisfaction Score]]&lt;3,"Medium","High"))</f>
        <v>Medium</v>
      </c>
    </row>
    <row r="948" spans="1:31" x14ac:dyDescent="0.25">
      <c r="A948" t="s">
        <v>4368</v>
      </c>
      <c r="B948" t="s">
        <v>4369</v>
      </c>
      <c r="C948" t="s">
        <v>49</v>
      </c>
      <c r="D948">
        <v>33</v>
      </c>
      <c r="E948" t="s">
        <v>27</v>
      </c>
      <c r="F948" t="s">
        <v>188</v>
      </c>
      <c r="G948" s="1">
        <v>43163</v>
      </c>
      <c r="H948">
        <v>115629</v>
      </c>
      <c r="I948" t="s">
        <v>42</v>
      </c>
      <c r="J948" t="s">
        <v>5459</v>
      </c>
      <c r="K948" t="s">
        <v>200</v>
      </c>
      <c r="L948" t="s">
        <v>43</v>
      </c>
      <c r="M948">
        <v>35</v>
      </c>
      <c r="N948" t="s">
        <v>34</v>
      </c>
      <c r="O948">
        <v>3</v>
      </c>
      <c r="P948">
        <v>1</v>
      </c>
      <c r="Q948">
        <v>4</v>
      </c>
      <c r="R948">
        <v>3</v>
      </c>
      <c r="S948">
        <v>5</v>
      </c>
      <c r="T948">
        <v>7</v>
      </c>
      <c r="U948">
        <v>17</v>
      </c>
      <c r="V948" t="s">
        <v>4372</v>
      </c>
      <c r="W948" t="s">
        <v>34</v>
      </c>
      <c r="Y948" s="2" t="str">
        <f>IF(EmployeeData[[#This Row],[Age]]&lt;25,"Under 25",IF(EmployeeData[[#This Row],[Age]]&lt;=34,"25-34",IF(EmployeeData[[#This Row],[Age]]&lt;=44,"35-44",IF(EmployeeData[[#This Row],[Age]]&lt;=54,"45-54","55+"))))</f>
        <v>25-34</v>
      </c>
      <c r="Z948">
        <f ca="1">DATEDIF(EmployeeData[[#This Row],[DateOfJoining]],IF(AND(EmployeeData[[#This Row],[Attrition]]="Yes",EmployeeData[[#This Row],[LastWorkingDate]]&lt;&gt;""),EmployeeData[[#This Row],[LastWorkingDate]],TODAY()),"Y")</f>
        <v>8</v>
      </c>
      <c r="AA948" t="str">
        <f>IF(EmployeeData[[#This Row],[MonthlyIncome]]&lt;30000,"Low",IF(EmployeeData[[#This Row],[MonthlyIncome]]&lt;=60000,"Medium",IF(EmployeeData[[#This Row],[MonthlyIncome]]&lt;=100000,"High","Very High")))</f>
        <v>Very High</v>
      </c>
      <c r="AB948">
        <f>IF(EmployeeData[[#This Row],[Attrition]]="Yes",1,0)</f>
        <v>0</v>
      </c>
      <c r="AC948" t="str">
        <f ca="1">IF(EmployeeData[[#This Row],[Tenure Years]]&lt;1,"Less than 1 Year",IF(EmployeeData[[#This Row],[Tenure Years]]&lt;=3,"1-3 Years",IF(EmployeeData[[#This Row],[Tenure Years]]&lt;=5,"4-5 Years",IF(EmployeeData[[#This Row],[Tenure Years]]&lt;=10,"6-10 Years","More than 10 Years"))))</f>
        <v>6-10 Years</v>
      </c>
      <c r="AD948">
        <f>ROUND(AVERAGE(EmployeeData[[#This Row],[JobSatisfaction]],EmployeeData[[#This Row],[EnvironmentSatisfaction]],EmployeeData[[#This Row],[WorkLifeBalance]]),2)</f>
        <v>2.67</v>
      </c>
      <c r="AE948" t="str">
        <f>IF(EmployeeData[[#This Row],[Satisfaction Score]]&lt;2,"Low",IF(EmployeeData[[#This Row],[Satisfaction Score]]&lt;3,"Medium","High"))</f>
        <v>Medium</v>
      </c>
    </row>
    <row r="949" spans="1:31" x14ac:dyDescent="0.25">
      <c r="A949" t="s">
        <v>4373</v>
      </c>
      <c r="B949" t="s">
        <v>4374</v>
      </c>
      <c r="C949" t="s">
        <v>58</v>
      </c>
      <c r="D949">
        <v>24</v>
      </c>
      <c r="E949" t="s">
        <v>27</v>
      </c>
      <c r="F949" t="s">
        <v>188</v>
      </c>
      <c r="G949" s="1">
        <v>45272</v>
      </c>
      <c r="H949">
        <v>99514</v>
      </c>
      <c r="I949" t="s">
        <v>42</v>
      </c>
      <c r="J949" t="s">
        <v>31</v>
      </c>
      <c r="K949" t="s">
        <v>106</v>
      </c>
      <c r="L949" t="s">
        <v>5459</v>
      </c>
      <c r="M949">
        <v>27</v>
      </c>
      <c r="N949" t="s">
        <v>45</v>
      </c>
      <c r="O949">
        <v>4</v>
      </c>
      <c r="P949">
        <v>3</v>
      </c>
      <c r="Q949">
        <v>1</v>
      </c>
      <c r="R949">
        <v>1</v>
      </c>
      <c r="S949">
        <v>2</v>
      </c>
      <c r="T949">
        <v>6</v>
      </c>
      <c r="U949">
        <v>17</v>
      </c>
      <c r="V949" t="s">
        <v>4376</v>
      </c>
      <c r="W949" t="s">
        <v>34</v>
      </c>
      <c r="Y949" s="2" t="str">
        <f>IF(EmployeeData[[#This Row],[Age]]&lt;25,"Under 25",IF(EmployeeData[[#This Row],[Age]]&lt;=34,"25-34",IF(EmployeeData[[#This Row],[Age]]&lt;=44,"35-44",IF(EmployeeData[[#This Row],[Age]]&lt;=54,"45-54","55+"))))</f>
        <v>Under 25</v>
      </c>
      <c r="Z949">
        <f ca="1">DATEDIF(EmployeeData[[#This Row],[DateOfJoining]],IF(AND(EmployeeData[[#This Row],[Attrition]]="Yes",EmployeeData[[#This Row],[LastWorkingDate]]&lt;&gt;""),EmployeeData[[#This Row],[LastWorkingDate]],TODAY()),"Y")</f>
        <v>2</v>
      </c>
      <c r="AA949" t="str">
        <f>IF(EmployeeData[[#This Row],[MonthlyIncome]]&lt;30000,"Low",IF(EmployeeData[[#This Row],[MonthlyIncome]]&lt;=60000,"Medium",IF(EmployeeData[[#This Row],[MonthlyIncome]]&lt;=100000,"High","Very High")))</f>
        <v>High</v>
      </c>
      <c r="AB949">
        <f>IF(EmployeeData[[#This Row],[Attrition]]="Yes",1,0)</f>
        <v>0</v>
      </c>
      <c r="AC949" t="str">
        <f ca="1">IF(EmployeeData[[#This Row],[Tenure Years]]&lt;1,"Less than 1 Year",IF(EmployeeData[[#This Row],[Tenure Years]]&lt;=3,"1-3 Years",IF(EmployeeData[[#This Row],[Tenure Years]]&lt;=5,"4-5 Years",IF(EmployeeData[[#This Row],[Tenure Years]]&lt;=10,"6-10 Years","More than 10 Years"))))</f>
        <v>1-3 Years</v>
      </c>
      <c r="AD949">
        <f>ROUND(AVERAGE(EmployeeData[[#This Row],[JobSatisfaction]],EmployeeData[[#This Row],[EnvironmentSatisfaction]],EmployeeData[[#This Row],[WorkLifeBalance]]),2)</f>
        <v>2.67</v>
      </c>
      <c r="AE949" t="str">
        <f>IF(EmployeeData[[#This Row],[Satisfaction Score]]&lt;2,"Low",IF(EmployeeData[[#This Row],[Satisfaction Score]]&lt;3,"Medium","High"))</f>
        <v>Medium</v>
      </c>
    </row>
    <row r="950" spans="1:31" x14ac:dyDescent="0.25">
      <c r="A950" t="s">
        <v>4377</v>
      </c>
      <c r="B950" t="s">
        <v>4378</v>
      </c>
      <c r="C950" t="s">
        <v>49</v>
      </c>
      <c r="D950">
        <v>36</v>
      </c>
      <c r="E950" t="s">
        <v>5461</v>
      </c>
      <c r="F950" t="s">
        <v>5463</v>
      </c>
      <c r="G950" s="1">
        <v>43720</v>
      </c>
      <c r="H950">
        <v>141955</v>
      </c>
      <c r="I950" t="s">
        <v>42</v>
      </c>
      <c r="J950" t="s">
        <v>143</v>
      </c>
      <c r="K950" t="s">
        <v>200</v>
      </c>
      <c r="L950" t="s">
        <v>33</v>
      </c>
      <c r="M950">
        <v>8</v>
      </c>
      <c r="N950" t="s">
        <v>34</v>
      </c>
      <c r="O950">
        <v>3</v>
      </c>
      <c r="P950">
        <v>1</v>
      </c>
      <c r="Q950">
        <v>3</v>
      </c>
      <c r="R950">
        <v>3</v>
      </c>
      <c r="S950">
        <v>6</v>
      </c>
      <c r="T950">
        <v>2</v>
      </c>
      <c r="U950">
        <v>19</v>
      </c>
      <c r="V950" t="s">
        <v>4381</v>
      </c>
      <c r="W950" t="s">
        <v>34</v>
      </c>
      <c r="Y950" s="2" t="str">
        <f>IF(EmployeeData[[#This Row],[Age]]&lt;25,"Under 25",IF(EmployeeData[[#This Row],[Age]]&lt;=34,"25-34",IF(EmployeeData[[#This Row],[Age]]&lt;=44,"35-44",IF(EmployeeData[[#This Row],[Age]]&lt;=54,"45-54","55+"))))</f>
        <v>35-44</v>
      </c>
      <c r="Z950">
        <f ca="1">DATEDIF(EmployeeData[[#This Row],[DateOfJoining]],IF(AND(EmployeeData[[#This Row],[Attrition]]="Yes",EmployeeData[[#This Row],[LastWorkingDate]]&lt;&gt;""),EmployeeData[[#This Row],[LastWorkingDate]],TODAY()),"Y")</f>
        <v>6</v>
      </c>
      <c r="AA950" t="str">
        <f>IF(EmployeeData[[#This Row],[MonthlyIncome]]&lt;30000,"Low",IF(EmployeeData[[#This Row],[MonthlyIncome]]&lt;=60000,"Medium",IF(EmployeeData[[#This Row],[MonthlyIncome]]&lt;=100000,"High","Very High")))</f>
        <v>Very High</v>
      </c>
      <c r="AB950">
        <f>IF(EmployeeData[[#This Row],[Attrition]]="Yes",1,0)</f>
        <v>0</v>
      </c>
      <c r="AC950" t="str">
        <f ca="1">IF(EmployeeData[[#This Row],[Tenure Years]]&lt;1,"Less than 1 Year",IF(EmployeeData[[#This Row],[Tenure Years]]&lt;=3,"1-3 Years",IF(EmployeeData[[#This Row],[Tenure Years]]&lt;=5,"4-5 Years",IF(EmployeeData[[#This Row],[Tenure Years]]&lt;=10,"6-10 Years","More than 10 Years"))))</f>
        <v>6-10 Years</v>
      </c>
      <c r="AD950">
        <f>ROUND(AVERAGE(EmployeeData[[#This Row],[JobSatisfaction]],EmployeeData[[#This Row],[EnvironmentSatisfaction]],EmployeeData[[#This Row],[WorkLifeBalance]]),2)</f>
        <v>2.33</v>
      </c>
      <c r="AE950" t="str">
        <f>IF(EmployeeData[[#This Row],[Satisfaction Score]]&lt;2,"Low",IF(EmployeeData[[#This Row],[Satisfaction Score]]&lt;3,"Medium","High"))</f>
        <v>Medium</v>
      </c>
    </row>
    <row r="951" spans="1:31" x14ac:dyDescent="0.25">
      <c r="A951" t="s">
        <v>4382</v>
      </c>
      <c r="B951" t="s">
        <v>4383</v>
      </c>
      <c r="C951" t="s">
        <v>58</v>
      </c>
      <c r="D951">
        <v>34</v>
      </c>
      <c r="E951" t="s">
        <v>412</v>
      </c>
      <c r="F951" t="s">
        <v>828</v>
      </c>
      <c r="G951" s="1">
        <v>41328</v>
      </c>
      <c r="H951">
        <v>45319</v>
      </c>
      <c r="I951" t="s">
        <v>30</v>
      </c>
      <c r="J951" t="s">
        <v>53</v>
      </c>
      <c r="K951" t="s">
        <v>113</v>
      </c>
      <c r="L951" t="s">
        <v>43</v>
      </c>
      <c r="M951">
        <v>40</v>
      </c>
      <c r="N951" t="s">
        <v>45</v>
      </c>
      <c r="O951">
        <v>1</v>
      </c>
      <c r="P951">
        <v>4</v>
      </c>
      <c r="Q951">
        <v>1</v>
      </c>
      <c r="R951">
        <v>3</v>
      </c>
      <c r="S951">
        <v>1</v>
      </c>
      <c r="T951">
        <v>8</v>
      </c>
      <c r="U951">
        <v>15</v>
      </c>
      <c r="V951" t="s">
        <v>5459</v>
      </c>
      <c r="W951" t="s">
        <v>45</v>
      </c>
      <c r="X951" s="1">
        <v>45198</v>
      </c>
      <c r="Y951" s="2" t="str">
        <f>IF(EmployeeData[[#This Row],[Age]]&lt;25,"Under 25",IF(EmployeeData[[#This Row],[Age]]&lt;=34,"25-34",IF(EmployeeData[[#This Row],[Age]]&lt;=44,"35-44",IF(EmployeeData[[#This Row],[Age]]&lt;=54,"45-54","55+"))))</f>
        <v>25-34</v>
      </c>
      <c r="Z951">
        <f ca="1">DATEDIF(EmployeeData[[#This Row],[DateOfJoining]],IF(AND(EmployeeData[[#This Row],[Attrition]]="Yes",EmployeeData[[#This Row],[LastWorkingDate]]&lt;&gt;""),EmployeeData[[#This Row],[LastWorkingDate]],TODAY()),"Y")</f>
        <v>10</v>
      </c>
      <c r="AA951" t="str">
        <f>IF(EmployeeData[[#This Row],[MonthlyIncome]]&lt;30000,"Low",IF(EmployeeData[[#This Row],[MonthlyIncome]]&lt;=60000,"Medium",IF(EmployeeData[[#This Row],[MonthlyIncome]]&lt;=100000,"High","Very High")))</f>
        <v>Medium</v>
      </c>
      <c r="AB951">
        <f>IF(EmployeeData[[#This Row],[Attrition]]="Yes",1,0)</f>
        <v>1</v>
      </c>
      <c r="AC951" t="str">
        <f ca="1">IF(EmployeeData[[#This Row],[Tenure Years]]&lt;1,"Less than 1 Year",IF(EmployeeData[[#This Row],[Tenure Years]]&lt;=3,"1-3 Years",IF(EmployeeData[[#This Row],[Tenure Years]]&lt;=5,"4-5 Years",IF(EmployeeData[[#This Row],[Tenure Years]]&lt;=10,"6-10 Years","More than 10 Years"))))</f>
        <v>6-10 Years</v>
      </c>
      <c r="AD951">
        <f>ROUND(AVERAGE(EmployeeData[[#This Row],[JobSatisfaction]],EmployeeData[[#This Row],[EnvironmentSatisfaction]],EmployeeData[[#This Row],[WorkLifeBalance]]),2)</f>
        <v>2</v>
      </c>
      <c r="AE951" t="str">
        <f>IF(EmployeeData[[#This Row],[Satisfaction Score]]&lt;2,"Low",IF(EmployeeData[[#This Row],[Satisfaction Score]]&lt;3,"Medium","High"))</f>
        <v>Medium</v>
      </c>
    </row>
    <row r="952" spans="1:31" x14ac:dyDescent="0.25">
      <c r="A952" t="s">
        <v>4385</v>
      </c>
      <c r="B952" t="s">
        <v>4386</v>
      </c>
      <c r="C952" t="s">
        <v>58</v>
      </c>
      <c r="D952">
        <v>28</v>
      </c>
      <c r="E952" t="s">
        <v>27</v>
      </c>
      <c r="F952" t="s">
        <v>188</v>
      </c>
      <c r="G952" s="1">
        <v>40814</v>
      </c>
      <c r="H952">
        <v>67408</v>
      </c>
      <c r="I952" t="s">
        <v>52</v>
      </c>
      <c r="J952" t="s">
        <v>143</v>
      </c>
      <c r="K952" t="s">
        <v>131</v>
      </c>
      <c r="L952" t="s">
        <v>43</v>
      </c>
      <c r="M952">
        <v>39</v>
      </c>
      <c r="N952" t="s">
        <v>45</v>
      </c>
      <c r="O952">
        <v>1</v>
      </c>
      <c r="P952">
        <v>4</v>
      </c>
      <c r="Q952">
        <v>2</v>
      </c>
      <c r="R952">
        <v>3</v>
      </c>
      <c r="S952">
        <v>2</v>
      </c>
      <c r="T952">
        <v>1</v>
      </c>
      <c r="U952">
        <v>20</v>
      </c>
      <c r="V952" t="s">
        <v>4388</v>
      </c>
      <c r="W952" t="s">
        <v>45</v>
      </c>
      <c r="X952" s="1">
        <v>41310</v>
      </c>
      <c r="Y952" s="2" t="str">
        <f>IF(EmployeeData[[#This Row],[Age]]&lt;25,"Under 25",IF(EmployeeData[[#This Row],[Age]]&lt;=34,"25-34",IF(EmployeeData[[#This Row],[Age]]&lt;=44,"35-44",IF(EmployeeData[[#This Row],[Age]]&lt;=54,"45-54","55+"))))</f>
        <v>25-34</v>
      </c>
      <c r="Z952">
        <f ca="1">DATEDIF(EmployeeData[[#This Row],[DateOfJoining]],IF(AND(EmployeeData[[#This Row],[Attrition]]="Yes",EmployeeData[[#This Row],[LastWorkingDate]]&lt;&gt;""),EmployeeData[[#This Row],[LastWorkingDate]],TODAY()),"Y")</f>
        <v>1</v>
      </c>
      <c r="AA952" t="str">
        <f>IF(EmployeeData[[#This Row],[MonthlyIncome]]&lt;30000,"Low",IF(EmployeeData[[#This Row],[MonthlyIncome]]&lt;=60000,"Medium",IF(EmployeeData[[#This Row],[MonthlyIncome]]&lt;=100000,"High","Very High")))</f>
        <v>High</v>
      </c>
      <c r="AB952">
        <f>IF(EmployeeData[[#This Row],[Attrition]]="Yes",1,0)</f>
        <v>1</v>
      </c>
      <c r="AC952" t="str">
        <f ca="1">IF(EmployeeData[[#This Row],[Tenure Years]]&lt;1,"Less than 1 Year",IF(EmployeeData[[#This Row],[Tenure Years]]&lt;=3,"1-3 Years",IF(EmployeeData[[#This Row],[Tenure Years]]&lt;=5,"4-5 Years",IF(EmployeeData[[#This Row],[Tenure Years]]&lt;=10,"6-10 Years","More than 10 Years"))))</f>
        <v>1-3 Years</v>
      </c>
      <c r="AD952">
        <f>ROUND(AVERAGE(EmployeeData[[#This Row],[JobSatisfaction]],EmployeeData[[#This Row],[EnvironmentSatisfaction]],EmployeeData[[#This Row],[WorkLifeBalance]]),2)</f>
        <v>2.33</v>
      </c>
      <c r="AE952" t="str">
        <f>IF(EmployeeData[[#This Row],[Satisfaction Score]]&lt;2,"Low",IF(EmployeeData[[#This Row],[Satisfaction Score]]&lt;3,"Medium","High"))</f>
        <v>Medium</v>
      </c>
    </row>
    <row r="953" spans="1:31" x14ac:dyDescent="0.25">
      <c r="A953" t="s">
        <v>4390</v>
      </c>
      <c r="B953" t="s">
        <v>551</v>
      </c>
      <c r="C953" t="s">
        <v>49</v>
      </c>
      <c r="D953">
        <v>26</v>
      </c>
      <c r="E953" t="s">
        <v>197</v>
      </c>
      <c r="F953" t="s">
        <v>573</v>
      </c>
      <c r="G953" s="1">
        <v>42310</v>
      </c>
      <c r="H953">
        <v>59689</v>
      </c>
      <c r="I953" t="s">
        <v>42</v>
      </c>
      <c r="J953" t="s">
        <v>31</v>
      </c>
      <c r="K953" t="s">
        <v>32</v>
      </c>
      <c r="L953" t="s">
        <v>33</v>
      </c>
      <c r="M953">
        <v>27</v>
      </c>
      <c r="N953" t="s">
        <v>45</v>
      </c>
      <c r="O953">
        <v>4</v>
      </c>
      <c r="P953">
        <v>1</v>
      </c>
      <c r="Q953">
        <v>3</v>
      </c>
      <c r="R953">
        <v>3</v>
      </c>
      <c r="S953">
        <v>0</v>
      </c>
      <c r="T953">
        <v>2</v>
      </c>
      <c r="U953">
        <v>12</v>
      </c>
      <c r="V953" t="s">
        <v>4392</v>
      </c>
      <c r="W953" t="s">
        <v>34</v>
      </c>
      <c r="Y953" s="2" t="str">
        <f>IF(EmployeeData[[#This Row],[Age]]&lt;25,"Under 25",IF(EmployeeData[[#This Row],[Age]]&lt;=34,"25-34",IF(EmployeeData[[#This Row],[Age]]&lt;=44,"35-44",IF(EmployeeData[[#This Row],[Age]]&lt;=54,"45-54","55+"))))</f>
        <v>25-34</v>
      </c>
      <c r="Z953">
        <f ca="1">DATEDIF(EmployeeData[[#This Row],[DateOfJoining]],IF(AND(EmployeeData[[#This Row],[Attrition]]="Yes",EmployeeData[[#This Row],[LastWorkingDate]]&lt;&gt;""),EmployeeData[[#This Row],[LastWorkingDate]],TODAY()),"Y")</f>
        <v>10</v>
      </c>
      <c r="AA953" t="str">
        <f>IF(EmployeeData[[#This Row],[MonthlyIncome]]&lt;30000,"Low",IF(EmployeeData[[#This Row],[MonthlyIncome]]&lt;=60000,"Medium",IF(EmployeeData[[#This Row],[MonthlyIncome]]&lt;=100000,"High","Very High")))</f>
        <v>Medium</v>
      </c>
      <c r="AB953">
        <f>IF(EmployeeData[[#This Row],[Attrition]]="Yes",1,0)</f>
        <v>0</v>
      </c>
      <c r="AC953" t="str">
        <f ca="1">IF(EmployeeData[[#This Row],[Tenure Years]]&lt;1,"Less than 1 Year",IF(EmployeeData[[#This Row],[Tenure Years]]&lt;=3,"1-3 Years",IF(EmployeeData[[#This Row],[Tenure Years]]&lt;=5,"4-5 Years",IF(EmployeeData[[#This Row],[Tenure Years]]&lt;=10,"6-10 Years","More than 10 Years"))))</f>
        <v>6-10 Years</v>
      </c>
      <c r="AD953">
        <f>ROUND(AVERAGE(EmployeeData[[#This Row],[JobSatisfaction]],EmployeeData[[#This Row],[EnvironmentSatisfaction]],EmployeeData[[#This Row],[WorkLifeBalance]]),2)</f>
        <v>2.67</v>
      </c>
      <c r="AE953" t="str">
        <f>IF(EmployeeData[[#This Row],[Satisfaction Score]]&lt;2,"Low",IF(EmployeeData[[#This Row],[Satisfaction Score]]&lt;3,"Medium","High"))</f>
        <v>Medium</v>
      </c>
    </row>
    <row r="954" spans="1:31" x14ac:dyDescent="0.25">
      <c r="A954" t="s">
        <v>4393</v>
      </c>
      <c r="B954" t="s">
        <v>4394</v>
      </c>
      <c r="C954" t="s">
        <v>49</v>
      </c>
      <c r="D954">
        <v>50</v>
      </c>
      <c r="E954" t="s">
        <v>128</v>
      </c>
      <c r="F954" t="s">
        <v>5459</v>
      </c>
      <c r="G954" s="1">
        <v>41664</v>
      </c>
      <c r="H954">
        <v>43263</v>
      </c>
      <c r="I954" t="s">
        <v>52</v>
      </c>
      <c r="J954" t="s">
        <v>143</v>
      </c>
      <c r="K954" t="s">
        <v>54</v>
      </c>
      <c r="L954" t="s">
        <v>43</v>
      </c>
      <c r="M954">
        <v>32</v>
      </c>
      <c r="N954" t="s">
        <v>45</v>
      </c>
      <c r="O954">
        <v>3</v>
      </c>
      <c r="P954">
        <v>3</v>
      </c>
      <c r="Q954">
        <v>3</v>
      </c>
      <c r="R954">
        <v>1</v>
      </c>
      <c r="S954">
        <v>6</v>
      </c>
      <c r="T954">
        <v>8</v>
      </c>
      <c r="U954">
        <v>13</v>
      </c>
      <c r="V954" t="s">
        <v>4396</v>
      </c>
      <c r="W954" t="s">
        <v>34</v>
      </c>
      <c r="Y954" s="2" t="str">
        <f>IF(EmployeeData[[#This Row],[Age]]&lt;25,"Under 25",IF(EmployeeData[[#This Row],[Age]]&lt;=34,"25-34",IF(EmployeeData[[#This Row],[Age]]&lt;=44,"35-44",IF(EmployeeData[[#This Row],[Age]]&lt;=54,"45-54","55+"))))</f>
        <v>45-54</v>
      </c>
      <c r="Z954">
        <f ca="1">DATEDIF(EmployeeData[[#This Row],[DateOfJoining]],IF(AND(EmployeeData[[#This Row],[Attrition]]="Yes",EmployeeData[[#This Row],[LastWorkingDate]]&lt;&gt;""),EmployeeData[[#This Row],[LastWorkingDate]],TODAY()),"Y")</f>
        <v>12</v>
      </c>
      <c r="AA954" t="str">
        <f>IF(EmployeeData[[#This Row],[MonthlyIncome]]&lt;30000,"Low",IF(EmployeeData[[#This Row],[MonthlyIncome]]&lt;=60000,"Medium",IF(EmployeeData[[#This Row],[MonthlyIncome]]&lt;=100000,"High","Very High")))</f>
        <v>Medium</v>
      </c>
      <c r="AB954">
        <f>IF(EmployeeData[[#This Row],[Attrition]]="Yes",1,0)</f>
        <v>0</v>
      </c>
      <c r="AC954" t="str">
        <f ca="1">IF(EmployeeData[[#This Row],[Tenure Years]]&lt;1,"Less than 1 Year",IF(EmployeeData[[#This Row],[Tenure Years]]&lt;=3,"1-3 Years",IF(EmployeeData[[#This Row],[Tenure Years]]&lt;=5,"4-5 Years",IF(EmployeeData[[#This Row],[Tenure Years]]&lt;=10,"6-10 Years","More than 10 Years"))))</f>
        <v>More than 10 Years</v>
      </c>
      <c r="AD954">
        <f>ROUND(AVERAGE(EmployeeData[[#This Row],[JobSatisfaction]],EmployeeData[[#This Row],[EnvironmentSatisfaction]],EmployeeData[[#This Row],[WorkLifeBalance]]),2)</f>
        <v>3</v>
      </c>
      <c r="AE954" t="str">
        <f>IF(EmployeeData[[#This Row],[Satisfaction Score]]&lt;2,"Low",IF(EmployeeData[[#This Row],[Satisfaction Score]]&lt;3,"Medium","High"))</f>
        <v>High</v>
      </c>
    </row>
    <row r="955" spans="1:31" x14ac:dyDescent="0.25">
      <c r="A955" t="s">
        <v>4397</v>
      </c>
      <c r="B955" t="s">
        <v>4398</v>
      </c>
      <c r="C955" t="s">
        <v>58</v>
      </c>
      <c r="D955">
        <v>19</v>
      </c>
      <c r="E955" t="s">
        <v>27</v>
      </c>
      <c r="F955" t="s">
        <v>75</v>
      </c>
      <c r="G955" s="1">
        <v>45779</v>
      </c>
      <c r="H955">
        <v>103047</v>
      </c>
      <c r="I955" t="s">
        <v>52</v>
      </c>
      <c r="J955" t="s">
        <v>31</v>
      </c>
      <c r="K955" t="s">
        <v>200</v>
      </c>
      <c r="L955" t="s">
        <v>62</v>
      </c>
      <c r="M955">
        <v>3</v>
      </c>
      <c r="N955" t="s">
        <v>34</v>
      </c>
      <c r="O955">
        <v>3</v>
      </c>
      <c r="P955">
        <v>1</v>
      </c>
      <c r="Q955">
        <v>2</v>
      </c>
      <c r="R955">
        <v>2</v>
      </c>
      <c r="S955">
        <v>1</v>
      </c>
      <c r="T955">
        <v>1</v>
      </c>
      <c r="U955">
        <v>25</v>
      </c>
      <c r="V955" t="s">
        <v>4400</v>
      </c>
      <c r="W955" t="s">
        <v>34</v>
      </c>
      <c r="Y955" s="2" t="str">
        <f>IF(EmployeeData[[#This Row],[Age]]&lt;25,"Under 25",IF(EmployeeData[[#This Row],[Age]]&lt;=34,"25-34",IF(EmployeeData[[#This Row],[Age]]&lt;=44,"35-44",IF(EmployeeData[[#This Row],[Age]]&lt;=54,"45-54","55+"))))</f>
        <v>Under 25</v>
      </c>
      <c r="Z955">
        <f ca="1">DATEDIF(EmployeeData[[#This Row],[DateOfJoining]],IF(AND(EmployeeData[[#This Row],[Attrition]]="Yes",EmployeeData[[#This Row],[LastWorkingDate]]&lt;&gt;""),EmployeeData[[#This Row],[LastWorkingDate]],TODAY()),"Y")</f>
        <v>1</v>
      </c>
      <c r="AA955" t="str">
        <f>IF(EmployeeData[[#This Row],[MonthlyIncome]]&lt;30000,"Low",IF(EmployeeData[[#This Row],[MonthlyIncome]]&lt;=60000,"Medium",IF(EmployeeData[[#This Row],[MonthlyIncome]]&lt;=100000,"High","Very High")))</f>
        <v>Very High</v>
      </c>
      <c r="AB955">
        <f>IF(EmployeeData[[#This Row],[Attrition]]="Yes",1,0)</f>
        <v>0</v>
      </c>
      <c r="AC955" t="str">
        <f ca="1">IF(EmployeeData[[#This Row],[Tenure Years]]&lt;1,"Less than 1 Year",IF(EmployeeData[[#This Row],[Tenure Years]]&lt;=3,"1-3 Years",IF(EmployeeData[[#This Row],[Tenure Years]]&lt;=5,"4-5 Years",IF(EmployeeData[[#This Row],[Tenure Years]]&lt;=10,"6-10 Years","More than 10 Years"))))</f>
        <v>1-3 Years</v>
      </c>
      <c r="AD955">
        <f>ROUND(AVERAGE(EmployeeData[[#This Row],[JobSatisfaction]],EmployeeData[[#This Row],[EnvironmentSatisfaction]],EmployeeData[[#This Row],[WorkLifeBalance]]),2)</f>
        <v>2</v>
      </c>
      <c r="AE955" t="str">
        <f>IF(EmployeeData[[#This Row],[Satisfaction Score]]&lt;2,"Low",IF(EmployeeData[[#This Row],[Satisfaction Score]]&lt;3,"Medium","High"))</f>
        <v>Medium</v>
      </c>
    </row>
    <row r="956" spans="1:31" x14ac:dyDescent="0.25">
      <c r="A956" t="s">
        <v>4401</v>
      </c>
      <c r="B956" t="s">
        <v>4402</v>
      </c>
      <c r="C956" t="s">
        <v>49</v>
      </c>
      <c r="D956">
        <v>41</v>
      </c>
      <c r="E956" t="s">
        <v>128</v>
      </c>
      <c r="F956" t="s">
        <v>123</v>
      </c>
      <c r="G956" s="1">
        <v>41078</v>
      </c>
      <c r="H956">
        <v>83028</v>
      </c>
      <c r="I956" t="s">
        <v>42</v>
      </c>
      <c r="J956" t="s">
        <v>61</v>
      </c>
      <c r="K956" t="s">
        <v>113</v>
      </c>
      <c r="L956" t="s">
        <v>43</v>
      </c>
      <c r="M956">
        <v>31</v>
      </c>
      <c r="N956" t="s">
        <v>45</v>
      </c>
      <c r="O956">
        <v>4</v>
      </c>
      <c r="P956">
        <v>1</v>
      </c>
      <c r="Q956">
        <v>2</v>
      </c>
      <c r="R956">
        <v>3</v>
      </c>
      <c r="S956">
        <v>4</v>
      </c>
      <c r="T956">
        <v>6</v>
      </c>
      <c r="U956">
        <v>21</v>
      </c>
      <c r="V956" t="s">
        <v>4404</v>
      </c>
      <c r="W956" t="s">
        <v>34</v>
      </c>
      <c r="Y956" s="2" t="str">
        <f>IF(EmployeeData[[#This Row],[Age]]&lt;25,"Under 25",IF(EmployeeData[[#This Row],[Age]]&lt;=34,"25-34",IF(EmployeeData[[#This Row],[Age]]&lt;=44,"35-44",IF(EmployeeData[[#This Row],[Age]]&lt;=54,"45-54","55+"))))</f>
        <v>35-44</v>
      </c>
      <c r="Z956">
        <f ca="1">DATEDIF(EmployeeData[[#This Row],[DateOfJoining]],IF(AND(EmployeeData[[#This Row],[Attrition]]="Yes",EmployeeData[[#This Row],[LastWorkingDate]]&lt;&gt;""),EmployeeData[[#This Row],[LastWorkingDate]],TODAY()),"Y")</f>
        <v>14</v>
      </c>
      <c r="AA956" t="str">
        <f>IF(EmployeeData[[#This Row],[MonthlyIncome]]&lt;30000,"Low",IF(EmployeeData[[#This Row],[MonthlyIncome]]&lt;=60000,"Medium",IF(EmployeeData[[#This Row],[MonthlyIncome]]&lt;=100000,"High","Very High")))</f>
        <v>High</v>
      </c>
      <c r="AB956">
        <f>IF(EmployeeData[[#This Row],[Attrition]]="Yes",1,0)</f>
        <v>0</v>
      </c>
      <c r="AC956" t="str">
        <f ca="1">IF(EmployeeData[[#This Row],[Tenure Years]]&lt;1,"Less than 1 Year",IF(EmployeeData[[#This Row],[Tenure Years]]&lt;=3,"1-3 Years",IF(EmployeeData[[#This Row],[Tenure Years]]&lt;=5,"4-5 Years",IF(EmployeeData[[#This Row],[Tenure Years]]&lt;=10,"6-10 Years","More than 10 Years"))))</f>
        <v>More than 10 Years</v>
      </c>
      <c r="AD956">
        <f>ROUND(AVERAGE(EmployeeData[[#This Row],[JobSatisfaction]],EmployeeData[[#This Row],[EnvironmentSatisfaction]],EmployeeData[[#This Row],[WorkLifeBalance]]),2)</f>
        <v>2.33</v>
      </c>
      <c r="AE956" t="str">
        <f>IF(EmployeeData[[#This Row],[Satisfaction Score]]&lt;2,"Low",IF(EmployeeData[[#This Row],[Satisfaction Score]]&lt;3,"Medium","High"))</f>
        <v>Medium</v>
      </c>
    </row>
    <row r="957" spans="1:31" x14ac:dyDescent="0.25">
      <c r="A957" t="s">
        <v>4405</v>
      </c>
      <c r="B957" t="s">
        <v>4406</v>
      </c>
      <c r="C957" t="s">
        <v>49</v>
      </c>
      <c r="D957">
        <v>28</v>
      </c>
      <c r="E957" t="s">
        <v>128</v>
      </c>
      <c r="F957" t="s">
        <v>255</v>
      </c>
      <c r="G957" s="1">
        <v>45240</v>
      </c>
      <c r="H957">
        <v>68350</v>
      </c>
      <c r="I957" t="s">
        <v>5459</v>
      </c>
      <c r="J957" t="s">
        <v>61</v>
      </c>
      <c r="K957" t="s">
        <v>113</v>
      </c>
      <c r="L957" t="s">
        <v>5459</v>
      </c>
      <c r="M957">
        <v>2</v>
      </c>
      <c r="N957" t="s">
        <v>34</v>
      </c>
      <c r="O957">
        <v>3</v>
      </c>
      <c r="P957">
        <v>2</v>
      </c>
      <c r="Q957">
        <v>2</v>
      </c>
      <c r="R957">
        <v>5</v>
      </c>
      <c r="S957">
        <v>4</v>
      </c>
      <c r="T957">
        <v>2</v>
      </c>
      <c r="U957">
        <v>12</v>
      </c>
      <c r="V957" t="s">
        <v>4407</v>
      </c>
      <c r="W957" t="s">
        <v>34</v>
      </c>
      <c r="Y957" s="2" t="str">
        <f>IF(EmployeeData[[#This Row],[Age]]&lt;25,"Under 25",IF(EmployeeData[[#This Row],[Age]]&lt;=34,"25-34",IF(EmployeeData[[#This Row],[Age]]&lt;=44,"35-44",IF(EmployeeData[[#This Row],[Age]]&lt;=54,"45-54","55+"))))</f>
        <v>25-34</v>
      </c>
      <c r="Z957">
        <f ca="1">DATEDIF(EmployeeData[[#This Row],[DateOfJoining]],IF(AND(EmployeeData[[#This Row],[Attrition]]="Yes",EmployeeData[[#This Row],[LastWorkingDate]]&lt;&gt;""),EmployeeData[[#This Row],[LastWorkingDate]],TODAY()),"Y")</f>
        <v>2</v>
      </c>
      <c r="AA957" t="str">
        <f>IF(EmployeeData[[#This Row],[MonthlyIncome]]&lt;30000,"Low",IF(EmployeeData[[#This Row],[MonthlyIncome]]&lt;=60000,"Medium",IF(EmployeeData[[#This Row],[MonthlyIncome]]&lt;=100000,"High","Very High")))</f>
        <v>High</v>
      </c>
      <c r="AB957">
        <f>IF(EmployeeData[[#This Row],[Attrition]]="Yes",1,0)</f>
        <v>0</v>
      </c>
      <c r="AC957" t="str">
        <f ca="1">IF(EmployeeData[[#This Row],[Tenure Years]]&lt;1,"Less than 1 Year",IF(EmployeeData[[#This Row],[Tenure Years]]&lt;=3,"1-3 Years",IF(EmployeeData[[#This Row],[Tenure Years]]&lt;=5,"4-5 Years",IF(EmployeeData[[#This Row],[Tenure Years]]&lt;=10,"6-10 Years","More than 10 Years"))))</f>
        <v>1-3 Years</v>
      </c>
      <c r="AD957">
        <f>ROUND(AVERAGE(EmployeeData[[#This Row],[JobSatisfaction]],EmployeeData[[#This Row],[EnvironmentSatisfaction]],EmployeeData[[#This Row],[WorkLifeBalance]]),2)</f>
        <v>2.33</v>
      </c>
      <c r="AE957" t="str">
        <f>IF(EmployeeData[[#This Row],[Satisfaction Score]]&lt;2,"Low",IF(EmployeeData[[#This Row],[Satisfaction Score]]&lt;3,"Medium","High"))</f>
        <v>Medium</v>
      </c>
    </row>
    <row r="958" spans="1:31" x14ac:dyDescent="0.25">
      <c r="A958" t="s">
        <v>4408</v>
      </c>
      <c r="B958" t="s">
        <v>4409</v>
      </c>
      <c r="C958" t="s">
        <v>49</v>
      </c>
      <c r="D958">
        <v>40</v>
      </c>
      <c r="E958" t="s">
        <v>27</v>
      </c>
      <c r="F958" t="s">
        <v>75</v>
      </c>
      <c r="G958" s="1">
        <v>46171</v>
      </c>
      <c r="H958">
        <v>76257</v>
      </c>
      <c r="I958" t="s">
        <v>42</v>
      </c>
      <c r="J958" t="s">
        <v>97</v>
      </c>
      <c r="K958" t="s">
        <v>32</v>
      </c>
      <c r="L958" t="s">
        <v>33</v>
      </c>
      <c r="M958">
        <v>19</v>
      </c>
      <c r="N958" t="s">
        <v>34</v>
      </c>
      <c r="O958">
        <v>3</v>
      </c>
      <c r="P958">
        <v>3</v>
      </c>
      <c r="Q958">
        <v>3</v>
      </c>
      <c r="R958">
        <v>4</v>
      </c>
      <c r="S958">
        <v>1</v>
      </c>
      <c r="T958">
        <v>4</v>
      </c>
      <c r="U958">
        <v>23</v>
      </c>
      <c r="V958" t="s">
        <v>4410</v>
      </c>
      <c r="W958" t="s">
        <v>34</v>
      </c>
      <c r="Y958" s="2" t="str">
        <f>IF(EmployeeData[[#This Row],[Age]]&lt;25,"Under 25",IF(EmployeeData[[#This Row],[Age]]&lt;=34,"25-34",IF(EmployeeData[[#This Row],[Age]]&lt;=44,"35-44",IF(EmployeeData[[#This Row],[Age]]&lt;=54,"45-54","55+"))))</f>
        <v>35-44</v>
      </c>
      <c r="Z958">
        <f ca="1">DATEDIF(EmployeeData[[#This Row],[DateOfJoining]],IF(AND(EmployeeData[[#This Row],[Attrition]]="Yes",EmployeeData[[#This Row],[LastWorkingDate]]&lt;&gt;""),EmployeeData[[#This Row],[LastWorkingDate]],TODAY()),"Y")</f>
        <v>0</v>
      </c>
      <c r="AA958" t="str">
        <f>IF(EmployeeData[[#This Row],[MonthlyIncome]]&lt;30000,"Low",IF(EmployeeData[[#This Row],[MonthlyIncome]]&lt;=60000,"Medium",IF(EmployeeData[[#This Row],[MonthlyIncome]]&lt;=100000,"High","Very High")))</f>
        <v>High</v>
      </c>
      <c r="AB958">
        <f>IF(EmployeeData[[#This Row],[Attrition]]="Yes",1,0)</f>
        <v>0</v>
      </c>
      <c r="AC958" t="str">
        <f ca="1">IF(EmployeeData[[#This Row],[Tenure Years]]&lt;1,"Less than 1 Year",IF(EmployeeData[[#This Row],[Tenure Years]]&lt;=3,"1-3 Years",IF(EmployeeData[[#This Row],[Tenure Years]]&lt;=5,"4-5 Years",IF(EmployeeData[[#This Row],[Tenure Years]]&lt;=10,"6-10 Years","More than 10 Years"))))</f>
        <v>Less than 1 Year</v>
      </c>
      <c r="AD958">
        <f>ROUND(AVERAGE(EmployeeData[[#This Row],[JobSatisfaction]],EmployeeData[[#This Row],[EnvironmentSatisfaction]],EmployeeData[[#This Row],[WorkLifeBalance]]),2)</f>
        <v>3</v>
      </c>
      <c r="AE958" t="str">
        <f>IF(EmployeeData[[#This Row],[Satisfaction Score]]&lt;2,"Low",IF(EmployeeData[[#This Row],[Satisfaction Score]]&lt;3,"Medium","High"))</f>
        <v>High</v>
      </c>
    </row>
    <row r="959" spans="1:31" x14ac:dyDescent="0.25">
      <c r="A959" t="s">
        <v>4411</v>
      </c>
      <c r="B959" t="s">
        <v>4412</v>
      </c>
      <c r="C959" t="s">
        <v>58</v>
      </c>
      <c r="D959">
        <v>34</v>
      </c>
      <c r="E959" t="s">
        <v>38</v>
      </c>
      <c r="F959" t="s">
        <v>5460</v>
      </c>
      <c r="G959" s="1">
        <v>41375</v>
      </c>
      <c r="H959">
        <v>56377</v>
      </c>
      <c r="I959" t="s">
        <v>52</v>
      </c>
      <c r="J959" t="s">
        <v>61</v>
      </c>
      <c r="K959" t="s">
        <v>77</v>
      </c>
      <c r="L959" t="s">
        <v>62</v>
      </c>
      <c r="M959">
        <v>37</v>
      </c>
      <c r="N959" t="s">
        <v>34</v>
      </c>
      <c r="O959">
        <v>2</v>
      </c>
      <c r="P959">
        <v>3</v>
      </c>
      <c r="Q959">
        <v>1</v>
      </c>
      <c r="R959">
        <v>3</v>
      </c>
      <c r="S959">
        <v>0</v>
      </c>
      <c r="T959">
        <v>0</v>
      </c>
      <c r="U959">
        <v>14</v>
      </c>
      <c r="V959" t="s">
        <v>4414</v>
      </c>
      <c r="W959" t="s">
        <v>45</v>
      </c>
      <c r="X959" s="1">
        <v>41500</v>
      </c>
      <c r="Y959" s="2" t="str">
        <f>IF(EmployeeData[[#This Row],[Age]]&lt;25,"Under 25",IF(EmployeeData[[#This Row],[Age]]&lt;=34,"25-34",IF(EmployeeData[[#This Row],[Age]]&lt;=44,"35-44",IF(EmployeeData[[#This Row],[Age]]&lt;=54,"45-54","55+"))))</f>
        <v>25-34</v>
      </c>
      <c r="Z959">
        <f ca="1">DATEDIF(EmployeeData[[#This Row],[DateOfJoining]],IF(AND(EmployeeData[[#This Row],[Attrition]]="Yes",EmployeeData[[#This Row],[LastWorkingDate]]&lt;&gt;""),EmployeeData[[#This Row],[LastWorkingDate]],TODAY()),"Y")</f>
        <v>0</v>
      </c>
      <c r="AA959" t="str">
        <f>IF(EmployeeData[[#This Row],[MonthlyIncome]]&lt;30000,"Low",IF(EmployeeData[[#This Row],[MonthlyIncome]]&lt;=60000,"Medium",IF(EmployeeData[[#This Row],[MonthlyIncome]]&lt;=100000,"High","Very High")))</f>
        <v>Medium</v>
      </c>
      <c r="AB959">
        <f>IF(EmployeeData[[#This Row],[Attrition]]="Yes",1,0)</f>
        <v>1</v>
      </c>
      <c r="AC959" t="str">
        <f ca="1">IF(EmployeeData[[#This Row],[Tenure Years]]&lt;1,"Less than 1 Year",IF(EmployeeData[[#This Row],[Tenure Years]]&lt;=3,"1-3 Years",IF(EmployeeData[[#This Row],[Tenure Years]]&lt;=5,"4-5 Years",IF(EmployeeData[[#This Row],[Tenure Years]]&lt;=10,"6-10 Years","More than 10 Years"))))</f>
        <v>Less than 1 Year</v>
      </c>
      <c r="AD959">
        <f>ROUND(AVERAGE(EmployeeData[[#This Row],[JobSatisfaction]],EmployeeData[[#This Row],[EnvironmentSatisfaction]],EmployeeData[[#This Row],[WorkLifeBalance]]),2)</f>
        <v>2</v>
      </c>
      <c r="AE959" t="str">
        <f>IF(EmployeeData[[#This Row],[Satisfaction Score]]&lt;2,"Low",IF(EmployeeData[[#This Row],[Satisfaction Score]]&lt;3,"Medium","High"))</f>
        <v>Medium</v>
      </c>
    </row>
    <row r="960" spans="1:31" x14ac:dyDescent="0.25">
      <c r="A960" t="s">
        <v>4416</v>
      </c>
      <c r="B960" t="s">
        <v>4417</v>
      </c>
      <c r="C960" t="s">
        <v>58</v>
      </c>
      <c r="D960">
        <v>33</v>
      </c>
      <c r="E960" t="s">
        <v>94</v>
      </c>
      <c r="F960" t="s">
        <v>306</v>
      </c>
      <c r="G960" s="1">
        <v>42286</v>
      </c>
      <c r="H960">
        <v>132278</v>
      </c>
      <c r="I960" t="s">
        <v>52</v>
      </c>
      <c r="J960" t="s">
        <v>61</v>
      </c>
      <c r="K960" t="s">
        <v>131</v>
      </c>
      <c r="L960" t="s">
        <v>43</v>
      </c>
      <c r="M960">
        <v>1</v>
      </c>
      <c r="N960" t="s">
        <v>45</v>
      </c>
      <c r="O960">
        <v>2</v>
      </c>
      <c r="P960">
        <v>1</v>
      </c>
      <c r="Q960">
        <v>3</v>
      </c>
      <c r="R960">
        <v>4</v>
      </c>
      <c r="S960">
        <v>3</v>
      </c>
      <c r="T960">
        <v>6</v>
      </c>
      <c r="U960">
        <v>17</v>
      </c>
      <c r="V960" t="s">
        <v>4421</v>
      </c>
      <c r="W960" t="s">
        <v>34</v>
      </c>
      <c r="Y960" s="2" t="str">
        <f>IF(EmployeeData[[#This Row],[Age]]&lt;25,"Under 25",IF(EmployeeData[[#This Row],[Age]]&lt;=34,"25-34",IF(EmployeeData[[#This Row],[Age]]&lt;=44,"35-44",IF(EmployeeData[[#This Row],[Age]]&lt;=54,"45-54","55+"))))</f>
        <v>25-34</v>
      </c>
      <c r="Z960">
        <f ca="1">DATEDIF(EmployeeData[[#This Row],[DateOfJoining]],IF(AND(EmployeeData[[#This Row],[Attrition]]="Yes",EmployeeData[[#This Row],[LastWorkingDate]]&lt;&gt;""),EmployeeData[[#This Row],[LastWorkingDate]],TODAY()),"Y")</f>
        <v>10</v>
      </c>
      <c r="AA960" t="str">
        <f>IF(EmployeeData[[#This Row],[MonthlyIncome]]&lt;30000,"Low",IF(EmployeeData[[#This Row],[MonthlyIncome]]&lt;=60000,"Medium",IF(EmployeeData[[#This Row],[MonthlyIncome]]&lt;=100000,"High","Very High")))</f>
        <v>Very High</v>
      </c>
      <c r="AB960">
        <f>IF(EmployeeData[[#This Row],[Attrition]]="Yes",1,0)</f>
        <v>0</v>
      </c>
      <c r="AC960" t="str">
        <f ca="1">IF(EmployeeData[[#This Row],[Tenure Years]]&lt;1,"Less than 1 Year",IF(EmployeeData[[#This Row],[Tenure Years]]&lt;=3,"1-3 Years",IF(EmployeeData[[#This Row],[Tenure Years]]&lt;=5,"4-5 Years",IF(EmployeeData[[#This Row],[Tenure Years]]&lt;=10,"6-10 Years","More than 10 Years"))))</f>
        <v>6-10 Years</v>
      </c>
      <c r="AD960">
        <f>ROUND(AVERAGE(EmployeeData[[#This Row],[JobSatisfaction]],EmployeeData[[#This Row],[EnvironmentSatisfaction]],EmployeeData[[#This Row],[WorkLifeBalance]]),2)</f>
        <v>2</v>
      </c>
      <c r="AE960" t="str">
        <f>IF(EmployeeData[[#This Row],[Satisfaction Score]]&lt;2,"Low",IF(EmployeeData[[#This Row],[Satisfaction Score]]&lt;3,"Medium","High"))</f>
        <v>Medium</v>
      </c>
    </row>
    <row r="961" spans="1:31" x14ac:dyDescent="0.25">
      <c r="A961" t="s">
        <v>4422</v>
      </c>
      <c r="B961" t="s">
        <v>4423</v>
      </c>
      <c r="C961" t="s">
        <v>58</v>
      </c>
      <c r="D961">
        <v>47</v>
      </c>
      <c r="E961" t="s">
        <v>27</v>
      </c>
      <c r="F961" t="s">
        <v>75</v>
      </c>
      <c r="G961" s="1">
        <v>43787</v>
      </c>
      <c r="H961">
        <v>85436</v>
      </c>
      <c r="I961" t="s">
        <v>30</v>
      </c>
      <c r="J961" t="s">
        <v>61</v>
      </c>
      <c r="K961" t="s">
        <v>113</v>
      </c>
      <c r="L961" t="s">
        <v>62</v>
      </c>
      <c r="M961">
        <v>21</v>
      </c>
      <c r="N961" t="s">
        <v>34</v>
      </c>
      <c r="O961">
        <v>3</v>
      </c>
      <c r="P961">
        <v>2</v>
      </c>
      <c r="Q961">
        <v>3</v>
      </c>
      <c r="R961">
        <v>4</v>
      </c>
      <c r="S961">
        <v>6</v>
      </c>
      <c r="T961">
        <v>3</v>
      </c>
      <c r="U961">
        <v>22</v>
      </c>
      <c r="V961" t="s">
        <v>4425</v>
      </c>
      <c r="W961" t="s">
        <v>34</v>
      </c>
      <c r="Y961" s="2" t="str">
        <f>IF(EmployeeData[[#This Row],[Age]]&lt;25,"Under 25",IF(EmployeeData[[#This Row],[Age]]&lt;=34,"25-34",IF(EmployeeData[[#This Row],[Age]]&lt;=44,"35-44",IF(EmployeeData[[#This Row],[Age]]&lt;=54,"45-54","55+"))))</f>
        <v>45-54</v>
      </c>
      <c r="Z961">
        <f ca="1">DATEDIF(EmployeeData[[#This Row],[DateOfJoining]],IF(AND(EmployeeData[[#This Row],[Attrition]]="Yes",EmployeeData[[#This Row],[LastWorkingDate]]&lt;&gt;""),EmployeeData[[#This Row],[LastWorkingDate]],TODAY()),"Y")</f>
        <v>6</v>
      </c>
      <c r="AA961" t="str">
        <f>IF(EmployeeData[[#This Row],[MonthlyIncome]]&lt;30000,"Low",IF(EmployeeData[[#This Row],[MonthlyIncome]]&lt;=60000,"Medium",IF(EmployeeData[[#This Row],[MonthlyIncome]]&lt;=100000,"High","Very High")))</f>
        <v>High</v>
      </c>
      <c r="AB961">
        <f>IF(EmployeeData[[#This Row],[Attrition]]="Yes",1,0)</f>
        <v>0</v>
      </c>
      <c r="AC961" t="str">
        <f ca="1">IF(EmployeeData[[#This Row],[Tenure Years]]&lt;1,"Less than 1 Year",IF(EmployeeData[[#This Row],[Tenure Years]]&lt;=3,"1-3 Years",IF(EmployeeData[[#This Row],[Tenure Years]]&lt;=5,"4-5 Years",IF(EmployeeData[[#This Row],[Tenure Years]]&lt;=10,"6-10 Years","More than 10 Years"))))</f>
        <v>6-10 Years</v>
      </c>
      <c r="AD961">
        <f>ROUND(AVERAGE(EmployeeData[[#This Row],[JobSatisfaction]],EmployeeData[[#This Row],[EnvironmentSatisfaction]],EmployeeData[[#This Row],[WorkLifeBalance]]),2)</f>
        <v>2.67</v>
      </c>
      <c r="AE961" t="str">
        <f>IF(EmployeeData[[#This Row],[Satisfaction Score]]&lt;2,"Low",IF(EmployeeData[[#This Row],[Satisfaction Score]]&lt;3,"Medium","High"))</f>
        <v>Medium</v>
      </c>
    </row>
    <row r="962" spans="1:31" x14ac:dyDescent="0.25">
      <c r="A962" t="s">
        <v>4426</v>
      </c>
      <c r="B962" t="s">
        <v>4427</v>
      </c>
      <c r="C962" t="s">
        <v>49</v>
      </c>
      <c r="D962">
        <v>39</v>
      </c>
      <c r="E962" t="s">
        <v>27</v>
      </c>
      <c r="F962" t="s">
        <v>75</v>
      </c>
      <c r="G962" s="1">
        <v>41833</v>
      </c>
      <c r="H962">
        <v>124782</v>
      </c>
      <c r="I962" t="s">
        <v>52</v>
      </c>
      <c r="J962" t="s">
        <v>143</v>
      </c>
      <c r="K962" t="s">
        <v>167</v>
      </c>
      <c r="L962" t="s">
        <v>33</v>
      </c>
      <c r="M962">
        <v>7</v>
      </c>
      <c r="N962" t="s">
        <v>34</v>
      </c>
      <c r="O962">
        <v>2</v>
      </c>
      <c r="P962">
        <v>3</v>
      </c>
      <c r="Q962">
        <v>3</v>
      </c>
      <c r="R962">
        <v>4</v>
      </c>
      <c r="S962">
        <v>3</v>
      </c>
      <c r="T962">
        <v>5</v>
      </c>
      <c r="U962">
        <v>25</v>
      </c>
      <c r="V962" t="s">
        <v>4429</v>
      </c>
      <c r="W962" t="s">
        <v>34</v>
      </c>
      <c r="Y962" s="2" t="str">
        <f>IF(EmployeeData[[#This Row],[Age]]&lt;25,"Under 25",IF(EmployeeData[[#This Row],[Age]]&lt;=34,"25-34",IF(EmployeeData[[#This Row],[Age]]&lt;=44,"35-44",IF(EmployeeData[[#This Row],[Age]]&lt;=54,"45-54","55+"))))</f>
        <v>35-44</v>
      </c>
      <c r="Z962">
        <f ca="1">DATEDIF(EmployeeData[[#This Row],[DateOfJoining]],IF(AND(EmployeeData[[#This Row],[Attrition]]="Yes",EmployeeData[[#This Row],[LastWorkingDate]]&lt;&gt;""),EmployeeData[[#This Row],[LastWorkingDate]],TODAY()),"Y")</f>
        <v>12</v>
      </c>
      <c r="AA962" t="str">
        <f>IF(EmployeeData[[#This Row],[MonthlyIncome]]&lt;30000,"Low",IF(EmployeeData[[#This Row],[MonthlyIncome]]&lt;=60000,"Medium",IF(EmployeeData[[#This Row],[MonthlyIncome]]&lt;=100000,"High","Very High")))</f>
        <v>Very High</v>
      </c>
      <c r="AB962">
        <f>IF(EmployeeData[[#This Row],[Attrition]]="Yes",1,0)</f>
        <v>0</v>
      </c>
      <c r="AC962" t="str">
        <f ca="1">IF(EmployeeData[[#This Row],[Tenure Years]]&lt;1,"Less than 1 Year",IF(EmployeeData[[#This Row],[Tenure Years]]&lt;=3,"1-3 Years",IF(EmployeeData[[#This Row],[Tenure Years]]&lt;=5,"4-5 Years",IF(EmployeeData[[#This Row],[Tenure Years]]&lt;=10,"6-10 Years","More than 10 Years"))))</f>
        <v>More than 10 Years</v>
      </c>
      <c r="AD962">
        <f>ROUND(AVERAGE(EmployeeData[[#This Row],[JobSatisfaction]],EmployeeData[[#This Row],[EnvironmentSatisfaction]],EmployeeData[[#This Row],[WorkLifeBalance]]),2)</f>
        <v>2.67</v>
      </c>
      <c r="AE962" t="str">
        <f>IF(EmployeeData[[#This Row],[Satisfaction Score]]&lt;2,"Low",IF(EmployeeData[[#This Row],[Satisfaction Score]]&lt;3,"Medium","High"))</f>
        <v>Medium</v>
      </c>
    </row>
    <row r="963" spans="1:31" x14ac:dyDescent="0.25">
      <c r="A963" t="s">
        <v>4430</v>
      </c>
      <c r="B963" t="s">
        <v>4431</v>
      </c>
      <c r="C963" t="s">
        <v>5459</v>
      </c>
      <c r="D963">
        <v>35</v>
      </c>
      <c r="E963" t="s">
        <v>27</v>
      </c>
      <c r="F963" t="s">
        <v>75</v>
      </c>
      <c r="G963" s="1">
        <v>41599</v>
      </c>
      <c r="H963">
        <v>64223</v>
      </c>
      <c r="I963" t="s">
        <v>30</v>
      </c>
      <c r="J963" t="s">
        <v>31</v>
      </c>
      <c r="K963" t="s">
        <v>54</v>
      </c>
      <c r="L963" t="s">
        <v>43</v>
      </c>
      <c r="M963">
        <v>15</v>
      </c>
      <c r="N963" t="s">
        <v>34</v>
      </c>
      <c r="O963">
        <v>2</v>
      </c>
      <c r="P963">
        <v>2</v>
      </c>
      <c r="Q963">
        <v>4</v>
      </c>
      <c r="R963">
        <v>3</v>
      </c>
      <c r="S963">
        <v>6</v>
      </c>
      <c r="T963">
        <v>6</v>
      </c>
      <c r="U963">
        <v>14</v>
      </c>
      <c r="V963" t="s">
        <v>4433</v>
      </c>
      <c r="W963" t="s">
        <v>34</v>
      </c>
      <c r="Y963" s="2" t="str">
        <f>IF(EmployeeData[[#This Row],[Age]]&lt;25,"Under 25",IF(EmployeeData[[#This Row],[Age]]&lt;=34,"25-34",IF(EmployeeData[[#This Row],[Age]]&lt;=44,"35-44",IF(EmployeeData[[#This Row],[Age]]&lt;=54,"45-54","55+"))))</f>
        <v>35-44</v>
      </c>
      <c r="Z963">
        <f ca="1">DATEDIF(EmployeeData[[#This Row],[DateOfJoining]],IF(AND(EmployeeData[[#This Row],[Attrition]]="Yes",EmployeeData[[#This Row],[LastWorkingDate]]&lt;&gt;""),EmployeeData[[#This Row],[LastWorkingDate]],TODAY()),"Y")</f>
        <v>12</v>
      </c>
      <c r="AA963" t="str">
        <f>IF(EmployeeData[[#This Row],[MonthlyIncome]]&lt;30000,"Low",IF(EmployeeData[[#This Row],[MonthlyIncome]]&lt;=60000,"Medium",IF(EmployeeData[[#This Row],[MonthlyIncome]]&lt;=100000,"High","Very High")))</f>
        <v>High</v>
      </c>
      <c r="AB963">
        <f>IF(EmployeeData[[#This Row],[Attrition]]="Yes",1,0)</f>
        <v>0</v>
      </c>
      <c r="AC963" t="str">
        <f ca="1">IF(EmployeeData[[#This Row],[Tenure Years]]&lt;1,"Less than 1 Year",IF(EmployeeData[[#This Row],[Tenure Years]]&lt;=3,"1-3 Years",IF(EmployeeData[[#This Row],[Tenure Years]]&lt;=5,"4-5 Years",IF(EmployeeData[[#This Row],[Tenure Years]]&lt;=10,"6-10 Years","More than 10 Years"))))</f>
        <v>More than 10 Years</v>
      </c>
      <c r="AD963">
        <f>ROUND(AVERAGE(EmployeeData[[#This Row],[JobSatisfaction]],EmployeeData[[#This Row],[EnvironmentSatisfaction]],EmployeeData[[#This Row],[WorkLifeBalance]]),2)</f>
        <v>2.67</v>
      </c>
      <c r="AE963" t="str">
        <f>IF(EmployeeData[[#This Row],[Satisfaction Score]]&lt;2,"Low",IF(EmployeeData[[#This Row],[Satisfaction Score]]&lt;3,"Medium","High"))</f>
        <v>Medium</v>
      </c>
    </row>
    <row r="964" spans="1:31" x14ac:dyDescent="0.25">
      <c r="A964" t="s">
        <v>4434</v>
      </c>
      <c r="B964" t="s">
        <v>4435</v>
      </c>
      <c r="C964" t="s">
        <v>58</v>
      </c>
      <c r="D964">
        <v>21</v>
      </c>
      <c r="E964" t="s">
        <v>27</v>
      </c>
      <c r="F964" t="s">
        <v>188</v>
      </c>
      <c r="G964" s="1">
        <v>43675</v>
      </c>
      <c r="H964">
        <v>112543</v>
      </c>
      <c r="I964" t="s">
        <v>52</v>
      </c>
      <c r="J964" t="s">
        <v>61</v>
      </c>
      <c r="K964" t="s">
        <v>77</v>
      </c>
      <c r="L964" t="s">
        <v>62</v>
      </c>
      <c r="M964">
        <v>16</v>
      </c>
      <c r="N964" t="s">
        <v>34</v>
      </c>
      <c r="O964">
        <v>3</v>
      </c>
      <c r="P964">
        <v>2</v>
      </c>
      <c r="Q964">
        <v>1</v>
      </c>
      <c r="R964">
        <v>3</v>
      </c>
      <c r="S964">
        <v>5</v>
      </c>
      <c r="T964">
        <v>7</v>
      </c>
      <c r="U964">
        <v>21</v>
      </c>
      <c r="V964" t="s">
        <v>4438</v>
      </c>
      <c r="W964" t="s">
        <v>34</v>
      </c>
      <c r="Y964" s="2" t="str">
        <f>IF(EmployeeData[[#This Row],[Age]]&lt;25,"Under 25",IF(EmployeeData[[#This Row],[Age]]&lt;=34,"25-34",IF(EmployeeData[[#This Row],[Age]]&lt;=44,"35-44",IF(EmployeeData[[#This Row],[Age]]&lt;=54,"45-54","55+"))))</f>
        <v>Under 25</v>
      </c>
      <c r="Z964">
        <f ca="1">DATEDIF(EmployeeData[[#This Row],[DateOfJoining]],IF(AND(EmployeeData[[#This Row],[Attrition]]="Yes",EmployeeData[[#This Row],[LastWorkingDate]]&lt;&gt;""),EmployeeData[[#This Row],[LastWorkingDate]],TODAY()),"Y")</f>
        <v>7</v>
      </c>
      <c r="AA964" t="str">
        <f>IF(EmployeeData[[#This Row],[MonthlyIncome]]&lt;30000,"Low",IF(EmployeeData[[#This Row],[MonthlyIncome]]&lt;=60000,"Medium",IF(EmployeeData[[#This Row],[MonthlyIncome]]&lt;=100000,"High","Very High")))</f>
        <v>Very High</v>
      </c>
      <c r="AB964">
        <f>IF(EmployeeData[[#This Row],[Attrition]]="Yes",1,0)</f>
        <v>0</v>
      </c>
      <c r="AC964" t="str">
        <f ca="1">IF(EmployeeData[[#This Row],[Tenure Years]]&lt;1,"Less than 1 Year",IF(EmployeeData[[#This Row],[Tenure Years]]&lt;=3,"1-3 Years",IF(EmployeeData[[#This Row],[Tenure Years]]&lt;=5,"4-5 Years",IF(EmployeeData[[#This Row],[Tenure Years]]&lt;=10,"6-10 Years","More than 10 Years"))))</f>
        <v>6-10 Years</v>
      </c>
      <c r="AD964">
        <f>ROUND(AVERAGE(EmployeeData[[#This Row],[JobSatisfaction]],EmployeeData[[#This Row],[EnvironmentSatisfaction]],EmployeeData[[#This Row],[WorkLifeBalance]]),2)</f>
        <v>2</v>
      </c>
      <c r="AE964" t="str">
        <f>IF(EmployeeData[[#This Row],[Satisfaction Score]]&lt;2,"Low",IF(EmployeeData[[#This Row],[Satisfaction Score]]&lt;3,"Medium","High"))</f>
        <v>Medium</v>
      </c>
    </row>
    <row r="965" spans="1:31" x14ac:dyDescent="0.25">
      <c r="A965" t="s">
        <v>4439</v>
      </c>
      <c r="B965" t="s">
        <v>4440</v>
      </c>
      <c r="C965" t="s">
        <v>49</v>
      </c>
      <c r="D965">
        <v>38</v>
      </c>
      <c r="E965" t="s">
        <v>128</v>
      </c>
      <c r="F965" t="s">
        <v>271</v>
      </c>
      <c r="G965" s="1">
        <v>44744</v>
      </c>
      <c r="H965">
        <v>93482</v>
      </c>
      <c r="I965" t="s">
        <v>52</v>
      </c>
      <c r="J965" t="s">
        <v>31</v>
      </c>
      <c r="K965" t="s">
        <v>54</v>
      </c>
      <c r="L965" t="s">
        <v>43</v>
      </c>
      <c r="M965">
        <v>28</v>
      </c>
      <c r="N965" t="s">
        <v>34</v>
      </c>
      <c r="O965">
        <v>2</v>
      </c>
      <c r="P965">
        <v>4</v>
      </c>
      <c r="Q965">
        <v>3</v>
      </c>
      <c r="R965">
        <v>5</v>
      </c>
      <c r="S965">
        <v>0</v>
      </c>
      <c r="T965">
        <v>3</v>
      </c>
      <c r="U965">
        <v>24</v>
      </c>
      <c r="V965" t="s">
        <v>4442</v>
      </c>
      <c r="W965" t="s">
        <v>45</v>
      </c>
      <c r="X965" s="1">
        <v>45082</v>
      </c>
      <c r="Y965" s="2" t="str">
        <f>IF(EmployeeData[[#This Row],[Age]]&lt;25,"Under 25",IF(EmployeeData[[#This Row],[Age]]&lt;=34,"25-34",IF(EmployeeData[[#This Row],[Age]]&lt;=44,"35-44",IF(EmployeeData[[#This Row],[Age]]&lt;=54,"45-54","55+"))))</f>
        <v>35-44</v>
      </c>
      <c r="Z965">
        <f ca="1">DATEDIF(EmployeeData[[#This Row],[DateOfJoining]],IF(AND(EmployeeData[[#This Row],[Attrition]]="Yes",EmployeeData[[#This Row],[LastWorkingDate]]&lt;&gt;""),EmployeeData[[#This Row],[LastWorkingDate]],TODAY()),"Y")</f>
        <v>0</v>
      </c>
      <c r="AA965" t="str">
        <f>IF(EmployeeData[[#This Row],[MonthlyIncome]]&lt;30000,"Low",IF(EmployeeData[[#This Row],[MonthlyIncome]]&lt;=60000,"Medium",IF(EmployeeData[[#This Row],[MonthlyIncome]]&lt;=100000,"High","Very High")))</f>
        <v>High</v>
      </c>
      <c r="AB965">
        <f>IF(EmployeeData[[#This Row],[Attrition]]="Yes",1,0)</f>
        <v>1</v>
      </c>
      <c r="AC965" t="str">
        <f ca="1">IF(EmployeeData[[#This Row],[Tenure Years]]&lt;1,"Less than 1 Year",IF(EmployeeData[[#This Row],[Tenure Years]]&lt;=3,"1-3 Years",IF(EmployeeData[[#This Row],[Tenure Years]]&lt;=5,"4-5 Years",IF(EmployeeData[[#This Row],[Tenure Years]]&lt;=10,"6-10 Years","More than 10 Years"))))</f>
        <v>Less than 1 Year</v>
      </c>
      <c r="AD965">
        <f>ROUND(AVERAGE(EmployeeData[[#This Row],[JobSatisfaction]],EmployeeData[[#This Row],[EnvironmentSatisfaction]],EmployeeData[[#This Row],[WorkLifeBalance]]),2)</f>
        <v>3</v>
      </c>
      <c r="AE965" t="str">
        <f>IF(EmployeeData[[#This Row],[Satisfaction Score]]&lt;2,"Low",IF(EmployeeData[[#This Row],[Satisfaction Score]]&lt;3,"Medium","High"))</f>
        <v>High</v>
      </c>
    </row>
    <row r="966" spans="1:31" x14ac:dyDescent="0.25">
      <c r="A966" t="s">
        <v>4444</v>
      </c>
      <c r="B966" t="s">
        <v>4445</v>
      </c>
      <c r="C966" t="s">
        <v>58</v>
      </c>
      <c r="D966">
        <v>29</v>
      </c>
      <c r="E966" t="s">
        <v>5461</v>
      </c>
      <c r="F966" t="s">
        <v>5463</v>
      </c>
      <c r="G966" s="1">
        <v>45949</v>
      </c>
      <c r="H966">
        <v>116986</v>
      </c>
      <c r="I966" t="s">
        <v>42</v>
      </c>
      <c r="J966" t="s">
        <v>61</v>
      </c>
      <c r="K966" t="s">
        <v>106</v>
      </c>
      <c r="L966" t="s">
        <v>43</v>
      </c>
      <c r="M966">
        <v>44</v>
      </c>
      <c r="N966" t="s">
        <v>34</v>
      </c>
      <c r="O966">
        <v>4</v>
      </c>
      <c r="P966">
        <v>3</v>
      </c>
      <c r="Q966">
        <v>4</v>
      </c>
      <c r="R966">
        <v>4</v>
      </c>
      <c r="S966">
        <v>6</v>
      </c>
      <c r="T966">
        <v>3</v>
      </c>
      <c r="U966">
        <v>13</v>
      </c>
      <c r="V966" t="s">
        <v>4448</v>
      </c>
      <c r="W966" t="s">
        <v>34</v>
      </c>
      <c r="Y966" s="2" t="str">
        <f>IF(EmployeeData[[#This Row],[Age]]&lt;25,"Under 25",IF(EmployeeData[[#This Row],[Age]]&lt;=34,"25-34",IF(EmployeeData[[#This Row],[Age]]&lt;=44,"35-44",IF(EmployeeData[[#This Row],[Age]]&lt;=54,"45-54","55+"))))</f>
        <v>25-34</v>
      </c>
      <c r="Z966">
        <f ca="1">DATEDIF(EmployeeData[[#This Row],[DateOfJoining]],IF(AND(EmployeeData[[#This Row],[Attrition]]="Yes",EmployeeData[[#This Row],[LastWorkingDate]]&lt;&gt;""),EmployeeData[[#This Row],[LastWorkingDate]],TODAY()),"Y")</f>
        <v>0</v>
      </c>
      <c r="AA966" t="str">
        <f>IF(EmployeeData[[#This Row],[MonthlyIncome]]&lt;30000,"Low",IF(EmployeeData[[#This Row],[MonthlyIncome]]&lt;=60000,"Medium",IF(EmployeeData[[#This Row],[MonthlyIncome]]&lt;=100000,"High","Very High")))</f>
        <v>Very High</v>
      </c>
      <c r="AB966">
        <f>IF(EmployeeData[[#This Row],[Attrition]]="Yes",1,0)</f>
        <v>0</v>
      </c>
      <c r="AC966" t="str">
        <f ca="1">IF(EmployeeData[[#This Row],[Tenure Years]]&lt;1,"Less than 1 Year",IF(EmployeeData[[#This Row],[Tenure Years]]&lt;=3,"1-3 Years",IF(EmployeeData[[#This Row],[Tenure Years]]&lt;=5,"4-5 Years",IF(EmployeeData[[#This Row],[Tenure Years]]&lt;=10,"6-10 Years","More than 10 Years"))))</f>
        <v>Less than 1 Year</v>
      </c>
      <c r="AD966">
        <f>ROUND(AVERAGE(EmployeeData[[#This Row],[JobSatisfaction]],EmployeeData[[#This Row],[EnvironmentSatisfaction]],EmployeeData[[#This Row],[WorkLifeBalance]]),2)</f>
        <v>3.67</v>
      </c>
      <c r="AE966" t="str">
        <f>IF(EmployeeData[[#This Row],[Satisfaction Score]]&lt;2,"Low",IF(EmployeeData[[#This Row],[Satisfaction Score]]&lt;3,"Medium","High"))</f>
        <v>High</v>
      </c>
    </row>
    <row r="967" spans="1:31" x14ac:dyDescent="0.25">
      <c r="A967" t="s">
        <v>4449</v>
      </c>
      <c r="B967" t="s">
        <v>4450</v>
      </c>
      <c r="C967" t="s">
        <v>58</v>
      </c>
      <c r="D967">
        <v>35</v>
      </c>
      <c r="E967" t="s">
        <v>128</v>
      </c>
      <c r="F967" t="s">
        <v>271</v>
      </c>
      <c r="G967" s="1">
        <v>45265</v>
      </c>
      <c r="H967">
        <v>85664</v>
      </c>
      <c r="I967" t="s">
        <v>52</v>
      </c>
      <c r="J967" t="s">
        <v>31</v>
      </c>
      <c r="K967" t="s">
        <v>200</v>
      </c>
      <c r="L967" t="s">
        <v>33</v>
      </c>
      <c r="M967">
        <v>10</v>
      </c>
      <c r="N967" t="s">
        <v>34</v>
      </c>
      <c r="O967">
        <v>3</v>
      </c>
      <c r="P967">
        <v>3</v>
      </c>
      <c r="Q967">
        <v>2</v>
      </c>
      <c r="R967">
        <v>3</v>
      </c>
      <c r="S967">
        <v>3</v>
      </c>
      <c r="T967">
        <v>5</v>
      </c>
      <c r="U967">
        <v>21</v>
      </c>
      <c r="V967" t="s">
        <v>4452</v>
      </c>
      <c r="W967" t="s">
        <v>34</v>
      </c>
      <c r="Y967" s="2" t="str">
        <f>IF(EmployeeData[[#This Row],[Age]]&lt;25,"Under 25",IF(EmployeeData[[#This Row],[Age]]&lt;=34,"25-34",IF(EmployeeData[[#This Row],[Age]]&lt;=44,"35-44",IF(EmployeeData[[#This Row],[Age]]&lt;=54,"45-54","55+"))))</f>
        <v>35-44</v>
      </c>
      <c r="Z967">
        <f ca="1">DATEDIF(EmployeeData[[#This Row],[DateOfJoining]],IF(AND(EmployeeData[[#This Row],[Attrition]]="Yes",EmployeeData[[#This Row],[LastWorkingDate]]&lt;&gt;""),EmployeeData[[#This Row],[LastWorkingDate]],TODAY()),"Y")</f>
        <v>2</v>
      </c>
      <c r="AA967" t="str">
        <f>IF(EmployeeData[[#This Row],[MonthlyIncome]]&lt;30000,"Low",IF(EmployeeData[[#This Row],[MonthlyIncome]]&lt;=60000,"Medium",IF(EmployeeData[[#This Row],[MonthlyIncome]]&lt;=100000,"High","Very High")))</f>
        <v>High</v>
      </c>
      <c r="AB967">
        <f>IF(EmployeeData[[#This Row],[Attrition]]="Yes",1,0)</f>
        <v>0</v>
      </c>
      <c r="AC967" t="str">
        <f ca="1">IF(EmployeeData[[#This Row],[Tenure Years]]&lt;1,"Less than 1 Year",IF(EmployeeData[[#This Row],[Tenure Years]]&lt;=3,"1-3 Years",IF(EmployeeData[[#This Row],[Tenure Years]]&lt;=5,"4-5 Years",IF(EmployeeData[[#This Row],[Tenure Years]]&lt;=10,"6-10 Years","More than 10 Years"))))</f>
        <v>1-3 Years</v>
      </c>
      <c r="AD967">
        <f>ROUND(AVERAGE(EmployeeData[[#This Row],[JobSatisfaction]],EmployeeData[[#This Row],[EnvironmentSatisfaction]],EmployeeData[[#This Row],[WorkLifeBalance]]),2)</f>
        <v>2.67</v>
      </c>
      <c r="AE967" t="str">
        <f>IF(EmployeeData[[#This Row],[Satisfaction Score]]&lt;2,"Low",IF(EmployeeData[[#This Row],[Satisfaction Score]]&lt;3,"Medium","High"))</f>
        <v>Medium</v>
      </c>
    </row>
    <row r="968" spans="1:31" x14ac:dyDescent="0.25">
      <c r="A968" t="s">
        <v>4453</v>
      </c>
      <c r="B968" t="s">
        <v>4454</v>
      </c>
      <c r="C968" t="s">
        <v>58</v>
      </c>
      <c r="D968">
        <v>47</v>
      </c>
      <c r="E968" t="s">
        <v>27</v>
      </c>
      <c r="F968" t="s">
        <v>188</v>
      </c>
      <c r="G968" s="1">
        <v>42611</v>
      </c>
      <c r="H968">
        <v>98968</v>
      </c>
      <c r="I968" t="s">
        <v>30</v>
      </c>
      <c r="J968" t="s">
        <v>97</v>
      </c>
      <c r="K968" t="s">
        <v>200</v>
      </c>
      <c r="L968" t="s">
        <v>43</v>
      </c>
      <c r="M968">
        <v>20</v>
      </c>
      <c r="N968" t="s">
        <v>34</v>
      </c>
      <c r="O968">
        <v>1</v>
      </c>
      <c r="P968">
        <v>2</v>
      </c>
      <c r="Q968">
        <v>2</v>
      </c>
      <c r="R968">
        <v>4</v>
      </c>
      <c r="S968">
        <v>4</v>
      </c>
      <c r="T968">
        <v>4</v>
      </c>
      <c r="U968">
        <v>21</v>
      </c>
      <c r="V968" t="s">
        <v>4456</v>
      </c>
      <c r="W968" t="s">
        <v>34</v>
      </c>
      <c r="Y968" s="2" t="str">
        <f>IF(EmployeeData[[#This Row],[Age]]&lt;25,"Under 25",IF(EmployeeData[[#This Row],[Age]]&lt;=34,"25-34",IF(EmployeeData[[#This Row],[Age]]&lt;=44,"35-44",IF(EmployeeData[[#This Row],[Age]]&lt;=54,"45-54","55+"))))</f>
        <v>45-54</v>
      </c>
      <c r="Z968">
        <f ca="1">DATEDIF(EmployeeData[[#This Row],[DateOfJoining]],IF(AND(EmployeeData[[#This Row],[Attrition]]="Yes",EmployeeData[[#This Row],[LastWorkingDate]]&lt;&gt;""),EmployeeData[[#This Row],[LastWorkingDate]],TODAY()),"Y")</f>
        <v>10</v>
      </c>
      <c r="AA968" t="str">
        <f>IF(EmployeeData[[#This Row],[MonthlyIncome]]&lt;30000,"Low",IF(EmployeeData[[#This Row],[MonthlyIncome]]&lt;=60000,"Medium",IF(EmployeeData[[#This Row],[MonthlyIncome]]&lt;=100000,"High","Very High")))</f>
        <v>High</v>
      </c>
      <c r="AB968">
        <f>IF(EmployeeData[[#This Row],[Attrition]]="Yes",1,0)</f>
        <v>0</v>
      </c>
      <c r="AC968" t="str">
        <f ca="1">IF(EmployeeData[[#This Row],[Tenure Years]]&lt;1,"Less than 1 Year",IF(EmployeeData[[#This Row],[Tenure Years]]&lt;=3,"1-3 Years",IF(EmployeeData[[#This Row],[Tenure Years]]&lt;=5,"4-5 Years",IF(EmployeeData[[#This Row],[Tenure Years]]&lt;=10,"6-10 Years","More than 10 Years"))))</f>
        <v>6-10 Years</v>
      </c>
      <c r="AD968">
        <f>ROUND(AVERAGE(EmployeeData[[#This Row],[JobSatisfaction]],EmployeeData[[#This Row],[EnvironmentSatisfaction]],EmployeeData[[#This Row],[WorkLifeBalance]]),2)</f>
        <v>1.67</v>
      </c>
      <c r="AE968" t="str">
        <f>IF(EmployeeData[[#This Row],[Satisfaction Score]]&lt;2,"Low",IF(EmployeeData[[#This Row],[Satisfaction Score]]&lt;3,"Medium","High"))</f>
        <v>Low</v>
      </c>
    </row>
    <row r="969" spans="1:31" x14ac:dyDescent="0.25">
      <c r="A969" t="s">
        <v>4457</v>
      </c>
      <c r="B969" t="s">
        <v>4458</v>
      </c>
      <c r="C969" t="s">
        <v>49</v>
      </c>
      <c r="D969">
        <v>35</v>
      </c>
      <c r="E969" t="s">
        <v>5461</v>
      </c>
      <c r="F969" t="s">
        <v>483</v>
      </c>
      <c r="G969" s="1">
        <v>42174</v>
      </c>
      <c r="H969">
        <v>124509</v>
      </c>
      <c r="I969" t="s">
        <v>30</v>
      </c>
      <c r="J969" t="s">
        <v>97</v>
      </c>
      <c r="K969" t="s">
        <v>113</v>
      </c>
      <c r="L969" t="s">
        <v>33</v>
      </c>
      <c r="M969">
        <v>3</v>
      </c>
      <c r="N969" t="s">
        <v>34</v>
      </c>
      <c r="O969">
        <v>1</v>
      </c>
      <c r="P969">
        <v>3</v>
      </c>
      <c r="Q969">
        <v>2</v>
      </c>
      <c r="R969">
        <v>3</v>
      </c>
      <c r="S969">
        <v>0</v>
      </c>
      <c r="T969">
        <v>0</v>
      </c>
      <c r="U969">
        <v>11</v>
      </c>
      <c r="V969" t="s">
        <v>4460</v>
      </c>
      <c r="W969" t="s">
        <v>45</v>
      </c>
      <c r="X969" s="1">
        <v>42508</v>
      </c>
      <c r="Y969" s="2" t="str">
        <f>IF(EmployeeData[[#This Row],[Age]]&lt;25,"Under 25",IF(EmployeeData[[#This Row],[Age]]&lt;=34,"25-34",IF(EmployeeData[[#This Row],[Age]]&lt;=44,"35-44",IF(EmployeeData[[#This Row],[Age]]&lt;=54,"45-54","55+"))))</f>
        <v>35-44</v>
      </c>
      <c r="Z969">
        <f ca="1">DATEDIF(EmployeeData[[#This Row],[DateOfJoining]],IF(AND(EmployeeData[[#This Row],[Attrition]]="Yes",EmployeeData[[#This Row],[LastWorkingDate]]&lt;&gt;""),EmployeeData[[#This Row],[LastWorkingDate]],TODAY()),"Y")</f>
        <v>0</v>
      </c>
      <c r="AA969" t="str">
        <f>IF(EmployeeData[[#This Row],[MonthlyIncome]]&lt;30000,"Low",IF(EmployeeData[[#This Row],[MonthlyIncome]]&lt;=60000,"Medium",IF(EmployeeData[[#This Row],[MonthlyIncome]]&lt;=100000,"High","Very High")))</f>
        <v>Very High</v>
      </c>
      <c r="AB969">
        <f>IF(EmployeeData[[#This Row],[Attrition]]="Yes",1,0)</f>
        <v>1</v>
      </c>
      <c r="AC969" t="str">
        <f ca="1">IF(EmployeeData[[#This Row],[Tenure Years]]&lt;1,"Less than 1 Year",IF(EmployeeData[[#This Row],[Tenure Years]]&lt;=3,"1-3 Years",IF(EmployeeData[[#This Row],[Tenure Years]]&lt;=5,"4-5 Years",IF(EmployeeData[[#This Row],[Tenure Years]]&lt;=10,"6-10 Years","More than 10 Years"))))</f>
        <v>Less than 1 Year</v>
      </c>
      <c r="AD969">
        <f>ROUND(AVERAGE(EmployeeData[[#This Row],[JobSatisfaction]],EmployeeData[[#This Row],[EnvironmentSatisfaction]],EmployeeData[[#This Row],[WorkLifeBalance]]),2)</f>
        <v>2</v>
      </c>
      <c r="AE969" t="str">
        <f>IF(EmployeeData[[#This Row],[Satisfaction Score]]&lt;2,"Low",IF(EmployeeData[[#This Row],[Satisfaction Score]]&lt;3,"Medium","High"))</f>
        <v>Medium</v>
      </c>
    </row>
    <row r="970" spans="1:31" x14ac:dyDescent="0.25">
      <c r="A970" t="s">
        <v>4462</v>
      </c>
      <c r="B970" t="s">
        <v>4463</v>
      </c>
      <c r="C970" t="s">
        <v>49</v>
      </c>
      <c r="D970">
        <v>49</v>
      </c>
      <c r="E970" t="s">
        <v>27</v>
      </c>
      <c r="F970" t="s">
        <v>59</v>
      </c>
      <c r="G970" s="1">
        <v>41696</v>
      </c>
      <c r="H970">
        <v>80563</v>
      </c>
      <c r="I970" t="s">
        <v>42</v>
      </c>
      <c r="J970" t="s">
        <v>61</v>
      </c>
      <c r="K970" t="s">
        <v>54</v>
      </c>
      <c r="L970" t="s">
        <v>62</v>
      </c>
      <c r="M970">
        <v>11</v>
      </c>
      <c r="N970" t="s">
        <v>34</v>
      </c>
      <c r="O970">
        <v>3</v>
      </c>
      <c r="P970">
        <v>1</v>
      </c>
      <c r="Q970">
        <v>2</v>
      </c>
      <c r="R970">
        <v>5</v>
      </c>
      <c r="S970">
        <v>1</v>
      </c>
      <c r="T970">
        <v>3</v>
      </c>
      <c r="U970">
        <v>13</v>
      </c>
      <c r="V970" t="s">
        <v>4466</v>
      </c>
      <c r="W970" t="s">
        <v>34</v>
      </c>
      <c r="Y970" s="2" t="str">
        <f>IF(EmployeeData[[#This Row],[Age]]&lt;25,"Under 25",IF(EmployeeData[[#This Row],[Age]]&lt;=34,"25-34",IF(EmployeeData[[#This Row],[Age]]&lt;=44,"35-44",IF(EmployeeData[[#This Row],[Age]]&lt;=54,"45-54","55+"))))</f>
        <v>45-54</v>
      </c>
      <c r="Z970">
        <f ca="1">DATEDIF(EmployeeData[[#This Row],[DateOfJoining]],IF(AND(EmployeeData[[#This Row],[Attrition]]="Yes",EmployeeData[[#This Row],[LastWorkingDate]]&lt;&gt;""),EmployeeData[[#This Row],[LastWorkingDate]],TODAY()),"Y")</f>
        <v>12</v>
      </c>
      <c r="AA970" t="str">
        <f>IF(EmployeeData[[#This Row],[MonthlyIncome]]&lt;30000,"Low",IF(EmployeeData[[#This Row],[MonthlyIncome]]&lt;=60000,"Medium",IF(EmployeeData[[#This Row],[MonthlyIncome]]&lt;=100000,"High","Very High")))</f>
        <v>High</v>
      </c>
      <c r="AB970">
        <f>IF(EmployeeData[[#This Row],[Attrition]]="Yes",1,0)</f>
        <v>0</v>
      </c>
      <c r="AC970" t="str">
        <f ca="1">IF(EmployeeData[[#This Row],[Tenure Years]]&lt;1,"Less than 1 Year",IF(EmployeeData[[#This Row],[Tenure Years]]&lt;=3,"1-3 Years",IF(EmployeeData[[#This Row],[Tenure Years]]&lt;=5,"4-5 Years",IF(EmployeeData[[#This Row],[Tenure Years]]&lt;=10,"6-10 Years","More than 10 Years"))))</f>
        <v>More than 10 Years</v>
      </c>
      <c r="AD970">
        <f>ROUND(AVERAGE(EmployeeData[[#This Row],[JobSatisfaction]],EmployeeData[[#This Row],[EnvironmentSatisfaction]],EmployeeData[[#This Row],[WorkLifeBalance]]),2)</f>
        <v>2</v>
      </c>
      <c r="AE970" t="str">
        <f>IF(EmployeeData[[#This Row],[Satisfaction Score]]&lt;2,"Low",IF(EmployeeData[[#This Row],[Satisfaction Score]]&lt;3,"Medium","High"))</f>
        <v>Medium</v>
      </c>
    </row>
    <row r="971" spans="1:31" x14ac:dyDescent="0.25">
      <c r="A971" t="s">
        <v>4467</v>
      </c>
      <c r="B971" t="s">
        <v>4468</v>
      </c>
      <c r="C971" t="s">
        <v>58</v>
      </c>
      <c r="D971">
        <v>35</v>
      </c>
      <c r="E971" t="s">
        <v>5461</v>
      </c>
      <c r="F971" t="s">
        <v>5463</v>
      </c>
      <c r="G971" s="1">
        <v>41560</v>
      </c>
      <c r="H971">
        <v>89264</v>
      </c>
      <c r="I971" t="s">
        <v>30</v>
      </c>
      <c r="J971" t="s">
        <v>5459</v>
      </c>
      <c r="K971" t="s">
        <v>77</v>
      </c>
      <c r="L971" t="s">
        <v>43</v>
      </c>
      <c r="M971">
        <v>5</v>
      </c>
      <c r="N971" t="s">
        <v>34</v>
      </c>
      <c r="O971">
        <v>2</v>
      </c>
      <c r="P971">
        <v>4</v>
      </c>
      <c r="Q971">
        <v>4</v>
      </c>
      <c r="R971">
        <v>3</v>
      </c>
      <c r="S971">
        <v>4</v>
      </c>
      <c r="T971">
        <v>1</v>
      </c>
      <c r="U971">
        <v>20</v>
      </c>
      <c r="V971" t="s">
        <v>4471</v>
      </c>
      <c r="W971" t="s">
        <v>34</v>
      </c>
      <c r="Y971" s="2" t="str">
        <f>IF(EmployeeData[[#This Row],[Age]]&lt;25,"Under 25",IF(EmployeeData[[#This Row],[Age]]&lt;=34,"25-34",IF(EmployeeData[[#This Row],[Age]]&lt;=44,"35-44",IF(EmployeeData[[#This Row],[Age]]&lt;=54,"45-54","55+"))))</f>
        <v>35-44</v>
      </c>
      <c r="Z971">
        <f ca="1">DATEDIF(EmployeeData[[#This Row],[DateOfJoining]],IF(AND(EmployeeData[[#This Row],[Attrition]]="Yes",EmployeeData[[#This Row],[LastWorkingDate]]&lt;&gt;""),EmployeeData[[#This Row],[LastWorkingDate]],TODAY()),"Y")</f>
        <v>12</v>
      </c>
      <c r="AA971" t="str">
        <f>IF(EmployeeData[[#This Row],[MonthlyIncome]]&lt;30000,"Low",IF(EmployeeData[[#This Row],[MonthlyIncome]]&lt;=60000,"Medium",IF(EmployeeData[[#This Row],[MonthlyIncome]]&lt;=100000,"High","Very High")))</f>
        <v>High</v>
      </c>
      <c r="AB971">
        <f>IF(EmployeeData[[#This Row],[Attrition]]="Yes",1,0)</f>
        <v>0</v>
      </c>
      <c r="AC971" t="str">
        <f ca="1">IF(EmployeeData[[#This Row],[Tenure Years]]&lt;1,"Less than 1 Year",IF(EmployeeData[[#This Row],[Tenure Years]]&lt;=3,"1-3 Years",IF(EmployeeData[[#This Row],[Tenure Years]]&lt;=5,"4-5 Years",IF(EmployeeData[[#This Row],[Tenure Years]]&lt;=10,"6-10 Years","More than 10 Years"))))</f>
        <v>More than 10 Years</v>
      </c>
      <c r="AD971">
        <f>ROUND(AVERAGE(EmployeeData[[#This Row],[JobSatisfaction]],EmployeeData[[#This Row],[EnvironmentSatisfaction]],EmployeeData[[#This Row],[WorkLifeBalance]]),2)</f>
        <v>3.33</v>
      </c>
      <c r="AE971" t="str">
        <f>IF(EmployeeData[[#This Row],[Satisfaction Score]]&lt;2,"Low",IF(EmployeeData[[#This Row],[Satisfaction Score]]&lt;3,"Medium","High"))</f>
        <v>High</v>
      </c>
    </row>
    <row r="972" spans="1:31" x14ac:dyDescent="0.25">
      <c r="A972" t="s">
        <v>4472</v>
      </c>
      <c r="B972" t="s">
        <v>4473</v>
      </c>
      <c r="C972" t="s">
        <v>49</v>
      </c>
      <c r="D972">
        <v>32</v>
      </c>
      <c r="E972" t="s">
        <v>38</v>
      </c>
      <c r="F972" t="s">
        <v>5462</v>
      </c>
      <c r="G972" s="1">
        <v>41808</v>
      </c>
      <c r="H972">
        <v>61672</v>
      </c>
      <c r="I972" t="s">
        <v>42</v>
      </c>
      <c r="J972" t="s">
        <v>61</v>
      </c>
      <c r="K972" t="s">
        <v>54</v>
      </c>
      <c r="L972" t="s">
        <v>33</v>
      </c>
      <c r="M972">
        <v>21</v>
      </c>
      <c r="N972" t="s">
        <v>34</v>
      </c>
      <c r="O972">
        <v>4</v>
      </c>
      <c r="P972">
        <v>4</v>
      </c>
      <c r="Q972">
        <v>4</v>
      </c>
      <c r="R972">
        <v>3</v>
      </c>
      <c r="S972">
        <v>0</v>
      </c>
      <c r="T972">
        <v>1</v>
      </c>
      <c r="U972">
        <v>23</v>
      </c>
      <c r="V972" t="s">
        <v>4476</v>
      </c>
      <c r="W972" t="s">
        <v>34</v>
      </c>
      <c r="Y972" s="2" t="str">
        <f>IF(EmployeeData[[#This Row],[Age]]&lt;25,"Under 25",IF(EmployeeData[[#This Row],[Age]]&lt;=34,"25-34",IF(EmployeeData[[#This Row],[Age]]&lt;=44,"35-44",IF(EmployeeData[[#This Row],[Age]]&lt;=54,"45-54","55+"))))</f>
        <v>25-34</v>
      </c>
      <c r="Z972">
        <f ca="1">DATEDIF(EmployeeData[[#This Row],[DateOfJoining]],IF(AND(EmployeeData[[#This Row],[Attrition]]="Yes",EmployeeData[[#This Row],[LastWorkingDate]]&lt;&gt;""),EmployeeData[[#This Row],[LastWorkingDate]],TODAY()),"Y")</f>
        <v>12</v>
      </c>
      <c r="AA972" t="str">
        <f>IF(EmployeeData[[#This Row],[MonthlyIncome]]&lt;30000,"Low",IF(EmployeeData[[#This Row],[MonthlyIncome]]&lt;=60000,"Medium",IF(EmployeeData[[#This Row],[MonthlyIncome]]&lt;=100000,"High","Very High")))</f>
        <v>High</v>
      </c>
      <c r="AB972">
        <f>IF(EmployeeData[[#This Row],[Attrition]]="Yes",1,0)</f>
        <v>0</v>
      </c>
      <c r="AC972" t="str">
        <f ca="1">IF(EmployeeData[[#This Row],[Tenure Years]]&lt;1,"Less than 1 Year",IF(EmployeeData[[#This Row],[Tenure Years]]&lt;=3,"1-3 Years",IF(EmployeeData[[#This Row],[Tenure Years]]&lt;=5,"4-5 Years",IF(EmployeeData[[#This Row],[Tenure Years]]&lt;=10,"6-10 Years","More than 10 Years"))))</f>
        <v>More than 10 Years</v>
      </c>
      <c r="AD972">
        <f>ROUND(AVERAGE(EmployeeData[[#This Row],[JobSatisfaction]],EmployeeData[[#This Row],[EnvironmentSatisfaction]],EmployeeData[[#This Row],[WorkLifeBalance]]),2)</f>
        <v>4</v>
      </c>
      <c r="AE972" t="str">
        <f>IF(EmployeeData[[#This Row],[Satisfaction Score]]&lt;2,"Low",IF(EmployeeData[[#This Row],[Satisfaction Score]]&lt;3,"Medium","High"))</f>
        <v>High</v>
      </c>
    </row>
    <row r="973" spans="1:31" x14ac:dyDescent="0.25">
      <c r="A973" t="s">
        <v>4477</v>
      </c>
      <c r="B973" t="s">
        <v>4478</v>
      </c>
      <c r="C973" t="s">
        <v>58</v>
      </c>
      <c r="D973">
        <v>19</v>
      </c>
      <c r="E973" t="s">
        <v>197</v>
      </c>
      <c r="F973" t="s">
        <v>573</v>
      </c>
      <c r="G973" s="1">
        <v>41915</v>
      </c>
      <c r="H973">
        <v>76392</v>
      </c>
      <c r="I973" t="s">
        <v>30</v>
      </c>
      <c r="J973" t="s">
        <v>143</v>
      </c>
      <c r="K973" t="s">
        <v>113</v>
      </c>
      <c r="L973" t="s">
        <v>62</v>
      </c>
      <c r="M973">
        <v>7</v>
      </c>
      <c r="N973" t="s">
        <v>34</v>
      </c>
      <c r="O973">
        <v>1</v>
      </c>
      <c r="P973">
        <v>1</v>
      </c>
      <c r="Q973">
        <v>2</v>
      </c>
      <c r="R973">
        <v>3</v>
      </c>
      <c r="S973">
        <v>2</v>
      </c>
      <c r="T973">
        <v>1</v>
      </c>
      <c r="U973">
        <v>25</v>
      </c>
      <c r="V973" t="s">
        <v>4480</v>
      </c>
      <c r="W973" t="s">
        <v>45</v>
      </c>
      <c r="X973" s="1">
        <v>44981</v>
      </c>
      <c r="Y973" s="2" t="str">
        <f>IF(EmployeeData[[#This Row],[Age]]&lt;25,"Under 25",IF(EmployeeData[[#This Row],[Age]]&lt;=34,"25-34",IF(EmployeeData[[#This Row],[Age]]&lt;=44,"35-44",IF(EmployeeData[[#This Row],[Age]]&lt;=54,"45-54","55+"))))</f>
        <v>Under 25</v>
      </c>
      <c r="Z973">
        <f ca="1">DATEDIF(EmployeeData[[#This Row],[DateOfJoining]],IF(AND(EmployeeData[[#This Row],[Attrition]]="Yes",EmployeeData[[#This Row],[LastWorkingDate]]&lt;&gt;""),EmployeeData[[#This Row],[LastWorkingDate]],TODAY()),"Y")</f>
        <v>8</v>
      </c>
      <c r="AA973" t="str">
        <f>IF(EmployeeData[[#This Row],[MonthlyIncome]]&lt;30000,"Low",IF(EmployeeData[[#This Row],[MonthlyIncome]]&lt;=60000,"Medium",IF(EmployeeData[[#This Row],[MonthlyIncome]]&lt;=100000,"High","Very High")))</f>
        <v>High</v>
      </c>
      <c r="AB973">
        <f>IF(EmployeeData[[#This Row],[Attrition]]="Yes",1,0)</f>
        <v>1</v>
      </c>
      <c r="AC973" t="str">
        <f ca="1">IF(EmployeeData[[#This Row],[Tenure Years]]&lt;1,"Less than 1 Year",IF(EmployeeData[[#This Row],[Tenure Years]]&lt;=3,"1-3 Years",IF(EmployeeData[[#This Row],[Tenure Years]]&lt;=5,"4-5 Years",IF(EmployeeData[[#This Row],[Tenure Years]]&lt;=10,"6-10 Years","More than 10 Years"))))</f>
        <v>6-10 Years</v>
      </c>
      <c r="AD973">
        <f>ROUND(AVERAGE(EmployeeData[[#This Row],[JobSatisfaction]],EmployeeData[[#This Row],[EnvironmentSatisfaction]],EmployeeData[[#This Row],[WorkLifeBalance]]),2)</f>
        <v>1.33</v>
      </c>
      <c r="AE973" t="str">
        <f>IF(EmployeeData[[#This Row],[Satisfaction Score]]&lt;2,"Low",IF(EmployeeData[[#This Row],[Satisfaction Score]]&lt;3,"Medium","High"))</f>
        <v>Low</v>
      </c>
    </row>
    <row r="974" spans="1:31" x14ac:dyDescent="0.25">
      <c r="A974" t="s">
        <v>4482</v>
      </c>
      <c r="B974" t="s">
        <v>4483</v>
      </c>
      <c r="C974" t="s">
        <v>49</v>
      </c>
      <c r="D974">
        <v>35</v>
      </c>
      <c r="E974" t="s">
        <v>27</v>
      </c>
      <c r="F974" t="s">
        <v>50</v>
      </c>
      <c r="G974" s="1">
        <v>40933</v>
      </c>
      <c r="H974">
        <v>97773</v>
      </c>
      <c r="I974" t="s">
        <v>30</v>
      </c>
      <c r="J974" t="s">
        <v>61</v>
      </c>
      <c r="K974" t="s">
        <v>200</v>
      </c>
      <c r="L974" t="s">
        <v>33</v>
      </c>
      <c r="M974">
        <v>30</v>
      </c>
      <c r="N974" t="s">
        <v>34</v>
      </c>
      <c r="O974">
        <v>3</v>
      </c>
      <c r="P974">
        <v>3</v>
      </c>
      <c r="Q974">
        <v>3</v>
      </c>
      <c r="R974">
        <v>3</v>
      </c>
      <c r="S974">
        <v>0</v>
      </c>
      <c r="T974">
        <v>7</v>
      </c>
      <c r="U974">
        <v>21</v>
      </c>
      <c r="V974" t="s">
        <v>4485</v>
      </c>
      <c r="W974" t="s">
        <v>34</v>
      </c>
      <c r="Y974" s="2" t="str">
        <f>IF(EmployeeData[[#This Row],[Age]]&lt;25,"Under 25",IF(EmployeeData[[#This Row],[Age]]&lt;=34,"25-34",IF(EmployeeData[[#This Row],[Age]]&lt;=44,"35-44",IF(EmployeeData[[#This Row],[Age]]&lt;=54,"45-54","55+"))))</f>
        <v>35-44</v>
      </c>
      <c r="Z974">
        <f ca="1">DATEDIF(EmployeeData[[#This Row],[DateOfJoining]],IF(AND(EmployeeData[[#This Row],[Attrition]]="Yes",EmployeeData[[#This Row],[LastWorkingDate]]&lt;&gt;""),EmployeeData[[#This Row],[LastWorkingDate]],TODAY()),"Y")</f>
        <v>14</v>
      </c>
      <c r="AA974" t="str">
        <f>IF(EmployeeData[[#This Row],[MonthlyIncome]]&lt;30000,"Low",IF(EmployeeData[[#This Row],[MonthlyIncome]]&lt;=60000,"Medium",IF(EmployeeData[[#This Row],[MonthlyIncome]]&lt;=100000,"High","Very High")))</f>
        <v>High</v>
      </c>
      <c r="AB974">
        <f>IF(EmployeeData[[#This Row],[Attrition]]="Yes",1,0)</f>
        <v>0</v>
      </c>
      <c r="AC974" t="str">
        <f ca="1">IF(EmployeeData[[#This Row],[Tenure Years]]&lt;1,"Less than 1 Year",IF(EmployeeData[[#This Row],[Tenure Years]]&lt;=3,"1-3 Years",IF(EmployeeData[[#This Row],[Tenure Years]]&lt;=5,"4-5 Years",IF(EmployeeData[[#This Row],[Tenure Years]]&lt;=10,"6-10 Years","More than 10 Years"))))</f>
        <v>More than 10 Years</v>
      </c>
      <c r="AD974">
        <f>ROUND(AVERAGE(EmployeeData[[#This Row],[JobSatisfaction]],EmployeeData[[#This Row],[EnvironmentSatisfaction]],EmployeeData[[#This Row],[WorkLifeBalance]]),2)</f>
        <v>3</v>
      </c>
      <c r="AE974" t="str">
        <f>IF(EmployeeData[[#This Row],[Satisfaction Score]]&lt;2,"Low",IF(EmployeeData[[#This Row],[Satisfaction Score]]&lt;3,"Medium","High"))</f>
        <v>High</v>
      </c>
    </row>
    <row r="975" spans="1:31" x14ac:dyDescent="0.25">
      <c r="A975" t="s">
        <v>4486</v>
      </c>
      <c r="B975" t="s">
        <v>4487</v>
      </c>
      <c r="C975" t="s">
        <v>58</v>
      </c>
      <c r="D975">
        <v>45</v>
      </c>
      <c r="E975" t="s">
        <v>128</v>
      </c>
      <c r="F975" t="s">
        <v>271</v>
      </c>
      <c r="G975" s="1">
        <v>42333</v>
      </c>
      <c r="H975">
        <v>52838</v>
      </c>
      <c r="I975" t="s">
        <v>52</v>
      </c>
      <c r="J975" t="s">
        <v>61</v>
      </c>
      <c r="K975" t="s">
        <v>167</v>
      </c>
      <c r="L975" t="s">
        <v>33</v>
      </c>
      <c r="M975">
        <v>5</v>
      </c>
      <c r="N975" t="s">
        <v>34</v>
      </c>
      <c r="O975">
        <v>2</v>
      </c>
      <c r="P975">
        <v>3</v>
      </c>
      <c r="Q975">
        <v>3</v>
      </c>
      <c r="R975">
        <v>2</v>
      </c>
      <c r="S975">
        <v>3</v>
      </c>
      <c r="T975">
        <v>1</v>
      </c>
      <c r="U975">
        <v>20</v>
      </c>
      <c r="V975" t="s">
        <v>4490</v>
      </c>
      <c r="W975" t="s">
        <v>34</v>
      </c>
      <c r="Y975" s="2" t="str">
        <f>IF(EmployeeData[[#This Row],[Age]]&lt;25,"Under 25",IF(EmployeeData[[#This Row],[Age]]&lt;=34,"25-34",IF(EmployeeData[[#This Row],[Age]]&lt;=44,"35-44",IF(EmployeeData[[#This Row],[Age]]&lt;=54,"45-54","55+"))))</f>
        <v>45-54</v>
      </c>
      <c r="Z975">
        <f ca="1">DATEDIF(EmployeeData[[#This Row],[DateOfJoining]],IF(AND(EmployeeData[[#This Row],[Attrition]]="Yes",EmployeeData[[#This Row],[LastWorkingDate]]&lt;&gt;""),EmployeeData[[#This Row],[LastWorkingDate]],TODAY()),"Y")</f>
        <v>10</v>
      </c>
      <c r="AA975" t="str">
        <f>IF(EmployeeData[[#This Row],[MonthlyIncome]]&lt;30000,"Low",IF(EmployeeData[[#This Row],[MonthlyIncome]]&lt;=60000,"Medium",IF(EmployeeData[[#This Row],[MonthlyIncome]]&lt;=100000,"High","Very High")))</f>
        <v>Medium</v>
      </c>
      <c r="AB975">
        <f>IF(EmployeeData[[#This Row],[Attrition]]="Yes",1,0)</f>
        <v>0</v>
      </c>
      <c r="AC975" t="str">
        <f ca="1">IF(EmployeeData[[#This Row],[Tenure Years]]&lt;1,"Less than 1 Year",IF(EmployeeData[[#This Row],[Tenure Years]]&lt;=3,"1-3 Years",IF(EmployeeData[[#This Row],[Tenure Years]]&lt;=5,"4-5 Years",IF(EmployeeData[[#This Row],[Tenure Years]]&lt;=10,"6-10 Years","More than 10 Years"))))</f>
        <v>6-10 Years</v>
      </c>
      <c r="AD975">
        <f>ROUND(AVERAGE(EmployeeData[[#This Row],[JobSatisfaction]],EmployeeData[[#This Row],[EnvironmentSatisfaction]],EmployeeData[[#This Row],[WorkLifeBalance]]),2)</f>
        <v>2.67</v>
      </c>
      <c r="AE975" t="str">
        <f>IF(EmployeeData[[#This Row],[Satisfaction Score]]&lt;2,"Low",IF(EmployeeData[[#This Row],[Satisfaction Score]]&lt;3,"Medium","High"))</f>
        <v>Medium</v>
      </c>
    </row>
    <row r="976" spans="1:31" x14ac:dyDescent="0.25">
      <c r="A976" t="s">
        <v>4491</v>
      </c>
      <c r="B976" t="s">
        <v>4492</v>
      </c>
      <c r="C976" t="s">
        <v>49</v>
      </c>
      <c r="D976">
        <v>35</v>
      </c>
      <c r="E976" t="s">
        <v>27</v>
      </c>
      <c r="F976" t="s">
        <v>59</v>
      </c>
      <c r="G976" s="1">
        <v>41743</v>
      </c>
      <c r="H976">
        <v>97184</v>
      </c>
      <c r="I976" t="s">
        <v>42</v>
      </c>
      <c r="J976" t="s">
        <v>53</v>
      </c>
      <c r="K976" t="s">
        <v>113</v>
      </c>
      <c r="L976" t="s">
        <v>43</v>
      </c>
      <c r="M976">
        <v>39</v>
      </c>
      <c r="N976" t="s">
        <v>34</v>
      </c>
      <c r="O976">
        <v>2</v>
      </c>
      <c r="P976">
        <v>3</v>
      </c>
      <c r="Q976">
        <v>1</v>
      </c>
      <c r="R976">
        <v>3</v>
      </c>
      <c r="S976">
        <v>3</v>
      </c>
      <c r="T976">
        <v>3</v>
      </c>
      <c r="U976">
        <v>11</v>
      </c>
      <c r="V976" t="s">
        <v>4494</v>
      </c>
      <c r="W976" t="s">
        <v>45</v>
      </c>
      <c r="X976" s="1">
        <v>45901</v>
      </c>
      <c r="Y976" s="2" t="str">
        <f>IF(EmployeeData[[#This Row],[Age]]&lt;25,"Under 25",IF(EmployeeData[[#This Row],[Age]]&lt;=34,"25-34",IF(EmployeeData[[#This Row],[Age]]&lt;=44,"35-44",IF(EmployeeData[[#This Row],[Age]]&lt;=54,"45-54","55+"))))</f>
        <v>35-44</v>
      </c>
      <c r="Z976">
        <f ca="1">DATEDIF(EmployeeData[[#This Row],[DateOfJoining]],IF(AND(EmployeeData[[#This Row],[Attrition]]="Yes",EmployeeData[[#This Row],[LastWorkingDate]]&lt;&gt;""),EmployeeData[[#This Row],[LastWorkingDate]],TODAY()),"Y")</f>
        <v>11</v>
      </c>
      <c r="AA976" t="str">
        <f>IF(EmployeeData[[#This Row],[MonthlyIncome]]&lt;30000,"Low",IF(EmployeeData[[#This Row],[MonthlyIncome]]&lt;=60000,"Medium",IF(EmployeeData[[#This Row],[MonthlyIncome]]&lt;=100000,"High","Very High")))</f>
        <v>High</v>
      </c>
      <c r="AB976">
        <f>IF(EmployeeData[[#This Row],[Attrition]]="Yes",1,0)</f>
        <v>1</v>
      </c>
      <c r="AC976" t="str">
        <f ca="1">IF(EmployeeData[[#This Row],[Tenure Years]]&lt;1,"Less than 1 Year",IF(EmployeeData[[#This Row],[Tenure Years]]&lt;=3,"1-3 Years",IF(EmployeeData[[#This Row],[Tenure Years]]&lt;=5,"4-5 Years",IF(EmployeeData[[#This Row],[Tenure Years]]&lt;=10,"6-10 Years","More than 10 Years"))))</f>
        <v>More than 10 Years</v>
      </c>
      <c r="AD976">
        <f>ROUND(AVERAGE(EmployeeData[[#This Row],[JobSatisfaction]],EmployeeData[[#This Row],[EnvironmentSatisfaction]],EmployeeData[[#This Row],[WorkLifeBalance]]),2)</f>
        <v>2</v>
      </c>
      <c r="AE976" t="str">
        <f>IF(EmployeeData[[#This Row],[Satisfaction Score]]&lt;2,"Low",IF(EmployeeData[[#This Row],[Satisfaction Score]]&lt;3,"Medium","High"))</f>
        <v>Medium</v>
      </c>
    </row>
    <row r="977" spans="1:31" x14ac:dyDescent="0.25">
      <c r="A977" t="s">
        <v>4496</v>
      </c>
      <c r="B977" t="s">
        <v>4497</v>
      </c>
      <c r="C977" t="s">
        <v>49</v>
      </c>
      <c r="D977">
        <v>39</v>
      </c>
      <c r="E977" t="s">
        <v>94</v>
      </c>
      <c r="F977" t="s">
        <v>639</v>
      </c>
      <c r="G977" s="1">
        <v>42976</v>
      </c>
      <c r="H977">
        <v>67440</v>
      </c>
      <c r="I977" t="s">
        <v>30</v>
      </c>
      <c r="J977" t="s">
        <v>31</v>
      </c>
      <c r="K977" t="s">
        <v>106</v>
      </c>
      <c r="L977" t="s">
        <v>62</v>
      </c>
      <c r="M977">
        <v>4</v>
      </c>
      <c r="N977" t="s">
        <v>34</v>
      </c>
      <c r="O977">
        <v>4</v>
      </c>
      <c r="P977">
        <v>2</v>
      </c>
      <c r="Q977">
        <v>3</v>
      </c>
      <c r="R977">
        <v>3</v>
      </c>
      <c r="S977">
        <v>2</v>
      </c>
      <c r="T977">
        <v>2</v>
      </c>
      <c r="U977">
        <v>21</v>
      </c>
      <c r="V977" t="s">
        <v>4499</v>
      </c>
      <c r="W977" t="s">
        <v>34</v>
      </c>
      <c r="Y977" s="2" t="str">
        <f>IF(EmployeeData[[#This Row],[Age]]&lt;25,"Under 25",IF(EmployeeData[[#This Row],[Age]]&lt;=34,"25-34",IF(EmployeeData[[#This Row],[Age]]&lt;=44,"35-44",IF(EmployeeData[[#This Row],[Age]]&lt;=54,"45-54","55+"))))</f>
        <v>35-44</v>
      </c>
      <c r="Z977">
        <f ca="1">DATEDIF(EmployeeData[[#This Row],[DateOfJoining]],IF(AND(EmployeeData[[#This Row],[Attrition]]="Yes",EmployeeData[[#This Row],[LastWorkingDate]]&lt;&gt;""),EmployeeData[[#This Row],[LastWorkingDate]],TODAY()),"Y")</f>
        <v>9</v>
      </c>
      <c r="AA977" t="str">
        <f>IF(EmployeeData[[#This Row],[MonthlyIncome]]&lt;30000,"Low",IF(EmployeeData[[#This Row],[MonthlyIncome]]&lt;=60000,"Medium",IF(EmployeeData[[#This Row],[MonthlyIncome]]&lt;=100000,"High","Very High")))</f>
        <v>High</v>
      </c>
      <c r="AB977">
        <f>IF(EmployeeData[[#This Row],[Attrition]]="Yes",1,0)</f>
        <v>0</v>
      </c>
      <c r="AC977" t="str">
        <f ca="1">IF(EmployeeData[[#This Row],[Tenure Years]]&lt;1,"Less than 1 Year",IF(EmployeeData[[#This Row],[Tenure Years]]&lt;=3,"1-3 Years",IF(EmployeeData[[#This Row],[Tenure Years]]&lt;=5,"4-5 Years",IF(EmployeeData[[#This Row],[Tenure Years]]&lt;=10,"6-10 Years","More than 10 Years"))))</f>
        <v>6-10 Years</v>
      </c>
      <c r="AD977">
        <f>ROUND(AVERAGE(EmployeeData[[#This Row],[JobSatisfaction]],EmployeeData[[#This Row],[EnvironmentSatisfaction]],EmployeeData[[#This Row],[WorkLifeBalance]]),2)</f>
        <v>3</v>
      </c>
      <c r="AE977" t="str">
        <f>IF(EmployeeData[[#This Row],[Satisfaction Score]]&lt;2,"Low",IF(EmployeeData[[#This Row],[Satisfaction Score]]&lt;3,"Medium","High"))</f>
        <v>High</v>
      </c>
    </row>
    <row r="978" spans="1:31" x14ac:dyDescent="0.25">
      <c r="A978" t="s">
        <v>4500</v>
      </c>
      <c r="B978" t="s">
        <v>4501</v>
      </c>
      <c r="C978" t="s">
        <v>49</v>
      </c>
      <c r="D978">
        <v>32</v>
      </c>
      <c r="E978" t="s">
        <v>412</v>
      </c>
      <c r="F978" t="s">
        <v>828</v>
      </c>
      <c r="G978" s="1">
        <v>46003</v>
      </c>
      <c r="H978">
        <v>78927</v>
      </c>
      <c r="I978" t="s">
        <v>52</v>
      </c>
      <c r="J978" t="s">
        <v>61</v>
      </c>
      <c r="K978" t="s">
        <v>113</v>
      </c>
      <c r="L978" t="s">
        <v>43</v>
      </c>
      <c r="M978">
        <v>3</v>
      </c>
      <c r="N978" t="s">
        <v>34</v>
      </c>
      <c r="O978">
        <v>2</v>
      </c>
      <c r="P978">
        <v>3</v>
      </c>
      <c r="Q978">
        <v>1</v>
      </c>
      <c r="R978">
        <v>5</v>
      </c>
      <c r="S978">
        <v>3</v>
      </c>
      <c r="T978">
        <v>5</v>
      </c>
      <c r="U978">
        <v>20</v>
      </c>
      <c r="V978" t="s">
        <v>4504</v>
      </c>
      <c r="W978" t="s">
        <v>45</v>
      </c>
      <c r="X978" s="1">
        <v>46215</v>
      </c>
      <c r="Y978" s="2" t="str">
        <f>IF(EmployeeData[[#This Row],[Age]]&lt;25,"Under 25",IF(EmployeeData[[#This Row],[Age]]&lt;=34,"25-34",IF(EmployeeData[[#This Row],[Age]]&lt;=44,"35-44",IF(EmployeeData[[#This Row],[Age]]&lt;=54,"45-54","55+"))))</f>
        <v>25-34</v>
      </c>
      <c r="Z978">
        <f ca="1">DATEDIF(EmployeeData[[#This Row],[DateOfJoining]],IF(AND(EmployeeData[[#This Row],[Attrition]]="Yes",EmployeeData[[#This Row],[LastWorkingDate]]&lt;&gt;""),EmployeeData[[#This Row],[LastWorkingDate]],TODAY()),"Y")</f>
        <v>0</v>
      </c>
      <c r="AA978" t="str">
        <f>IF(EmployeeData[[#This Row],[MonthlyIncome]]&lt;30000,"Low",IF(EmployeeData[[#This Row],[MonthlyIncome]]&lt;=60000,"Medium",IF(EmployeeData[[#This Row],[MonthlyIncome]]&lt;=100000,"High","Very High")))</f>
        <v>High</v>
      </c>
      <c r="AB978">
        <f>IF(EmployeeData[[#This Row],[Attrition]]="Yes",1,0)</f>
        <v>1</v>
      </c>
      <c r="AC978" t="str">
        <f ca="1">IF(EmployeeData[[#This Row],[Tenure Years]]&lt;1,"Less than 1 Year",IF(EmployeeData[[#This Row],[Tenure Years]]&lt;=3,"1-3 Years",IF(EmployeeData[[#This Row],[Tenure Years]]&lt;=5,"4-5 Years",IF(EmployeeData[[#This Row],[Tenure Years]]&lt;=10,"6-10 Years","More than 10 Years"))))</f>
        <v>Less than 1 Year</v>
      </c>
      <c r="AD978">
        <f>ROUND(AVERAGE(EmployeeData[[#This Row],[JobSatisfaction]],EmployeeData[[#This Row],[EnvironmentSatisfaction]],EmployeeData[[#This Row],[WorkLifeBalance]]),2)</f>
        <v>2</v>
      </c>
      <c r="AE978" t="str">
        <f>IF(EmployeeData[[#This Row],[Satisfaction Score]]&lt;2,"Low",IF(EmployeeData[[#This Row],[Satisfaction Score]]&lt;3,"Medium","High"))</f>
        <v>Medium</v>
      </c>
    </row>
    <row r="979" spans="1:31" x14ac:dyDescent="0.25">
      <c r="A979" t="s">
        <v>4506</v>
      </c>
      <c r="B979" t="s">
        <v>4507</v>
      </c>
      <c r="C979" t="s">
        <v>58</v>
      </c>
      <c r="D979">
        <v>46</v>
      </c>
      <c r="E979" t="s">
        <v>27</v>
      </c>
      <c r="F979" t="s">
        <v>188</v>
      </c>
      <c r="G979" s="1">
        <v>41937</v>
      </c>
      <c r="H979">
        <v>52630</v>
      </c>
      <c r="I979" t="s">
        <v>42</v>
      </c>
      <c r="J979" t="s">
        <v>143</v>
      </c>
      <c r="K979" t="s">
        <v>83</v>
      </c>
      <c r="L979" t="s">
        <v>43</v>
      </c>
      <c r="M979">
        <v>30</v>
      </c>
      <c r="N979" t="s">
        <v>34</v>
      </c>
      <c r="O979">
        <v>3</v>
      </c>
      <c r="P979">
        <v>3</v>
      </c>
      <c r="Q979">
        <v>2</v>
      </c>
      <c r="R979">
        <v>4</v>
      </c>
      <c r="S979">
        <v>0</v>
      </c>
      <c r="T979">
        <v>1</v>
      </c>
      <c r="U979">
        <v>13</v>
      </c>
      <c r="V979" t="s">
        <v>4510</v>
      </c>
      <c r="W979" t="s">
        <v>34</v>
      </c>
      <c r="Y979" s="2" t="str">
        <f>IF(EmployeeData[[#This Row],[Age]]&lt;25,"Under 25",IF(EmployeeData[[#This Row],[Age]]&lt;=34,"25-34",IF(EmployeeData[[#This Row],[Age]]&lt;=44,"35-44",IF(EmployeeData[[#This Row],[Age]]&lt;=54,"45-54","55+"))))</f>
        <v>45-54</v>
      </c>
      <c r="Z979">
        <f ca="1">DATEDIF(EmployeeData[[#This Row],[DateOfJoining]],IF(AND(EmployeeData[[#This Row],[Attrition]]="Yes",EmployeeData[[#This Row],[LastWorkingDate]]&lt;&gt;""),EmployeeData[[#This Row],[LastWorkingDate]],TODAY()),"Y")</f>
        <v>11</v>
      </c>
      <c r="AA979" t="str">
        <f>IF(EmployeeData[[#This Row],[MonthlyIncome]]&lt;30000,"Low",IF(EmployeeData[[#This Row],[MonthlyIncome]]&lt;=60000,"Medium",IF(EmployeeData[[#This Row],[MonthlyIncome]]&lt;=100000,"High","Very High")))</f>
        <v>Medium</v>
      </c>
      <c r="AB979">
        <f>IF(EmployeeData[[#This Row],[Attrition]]="Yes",1,0)</f>
        <v>0</v>
      </c>
      <c r="AC979" t="str">
        <f ca="1">IF(EmployeeData[[#This Row],[Tenure Years]]&lt;1,"Less than 1 Year",IF(EmployeeData[[#This Row],[Tenure Years]]&lt;=3,"1-3 Years",IF(EmployeeData[[#This Row],[Tenure Years]]&lt;=5,"4-5 Years",IF(EmployeeData[[#This Row],[Tenure Years]]&lt;=10,"6-10 Years","More than 10 Years"))))</f>
        <v>More than 10 Years</v>
      </c>
      <c r="AD979">
        <f>ROUND(AVERAGE(EmployeeData[[#This Row],[JobSatisfaction]],EmployeeData[[#This Row],[EnvironmentSatisfaction]],EmployeeData[[#This Row],[WorkLifeBalance]]),2)</f>
        <v>2.67</v>
      </c>
      <c r="AE979" t="str">
        <f>IF(EmployeeData[[#This Row],[Satisfaction Score]]&lt;2,"Low",IF(EmployeeData[[#This Row],[Satisfaction Score]]&lt;3,"Medium","High"))</f>
        <v>Medium</v>
      </c>
    </row>
    <row r="980" spans="1:31" x14ac:dyDescent="0.25">
      <c r="A980" t="s">
        <v>4511</v>
      </c>
      <c r="B980" t="s">
        <v>4512</v>
      </c>
      <c r="C980" t="s">
        <v>49</v>
      </c>
      <c r="D980">
        <v>54</v>
      </c>
      <c r="E980" t="s">
        <v>5461</v>
      </c>
      <c r="F980" t="s">
        <v>5463</v>
      </c>
      <c r="G980" s="1">
        <v>45043</v>
      </c>
      <c r="H980">
        <v>106137</v>
      </c>
      <c r="I980" t="s">
        <v>52</v>
      </c>
      <c r="J980" t="s">
        <v>143</v>
      </c>
      <c r="K980" t="s">
        <v>167</v>
      </c>
      <c r="L980" t="s">
        <v>62</v>
      </c>
      <c r="M980">
        <v>24</v>
      </c>
      <c r="N980" t="s">
        <v>34</v>
      </c>
      <c r="O980">
        <v>4</v>
      </c>
      <c r="P980">
        <v>3</v>
      </c>
      <c r="Q980">
        <v>3</v>
      </c>
      <c r="R980">
        <v>2</v>
      </c>
      <c r="S980">
        <v>6</v>
      </c>
      <c r="T980">
        <v>7</v>
      </c>
      <c r="U980">
        <v>24</v>
      </c>
      <c r="V980" t="s">
        <v>4515</v>
      </c>
      <c r="W980" t="s">
        <v>34</v>
      </c>
      <c r="Y980" s="2" t="str">
        <f>IF(EmployeeData[[#This Row],[Age]]&lt;25,"Under 25",IF(EmployeeData[[#This Row],[Age]]&lt;=34,"25-34",IF(EmployeeData[[#This Row],[Age]]&lt;=44,"35-44",IF(EmployeeData[[#This Row],[Age]]&lt;=54,"45-54","55+"))))</f>
        <v>45-54</v>
      </c>
      <c r="Z980">
        <f ca="1">DATEDIF(EmployeeData[[#This Row],[DateOfJoining]],IF(AND(EmployeeData[[#This Row],[Attrition]]="Yes",EmployeeData[[#This Row],[LastWorkingDate]]&lt;&gt;""),EmployeeData[[#This Row],[LastWorkingDate]],TODAY()),"Y")</f>
        <v>3</v>
      </c>
      <c r="AA980" t="str">
        <f>IF(EmployeeData[[#This Row],[MonthlyIncome]]&lt;30000,"Low",IF(EmployeeData[[#This Row],[MonthlyIncome]]&lt;=60000,"Medium",IF(EmployeeData[[#This Row],[MonthlyIncome]]&lt;=100000,"High","Very High")))</f>
        <v>Very High</v>
      </c>
      <c r="AB980">
        <f>IF(EmployeeData[[#This Row],[Attrition]]="Yes",1,0)</f>
        <v>0</v>
      </c>
      <c r="AC980" t="str">
        <f ca="1">IF(EmployeeData[[#This Row],[Tenure Years]]&lt;1,"Less than 1 Year",IF(EmployeeData[[#This Row],[Tenure Years]]&lt;=3,"1-3 Years",IF(EmployeeData[[#This Row],[Tenure Years]]&lt;=5,"4-5 Years",IF(EmployeeData[[#This Row],[Tenure Years]]&lt;=10,"6-10 Years","More than 10 Years"))))</f>
        <v>1-3 Years</v>
      </c>
      <c r="AD980">
        <f>ROUND(AVERAGE(EmployeeData[[#This Row],[JobSatisfaction]],EmployeeData[[#This Row],[EnvironmentSatisfaction]],EmployeeData[[#This Row],[WorkLifeBalance]]),2)</f>
        <v>3.33</v>
      </c>
      <c r="AE980" t="str">
        <f>IF(EmployeeData[[#This Row],[Satisfaction Score]]&lt;2,"Low",IF(EmployeeData[[#This Row],[Satisfaction Score]]&lt;3,"Medium","High"))</f>
        <v>High</v>
      </c>
    </row>
    <row r="981" spans="1:31" x14ac:dyDescent="0.25">
      <c r="A981" t="s">
        <v>4516</v>
      </c>
      <c r="B981" t="s">
        <v>4517</v>
      </c>
      <c r="C981" t="s">
        <v>58</v>
      </c>
      <c r="D981">
        <v>39</v>
      </c>
      <c r="E981" t="s">
        <v>5461</v>
      </c>
      <c r="F981" t="s">
        <v>89</v>
      </c>
      <c r="G981" s="1">
        <v>43764</v>
      </c>
      <c r="H981">
        <v>88824</v>
      </c>
      <c r="I981" t="s">
        <v>52</v>
      </c>
      <c r="J981" t="s">
        <v>31</v>
      </c>
      <c r="K981" t="s">
        <v>131</v>
      </c>
      <c r="L981" t="s">
        <v>33</v>
      </c>
      <c r="M981">
        <v>22</v>
      </c>
      <c r="N981" t="s">
        <v>34</v>
      </c>
      <c r="O981">
        <v>2</v>
      </c>
      <c r="P981">
        <v>2</v>
      </c>
      <c r="Q981">
        <v>3</v>
      </c>
      <c r="R981">
        <v>3</v>
      </c>
      <c r="S981">
        <v>6</v>
      </c>
      <c r="T981">
        <v>1</v>
      </c>
      <c r="U981">
        <v>16</v>
      </c>
      <c r="V981" t="s">
        <v>5459</v>
      </c>
      <c r="W981" t="s">
        <v>34</v>
      </c>
      <c r="Y981" s="2" t="str">
        <f>IF(EmployeeData[[#This Row],[Age]]&lt;25,"Under 25",IF(EmployeeData[[#This Row],[Age]]&lt;=34,"25-34",IF(EmployeeData[[#This Row],[Age]]&lt;=44,"35-44",IF(EmployeeData[[#This Row],[Age]]&lt;=54,"45-54","55+"))))</f>
        <v>35-44</v>
      </c>
      <c r="Z981">
        <f ca="1">DATEDIF(EmployeeData[[#This Row],[DateOfJoining]],IF(AND(EmployeeData[[#This Row],[Attrition]]="Yes",EmployeeData[[#This Row],[LastWorkingDate]]&lt;&gt;""),EmployeeData[[#This Row],[LastWorkingDate]],TODAY()),"Y")</f>
        <v>6</v>
      </c>
      <c r="AA981" t="str">
        <f>IF(EmployeeData[[#This Row],[MonthlyIncome]]&lt;30000,"Low",IF(EmployeeData[[#This Row],[MonthlyIncome]]&lt;=60000,"Medium",IF(EmployeeData[[#This Row],[MonthlyIncome]]&lt;=100000,"High","Very High")))</f>
        <v>High</v>
      </c>
      <c r="AB981">
        <f>IF(EmployeeData[[#This Row],[Attrition]]="Yes",1,0)</f>
        <v>0</v>
      </c>
      <c r="AC981" t="str">
        <f ca="1">IF(EmployeeData[[#This Row],[Tenure Years]]&lt;1,"Less than 1 Year",IF(EmployeeData[[#This Row],[Tenure Years]]&lt;=3,"1-3 Years",IF(EmployeeData[[#This Row],[Tenure Years]]&lt;=5,"4-5 Years",IF(EmployeeData[[#This Row],[Tenure Years]]&lt;=10,"6-10 Years","More than 10 Years"))))</f>
        <v>6-10 Years</v>
      </c>
      <c r="AD981">
        <f>ROUND(AVERAGE(EmployeeData[[#This Row],[JobSatisfaction]],EmployeeData[[#This Row],[EnvironmentSatisfaction]],EmployeeData[[#This Row],[WorkLifeBalance]]),2)</f>
        <v>2.33</v>
      </c>
      <c r="AE981" t="str">
        <f>IF(EmployeeData[[#This Row],[Satisfaction Score]]&lt;2,"Low",IF(EmployeeData[[#This Row],[Satisfaction Score]]&lt;3,"Medium","High"))</f>
        <v>Medium</v>
      </c>
    </row>
    <row r="982" spans="1:31" x14ac:dyDescent="0.25">
      <c r="A982" t="s">
        <v>4519</v>
      </c>
      <c r="B982" t="s">
        <v>4520</v>
      </c>
      <c r="C982" t="s">
        <v>58</v>
      </c>
      <c r="D982">
        <v>37</v>
      </c>
      <c r="E982" t="s">
        <v>38</v>
      </c>
      <c r="F982" t="s">
        <v>5460</v>
      </c>
      <c r="G982" s="1">
        <v>42095</v>
      </c>
      <c r="H982">
        <v>48378</v>
      </c>
      <c r="I982" t="s">
        <v>52</v>
      </c>
      <c r="J982" t="s">
        <v>97</v>
      </c>
      <c r="K982" t="s">
        <v>200</v>
      </c>
      <c r="L982" t="s">
        <v>33</v>
      </c>
      <c r="M982">
        <v>27</v>
      </c>
      <c r="N982" t="s">
        <v>34</v>
      </c>
      <c r="O982">
        <v>3</v>
      </c>
      <c r="P982">
        <v>2</v>
      </c>
      <c r="Q982">
        <v>4</v>
      </c>
      <c r="R982">
        <v>4</v>
      </c>
      <c r="S982">
        <v>0</v>
      </c>
      <c r="T982">
        <v>6</v>
      </c>
      <c r="U982">
        <v>23</v>
      </c>
      <c r="V982" t="s">
        <v>4522</v>
      </c>
      <c r="W982" t="s">
        <v>34</v>
      </c>
      <c r="Y982" s="2" t="str">
        <f>IF(EmployeeData[[#This Row],[Age]]&lt;25,"Under 25",IF(EmployeeData[[#This Row],[Age]]&lt;=34,"25-34",IF(EmployeeData[[#This Row],[Age]]&lt;=44,"35-44",IF(EmployeeData[[#This Row],[Age]]&lt;=54,"45-54","55+"))))</f>
        <v>35-44</v>
      </c>
      <c r="Z982">
        <f ca="1">DATEDIF(EmployeeData[[#This Row],[DateOfJoining]],IF(AND(EmployeeData[[#This Row],[Attrition]]="Yes",EmployeeData[[#This Row],[LastWorkingDate]]&lt;&gt;""),EmployeeData[[#This Row],[LastWorkingDate]],TODAY()),"Y")</f>
        <v>11</v>
      </c>
      <c r="AA982" t="str">
        <f>IF(EmployeeData[[#This Row],[MonthlyIncome]]&lt;30000,"Low",IF(EmployeeData[[#This Row],[MonthlyIncome]]&lt;=60000,"Medium",IF(EmployeeData[[#This Row],[MonthlyIncome]]&lt;=100000,"High","Very High")))</f>
        <v>Medium</v>
      </c>
      <c r="AB982">
        <f>IF(EmployeeData[[#This Row],[Attrition]]="Yes",1,0)</f>
        <v>0</v>
      </c>
      <c r="AC982" t="str">
        <f ca="1">IF(EmployeeData[[#This Row],[Tenure Years]]&lt;1,"Less than 1 Year",IF(EmployeeData[[#This Row],[Tenure Years]]&lt;=3,"1-3 Years",IF(EmployeeData[[#This Row],[Tenure Years]]&lt;=5,"4-5 Years",IF(EmployeeData[[#This Row],[Tenure Years]]&lt;=10,"6-10 Years","More than 10 Years"))))</f>
        <v>More than 10 Years</v>
      </c>
      <c r="AD982">
        <f>ROUND(AVERAGE(EmployeeData[[#This Row],[JobSatisfaction]],EmployeeData[[#This Row],[EnvironmentSatisfaction]],EmployeeData[[#This Row],[WorkLifeBalance]]),2)</f>
        <v>3</v>
      </c>
      <c r="AE982" t="str">
        <f>IF(EmployeeData[[#This Row],[Satisfaction Score]]&lt;2,"Low",IF(EmployeeData[[#This Row],[Satisfaction Score]]&lt;3,"Medium","High"))</f>
        <v>High</v>
      </c>
    </row>
    <row r="983" spans="1:31" x14ac:dyDescent="0.25">
      <c r="A983" t="s">
        <v>4523</v>
      </c>
      <c r="B983" t="s">
        <v>4524</v>
      </c>
      <c r="C983" t="s">
        <v>49</v>
      </c>
      <c r="D983">
        <v>30</v>
      </c>
      <c r="E983" t="s">
        <v>94</v>
      </c>
      <c r="F983" t="s">
        <v>356</v>
      </c>
      <c r="G983" s="1">
        <v>41035</v>
      </c>
      <c r="H983">
        <v>93236</v>
      </c>
      <c r="I983" t="s">
        <v>42</v>
      </c>
      <c r="J983" t="s">
        <v>31</v>
      </c>
      <c r="K983" t="s">
        <v>83</v>
      </c>
      <c r="L983" t="s">
        <v>43</v>
      </c>
      <c r="M983">
        <v>13</v>
      </c>
      <c r="N983" t="s">
        <v>45</v>
      </c>
      <c r="O983">
        <v>3</v>
      </c>
      <c r="P983">
        <v>1</v>
      </c>
      <c r="Q983">
        <v>3</v>
      </c>
      <c r="R983">
        <v>4</v>
      </c>
      <c r="S983">
        <v>1</v>
      </c>
      <c r="T983">
        <v>4</v>
      </c>
      <c r="U983">
        <v>18</v>
      </c>
      <c r="V983" t="s">
        <v>4526</v>
      </c>
      <c r="W983" t="s">
        <v>34</v>
      </c>
      <c r="Y983" s="2" t="str">
        <f>IF(EmployeeData[[#This Row],[Age]]&lt;25,"Under 25",IF(EmployeeData[[#This Row],[Age]]&lt;=34,"25-34",IF(EmployeeData[[#This Row],[Age]]&lt;=44,"35-44",IF(EmployeeData[[#This Row],[Age]]&lt;=54,"45-54","55+"))))</f>
        <v>25-34</v>
      </c>
      <c r="Z983">
        <f ca="1">DATEDIF(EmployeeData[[#This Row],[DateOfJoining]],IF(AND(EmployeeData[[#This Row],[Attrition]]="Yes",EmployeeData[[#This Row],[LastWorkingDate]]&lt;&gt;""),EmployeeData[[#This Row],[LastWorkingDate]],TODAY()),"Y")</f>
        <v>14</v>
      </c>
      <c r="AA983" t="str">
        <f>IF(EmployeeData[[#This Row],[MonthlyIncome]]&lt;30000,"Low",IF(EmployeeData[[#This Row],[MonthlyIncome]]&lt;=60000,"Medium",IF(EmployeeData[[#This Row],[MonthlyIncome]]&lt;=100000,"High","Very High")))</f>
        <v>High</v>
      </c>
      <c r="AB983">
        <f>IF(EmployeeData[[#This Row],[Attrition]]="Yes",1,0)</f>
        <v>0</v>
      </c>
      <c r="AC983" t="str">
        <f ca="1">IF(EmployeeData[[#This Row],[Tenure Years]]&lt;1,"Less than 1 Year",IF(EmployeeData[[#This Row],[Tenure Years]]&lt;=3,"1-3 Years",IF(EmployeeData[[#This Row],[Tenure Years]]&lt;=5,"4-5 Years",IF(EmployeeData[[#This Row],[Tenure Years]]&lt;=10,"6-10 Years","More than 10 Years"))))</f>
        <v>More than 10 Years</v>
      </c>
      <c r="AD983">
        <f>ROUND(AVERAGE(EmployeeData[[#This Row],[JobSatisfaction]],EmployeeData[[#This Row],[EnvironmentSatisfaction]],EmployeeData[[#This Row],[WorkLifeBalance]]),2)</f>
        <v>2.33</v>
      </c>
      <c r="AE983" t="str">
        <f>IF(EmployeeData[[#This Row],[Satisfaction Score]]&lt;2,"Low",IF(EmployeeData[[#This Row],[Satisfaction Score]]&lt;3,"Medium","High"))</f>
        <v>Medium</v>
      </c>
    </row>
    <row r="984" spans="1:31" x14ac:dyDescent="0.25">
      <c r="A984" t="s">
        <v>4527</v>
      </c>
      <c r="B984" t="s">
        <v>4528</v>
      </c>
      <c r="C984" t="s">
        <v>49</v>
      </c>
      <c r="D984">
        <v>31</v>
      </c>
      <c r="E984" t="s">
        <v>128</v>
      </c>
      <c r="F984" t="s">
        <v>271</v>
      </c>
      <c r="G984" s="1">
        <v>44961</v>
      </c>
      <c r="H984">
        <v>71864</v>
      </c>
      <c r="I984" t="s">
        <v>42</v>
      </c>
      <c r="J984" t="s">
        <v>31</v>
      </c>
      <c r="K984" t="s">
        <v>32</v>
      </c>
      <c r="L984" t="s">
        <v>62</v>
      </c>
      <c r="M984">
        <v>34</v>
      </c>
      <c r="N984" t="s">
        <v>34</v>
      </c>
      <c r="O984">
        <v>3</v>
      </c>
      <c r="P984">
        <v>3</v>
      </c>
      <c r="Q984">
        <v>3</v>
      </c>
      <c r="R984">
        <v>4</v>
      </c>
      <c r="S984">
        <v>3</v>
      </c>
      <c r="T984">
        <v>8</v>
      </c>
      <c r="U984">
        <v>13</v>
      </c>
      <c r="V984" t="s">
        <v>4530</v>
      </c>
      <c r="W984" t="s">
        <v>34</v>
      </c>
      <c r="Y984" s="2" t="str">
        <f>IF(EmployeeData[[#This Row],[Age]]&lt;25,"Under 25",IF(EmployeeData[[#This Row],[Age]]&lt;=34,"25-34",IF(EmployeeData[[#This Row],[Age]]&lt;=44,"35-44",IF(EmployeeData[[#This Row],[Age]]&lt;=54,"45-54","55+"))))</f>
        <v>25-34</v>
      </c>
      <c r="Z984">
        <f ca="1">DATEDIF(EmployeeData[[#This Row],[DateOfJoining]],IF(AND(EmployeeData[[#This Row],[Attrition]]="Yes",EmployeeData[[#This Row],[LastWorkingDate]]&lt;&gt;""),EmployeeData[[#This Row],[LastWorkingDate]],TODAY()),"Y")</f>
        <v>3</v>
      </c>
      <c r="AA984" t="str">
        <f>IF(EmployeeData[[#This Row],[MonthlyIncome]]&lt;30000,"Low",IF(EmployeeData[[#This Row],[MonthlyIncome]]&lt;=60000,"Medium",IF(EmployeeData[[#This Row],[MonthlyIncome]]&lt;=100000,"High","Very High")))</f>
        <v>High</v>
      </c>
      <c r="AB984">
        <f>IF(EmployeeData[[#This Row],[Attrition]]="Yes",1,0)</f>
        <v>0</v>
      </c>
      <c r="AC984" t="str">
        <f ca="1">IF(EmployeeData[[#This Row],[Tenure Years]]&lt;1,"Less than 1 Year",IF(EmployeeData[[#This Row],[Tenure Years]]&lt;=3,"1-3 Years",IF(EmployeeData[[#This Row],[Tenure Years]]&lt;=5,"4-5 Years",IF(EmployeeData[[#This Row],[Tenure Years]]&lt;=10,"6-10 Years","More than 10 Years"))))</f>
        <v>1-3 Years</v>
      </c>
      <c r="AD984">
        <f>ROUND(AVERAGE(EmployeeData[[#This Row],[JobSatisfaction]],EmployeeData[[#This Row],[EnvironmentSatisfaction]],EmployeeData[[#This Row],[WorkLifeBalance]]),2)</f>
        <v>3</v>
      </c>
      <c r="AE984" t="str">
        <f>IF(EmployeeData[[#This Row],[Satisfaction Score]]&lt;2,"Low",IF(EmployeeData[[#This Row],[Satisfaction Score]]&lt;3,"Medium","High"))</f>
        <v>High</v>
      </c>
    </row>
    <row r="985" spans="1:31" x14ac:dyDescent="0.25">
      <c r="A985" t="s">
        <v>4531</v>
      </c>
      <c r="B985" t="s">
        <v>4532</v>
      </c>
      <c r="C985" t="s">
        <v>49</v>
      </c>
      <c r="D985">
        <v>41</v>
      </c>
      <c r="E985" t="s">
        <v>94</v>
      </c>
      <c r="F985" t="s">
        <v>266</v>
      </c>
      <c r="G985" s="1">
        <v>45271</v>
      </c>
      <c r="H985">
        <v>83472</v>
      </c>
      <c r="I985" t="s">
        <v>30</v>
      </c>
      <c r="J985" t="s">
        <v>143</v>
      </c>
      <c r="K985" t="s">
        <v>106</v>
      </c>
      <c r="L985" t="s">
        <v>33</v>
      </c>
      <c r="M985">
        <v>4</v>
      </c>
      <c r="N985" t="s">
        <v>34</v>
      </c>
      <c r="O985">
        <v>2</v>
      </c>
      <c r="P985">
        <v>3</v>
      </c>
      <c r="Q985">
        <v>4</v>
      </c>
      <c r="R985">
        <v>3</v>
      </c>
      <c r="S985">
        <v>0</v>
      </c>
      <c r="T985">
        <v>7</v>
      </c>
      <c r="U985">
        <v>18</v>
      </c>
      <c r="V985" t="s">
        <v>4535</v>
      </c>
      <c r="W985" t="s">
        <v>34</v>
      </c>
      <c r="Y985" s="2" t="str">
        <f>IF(EmployeeData[[#This Row],[Age]]&lt;25,"Under 25",IF(EmployeeData[[#This Row],[Age]]&lt;=34,"25-34",IF(EmployeeData[[#This Row],[Age]]&lt;=44,"35-44",IF(EmployeeData[[#This Row],[Age]]&lt;=54,"45-54","55+"))))</f>
        <v>35-44</v>
      </c>
      <c r="Z985">
        <f ca="1">DATEDIF(EmployeeData[[#This Row],[DateOfJoining]],IF(AND(EmployeeData[[#This Row],[Attrition]]="Yes",EmployeeData[[#This Row],[LastWorkingDate]]&lt;&gt;""),EmployeeData[[#This Row],[LastWorkingDate]],TODAY()),"Y")</f>
        <v>2</v>
      </c>
      <c r="AA985" t="str">
        <f>IF(EmployeeData[[#This Row],[MonthlyIncome]]&lt;30000,"Low",IF(EmployeeData[[#This Row],[MonthlyIncome]]&lt;=60000,"Medium",IF(EmployeeData[[#This Row],[MonthlyIncome]]&lt;=100000,"High","Very High")))</f>
        <v>High</v>
      </c>
      <c r="AB985">
        <f>IF(EmployeeData[[#This Row],[Attrition]]="Yes",1,0)</f>
        <v>0</v>
      </c>
      <c r="AC985" t="str">
        <f ca="1">IF(EmployeeData[[#This Row],[Tenure Years]]&lt;1,"Less than 1 Year",IF(EmployeeData[[#This Row],[Tenure Years]]&lt;=3,"1-3 Years",IF(EmployeeData[[#This Row],[Tenure Years]]&lt;=5,"4-5 Years",IF(EmployeeData[[#This Row],[Tenure Years]]&lt;=10,"6-10 Years","More than 10 Years"))))</f>
        <v>1-3 Years</v>
      </c>
      <c r="AD985">
        <f>ROUND(AVERAGE(EmployeeData[[#This Row],[JobSatisfaction]],EmployeeData[[#This Row],[EnvironmentSatisfaction]],EmployeeData[[#This Row],[WorkLifeBalance]]),2)</f>
        <v>3</v>
      </c>
      <c r="AE985" t="str">
        <f>IF(EmployeeData[[#This Row],[Satisfaction Score]]&lt;2,"Low",IF(EmployeeData[[#This Row],[Satisfaction Score]]&lt;3,"Medium","High"))</f>
        <v>High</v>
      </c>
    </row>
    <row r="986" spans="1:31" x14ac:dyDescent="0.25">
      <c r="A986" t="s">
        <v>4536</v>
      </c>
      <c r="B986" t="s">
        <v>4537</v>
      </c>
      <c r="C986" t="s">
        <v>49</v>
      </c>
      <c r="D986">
        <v>34</v>
      </c>
      <c r="E986" t="s">
        <v>38</v>
      </c>
      <c r="F986" t="s">
        <v>5460</v>
      </c>
      <c r="G986" s="1">
        <v>42558</v>
      </c>
      <c r="H986">
        <v>39489</v>
      </c>
      <c r="I986" t="s">
        <v>30</v>
      </c>
      <c r="J986" t="s">
        <v>97</v>
      </c>
      <c r="K986" t="s">
        <v>77</v>
      </c>
      <c r="L986" t="s">
        <v>62</v>
      </c>
      <c r="M986">
        <v>8</v>
      </c>
      <c r="N986" t="s">
        <v>34</v>
      </c>
      <c r="O986">
        <v>2</v>
      </c>
      <c r="P986">
        <v>3</v>
      </c>
      <c r="Q986">
        <v>3</v>
      </c>
      <c r="R986">
        <v>1</v>
      </c>
      <c r="S986">
        <v>0</v>
      </c>
      <c r="T986">
        <v>2</v>
      </c>
      <c r="U986">
        <v>17</v>
      </c>
      <c r="V986" t="s">
        <v>4539</v>
      </c>
      <c r="W986" t="s">
        <v>34</v>
      </c>
      <c r="Y986" s="2" t="str">
        <f>IF(EmployeeData[[#This Row],[Age]]&lt;25,"Under 25",IF(EmployeeData[[#This Row],[Age]]&lt;=34,"25-34",IF(EmployeeData[[#This Row],[Age]]&lt;=44,"35-44",IF(EmployeeData[[#This Row],[Age]]&lt;=54,"45-54","55+"))))</f>
        <v>25-34</v>
      </c>
      <c r="Z986">
        <f ca="1">DATEDIF(EmployeeData[[#This Row],[DateOfJoining]],IF(AND(EmployeeData[[#This Row],[Attrition]]="Yes",EmployeeData[[#This Row],[LastWorkingDate]]&lt;&gt;""),EmployeeData[[#This Row],[LastWorkingDate]],TODAY()),"Y")</f>
        <v>10</v>
      </c>
      <c r="AA986" t="str">
        <f>IF(EmployeeData[[#This Row],[MonthlyIncome]]&lt;30000,"Low",IF(EmployeeData[[#This Row],[MonthlyIncome]]&lt;=60000,"Medium",IF(EmployeeData[[#This Row],[MonthlyIncome]]&lt;=100000,"High","Very High")))</f>
        <v>Medium</v>
      </c>
      <c r="AB986">
        <f>IF(EmployeeData[[#This Row],[Attrition]]="Yes",1,0)</f>
        <v>0</v>
      </c>
      <c r="AC986" t="str">
        <f ca="1">IF(EmployeeData[[#This Row],[Tenure Years]]&lt;1,"Less than 1 Year",IF(EmployeeData[[#This Row],[Tenure Years]]&lt;=3,"1-3 Years",IF(EmployeeData[[#This Row],[Tenure Years]]&lt;=5,"4-5 Years",IF(EmployeeData[[#This Row],[Tenure Years]]&lt;=10,"6-10 Years","More than 10 Years"))))</f>
        <v>6-10 Years</v>
      </c>
      <c r="AD986">
        <f>ROUND(AVERAGE(EmployeeData[[#This Row],[JobSatisfaction]],EmployeeData[[#This Row],[EnvironmentSatisfaction]],EmployeeData[[#This Row],[WorkLifeBalance]]),2)</f>
        <v>2.67</v>
      </c>
      <c r="AE986" t="str">
        <f>IF(EmployeeData[[#This Row],[Satisfaction Score]]&lt;2,"Low",IF(EmployeeData[[#This Row],[Satisfaction Score]]&lt;3,"Medium","High"))</f>
        <v>Medium</v>
      </c>
    </row>
    <row r="987" spans="1:31" x14ac:dyDescent="0.25">
      <c r="A987" t="s">
        <v>4540</v>
      </c>
      <c r="B987" t="s">
        <v>4541</v>
      </c>
      <c r="C987" t="s">
        <v>49</v>
      </c>
      <c r="D987">
        <v>37</v>
      </c>
      <c r="E987" t="s">
        <v>94</v>
      </c>
      <c r="F987" t="s">
        <v>266</v>
      </c>
      <c r="G987" s="1">
        <v>44930</v>
      </c>
      <c r="H987">
        <v>51633</v>
      </c>
      <c r="I987" t="s">
        <v>30</v>
      </c>
      <c r="J987" t="s">
        <v>5459</v>
      </c>
      <c r="K987" t="s">
        <v>98</v>
      </c>
      <c r="L987" t="s">
        <v>62</v>
      </c>
      <c r="M987">
        <v>38</v>
      </c>
      <c r="N987" t="s">
        <v>34</v>
      </c>
      <c r="O987">
        <v>4</v>
      </c>
      <c r="P987">
        <v>4</v>
      </c>
      <c r="Q987">
        <v>3</v>
      </c>
      <c r="R987">
        <v>3</v>
      </c>
      <c r="S987">
        <v>4</v>
      </c>
      <c r="T987">
        <v>1</v>
      </c>
      <c r="U987">
        <v>23</v>
      </c>
      <c r="V987" t="s">
        <v>4543</v>
      </c>
      <c r="W987" t="s">
        <v>34</v>
      </c>
      <c r="Y987" s="2" t="str">
        <f>IF(EmployeeData[[#This Row],[Age]]&lt;25,"Under 25",IF(EmployeeData[[#This Row],[Age]]&lt;=34,"25-34",IF(EmployeeData[[#This Row],[Age]]&lt;=44,"35-44",IF(EmployeeData[[#This Row],[Age]]&lt;=54,"45-54","55+"))))</f>
        <v>35-44</v>
      </c>
      <c r="Z987">
        <f ca="1">DATEDIF(EmployeeData[[#This Row],[DateOfJoining]],IF(AND(EmployeeData[[#This Row],[Attrition]]="Yes",EmployeeData[[#This Row],[LastWorkingDate]]&lt;&gt;""),EmployeeData[[#This Row],[LastWorkingDate]],TODAY()),"Y")</f>
        <v>3</v>
      </c>
      <c r="AA987" t="str">
        <f>IF(EmployeeData[[#This Row],[MonthlyIncome]]&lt;30000,"Low",IF(EmployeeData[[#This Row],[MonthlyIncome]]&lt;=60000,"Medium",IF(EmployeeData[[#This Row],[MonthlyIncome]]&lt;=100000,"High","Very High")))</f>
        <v>Medium</v>
      </c>
      <c r="AB987">
        <f>IF(EmployeeData[[#This Row],[Attrition]]="Yes",1,0)</f>
        <v>0</v>
      </c>
      <c r="AC987" t="str">
        <f ca="1">IF(EmployeeData[[#This Row],[Tenure Years]]&lt;1,"Less than 1 Year",IF(EmployeeData[[#This Row],[Tenure Years]]&lt;=3,"1-3 Years",IF(EmployeeData[[#This Row],[Tenure Years]]&lt;=5,"4-5 Years",IF(EmployeeData[[#This Row],[Tenure Years]]&lt;=10,"6-10 Years","More than 10 Years"))))</f>
        <v>1-3 Years</v>
      </c>
      <c r="AD987">
        <f>ROUND(AVERAGE(EmployeeData[[#This Row],[JobSatisfaction]],EmployeeData[[#This Row],[EnvironmentSatisfaction]],EmployeeData[[#This Row],[WorkLifeBalance]]),2)</f>
        <v>3.67</v>
      </c>
      <c r="AE987" t="str">
        <f>IF(EmployeeData[[#This Row],[Satisfaction Score]]&lt;2,"Low",IF(EmployeeData[[#This Row],[Satisfaction Score]]&lt;3,"Medium","High"))</f>
        <v>High</v>
      </c>
    </row>
    <row r="988" spans="1:31" x14ac:dyDescent="0.25">
      <c r="A988" t="s">
        <v>4544</v>
      </c>
      <c r="B988" t="s">
        <v>4545</v>
      </c>
      <c r="C988" t="s">
        <v>58</v>
      </c>
      <c r="D988">
        <v>38</v>
      </c>
      <c r="E988" t="s">
        <v>94</v>
      </c>
      <c r="F988" t="s">
        <v>306</v>
      </c>
      <c r="G988" s="1">
        <v>41892</v>
      </c>
      <c r="H988">
        <v>107420</v>
      </c>
      <c r="I988" t="s">
        <v>52</v>
      </c>
      <c r="J988" t="s">
        <v>61</v>
      </c>
      <c r="K988" t="s">
        <v>98</v>
      </c>
      <c r="L988" t="s">
        <v>43</v>
      </c>
      <c r="M988">
        <v>38</v>
      </c>
      <c r="N988" t="s">
        <v>34</v>
      </c>
      <c r="O988">
        <v>4</v>
      </c>
      <c r="P988">
        <v>4</v>
      </c>
      <c r="Q988">
        <v>3</v>
      </c>
      <c r="R988">
        <v>3</v>
      </c>
      <c r="S988">
        <v>2</v>
      </c>
      <c r="T988">
        <v>4</v>
      </c>
      <c r="U988">
        <v>23</v>
      </c>
      <c r="V988" t="s">
        <v>4547</v>
      </c>
      <c r="W988" t="s">
        <v>34</v>
      </c>
      <c r="Y988" s="2" t="str">
        <f>IF(EmployeeData[[#This Row],[Age]]&lt;25,"Under 25",IF(EmployeeData[[#This Row],[Age]]&lt;=34,"25-34",IF(EmployeeData[[#This Row],[Age]]&lt;=44,"35-44",IF(EmployeeData[[#This Row],[Age]]&lt;=54,"45-54","55+"))))</f>
        <v>35-44</v>
      </c>
      <c r="Z988">
        <f ca="1">DATEDIF(EmployeeData[[#This Row],[DateOfJoining]],IF(AND(EmployeeData[[#This Row],[Attrition]]="Yes",EmployeeData[[#This Row],[LastWorkingDate]]&lt;&gt;""),EmployeeData[[#This Row],[LastWorkingDate]],TODAY()),"Y")</f>
        <v>11</v>
      </c>
      <c r="AA988" t="str">
        <f>IF(EmployeeData[[#This Row],[MonthlyIncome]]&lt;30000,"Low",IF(EmployeeData[[#This Row],[MonthlyIncome]]&lt;=60000,"Medium",IF(EmployeeData[[#This Row],[MonthlyIncome]]&lt;=100000,"High","Very High")))</f>
        <v>Very High</v>
      </c>
      <c r="AB988">
        <f>IF(EmployeeData[[#This Row],[Attrition]]="Yes",1,0)</f>
        <v>0</v>
      </c>
      <c r="AC988" t="str">
        <f ca="1">IF(EmployeeData[[#This Row],[Tenure Years]]&lt;1,"Less than 1 Year",IF(EmployeeData[[#This Row],[Tenure Years]]&lt;=3,"1-3 Years",IF(EmployeeData[[#This Row],[Tenure Years]]&lt;=5,"4-5 Years",IF(EmployeeData[[#This Row],[Tenure Years]]&lt;=10,"6-10 Years","More than 10 Years"))))</f>
        <v>More than 10 Years</v>
      </c>
      <c r="AD988">
        <f>ROUND(AVERAGE(EmployeeData[[#This Row],[JobSatisfaction]],EmployeeData[[#This Row],[EnvironmentSatisfaction]],EmployeeData[[#This Row],[WorkLifeBalance]]),2)</f>
        <v>3.67</v>
      </c>
      <c r="AE988" t="str">
        <f>IF(EmployeeData[[#This Row],[Satisfaction Score]]&lt;2,"Low",IF(EmployeeData[[#This Row],[Satisfaction Score]]&lt;3,"Medium","High"))</f>
        <v>High</v>
      </c>
    </row>
    <row r="989" spans="1:31" x14ac:dyDescent="0.25">
      <c r="A989" t="s">
        <v>4548</v>
      </c>
      <c r="B989" t="s">
        <v>4549</v>
      </c>
      <c r="C989" t="s">
        <v>58</v>
      </c>
      <c r="D989">
        <v>35</v>
      </c>
      <c r="E989" t="s">
        <v>197</v>
      </c>
      <c r="F989" t="s">
        <v>573</v>
      </c>
      <c r="G989" s="1">
        <v>46195</v>
      </c>
      <c r="H989">
        <v>61775</v>
      </c>
      <c r="I989" t="s">
        <v>30</v>
      </c>
      <c r="J989" t="s">
        <v>53</v>
      </c>
      <c r="K989" t="s">
        <v>113</v>
      </c>
      <c r="L989" t="s">
        <v>43</v>
      </c>
      <c r="M989">
        <v>32</v>
      </c>
      <c r="N989" t="s">
        <v>45</v>
      </c>
      <c r="O989">
        <v>3</v>
      </c>
      <c r="P989">
        <v>1</v>
      </c>
      <c r="Q989">
        <v>2</v>
      </c>
      <c r="R989">
        <v>3</v>
      </c>
      <c r="S989">
        <v>5</v>
      </c>
      <c r="T989">
        <v>3</v>
      </c>
      <c r="U989">
        <v>18</v>
      </c>
      <c r="V989" t="s">
        <v>4552</v>
      </c>
      <c r="W989" t="s">
        <v>45</v>
      </c>
      <c r="X989" s="1">
        <v>46215</v>
      </c>
      <c r="Y989" s="2" t="str">
        <f>IF(EmployeeData[[#This Row],[Age]]&lt;25,"Under 25",IF(EmployeeData[[#This Row],[Age]]&lt;=34,"25-34",IF(EmployeeData[[#This Row],[Age]]&lt;=44,"35-44",IF(EmployeeData[[#This Row],[Age]]&lt;=54,"45-54","55+"))))</f>
        <v>35-44</v>
      </c>
      <c r="Z989">
        <f ca="1">DATEDIF(EmployeeData[[#This Row],[DateOfJoining]],IF(AND(EmployeeData[[#This Row],[Attrition]]="Yes",EmployeeData[[#This Row],[LastWorkingDate]]&lt;&gt;""),EmployeeData[[#This Row],[LastWorkingDate]],TODAY()),"Y")</f>
        <v>0</v>
      </c>
      <c r="AA989" t="str">
        <f>IF(EmployeeData[[#This Row],[MonthlyIncome]]&lt;30000,"Low",IF(EmployeeData[[#This Row],[MonthlyIncome]]&lt;=60000,"Medium",IF(EmployeeData[[#This Row],[MonthlyIncome]]&lt;=100000,"High","Very High")))</f>
        <v>High</v>
      </c>
      <c r="AB989">
        <f>IF(EmployeeData[[#This Row],[Attrition]]="Yes",1,0)</f>
        <v>1</v>
      </c>
      <c r="AC989" t="str">
        <f ca="1">IF(EmployeeData[[#This Row],[Tenure Years]]&lt;1,"Less than 1 Year",IF(EmployeeData[[#This Row],[Tenure Years]]&lt;=3,"1-3 Years",IF(EmployeeData[[#This Row],[Tenure Years]]&lt;=5,"4-5 Years",IF(EmployeeData[[#This Row],[Tenure Years]]&lt;=10,"6-10 Years","More than 10 Years"))))</f>
        <v>Less than 1 Year</v>
      </c>
      <c r="AD989">
        <f>ROUND(AVERAGE(EmployeeData[[#This Row],[JobSatisfaction]],EmployeeData[[#This Row],[EnvironmentSatisfaction]],EmployeeData[[#This Row],[WorkLifeBalance]]),2)</f>
        <v>2</v>
      </c>
      <c r="AE989" t="str">
        <f>IF(EmployeeData[[#This Row],[Satisfaction Score]]&lt;2,"Low",IF(EmployeeData[[#This Row],[Satisfaction Score]]&lt;3,"Medium","High"))</f>
        <v>Medium</v>
      </c>
    </row>
    <row r="990" spans="1:31" x14ac:dyDescent="0.25">
      <c r="A990" t="s">
        <v>4554</v>
      </c>
      <c r="B990" t="s">
        <v>4555</v>
      </c>
      <c r="C990" t="s">
        <v>58</v>
      </c>
      <c r="D990">
        <v>31</v>
      </c>
      <c r="E990" t="s">
        <v>94</v>
      </c>
      <c r="F990" t="s">
        <v>306</v>
      </c>
      <c r="G990" s="1">
        <v>44031</v>
      </c>
      <c r="H990">
        <v>112003</v>
      </c>
      <c r="I990" t="s">
        <v>52</v>
      </c>
      <c r="J990" t="s">
        <v>31</v>
      </c>
      <c r="K990" t="s">
        <v>32</v>
      </c>
      <c r="L990" t="s">
        <v>62</v>
      </c>
      <c r="M990">
        <v>12</v>
      </c>
      <c r="N990" t="s">
        <v>34</v>
      </c>
      <c r="O990">
        <v>2</v>
      </c>
      <c r="P990">
        <v>4</v>
      </c>
      <c r="Q990">
        <v>1</v>
      </c>
      <c r="R990">
        <v>3</v>
      </c>
      <c r="S990">
        <v>6</v>
      </c>
      <c r="T990">
        <v>3</v>
      </c>
      <c r="U990">
        <v>18</v>
      </c>
      <c r="V990" t="s">
        <v>4557</v>
      </c>
      <c r="W990" t="s">
        <v>34</v>
      </c>
      <c r="Y990" s="2" t="str">
        <f>IF(EmployeeData[[#This Row],[Age]]&lt;25,"Under 25",IF(EmployeeData[[#This Row],[Age]]&lt;=34,"25-34",IF(EmployeeData[[#This Row],[Age]]&lt;=44,"35-44",IF(EmployeeData[[#This Row],[Age]]&lt;=54,"45-54","55+"))))</f>
        <v>25-34</v>
      </c>
      <c r="Z990">
        <f ca="1">DATEDIF(EmployeeData[[#This Row],[DateOfJoining]],IF(AND(EmployeeData[[#This Row],[Attrition]]="Yes",EmployeeData[[#This Row],[LastWorkingDate]]&lt;&gt;""),EmployeeData[[#This Row],[LastWorkingDate]],TODAY()),"Y")</f>
        <v>6</v>
      </c>
      <c r="AA990" t="str">
        <f>IF(EmployeeData[[#This Row],[MonthlyIncome]]&lt;30000,"Low",IF(EmployeeData[[#This Row],[MonthlyIncome]]&lt;=60000,"Medium",IF(EmployeeData[[#This Row],[MonthlyIncome]]&lt;=100000,"High","Very High")))</f>
        <v>Very High</v>
      </c>
      <c r="AB990">
        <f>IF(EmployeeData[[#This Row],[Attrition]]="Yes",1,0)</f>
        <v>0</v>
      </c>
      <c r="AC990" t="str">
        <f ca="1">IF(EmployeeData[[#This Row],[Tenure Years]]&lt;1,"Less than 1 Year",IF(EmployeeData[[#This Row],[Tenure Years]]&lt;=3,"1-3 Years",IF(EmployeeData[[#This Row],[Tenure Years]]&lt;=5,"4-5 Years",IF(EmployeeData[[#This Row],[Tenure Years]]&lt;=10,"6-10 Years","More than 10 Years"))))</f>
        <v>6-10 Years</v>
      </c>
      <c r="AD990">
        <f>ROUND(AVERAGE(EmployeeData[[#This Row],[JobSatisfaction]],EmployeeData[[#This Row],[EnvironmentSatisfaction]],EmployeeData[[#This Row],[WorkLifeBalance]]),2)</f>
        <v>2.33</v>
      </c>
      <c r="AE990" t="str">
        <f>IF(EmployeeData[[#This Row],[Satisfaction Score]]&lt;2,"Low",IF(EmployeeData[[#This Row],[Satisfaction Score]]&lt;3,"Medium","High"))</f>
        <v>Medium</v>
      </c>
    </row>
    <row r="991" spans="1:31" x14ac:dyDescent="0.25">
      <c r="A991" t="s">
        <v>4558</v>
      </c>
      <c r="B991" t="s">
        <v>4559</v>
      </c>
      <c r="C991" t="s">
        <v>49</v>
      </c>
      <c r="D991">
        <v>36</v>
      </c>
      <c r="E991" t="s">
        <v>128</v>
      </c>
      <c r="F991" t="s">
        <v>226</v>
      </c>
      <c r="G991" s="1">
        <v>41760</v>
      </c>
      <c r="H991">
        <v>94587</v>
      </c>
      <c r="I991" t="s">
        <v>30</v>
      </c>
      <c r="J991" t="s">
        <v>61</v>
      </c>
      <c r="K991" t="s">
        <v>131</v>
      </c>
      <c r="L991" t="s">
        <v>43</v>
      </c>
      <c r="M991">
        <v>2</v>
      </c>
      <c r="N991" t="s">
        <v>34</v>
      </c>
      <c r="O991">
        <v>4</v>
      </c>
      <c r="P991">
        <v>4</v>
      </c>
      <c r="Q991">
        <v>3</v>
      </c>
      <c r="R991">
        <v>5</v>
      </c>
      <c r="S991">
        <v>0</v>
      </c>
      <c r="T991">
        <v>3</v>
      </c>
      <c r="U991">
        <v>19</v>
      </c>
      <c r="V991" t="s">
        <v>4561</v>
      </c>
      <c r="W991" t="s">
        <v>34</v>
      </c>
      <c r="Y991" s="2" t="str">
        <f>IF(EmployeeData[[#This Row],[Age]]&lt;25,"Under 25",IF(EmployeeData[[#This Row],[Age]]&lt;=34,"25-34",IF(EmployeeData[[#This Row],[Age]]&lt;=44,"35-44",IF(EmployeeData[[#This Row],[Age]]&lt;=54,"45-54","55+"))))</f>
        <v>35-44</v>
      </c>
      <c r="Z991">
        <f ca="1">DATEDIF(EmployeeData[[#This Row],[DateOfJoining]],IF(AND(EmployeeData[[#This Row],[Attrition]]="Yes",EmployeeData[[#This Row],[LastWorkingDate]]&lt;&gt;""),EmployeeData[[#This Row],[LastWorkingDate]],TODAY()),"Y")</f>
        <v>12</v>
      </c>
      <c r="AA991" t="str">
        <f>IF(EmployeeData[[#This Row],[MonthlyIncome]]&lt;30000,"Low",IF(EmployeeData[[#This Row],[MonthlyIncome]]&lt;=60000,"Medium",IF(EmployeeData[[#This Row],[MonthlyIncome]]&lt;=100000,"High","Very High")))</f>
        <v>High</v>
      </c>
      <c r="AB991">
        <f>IF(EmployeeData[[#This Row],[Attrition]]="Yes",1,0)</f>
        <v>0</v>
      </c>
      <c r="AC991" t="str">
        <f ca="1">IF(EmployeeData[[#This Row],[Tenure Years]]&lt;1,"Less than 1 Year",IF(EmployeeData[[#This Row],[Tenure Years]]&lt;=3,"1-3 Years",IF(EmployeeData[[#This Row],[Tenure Years]]&lt;=5,"4-5 Years",IF(EmployeeData[[#This Row],[Tenure Years]]&lt;=10,"6-10 Years","More than 10 Years"))))</f>
        <v>More than 10 Years</v>
      </c>
      <c r="AD991">
        <f>ROUND(AVERAGE(EmployeeData[[#This Row],[JobSatisfaction]],EmployeeData[[#This Row],[EnvironmentSatisfaction]],EmployeeData[[#This Row],[WorkLifeBalance]]),2)</f>
        <v>3.67</v>
      </c>
      <c r="AE991" t="str">
        <f>IF(EmployeeData[[#This Row],[Satisfaction Score]]&lt;2,"Low",IF(EmployeeData[[#This Row],[Satisfaction Score]]&lt;3,"Medium","High"))</f>
        <v>High</v>
      </c>
    </row>
    <row r="992" spans="1:31" x14ac:dyDescent="0.25">
      <c r="A992" t="s">
        <v>4562</v>
      </c>
      <c r="B992" t="s">
        <v>4563</v>
      </c>
      <c r="C992" t="s">
        <v>58</v>
      </c>
      <c r="D992">
        <v>48</v>
      </c>
      <c r="E992" t="s">
        <v>5461</v>
      </c>
      <c r="F992" t="s">
        <v>89</v>
      </c>
      <c r="G992" s="1">
        <v>44685</v>
      </c>
      <c r="H992">
        <v>127253</v>
      </c>
      <c r="I992" t="s">
        <v>52</v>
      </c>
      <c r="J992" t="s">
        <v>97</v>
      </c>
      <c r="K992" t="s">
        <v>200</v>
      </c>
      <c r="L992" t="s">
        <v>43</v>
      </c>
      <c r="M992">
        <v>42</v>
      </c>
      <c r="N992" t="s">
        <v>34</v>
      </c>
      <c r="O992">
        <v>3</v>
      </c>
      <c r="P992">
        <v>1</v>
      </c>
      <c r="Q992">
        <v>3</v>
      </c>
      <c r="R992">
        <v>3</v>
      </c>
      <c r="S992">
        <v>1</v>
      </c>
      <c r="T992">
        <v>7</v>
      </c>
      <c r="U992">
        <v>12</v>
      </c>
      <c r="V992" t="s">
        <v>4565</v>
      </c>
      <c r="W992" t="s">
        <v>34</v>
      </c>
      <c r="Y992" s="2" t="str">
        <f>IF(EmployeeData[[#This Row],[Age]]&lt;25,"Under 25",IF(EmployeeData[[#This Row],[Age]]&lt;=34,"25-34",IF(EmployeeData[[#This Row],[Age]]&lt;=44,"35-44",IF(EmployeeData[[#This Row],[Age]]&lt;=54,"45-54","55+"))))</f>
        <v>45-54</v>
      </c>
      <c r="Z992">
        <f ca="1">DATEDIF(EmployeeData[[#This Row],[DateOfJoining]],IF(AND(EmployeeData[[#This Row],[Attrition]]="Yes",EmployeeData[[#This Row],[LastWorkingDate]]&lt;&gt;""),EmployeeData[[#This Row],[LastWorkingDate]],TODAY()),"Y")</f>
        <v>4</v>
      </c>
      <c r="AA992" t="str">
        <f>IF(EmployeeData[[#This Row],[MonthlyIncome]]&lt;30000,"Low",IF(EmployeeData[[#This Row],[MonthlyIncome]]&lt;=60000,"Medium",IF(EmployeeData[[#This Row],[MonthlyIncome]]&lt;=100000,"High","Very High")))</f>
        <v>Very High</v>
      </c>
      <c r="AB992">
        <f>IF(EmployeeData[[#This Row],[Attrition]]="Yes",1,0)</f>
        <v>0</v>
      </c>
      <c r="AC992" t="str">
        <f ca="1">IF(EmployeeData[[#This Row],[Tenure Years]]&lt;1,"Less than 1 Year",IF(EmployeeData[[#This Row],[Tenure Years]]&lt;=3,"1-3 Years",IF(EmployeeData[[#This Row],[Tenure Years]]&lt;=5,"4-5 Years",IF(EmployeeData[[#This Row],[Tenure Years]]&lt;=10,"6-10 Years","More than 10 Years"))))</f>
        <v>4-5 Years</v>
      </c>
      <c r="AD992">
        <f>ROUND(AVERAGE(EmployeeData[[#This Row],[JobSatisfaction]],EmployeeData[[#This Row],[EnvironmentSatisfaction]],EmployeeData[[#This Row],[WorkLifeBalance]]),2)</f>
        <v>2.33</v>
      </c>
      <c r="AE992" t="str">
        <f>IF(EmployeeData[[#This Row],[Satisfaction Score]]&lt;2,"Low",IF(EmployeeData[[#This Row],[Satisfaction Score]]&lt;3,"Medium","High"))</f>
        <v>Medium</v>
      </c>
    </row>
    <row r="993" spans="1:31" x14ac:dyDescent="0.25">
      <c r="A993" t="s">
        <v>4566</v>
      </c>
      <c r="B993" t="s">
        <v>4567</v>
      </c>
      <c r="C993" t="s">
        <v>5459</v>
      </c>
      <c r="D993">
        <v>28</v>
      </c>
      <c r="E993" t="s">
        <v>27</v>
      </c>
      <c r="F993" t="s">
        <v>75</v>
      </c>
      <c r="G993" s="1">
        <v>41289</v>
      </c>
      <c r="H993">
        <v>98098</v>
      </c>
      <c r="I993" t="s">
        <v>30</v>
      </c>
      <c r="J993" t="s">
        <v>61</v>
      </c>
      <c r="K993" t="s">
        <v>98</v>
      </c>
      <c r="L993" t="s">
        <v>33</v>
      </c>
      <c r="M993">
        <v>35</v>
      </c>
      <c r="N993" t="s">
        <v>34</v>
      </c>
      <c r="O993">
        <v>1</v>
      </c>
      <c r="P993">
        <v>4</v>
      </c>
      <c r="Q993">
        <v>3</v>
      </c>
      <c r="R993">
        <v>4</v>
      </c>
      <c r="S993">
        <v>2</v>
      </c>
      <c r="T993">
        <v>2</v>
      </c>
      <c r="U993">
        <v>17</v>
      </c>
      <c r="V993" t="s">
        <v>4569</v>
      </c>
      <c r="W993" t="s">
        <v>34</v>
      </c>
      <c r="Y993" s="2" t="str">
        <f>IF(EmployeeData[[#This Row],[Age]]&lt;25,"Under 25",IF(EmployeeData[[#This Row],[Age]]&lt;=34,"25-34",IF(EmployeeData[[#This Row],[Age]]&lt;=44,"35-44",IF(EmployeeData[[#This Row],[Age]]&lt;=54,"45-54","55+"))))</f>
        <v>25-34</v>
      </c>
      <c r="Z993">
        <f ca="1">DATEDIF(EmployeeData[[#This Row],[DateOfJoining]],IF(AND(EmployeeData[[#This Row],[Attrition]]="Yes",EmployeeData[[#This Row],[LastWorkingDate]]&lt;&gt;""),EmployeeData[[#This Row],[LastWorkingDate]],TODAY()),"Y")</f>
        <v>13</v>
      </c>
      <c r="AA993" t="str">
        <f>IF(EmployeeData[[#This Row],[MonthlyIncome]]&lt;30000,"Low",IF(EmployeeData[[#This Row],[MonthlyIncome]]&lt;=60000,"Medium",IF(EmployeeData[[#This Row],[MonthlyIncome]]&lt;=100000,"High","Very High")))</f>
        <v>High</v>
      </c>
      <c r="AB993">
        <f>IF(EmployeeData[[#This Row],[Attrition]]="Yes",1,0)</f>
        <v>0</v>
      </c>
      <c r="AC993" t="str">
        <f ca="1">IF(EmployeeData[[#This Row],[Tenure Years]]&lt;1,"Less than 1 Year",IF(EmployeeData[[#This Row],[Tenure Years]]&lt;=3,"1-3 Years",IF(EmployeeData[[#This Row],[Tenure Years]]&lt;=5,"4-5 Years",IF(EmployeeData[[#This Row],[Tenure Years]]&lt;=10,"6-10 Years","More than 10 Years"))))</f>
        <v>More than 10 Years</v>
      </c>
      <c r="AD993">
        <f>ROUND(AVERAGE(EmployeeData[[#This Row],[JobSatisfaction]],EmployeeData[[#This Row],[EnvironmentSatisfaction]],EmployeeData[[#This Row],[WorkLifeBalance]]),2)</f>
        <v>2.67</v>
      </c>
      <c r="AE993" t="str">
        <f>IF(EmployeeData[[#This Row],[Satisfaction Score]]&lt;2,"Low",IF(EmployeeData[[#This Row],[Satisfaction Score]]&lt;3,"Medium","High"))</f>
        <v>Medium</v>
      </c>
    </row>
    <row r="994" spans="1:31" x14ac:dyDescent="0.25">
      <c r="A994" t="s">
        <v>4570</v>
      </c>
      <c r="B994" t="s">
        <v>4571</v>
      </c>
      <c r="C994" t="s">
        <v>49</v>
      </c>
      <c r="D994">
        <v>38</v>
      </c>
      <c r="E994" t="s">
        <v>128</v>
      </c>
      <c r="F994" t="s">
        <v>255</v>
      </c>
      <c r="G994" s="1">
        <v>44288</v>
      </c>
      <c r="H994">
        <v>68827</v>
      </c>
      <c r="I994" t="s">
        <v>42</v>
      </c>
      <c r="J994" t="s">
        <v>53</v>
      </c>
      <c r="K994" t="s">
        <v>167</v>
      </c>
      <c r="L994" t="s">
        <v>43</v>
      </c>
      <c r="M994">
        <v>3</v>
      </c>
      <c r="N994" t="s">
        <v>34</v>
      </c>
      <c r="O994">
        <v>2</v>
      </c>
      <c r="P994">
        <v>4</v>
      </c>
      <c r="Q994">
        <v>1</v>
      </c>
      <c r="R994">
        <v>4</v>
      </c>
      <c r="S994">
        <v>3</v>
      </c>
      <c r="T994">
        <v>1</v>
      </c>
      <c r="U994">
        <v>15</v>
      </c>
      <c r="V994" t="s">
        <v>4574</v>
      </c>
      <c r="W994" t="s">
        <v>34</v>
      </c>
      <c r="Y994" s="2" t="str">
        <f>IF(EmployeeData[[#This Row],[Age]]&lt;25,"Under 25",IF(EmployeeData[[#This Row],[Age]]&lt;=34,"25-34",IF(EmployeeData[[#This Row],[Age]]&lt;=44,"35-44",IF(EmployeeData[[#This Row],[Age]]&lt;=54,"45-54","55+"))))</f>
        <v>35-44</v>
      </c>
      <c r="Z994">
        <f ca="1">DATEDIF(EmployeeData[[#This Row],[DateOfJoining]],IF(AND(EmployeeData[[#This Row],[Attrition]]="Yes",EmployeeData[[#This Row],[LastWorkingDate]]&lt;&gt;""),EmployeeData[[#This Row],[LastWorkingDate]],TODAY()),"Y")</f>
        <v>5</v>
      </c>
      <c r="AA994" t="str">
        <f>IF(EmployeeData[[#This Row],[MonthlyIncome]]&lt;30000,"Low",IF(EmployeeData[[#This Row],[MonthlyIncome]]&lt;=60000,"Medium",IF(EmployeeData[[#This Row],[MonthlyIncome]]&lt;=100000,"High","Very High")))</f>
        <v>High</v>
      </c>
      <c r="AB994">
        <f>IF(EmployeeData[[#This Row],[Attrition]]="Yes",1,0)</f>
        <v>0</v>
      </c>
      <c r="AC994" t="str">
        <f ca="1">IF(EmployeeData[[#This Row],[Tenure Years]]&lt;1,"Less than 1 Year",IF(EmployeeData[[#This Row],[Tenure Years]]&lt;=3,"1-3 Years",IF(EmployeeData[[#This Row],[Tenure Years]]&lt;=5,"4-5 Years",IF(EmployeeData[[#This Row],[Tenure Years]]&lt;=10,"6-10 Years","More than 10 Years"))))</f>
        <v>4-5 Years</v>
      </c>
      <c r="AD994">
        <f>ROUND(AVERAGE(EmployeeData[[#This Row],[JobSatisfaction]],EmployeeData[[#This Row],[EnvironmentSatisfaction]],EmployeeData[[#This Row],[WorkLifeBalance]]),2)</f>
        <v>2.33</v>
      </c>
      <c r="AE994" t="str">
        <f>IF(EmployeeData[[#This Row],[Satisfaction Score]]&lt;2,"Low",IF(EmployeeData[[#This Row],[Satisfaction Score]]&lt;3,"Medium","High"))</f>
        <v>Medium</v>
      </c>
    </row>
    <row r="995" spans="1:31" x14ac:dyDescent="0.25">
      <c r="A995" t="s">
        <v>4575</v>
      </c>
      <c r="B995" t="s">
        <v>4576</v>
      </c>
      <c r="C995" t="s">
        <v>49</v>
      </c>
      <c r="D995">
        <v>24</v>
      </c>
      <c r="E995" t="s">
        <v>128</v>
      </c>
      <c r="F995" t="s">
        <v>123</v>
      </c>
      <c r="G995" s="1">
        <v>41675</v>
      </c>
      <c r="H995">
        <v>56115</v>
      </c>
      <c r="I995" t="s">
        <v>42</v>
      </c>
      <c r="J995" t="s">
        <v>53</v>
      </c>
      <c r="K995" t="s">
        <v>200</v>
      </c>
      <c r="L995" t="s">
        <v>5459</v>
      </c>
      <c r="M995">
        <v>37</v>
      </c>
      <c r="N995" t="s">
        <v>45</v>
      </c>
      <c r="O995">
        <v>2</v>
      </c>
      <c r="P995">
        <v>2</v>
      </c>
      <c r="Q995">
        <v>3</v>
      </c>
      <c r="R995">
        <v>2</v>
      </c>
      <c r="S995">
        <v>6</v>
      </c>
      <c r="T995">
        <v>4</v>
      </c>
      <c r="U995">
        <v>18</v>
      </c>
      <c r="V995" t="s">
        <v>4578</v>
      </c>
      <c r="W995" t="s">
        <v>45</v>
      </c>
      <c r="X995" s="1">
        <v>42926</v>
      </c>
      <c r="Y995" s="2" t="str">
        <f>IF(EmployeeData[[#This Row],[Age]]&lt;25,"Under 25",IF(EmployeeData[[#This Row],[Age]]&lt;=34,"25-34",IF(EmployeeData[[#This Row],[Age]]&lt;=44,"35-44",IF(EmployeeData[[#This Row],[Age]]&lt;=54,"45-54","55+"))))</f>
        <v>Under 25</v>
      </c>
      <c r="Z995">
        <f ca="1">DATEDIF(EmployeeData[[#This Row],[DateOfJoining]],IF(AND(EmployeeData[[#This Row],[Attrition]]="Yes",EmployeeData[[#This Row],[LastWorkingDate]]&lt;&gt;""),EmployeeData[[#This Row],[LastWorkingDate]],TODAY()),"Y")</f>
        <v>3</v>
      </c>
      <c r="AA995" t="str">
        <f>IF(EmployeeData[[#This Row],[MonthlyIncome]]&lt;30000,"Low",IF(EmployeeData[[#This Row],[MonthlyIncome]]&lt;=60000,"Medium",IF(EmployeeData[[#This Row],[MonthlyIncome]]&lt;=100000,"High","Very High")))</f>
        <v>Medium</v>
      </c>
      <c r="AB995">
        <f>IF(EmployeeData[[#This Row],[Attrition]]="Yes",1,0)</f>
        <v>1</v>
      </c>
      <c r="AC995" t="str">
        <f ca="1">IF(EmployeeData[[#This Row],[Tenure Years]]&lt;1,"Less than 1 Year",IF(EmployeeData[[#This Row],[Tenure Years]]&lt;=3,"1-3 Years",IF(EmployeeData[[#This Row],[Tenure Years]]&lt;=5,"4-5 Years",IF(EmployeeData[[#This Row],[Tenure Years]]&lt;=10,"6-10 Years","More than 10 Years"))))</f>
        <v>1-3 Years</v>
      </c>
      <c r="AD995">
        <f>ROUND(AVERAGE(EmployeeData[[#This Row],[JobSatisfaction]],EmployeeData[[#This Row],[EnvironmentSatisfaction]],EmployeeData[[#This Row],[WorkLifeBalance]]),2)</f>
        <v>2.33</v>
      </c>
      <c r="AE995" t="str">
        <f>IF(EmployeeData[[#This Row],[Satisfaction Score]]&lt;2,"Low",IF(EmployeeData[[#This Row],[Satisfaction Score]]&lt;3,"Medium","High"))</f>
        <v>Medium</v>
      </c>
    </row>
    <row r="996" spans="1:31" x14ac:dyDescent="0.25">
      <c r="A996" t="s">
        <v>4580</v>
      </c>
      <c r="B996" t="s">
        <v>4581</v>
      </c>
      <c r="C996" t="s">
        <v>58</v>
      </c>
      <c r="D996">
        <v>25</v>
      </c>
      <c r="E996" t="s">
        <v>27</v>
      </c>
      <c r="F996" t="s">
        <v>59</v>
      </c>
      <c r="G996" s="1">
        <v>42724</v>
      </c>
      <c r="H996">
        <v>61487</v>
      </c>
      <c r="I996" t="s">
        <v>30</v>
      </c>
      <c r="J996" t="s">
        <v>61</v>
      </c>
      <c r="K996" t="s">
        <v>77</v>
      </c>
      <c r="L996" t="s">
        <v>43</v>
      </c>
      <c r="M996">
        <v>28</v>
      </c>
      <c r="N996" t="s">
        <v>45</v>
      </c>
      <c r="O996">
        <v>2</v>
      </c>
      <c r="P996">
        <v>3</v>
      </c>
      <c r="Q996">
        <v>1</v>
      </c>
      <c r="R996">
        <v>3</v>
      </c>
      <c r="S996">
        <v>5</v>
      </c>
      <c r="T996">
        <v>4</v>
      </c>
      <c r="U996">
        <v>14</v>
      </c>
      <c r="V996" t="s">
        <v>4583</v>
      </c>
      <c r="W996" t="s">
        <v>45</v>
      </c>
      <c r="X996" s="1">
        <v>44903</v>
      </c>
      <c r="Y996" s="2" t="str">
        <f>IF(EmployeeData[[#This Row],[Age]]&lt;25,"Under 25",IF(EmployeeData[[#This Row],[Age]]&lt;=34,"25-34",IF(EmployeeData[[#This Row],[Age]]&lt;=44,"35-44",IF(EmployeeData[[#This Row],[Age]]&lt;=54,"45-54","55+"))))</f>
        <v>25-34</v>
      </c>
      <c r="Z996">
        <f ca="1">DATEDIF(EmployeeData[[#This Row],[DateOfJoining]],IF(AND(EmployeeData[[#This Row],[Attrition]]="Yes",EmployeeData[[#This Row],[LastWorkingDate]]&lt;&gt;""),EmployeeData[[#This Row],[LastWorkingDate]],TODAY()),"Y")</f>
        <v>5</v>
      </c>
      <c r="AA996" t="str">
        <f>IF(EmployeeData[[#This Row],[MonthlyIncome]]&lt;30000,"Low",IF(EmployeeData[[#This Row],[MonthlyIncome]]&lt;=60000,"Medium",IF(EmployeeData[[#This Row],[MonthlyIncome]]&lt;=100000,"High","Very High")))</f>
        <v>High</v>
      </c>
      <c r="AB996">
        <f>IF(EmployeeData[[#This Row],[Attrition]]="Yes",1,0)</f>
        <v>1</v>
      </c>
      <c r="AC996" t="str">
        <f ca="1">IF(EmployeeData[[#This Row],[Tenure Years]]&lt;1,"Less than 1 Year",IF(EmployeeData[[#This Row],[Tenure Years]]&lt;=3,"1-3 Years",IF(EmployeeData[[#This Row],[Tenure Years]]&lt;=5,"4-5 Years",IF(EmployeeData[[#This Row],[Tenure Years]]&lt;=10,"6-10 Years","More than 10 Years"))))</f>
        <v>4-5 Years</v>
      </c>
      <c r="AD996">
        <f>ROUND(AVERAGE(EmployeeData[[#This Row],[JobSatisfaction]],EmployeeData[[#This Row],[EnvironmentSatisfaction]],EmployeeData[[#This Row],[WorkLifeBalance]]),2)</f>
        <v>2</v>
      </c>
      <c r="AE996" t="str">
        <f>IF(EmployeeData[[#This Row],[Satisfaction Score]]&lt;2,"Low",IF(EmployeeData[[#This Row],[Satisfaction Score]]&lt;3,"Medium","High"))</f>
        <v>Medium</v>
      </c>
    </row>
    <row r="997" spans="1:31" x14ac:dyDescent="0.25">
      <c r="A997" t="s">
        <v>4585</v>
      </c>
      <c r="B997" t="s">
        <v>4586</v>
      </c>
      <c r="C997" t="s">
        <v>58</v>
      </c>
      <c r="D997">
        <v>35</v>
      </c>
      <c r="E997" t="s">
        <v>27</v>
      </c>
      <c r="F997" t="s">
        <v>59</v>
      </c>
      <c r="G997" s="1">
        <v>42969</v>
      </c>
      <c r="H997">
        <v>48772</v>
      </c>
      <c r="I997" t="s">
        <v>30</v>
      </c>
      <c r="J997" t="s">
        <v>31</v>
      </c>
      <c r="K997" t="s">
        <v>106</v>
      </c>
      <c r="L997" t="s">
        <v>62</v>
      </c>
      <c r="M997">
        <v>33</v>
      </c>
      <c r="N997" t="s">
        <v>45</v>
      </c>
      <c r="O997">
        <v>1</v>
      </c>
      <c r="P997">
        <v>2</v>
      </c>
      <c r="Q997">
        <v>3</v>
      </c>
      <c r="R997">
        <v>4</v>
      </c>
      <c r="S997">
        <v>5</v>
      </c>
      <c r="T997">
        <v>4</v>
      </c>
      <c r="U997">
        <v>25</v>
      </c>
      <c r="V997" t="s">
        <v>4588</v>
      </c>
      <c r="W997" t="s">
        <v>45</v>
      </c>
      <c r="X997" s="1">
        <v>44638</v>
      </c>
      <c r="Y997" s="2" t="str">
        <f>IF(EmployeeData[[#This Row],[Age]]&lt;25,"Under 25",IF(EmployeeData[[#This Row],[Age]]&lt;=34,"25-34",IF(EmployeeData[[#This Row],[Age]]&lt;=44,"35-44",IF(EmployeeData[[#This Row],[Age]]&lt;=54,"45-54","55+"))))</f>
        <v>35-44</v>
      </c>
      <c r="Z997">
        <f ca="1">DATEDIF(EmployeeData[[#This Row],[DateOfJoining]],IF(AND(EmployeeData[[#This Row],[Attrition]]="Yes",EmployeeData[[#This Row],[LastWorkingDate]]&lt;&gt;""),EmployeeData[[#This Row],[LastWorkingDate]],TODAY()),"Y")</f>
        <v>4</v>
      </c>
      <c r="AA997" t="str">
        <f>IF(EmployeeData[[#This Row],[MonthlyIncome]]&lt;30000,"Low",IF(EmployeeData[[#This Row],[MonthlyIncome]]&lt;=60000,"Medium",IF(EmployeeData[[#This Row],[MonthlyIncome]]&lt;=100000,"High","Very High")))</f>
        <v>Medium</v>
      </c>
      <c r="AB997">
        <f>IF(EmployeeData[[#This Row],[Attrition]]="Yes",1,0)</f>
        <v>1</v>
      </c>
      <c r="AC997" t="str">
        <f ca="1">IF(EmployeeData[[#This Row],[Tenure Years]]&lt;1,"Less than 1 Year",IF(EmployeeData[[#This Row],[Tenure Years]]&lt;=3,"1-3 Years",IF(EmployeeData[[#This Row],[Tenure Years]]&lt;=5,"4-5 Years",IF(EmployeeData[[#This Row],[Tenure Years]]&lt;=10,"6-10 Years","More than 10 Years"))))</f>
        <v>4-5 Years</v>
      </c>
      <c r="AD997">
        <f>ROUND(AVERAGE(EmployeeData[[#This Row],[JobSatisfaction]],EmployeeData[[#This Row],[EnvironmentSatisfaction]],EmployeeData[[#This Row],[WorkLifeBalance]]),2)</f>
        <v>2</v>
      </c>
      <c r="AE997" t="str">
        <f>IF(EmployeeData[[#This Row],[Satisfaction Score]]&lt;2,"Low",IF(EmployeeData[[#This Row],[Satisfaction Score]]&lt;3,"Medium","High"))</f>
        <v>Medium</v>
      </c>
    </row>
    <row r="998" spans="1:31" x14ac:dyDescent="0.25">
      <c r="A998" t="s">
        <v>4590</v>
      </c>
      <c r="B998" t="s">
        <v>4591</v>
      </c>
      <c r="C998" t="s">
        <v>58</v>
      </c>
      <c r="D998">
        <v>37</v>
      </c>
      <c r="E998" t="s">
        <v>197</v>
      </c>
      <c r="F998" t="s">
        <v>573</v>
      </c>
      <c r="G998" s="1">
        <v>46064</v>
      </c>
      <c r="H998">
        <v>78065</v>
      </c>
      <c r="I998" t="s">
        <v>30</v>
      </c>
      <c r="J998" t="s">
        <v>61</v>
      </c>
      <c r="K998" t="s">
        <v>32</v>
      </c>
      <c r="L998" t="s">
        <v>33</v>
      </c>
      <c r="M998">
        <v>23</v>
      </c>
      <c r="N998" t="s">
        <v>45</v>
      </c>
      <c r="O998">
        <v>1</v>
      </c>
      <c r="P998">
        <v>2</v>
      </c>
      <c r="Q998">
        <v>1</v>
      </c>
      <c r="R998">
        <v>5</v>
      </c>
      <c r="S998">
        <v>2</v>
      </c>
      <c r="T998">
        <v>6</v>
      </c>
      <c r="U998">
        <v>19</v>
      </c>
      <c r="V998" t="s">
        <v>4593</v>
      </c>
      <c r="W998" t="s">
        <v>45</v>
      </c>
      <c r="X998" s="1">
        <v>46140</v>
      </c>
      <c r="Y998" s="2" t="str">
        <f>IF(EmployeeData[[#This Row],[Age]]&lt;25,"Under 25",IF(EmployeeData[[#This Row],[Age]]&lt;=34,"25-34",IF(EmployeeData[[#This Row],[Age]]&lt;=44,"35-44",IF(EmployeeData[[#This Row],[Age]]&lt;=54,"45-54","55+"))))</f>
        <v>35-44</v>
      </c>
      <c r="Z998">
        <f ca="1">DATEDIF(EmployeeData[[#This Row],[DateOfJoining]],IF(AND(EmployeeData[[#This Row],[Attrition]]="Yes",EmployeeData[[#This Row],[LastWorkingDate]]&lt;&gt;""),EmployeeData[[#This Row],[LastWorkingDate]],TODAY()),"Y")</f>
        <v>0</v>
      </c>
      <c r="AA998" t="str">
        <f>IF(EmployeeData[[#This Row],[MonthlyIncome]]&lt;30000,"Low",IF(EmployeeData[[#This Row],[MonthlyIncome]]&lt;=60000,"Medium",IF(EmployeeData[[#This Row],[MonthlyIncome]]&lt;=100000,"High","Very High")))</f>
        <v>High</v>
      </c>
      <c r="AB998">
        <f>IF(EmployeeData[[#This Row],[Attrition]]="Yes",1,0)</f>
        <v>1</v>
      </c>
      <c r="AC998" t="str">
        <f ca="1">IF(EmployeeData[[#This Row],[Tenure Years]]&lt;1,"Less than 1 Year",IF(EmployeeData[[#This Row],[Tenure Years]]&lt;=3,"1-3 Years",IF(EmployeeData[[#This Row],[Tenure Years]]&lt;=5,"4-5 Years",IF(EmployeeData[[#This Row],[Tenure Years]]&lt;=10,"6-10 Years","More than 10 Years"))))</f>
        <v>Less than 1 Year</v>
      </c>
      <c r="AD998">
        <f>ROUND(AVERAGE(EmployeeData[[#This Row],[JobSatisfaction]],EmployeeData[[#This Row],[EnvironmentSatisfaction]],EmployeeData[[#This Row],[WorkLifeBalance]]),2)</f>
        <v>1.33</v>
      </c>
      <c r="AE998" t="str">
        <f>IF(EmployeeData[[#This Row],[Satisfaction Score]]&lt;2,"Low",IF(EmployeeData[[#This Row],[Satisfaction Score]]&lt;3,"Medium","High"))</f>
        <v>Low</v>
      </c>
    </row>
    <row r="999" spans="1:31" x14ac:dyDescent="0.25">
      <c r="A999" t="s">
        <v>4594</v>
      </c>
      <c r="B999" t="s">
        <v>4595</v>
      </c>
      <c r="C999" t="s">
        <v>58</v>
      </c>
      <c r="D999">
        <v>35</v>
      </c>
      <c r="E999" t="s">
        <v>128</v>
      </c>
      <c r="F999" t="s">
        <v>271</v>
      </c>
      <c r="G999" s="1">
        <v>45591</v>
      </c>
      <c r="H999">
        <v>84076</v>
      </c>
      <c r="I999" t="s">
        <v>52</v>
      </c>
      <c r="J999" t="s">
        <v>61</v>
      </c>
      <c r="K999" t="s">
        <v>200</v>
      </c>
      <c r="L999" t="s">
        <v>33</v>
      </c>
      <c r="M999">
        <v>15</v>
      </c>
      <c r="N999" t="s">
        <v>34</v>
      </c>
      <c r="O999">
        <v>1</v>
      </c>
      <c r="P999">
        <v>2</v>
      </c>
      <c r="Q999">
        <v>4</v>
      </c>
      <c r="R999">
        <v>3</v>
      </c>
      <c r="S999">
        <v>6</v>
      </c>
      <c r="T999">
        <v>0</v>
      </c>
      <c r="U999">
        <v>23</v>
      </c>
      <c r="V999" t="s">
        <v>4597</v>
      </c>
      <c r="W999" t="s">
        <v>34</v>
      </c>
      <c r="Y999" s="2" t="str">
        <f>IF(EmployeeData[[#This Row],[Age]]&lt;25,"Under 25",IF(EmployeeData[[#This Row],[Age]]&lt;=34,"25-34",IF(EmployeeData[[#This Row],[Age]]&lt;=44,"35-44",IF(EmployeeData[[#This Row],[Age]]&lt;=54,"45-54","55+"))))</f>
        <v>35-44</v>
      </c>
      <c r="Z999">
        <f ca="1">DATEDIF(EmployeeData[[#This Row],[DateOfJoining]],IF(AND(EmployeeData[[#This Row],[Attrition]]="Yes",EmployeeData[[#This Row],[LastWorkingDate]]&lt;&gt;""),EmployeeData[[#This Row],[LastWorkingDate]],TODAY()),"Y")</f>
        <v>1</v>
      </c>
      <c r="AA999" t="str">
        <f>IF(EmployeeData[[#This Row],[MonthlyIncome]]&lt;30000,"Low",IF(EmployeeData[[#This Row],[MonthlyIncome]]&lt;=60000,"Medium",IF(EmployeeData[[#This Row],[MonthlyIncome]]&lt;=100000,"High","Very High")))</f>
        <v>High</v>
      </c>
      <c r="AB999">
        <f>IF(EmployeeData[[#This Row],[Attrition]]="Yes",1,0)</f>
        <v>0</v>
      </c>
      <c r="AC999" t="str">
        <f ca="1">IF(EmployeeData[[#This Row],[Tenure Years]]&lt;1,"Less than 1 Year",IF(EmployeeData[[#This Row],[Tenure Years]]&lt;=3,"1-3 Years",IF(EmployeeData[[#This Row],[Tenure Years]]&lt;=5,"4-5 Years",IF(EmployeeData[[#This Row],[Tenure Years]]&lt;=10,"6-10 Years","More than 10 Years"))))</f>
        <v>1-3 Years</v>
      </c>
      <c r="AD999">
        <f>ROUND(AVERAGE(EmployeeData[[#This Row],[JobSatisfaction]],EmployeeData[[#This Row],[EnvironmentSatisfaction]],EmployeeData[[#This Row],[WorkLifeBalance]]),2)</f>
        <v>2.33</v>
      </c>
      <c r="AE999" t="str">
        <f>IF(EmployeeData[[#This Row],[Satisfaction Score]]&lt;2,"Low",IF(EmployeeData[[#This Row],[Satisfaction Score]]&lt;3,"Medium","High"))</f>
        <v>Medium</v>
      </c>
    </row>
    <row r="1000" spans="1:31" x14ac:dyDescent="0.25">
      <c r="A1000" t="s">
        <v>4598</v>
      </c>
      <c r="B1000" t="s">
        <v>4599</v>
      </c>
      <c r="C1000" t="s">
        <v>49</v>
      </c>
      <c r="D1000">
        <v>35</v>
      </c>
      <c r="E1000" t="s">
        <v>94</v>
      </c>
      <c r="F1000" t="s">
        <v>639</v>
      </c>
      <c r="G1000" s="1">
        <v>44159</v>
      </c>
      <c r="H1000">
        <v>67527</v>
      </c>
      <c r="I1000" t="s">
        <v>52</v>
      </c>
      <c r="J1000" t="s">
        <v>61</v>
      </c>
      <c r="K1000" t="s">
        <v>98</v>
      </c>
      <c r="L1000" t="s">
        <v>43</v>
      </c>
      <c r="M1000">
        <v>24</v>
      </c>
      <c r="N1000" t="s">
        <v>34</v>
      </c>
      <c r="O1000">
        <v>4</v>
      </c>
      <c r="P1000">
        <v>3</v>
      </c>
      <c r="Q1000">
        <v>4</v>
      </c>
      <c r="R1000">
        <v>2</v>
      </c>
      <c r="S1000">
        <v>3</v>
      </c>
      <c r="T1000">
        <v>4</v>
      </c>
      <c r="U1000">
        <v>16</v>
      </c>
      <c r="V1000" t="s">
        <v>4601</v>
      </c>
      <c r="W1000" t="s">
        <v>34</v>
      </c>
      <c r="Y1000" s="2" t="str">
        <f>IF(EmployeeData[[#This Row],[Age]]&lt;25,"Under 25",IF(EmployeeData[[#This Row],[Age]]&lt;=34,"25-34",IF(EmployeeData[[#This Row],[Age]]&lt;=44,"35-44",IF(EmployeeData[[#This Row],[Age]]&lt;=54,"45-54","55+"))))</f>
        <v>35-44</v>
      </c>
      <c r="Z1000">
        <f ca="1">DATEDIF(EmployeeData[[#This Row],[DateOfJoining]],IF(AND(EmployeeData[[#This Row],[Attrition]]="Yes",EmployeeData[[#This Row],[LastWorkingDate]]&lt;&gt;""),EmployeeData[[#This Row],[LastWorkingDate]],TODAY()),"Y")</f>
        <v>5</v>
      </c>
      <c r="AA1000" t="str">
        <f>IF(EmployeeData[[#This Row],[MonthlyIncome]]&lt;30000,"Low",IF(EmployeeData[[#This Row],[MonthlyIncome]]&lt;=60000,"Medium",IF(EmployeeData[[#This Row],[MonthlyIncome]]&lt;=100000,"High","Very High")))</f>
        <v>High</v>
      </c>
      <c r="AB1000">
        <f>IF(EmployeeData[[#This Row],[Attrition]]="Yes",1,0)</f>
        <v>0</v>
      </c>
      <c r="AC1000" t="str">
        <f ca="1">IF(EmployeeData[[#This Row],[Tenure Years]]&lt;1,"Less than 1 Year",IF(EmployeeData[[#This Row],[Tenure Years]]&lt;=3,"1-3 Years",IF(EmployeeData[[#This Row],[Tenure Years]]&lt;=5,"4-5 Years",IF(EmployeeData[[#This Row],[Tenure Years]]&lt;=10,"6-10 Years","More than 10 Years"))))</f>
        <v>4-5 Years</v>
      </c>
      <c r="AD1000">
        <f>ROUND(AVERAGE(EmployeeData[[#This Row],[JobSatisfaction]],EmployeeData[[#This Row],[EnvironmentSatisfaction]],EmployeeData[[#This Row],[WorkLifeBalance]]),2)</f>
        <v>3.67</v>
      </c>
      <c r="AE1000" t="str">
        <f>IF(EmployeeData[[#This Row],[Satisfaction Score]]&lt;2,"Low",IF(EmployeeData[[#This Row],[Satisfaction Score]]&lt;3,"Medium","High"))</f>
        <v>High</v>
      </c>
    </row>
    <row r="1001" spans="1:31" x14ac:dyDescent="0.25">
      <c r="A1001" t="s">
        <v>4602</v>
      </c>
      <c r="B1001" t="s">
        <v>4603</v>
      </c>
      <c r="C1001" t="s">
        <v>58</v>
      </c>
      <c r="D1001">
        <v>45</v>
      </c>
      <c r="E1001" t="s">
        <v>27</v>
      </c>
      <c r="F1001" t="s">
        <v>50</v>
      </c>
      <c r="G1001" s="1">
        <v>45056</v>
      </c>
      <c r="H1001">
        <v>83084</v>
      </c>
      <c r="I1001" t="s">
        <v>30</v>
      </c>
      <c r="J1001" t="s">
        <v>31</v>
      </c>
      <c r="K1001" t="s">
        <v>83</v>
      </c>
      <c r="L1001" t="s">
        <v>43</v>
      </c>
      <c r="M1001">
        <v>29</v>
      </c>
      <c r="N1001" t="s">
        <v>45</v>
      </c>
      <c r="O1001">
        <v>4</v>
      </c>
      <c r="P1001">
        <v>4</v>
      </c>
      <c r="Q1001">
        <v>4</v>
      </c>
      <c r="R1001">
        <v>2</v>
      </c>
      <c r="S1001">
        <v>6</v>
      </c>
      <c r="T1001">
        <v>2</v>
      </c>
      <c r="U1001">
        <v>19</v>
      </c>
      <c r="V1001" t="s">
        <v>4605</v>
      </c>
      <c r="W1001" t="s">
        <v>34</v>
      </c>
      <c r="Y1001" s="2" t="str">
        <f>IF(EmployeeData[[#This Row],[Age]]&lt;25,"Under 25",IF(EmployeeData[[#This Row],[Age]]&lt;=34,"25-34",IF(EmployeeData[[#This Row],[Age]]&lt;=44,"35-44",IF(EmployeeData[[#This Row],[Age]]&lt;=54,"45-54","55+"))))</f>
        <v>45-54</v>
      </c>
      <c r="Z1001">
        <f ca="1">DATEDIF(EmployeeData[[#This Row],[DateOfJoining]],IF(AND(EmployeeData[[#This Row],[Attrition]]="Yes",EmployeeData[[#This Row],[LastWorkingDate]]&lt;&gt;""),EmployeeData[[#This Row],[LastWorkingDate]],TODAY()),"Y")</f>
        <v>3</v>
      </c>
      <c r="AA1001" t="str">
        <f>IF(EmployeeData[[#This Row],[MonthlyIncome]]&lt;30000,"Low",IF(EmployeeData[[#This Row],[MonthlyIncome]]&lt;=60000,"Medium",IF(EmployeeData[[#This Row],[MonthlyIncome]]&lt;=100000,"High","Very High")))</f>
        <v>High</v>
      </c>
      <c r="AB1001">
        <f>IF(EmployeeData[[#This Row],[Attrition]]="Yes",1,0)</f>
        <v>0</v>
      </c>
      <c r="AC1001" t="str">
        <f ca="1">IF(EmployeeData[[#This Row],[Tenure Years]]&lt;1,"Less than 1 Year",IF(EmployeeData[[#This Row],[Tenure Years]]&lt;=3,"1-3 Years",IF(EmployeeData[[#This Row],[Tenure Years]]&lt;=5,"4-5 Years",IF(EmployeeData[[#This Row],[Tenure Years]]&lt;=10,"6-10 Years","More than 10 Years"))))</f>
        <v>1-3 Years</v>
      </c>
      <c r="AD1001">
        <f>ROUND(AVERAGE(EmployeeData[[#This Row],[JobSatisfaction]],EmployeeData[[#This Row],[EnvironmentSatisfaction]],EmployeeData[[#This Row],[WorkLifeBalance]]),2)</f>
        <v>4</v>
      </c>
      <c r="AE1001" t="str">
        <f>IF(EmployeeData[[#This Row],[Satisfaction Score]]&lt;2,"Low",IF(EmployeeData[[#This Row],[Satisfaction Score]]&lt;3,"Medium","High"))</f>
        <v>High</v>
      </c>
    </row>
    <row r="1002" spans="1:31" x14ac:dyDescent="0.25">
      <c r="A1002" t="s">
        <v>4606</v>
      </c>
      <c r="B1002" t="s">
        <v>4607</v>
      </c>
      <c r="C1002" t="s">
        <v>49</v>
      </c>
      <c r="D1002">
        <v>25</v>
      </c>
      <c r="E1002" t="s">
        <v>197</v>
      </c>
      <c r="F1002" t="s">
        <v>573</v>
      </c>
      <c r="G1002" s="1">
        <v>43341</v>
      </c>
      <c r="H1002">
        <v>76250</v>
      </c>
      <c r="I1002" t="s">
        <v>42</v>
      </c>
      <c r="J1002" t="s">
        <v>53</v>
      </c>
      <c r="K1002" t="s">
        <v>32</v>
      </c>
      <c r="L1002" t="s">
        <v>5459</v>
      </c>
      <c r="M1002">
        <v>31</v>
      </c>
      <c r="N1002" t="s">
        <v>34</v>
      </c>
      <c r="O1002">
        <v>1</v>
      </c>
      <c r="P1002">
        <v>4</v>
      </c>
      <c r="Q1002">
        <v>3</v>
      </c>
      <c r="R1002">
        <v>3</v>
      </c>
      <c r="S1002">
        <v>4</v>
      </c>
      <c r="T1002">
        <v>6</v>
      </c>
      <c r="U1002">
        <v>15</v>
      </c>
      <c r="V1002" t="s">
        <v>4609</v>
      </c>
      <c r="W1002" t="s">
        <v>45</v>
      </c>
      <c r="X1002" s="1">
        <v>45782</v>
      </c>
      <c r="Y1002" s="2" t="str">
        <f>IF(EmployeeData[[#This Row],[Age]]&lt;25,"Under 25",IF(EmployeeData[[#This Row],[Age]]&lt;=34,"25-34",IF(EmployeeData[[#This Row],[Age]]&lt;=44,"35-44",IF(EmployeeData[[#This Row],[Age]]&lt;=54,"45-54","55+"))))</f>
        <v>25-34</v>
      </c>
      <c r="Z1002">
        <f ca="1">DATEDIF(EmployeeData[[#This Row],[DateOfJoining]],IF(AND(EmployeeData[[#This Row],[Attrition]]="Yes",EmployeeData[[#This Row],[LastWorkingDate]]&lt;&gt;""),EmployeeData[[#This Row],[LastWorkingDate]],TODAY()),"Y")</f>
        <v>6</v>
      </c>
      <c r="AA1002" t="str">
        <f>IF(EmployeeData[[#This Row],[MonthlyIncome]]&lt;30000,"Low",IF(EmployeeData[[#This Row],[MonthlyIncome]]&lt;=60000,"Medium",IF(EmployeeData[[#This Row],[MonthlyIncome]]&lt;=100000,"High","Very High")))</f>
        <v>High</v>
      </c>
      <c r="AB1002">
        <f>IF(EmployeeData[[#This Row],[Attrition]]="Yes",1,0)</f>
        <v>1</v>
      </c>
      <c r="AC1002" t="str">
        <f ca="1">IF(EmployeeData[[#This Row],[Tenure Years]]&lt;1,"Less than 1 Year",IF(EmployeeData[[#This Row],[Tenure Years]]&lt;=3,"1-3 Years",IF(EmployeeData[[#This Row],[Tenure Years]]&lt;=5,"4-5 Years",IF(EmployeeData[[#This Row],[Tenure Years]]&lt;=10,"6-10 Years","More than 10 Years"))))</f>
        <v>6-10 Years</v>
      </c>
      <c r="AD1002">
        <f>ROUND(AVERAGE(EmployeeData[[#This Row],[JobSatisfaction]],EmployeeData[[#This Row],[EnvironmentSatisfaction]],EmployeeData[[#This Row],[WorkLifeBalance]]),2)</f>
        <v>2.67</v>
      </c>
      <c r="AE1002" t="str">
        <f>IF(EmployeeData[[#This Row],[Satisfaction Score]]&lt;2,"Low",IF(EmployeeData[[#This Row],[Satisfaction Score]]&lt;3,"Medium","High"))</f>
        <v>Medium</v>
      </c>
    </row>
    <row r="1003" spans="1:31" x14ac:dyDescent="0.25">
      <c r="A1003" t="s">
        <v>4611</v>
      </c>
      <c r="B1003" t="s">
        <v>4612</v>
      </c>
      <c r="C1003" t="s">
        <v>49</v>
      </c>
      <c r="D1003">
        <v>40</v>
      </c>
      <c r="E1003" t="s">
        <v>27</v>
      </c>
      <c r="F1003" t="s">
        <v>188</v>
      </c>
      <c r="G1003" s="1">
        <v>45719</v>
      </c>
      <c r="H1003">
        <v>54918</v>
      </c>
      <c r="I1003" t="s">
        <v>30</v>
      </c>
      <c r="J1003" t="s">
        <v>31</v>
      </c>
      <c r="K1003" t="s">
        <v>113</v>
      </c>
      <c r="L1003" t="s">
        <v>43</v>
      </c>
      <c r="M1003">
        <v>8</v>
      </c>
      <c r="N1003" t="s">
        <v>34</v>
      </c>
      <c r="O1003">
        <v>3</v>
      </c>
      <c r="P1003">
        <v>4</v>
      </c>
      <c r="Q1003">
        <v>4</v>
      </c>
      <c r="R1003">
        <v>4</v>
      </c>
      <c r="S1003">
        <v>5</v>
      </c>
      <c r="T1003">
        <v>6</v>
      </c>
      <c r="U1003">
        <v>11</v>
      </c>
      <c r="V1003" t="s">
        <v>4614</v>
      </c>
      <c r="W1003" t="s">
        <v>34</v>
      </c>
      <c r="Y1003" s="2" t="str">
        <f>IF(EmployeeData[[#This Row],[Age]]&lt;25,"Under 25",IF(EmployeeData[[#This Row],[Age]]&lt;=34,"25-34",IF(EmployeeData[[#This Row],[Age]]&lt;=44,"35-44",IF(EmployeeData[[#This Row],[Age]]&lt;=54,"45-54","55+"))))</f>
        <v>35-44</v>
      </c>
      <c r="Z1003">
        <f ca="1">DATEDIF(EmployeeData[[#This Row],[DateOfJoining]],IF(AND(EmployeeData[[#This Row],[Attrition]]="Yes",EmployeeData[[#This Row],[LastWorkingDate]]&lt;&gt;""),EmployeeData[[#This Row],[LastWorkingDate]],TODAY()),"Y")</f>
        <v>1</v>
      </c>
      <c r="AA1003" t="str">
        <f>IF(EmployeeData[[#This Row],[MonthlyIncome]]&lt;30000,"Low",IF(EmployeeData[[#This Row],[MonthlyIncome]]&lt;=60000,"Medium",IF(EmployeeData[[#This Row],[MonthlyIncome]]&lt;=100000,"High","Very High")))</f>
        <v>Medium</v>
      </c>
      <c r="AB1003">
        <f>IF(EmployeeData[[#This Row],[Attrition]]="Yes",1,0)</f>
        <v>0</v>
      </c>
      <c r="AC1003" t="str">
        <f ca="1">IF(EmployeeData[[#This Row],[Tenure Years]]&lt;1,"Less than 1 Year",IF(EmployeeData[[#This Row],[Tenure Years]]&lt;=3,"1-3 Years",IF(EmployeeData[[#This Row],[Tenure Years]]&lt;=5,"4-5 Years",IF(EmployeeData[[#This Row],[Tenure Years]]&lt;=10,"6-10 Years","More than 10 Years"))))</f>
        <v>1-3 Years</v>
      </c>
      <c r="AD1003">
        <f>ROUND(AVERAGE(EmployeeData[[#This Row],[JobSatisfaction]],EmployeeData[[#This Row],[EnvironmentSatisfaction]],EmployeeData[[#This Row],[WorkLifeBalance]]),2)</f>
        <v>3.67</v>
      </c>
      <c r="AE1003" t="str">
        <f>IF(EmployeeData[[#This Row],[Satisfaction Score]]&lt;2,"Low",IF(EmployeeData[[#This Row],[Satisfaction Score]]&lt;3,"Medium","High"))</f>
        <v>High</v>
      </c>
    </row>
    <row r="1004" spans="1:31" x14ac:dyDescent="0.25">
      <c r="A1004" t="s">
        <v>4615</v>
      </c>
      <c r="B1004" t="s">
        <v>4616</v>
      </c>
      <c r="C1004" t="s">
        <v>49</v>
      </c>
      <c r="D1004">
        <v>32</v>
      </c>
      <c r="E1004" t="s">
        <v>38</v>
      </c>
      <c r="F1004" t="s">
        <v>5462</v>
      </c>
      <c r="G1004" s="1">
        <v>43766</v>
      </c>
      <c r="H1004">
        <v>85569</v>
      </c>
      <c r="I1004" t="s">
        <v>30</v>
      </c>
      <c r="J1004" t="s">
        <v>61</v>
      </c>
      <c r="K1004" t="s">
        <v>77</v>
      </c>
      <c r="L1004" t="s">
        <v>62</v>
      </c>
      <c r="M1004">
        <v>10</v>
      </c>
      <c r="N1004" t="s">
        <v>34</v>
      </c>
      <c r="O1004">
        <v>2</v>
      </c>
      <c r="P1004">
        <v>2</v>
      </c>
      <c r="Q1004">
        <v>3</v>
      </c>
      <c r="R1004">
        <v>2</v>
      </c>
      <c r="S1004">
        <v>3</v>
      </c>
      <c r="T1004">
        <v>0</v>
      </c>
      <c r="U1004">
        <v>18</v>
      </c>
      <c r="V1004" t="s">
        <v>4618</v>
      </c>
      <c r="W1004" t="s">
        <v>34</v>
      </c>
      <c r="Y1004" s="2" t="str">
        <f>IF(EmployeeData[[#This Row],[Age]]&lt;25,"Under 25",IF(EmployeeData[[#This Row],[Age]]&lt;=34,"25-34",IF(EmployeeData[[#This Row],[Age]]&lt;=44,"35-44",IF(EmployeeData[[#This Row],[Age]]&lt;=54,"45-54","55+"))))</f>
        <v>25-34</v>
      </c>
      <c r="Z1004">
        <f ca="1">DATEDIF(EmployeeData[[#This Row],[DateOfJoining]],IF(AND(EmployeeData[[#This Row],[Attrition]]="Yes",EmployeeData[[#This Row],[LastWorkingDate]]&lt;&gt;""),EmployeeData[[#This Row],[LastWorkingDate]],TODAY()),"Y")</f>
        <v>6</v>
      </c>
      <c r="AA1004" t="str">
        <f>IF(EmployeeData[[#This Row],[MonthlyIncome]]&lt;30000,"Low",IF(EmployeeData[[#This Row],[MonthlyIncome]]&lt;=60000,"Medium",IF(EmployeeData[[#This Row],[MonthlyIncome]]&lt;=100000,"High","Very High")))</f>
        <v>High</v>
      </c>
      <c r="AB1004">
        <f>IF(EmployeeData[[#This Row],[Attrition]]="Yes",1,0)</f>
        <v>0</v>
      </c>
      <c r="AC1004" t="str">
        <f ca="1">IF(EmployeeData[[#This Row],[Tenure Years]]&lt;1,"Less than 1 Year",IF(EmployeeData[[#This Row],[Tenure Years]]&lt;=3,"1-3 Years",IF(EmployeeData[[#This Row],[Tenure Years]]&lt;=5,"4-5 Years",IF(EmployeeData[[#This Row],[Tenure Years]]&lt;=10,"6-10 Years","More than 10 Years"))))</f>
        <v>6-10 Years</v>
      </c>
      <c r="AD1004">
        <f>ROUND(AVERAGE(EmployeeData[[#This Row],[JobSatisfaction]],EmployeeData[[#This Row],[EnvironmentSatisfaction]],EmployeeData[[#This Row],[WorkLifeBalance]]),2)</f>
        <v>2.33</v>
      </c>
      <c r="AE1004" t="str">
        <f>IF(EmployeeData[[#This Row],[Satisfaction Score]]&lt;2,"Low",IF(EmployeeData[[#This Row],[Satisfaction Score]]&lt;3,"Medium","High"))</f>
        <v>Medium</v>
      </c>
    </row>
    <row r="1005" spans="1:31" x14ac:dyDescent="0.25">
      <c r="A1005" t="s">
        <v>4619</v>
      </c>
      <c r="B1005" t="s">
        <v>4620</v>
      </c>
      <c r="C1005" t="s">
        <v>58</v>
      </c>
      <c r="D1005">
        <v>38</v>
      </c>
      <c r="E1005" t="s">
        <v>94</v>
      </c>
      <c r="F1005" t="s">
        <v>266</v>
      </c>
      <c r="G1005" s="1">
        <v>45134</v>
      </c>
      <c r="H1005">
        <v>105044</v>
      </c>
      <c r="I1005" t="s">
        <v>30</v>
      </c>
      <c r="J1005" t="s">
        <v>61</v>
      </c>
      <c r="K1005" t="s">
        <v>32</v>
      </c>
      <c r="L1005" t="s">
        <v>43</v>
      </c>
      <c r="M1005">
        <v>30</v>
      </c>
      <c r="N1005" t="s">
        <v>34</v>
      </c>
      <c r="O1005">
        <v>3</v>
      </c>
      <c r="P1005">
        <v>2</v>
      </c>
      <c r="Q1005">
        <v>4</v>
      </c>
      <c r="R1005">
        <v>4</v>
      </c>
      <c r="S1005">
        <v>1</v>
      </c>
      <c r="T1005">
        <v>4</v>
      </c>
      <c r="U1005">
        <v>14</v>
      </c>
      <c r="V1005" t="s">
        <v>5459</v>
      </c>
      <c r="W1005" t="s">
        <v>34</v>
      </c>
      <c r="Y1005" s="2" t="str">
        <f>IF(EmployeeData[[#This Row],[Age]]&lt;25,"Under 25",IF(EmployeeData[[#This Row],[Age]]&lt;=34,"25-34",IF(EmployeeData[[#This Row],[Age]]&lt;=44,"35-44",IF(EmployeeData[[#This Row],[Age]]&lt;=54,"45-54","55+"))))</f>
        <v>35-44</v>
      </c>
      <c r="Z1005">
        <f ca="1">DATEDIF(EmployeeData[[#This Row],[DateOfJoining]],IF(AND(EmployeeData[[#This Row],[Attrition]]="Yes",EmployeeData[[#This Row],[LastWorkingDate]]&lt;&gt;""),EmployeeData[[#This Row],[LastWorkingDate]],TODAY()),"Y")</f>
        <v>3</v>
      </c>
      <c r="AA1005" t="str">
        <f>IF(EmployeeData[[#This Row],[MonthlyIncome]]&lt;30000,"Low",IF(EmployeeData[[#This Row],[MonthlyIncome]]&lt;=60000,"Medium",IF(EmployeeData[[#This Row],[MonthlyIncome]]&lt;=100000,"High","Very High")))</f>
        <v>Very High</v>
      </c>
      <c r="AB1005">
        <f>IF(EmployeeData[[#This Row],[Attrition]]="Yes",1,0)</f>
        <v>0</v>
      </c>
      <c r="AC1005" t="str">
        <f ca="1">IF(EmployeeData[[#This Row],[Tenure Years]]&lt;1,"Less than 1 Year",IF(EmployeeData[[#This Row],[Tenure Years]]&lt;=3,"1-3 Years",IF(EmployeeData[[#This Row],[Tenure Years]]&lt;=5,"4-5 Years",IF(EmployeeData[[#This Row],[Tenure Years]]&lt;=10,"6-10 Years","More than 10 Years"))))</f>
        <v>1-3 Years</v>
      </c>
      <c r="AD1005">
        <f>ROUND(AVERAGE(EmployeeData[[#This Row],[JobSatisfaction]],EmployeeData[[#This Row],[EnvironmentSatisfaction]],EmployeeData[[#This Row],[WorkLifeBalance]]),2)</f>
        <v>3</v>
      </c>
      <c r="AE1005" t="str">
        <f>IF(EmployeeData[[#This Row],[Satisfaction Score]]&lt;2,"Low",IF(EmployeeData[[#This Row],[Satisfaction Score]]&lt;3,"Medium","High"))</f>
        <v>High</v>
      </c>
    </row>
    <row r="1006" spans="1:31" x14ac:dyDescent="0.25">
      <c r="A1006" t="s">
        <v>4622</v>
      </c>
      <c r="B1006" t="s">
        <v>4623</v>
      </c>
      <c r="C1006" t="s">
        <v>5459</v>
      </c>
      <c r="D1006">
        <v>27</v>
      </c>
      <c r="E1006" t="s">
        <v>27</v>
      </c>
      <c r="F1006" t="s">
        <v>50</v>
      </c>
      <c r="G1006" s="1">
        <v>46226</v>
      </c>
      <c r="H1006">
        <v>64476</v>
      </c>
      <c r="I1006" t="s">
        <v>42</v>
      </c>
      <c r="J1006" t="s">
        <v>61</v>
      </c>
      <c r="K1006" t="s">
        <v>5459</v>
      </c>
      <c r="L1006" t="s">
        <v>62</v>
      </c>
      <c r="M1006">
        <v>13</v>
      </c>
      <c r="N1006" t="s">
        <v>34</v>
      </c>
      <c r="O1006">
        <v>4</v>
      </c>
      <c r="P1006">
        <v>1</v>
      </c>
      <c r="Q1006">
        <v>1</v>
      </c>
      <c r="R1006">
        <v>4</v>
      </c>
      <c r="S1006">
        <v>5</v>
      </c>
      <c r="T1006">
        <v>4</v>
      </c>
      <c r="U1006">
        <v>23</v>
      </c>
      <c r="V1006" t="s">
        <v>4624</v>
      </c>
      <c r="W1006" t="s">
        <v>34</v>
      </c>
      <c r="Y1006" s="2" t="str">
        <f>IF(EmployeeData[[#This Row],[Age]]&lt;25,"Under 25",IF(EmployeeData[[#This Row],[Age]]&lt;=34,"25-34",IF(EmployeeData[[#This Row],[Age]]&lt;=44,"35-44",IF(EmployeeData[[#This Row],[Age]]&lt;=54,"45-54","55+"))))</f>
        <v>25-34</v>
      </c>
      <c r="Z1006">
        <f ca="1">DATEDIF(EmployeeData[[#This Row],[DateOfJoining]],IF(AND(EmployeeData[[#This Row],[Attrition]]="Yes",EmployeeData[[#This Row],[LastWorkingDate]]&lt;&gt;""),EmployeeData[[#This Row],[LastWorkingDate]],TODAY()),"Y")</f>
        <v>0</v>
      </c>
      <c r="AA1006" t="str">
        <f>IF(EmployeeData[[#This Row],[MonthlyIncome]]&lt;30000,"Low",IF(EmployeeData[[#This Row],[MonthlyIncome]]&lt;=60000,"Medium",IF(EmployeeData[[#This Row],[MonthlyIncome]]&lt;=100000,"High","Very High")))</f>
        <v>High</v>
      </c>
      <c r="AB1006">
        <f>IF(EmployeeData[[#This Row],[Attrition]]="Yes",1,0)</f>
        <v>0</v>
      </c>
      <c r="AC1006" t="str">
        <f ca="1">IF(EmployeeData[[#This Row],[Tenure Years]]&lt;1,"Less than 1 Year",IF(EmployeeData[[#This Row],[Tenure Years]]&lt;=3,"1-3 Years",IF(EmployeeData[[#This Row],[Tenure Years]]&lt;=5,"4-5 Years",IF(EmployeeData[[#This Row],[Tenure Years]]&lt;=10,"6-10 Years","More than 10 Years"))))</f>
        <v>Less than 1 Year</v>
      </c>
      <c r="AD1006">
        <f>ROUND(AVERAGE(EmployeeData[[#This Row],[JobSatisfaction]],EmployeeData[[#This Row],[EnvironmentSatisfaction]],EmployeeData[[#This Row],[WorkLifeBalance]]),2)</f>
        <v>2</v>
      </c>
      <c r="AE1006" t="str">
        <f>IF(EmployeeData[[#This Row],[Satisfaction Score]]&lt;2,"Low",IF(EmployeeData[[#This Row],[Satisfaction Score]]&lt;3,"Medium","High"))</f>
        <v>Medium</v>
      </c>
    </row>
    <row r="1007" spans="1:31" x14ac:dyDescent="0.25">
      <c r="A1007" t="s">
        <v>4625</v>
      </c>
      <c r="B1007" t="s">
        <v>4626</v>
      </c>
      <c r="C1007" t="s">
        <v>58</v>
      </c>
      <c r="D1007">
        <v>43</v>
      </c>
      <c r="E1007" t="s">
        <v>128</v>
      </c>
      <c r="F1007" t="s">
        <v>226</v>
      </c>
      <c r="G1007" s="1">
        <v>42220</v>
      </c>
      <c r="H1007">
        <v>70717</v>
      </c>
      <c r="I1007" t="s">
        <v>5459</v>
      </c>
      <c r="J1007" t="s">
        <v>5459</v>
      </c>
      <c r="K1007" t="s">
        <v>77</v>
      </c>
      <c r="L1007" t="s">
        <v>33</v>
      </c>
      <c r="M1007">
        <v>30</v>
      </c>
      <c r="N1007" t="s">
        <v>34</v>
      </c>
      <c r="O1007">
        <v>3</v>
      </c>
      <c r="P1007">
        <v>2</v>
      </c>
      <c r="Q1007">
        <v>3</v>
      </c>
      <c r="R1007">
        <v>3</v>
      </c>
      <c r="S1007">
        <v>3</v>
      </c>
      <c r="T1007">
        <v>0</v>
      </c>
      <c r="U1007">
        <v>13</v>
      </c>
      <c r="V1007" t="s">
        <v>4628</v>
      </c>
      <c r="W1007" t="s">
        <v>34</v>
      </c>
      <c r="Y1007" s="2" t="str">
        <f>IF(EmployeeData[[#This Row],[Age]]&lt;25,"Under 25",IF(EmployeeData[[#This Row],[Age]]&lt;=34,"25-34",IF(EmployeeData[[#This Row],[Age]]&lt;=44,"35-44",IF(EmployeeData[[#This Row],[Age]]&lt;=54,"45-54","55+"))))</f>
        <v>35-44</v>
      </c>
      <c r="Z1007">
        <f ca="1">DATEDIF(EmployeeData[[#This Row],[DateOfJoining]],IF(AND(EmployeeData[[#This Row],[Attrition]]="Yes",EmployeeData[[#This Row],[LastWorkingDate]]&lt;&gt;""),EmployeeData[[#This Row],[LastWorkingDate]],TODAY()),"Y")</f>
        <v>11</v>
      </c>
      <c r="AA1007" t="str">
        <f>IF(EmployeeData[[#This Row],[MonthlyIncome]]&lt;30000,"Low",IF(EmployeeData[[#This Row],[MonthlyIncome]]&lt;=60000,"Medium",IF(EmployeeData[[#This Row],[MonthlyIncome]]&lt;=100000,"High","Very High")))</f>
        <v>High</v>
      </c>
      <c r="AB1007">
        <f>IF(EmployeeData[[#This Row],[Attrition]]="Yes",1,0)</f>
        <v>0</v>
      </c>
      <c r="AC1007" t="str">
        <f ca="1">IF(EmployeeData[[#This Row],[Tenure Years]]&lt;1,"Less than 1 Year",IF(EmployeeData[[#This Row],[Tenure Years]]&lt;=3,"1-3 Years",IF(EmployeeData[[#This Row],[Tenure Years]]&lt;=5,"4-5 Years",IF(EmployeeData[[#This Row],[Tenure Years]]&lt;=10,"6-10 Years","More than 10 Years"))))</f>
        <v>More than 10 Years</v>
      </c>
      <c r="AD1007">
        <f>ROUND(AVERAGE(EmployeeData[[#This Row],[JobSatisfaction]],EmployeeData[[#This Row],[EnvironmentSatisfaction]],EmployeeData[[#This Row],[WorkLifeBalance]]),2)</f>
        <v>2.67</v>
      </c>
      <c r="AE1007" t="str">
        <f>IF(EmployeeData[[#This Row],[Satisfaction Score]]&lt;2,"Low",IF(EmployeeData[[#This Row],[Satisfaction Score]]&lt;3,"Medium","High"))</f>
        <v>Medium</v>
      </c>
    </row>
    <row r="1008" spans="1:31" x14ac:dyDescent="0.25">
      <c r="A1008" t="s">
        <v>4629</v>
      </c>
      <c r="B1008" t="s">
        <v>4630</v>
      </c>
      <c r="C1008" t="s">
        <v>58</v>
      </c>
      <c r="D1008">
        <v>22</v>
      </c>
      <c r="E1008" t="s">
        <v>412</v>
      </c>
      <c r="F1008" t="s">
        <v>945</v>
      </c>
      <c r="G1008" s="1">
        <v>41557</v>
      </c>
      <c r="H1008">
        <v>78190</v>
      </c>
      <c r="I1008" t="s">
        <v>42</v>
      </c>
      <c r="J1008" t="s">
        <v>61</v>
      </c>
      <c r="K1008" t="s">
        <v>113</v>
      </c>
      <c r="L1008" t="s">
        <v>62</v>
      </c>
      <c r="M1008">
        <v>44</v>
      </c>
      <c r="N1008" t="s">
        <v>34</v>
      </c>
      <c r="O1008">
        <v>3</v>
      </c>
      <c r="P1008">
        <v>3</v>
      </c>
      <c r="Q1008">
        <v>4</v>
      </c>
      <c r="R1008">
        <v>4</v>
      </c>
      <c r="S1008">
        <v>6</v>
      </c>
      <c r="T1008">
        <v>1</v>
      </c>
      <c r="U1008">
        <v>23</v>
      </c>
      <c r="V1008" t="s">
        <v>4632</v>
      </c>
      <c r="W1008" t="s">
        <v>34</v>
      </c>
      <c r="Y1008" s="2" t="str">
        <f>IF(EmployeeData[[#This Row],[Age]]&lt;25,"Under 25",IF(EmployeeData[[#This Row],[Age]]&lt;=34,"25-34",IF(EmployeeData[[#This Row],[Age]]&lt;=44,"35-44",IF(EmployeeData[[#This Row],[Age]]&lt;=54,"45-54","55+"))))</f>
        <v>Under 25</v>
      </c>
      <c r="Z1008">
        <f ca="1">DATEDIF(EmployeeData[[#This Row],[DateOfJoining]],IF(AND(EmployeeData[[#This Row],[Attrition]]="Yes",EmployeeData[[#This Row],[LastWorkingDate]]&lt;&gt;""),EmployeeData[[#This Row],[LastWorkingDate]],TODAY()),"Y")</f>
        <v>12</v>
      </c>
      <c r="AA1008" t="str">
        <f>IF(EmployeeData[[#This Row],[MonthlyIncome]]&lt;30000,"Low",IF(EmployeeData[[#This Row],[MonthlyIncome]]&lt;=60000,"Medium",IF(EmployeeData[[#This Row],[MonthlyIncome]]&lt;=100000,"High","Very High")))</f>
        <v>High</v>
      </c>
      <c r="AB1008">
        <f>IF(EmployeeData[[#This Row],[Attrition]]="Yes",1,0)</f>
        <v>0</v>
      </c>
      <c r="AC1008" t="str">
        <f ca="1">IF(EmployeeData[[#This Row],[Tenure Years]]&lt;1,"Less than 1 Year",IF(EmployeeData[[#This Row],[Tenure Years]]&lt;=3,"1-3 Years",IF(EmployeeData[[#This Row],[Tenure Years]]&lt;=5,"4-5 Years",IF(EmployeeData[[#This Row],[Tenure Years]]&lt;=10,"6-10 Years","More than 10 Years"))))</f>
        <v>More than 10 Years</v>
      </c>
      <c r="AD1008">
        <f>ROUND(AVERAGE(EmployeeData[[#This Row],[JobSatisfaction]],EmployeeData[[#This Row],[EnvironmentSatisfaction]],EmployeeData[[#This Row],[WorkLifeBalance]]),2)</f>
        <v>3.33</v>
      </c>
      <c r="AE1008" t="str">
        <f>IF(EmployeeData[[#This Row],[Satisfaction Score]]&lt;2,"Low",IF(EmployeeData[[#This Row],[Satisfaction Score]]&lt;3,"Medium","High"))</f>
        <v>High</v>
      </c>
    </row>
    <row r="1009" spans="1:31" x14ac:dyDescent="0.25">
      <c r="A1009" t="s">
        <v>4633</v>
      </c>
      <c r="B1009" t="s">
        <v>4634</v>
      </c>
      <c r="C1009" t="s">
        <v>58</v>
      </c>
      <c r="D1009">
        <v>29</v>
      </c>
      <c r="E1009" t="s">
        <v>412</v>
      </c>
      <c r="F1009" t="s">
        <v>828</v>
      </c>
      <c r="G1009" s="1">
        <v>41743</v>
      </c>
      <c r="H1009">
        <v>82910</v>
      </c>
      <c r="I1009" t="s">
        <v>30</v>
      </c>
      <c r="J1009" t="s">
        <v>143</v>
      </c>
      <c r="K1009" t="s">
        <v>77</v>
      </c>
      <c r="L1009" t="s">
        <v>33</v>
      </c>
      <c r="M1009">
        <v>12</v>
      </c>
      <c r="N1009" t="s">
        <v>34</v>
      </c>
      <c r="O1009">
        <v>2</v>
      </c>
      <c r="P1009">
        <v>3</v>
      </c>
      <c r="Q1009">
        <v>2</v>
      </c>
      <c r="R1009">
        <v>3</v>
      </c>
      <c r="S1009">
        <v>0</v>
      </c>
      <c r="T1009">
        <v>0</v>
      </c>
      <c r="U1009">
        <v>14</v>
      </c>
      <c r="V1009" t="s">
        <v>4636</v>
      </c>
      <c r="W1009" t="s">
        <v>34</v>
      </c>
      <c r="Y1009" s="2" t="str">
        <f>IF(EmployeeData[[#This Row],[Age]]&lt;25,"Under 25",IF(EmployeeData[[#This Row],[Age]]&lt;=34,"25-34",IF(EmployeeData[[#This Row],[Age]]&lt;=44,"35-44",IF(EmployeeData[[#This Row],[Age]]&lt;=54,"45-54","55+"))))</f>
        <v>25-34</v>
      </c>
      <c r="Z1009">
        <f ca="1">DATEDIF(EmployeeData[[#This Row],[DateOfJoining]],IF(AND(EmployeeData[[#This Row],[Attrition]]="Yes",EmployeeData[[#This Row],[LastWorkingDate]]&lt;&gt;""),EmployeeData[[#This Row],[LastWorkingDate]],TODAY()),"Y")</f>
        <v>12</v>
      </c>
      <c r="AA1009" t="str">
        <f>IF(EmployeeData[[#This Row],[MonthlyIncome]]&lt;30000,"Low",IF(EmployeeData[[#This Row],[MonthlyIncome]]&lt;=60000,"Medium",IF(EmployeeData[[#This Row],[MonthlyIncome]]&lt;=100000,"High","Very High")))</f>
        <v>High</v>
      </c>
      <c r="AB1009">
        <f>IF(EmployeeData[[#This Row],[Attrition]]="Yes",1,0)</f>
        <v>0</v>
      </c>
      <c r="AC1009" t="str">
        <f ca="1">IF(EmployeeData[[#This Row],[Tenure Years]]&lt;1,"Less than 1 Year",IF(EmployeeData[[#This Row],[Tenure Years]]&lt;=3,"1-3 Years",IF(EmployeeData[[#This Row],[Tenure Years]]&lt;=5,"4-5 Years",IF(EmployeeData[[#This Row],[Tenure Years]]&lt;=10,"6-10 Years","More than 10 Years"))))</f>
        <v>More than 10 Years</v>
      </c>
      <c r="AD1009">
        <f>ROUND(AVERAGE(EmployeeData[[#This Row],[JobSatisfaction]],EmployeeData[[#This Row],[EnvironmentSatisfaction]],EmployeeData[[#This Row],[WorkLifeBalance]]),2)</f>
        <v>2.33</v>
      </c>
      <c r="AE1009" t="str">
        <f>IF(EmployeeData[[#This Row],[Satisfaction Score]]&lt;2,"Low",IF(EmployeeData[[#This Row],[Satisfaction Score]]&lt;3,"Medium","High"))</f>
        <v>Medium</v>
      </c>
    </row>
    <row r="1010" spans="1:31" x14ac:dyDescent="0.25">
      <c r="A1010" t="s">
        <v>4637</v>
      </c>
      <c r="B1010" t="s">
        <v>4638</v>
      </c>
      <c r="C1010" t="s">
        <v>58</v>
      </c>
      <c r="D1010">
        <v>29</v>
      </c>
      <c r="E1010" t="s">
        <v>128</v>
      </c>
      <c r="F1010" t="s">
        <v>271</v>
      </c>
      <c r="G1010" s="1">
        <v>45955</v>
      </c>
      <c r="H1010">
        <v>71134</v>
      </c>
      <c r="I1010" t="s">
        <v>52</v>
      </c>
      <c r="J1010" t="s">
        <v>61</v>
      </c>
      <c r="K1010" t="s">
        <v>113</v>
      </c>
      <c r="L1010" t="s">
        <v>43</v>
      </c>
      <c r="M1010">
        <v>23</v>
      </c>
      <c r="N1010" t="s">
        <v>34</v>
      </c>
      <c r="O1010">
        <v>1</v>
      </c>
      <c r="P1010">
        <v>1</v>
      </c>
      <c r="Q1010">
        <v>2</v>
      </c>
      <c r="R1010">
        <v>4</v>
      </c>
      <c r="S1010">
        <v>0</v>
      </c>
      <c r="T1010">
        <v>6</v>
      </c>
      <c r="U1010">
        <v>19</v>
      </c>
      <c r="V1010" t="s">
        <v>4639</v>
      </c>
      <c r="W1010" t="s">
        <v>45</v>
      </c>
      <c r="X1010" s="1">
        <v>46053</v>
      </c>
      <c r="Y1010" s="2" t="str">
        <f>IF(EmployeeData[[#This Row],[Age]]&lt;25,"Under 25",IF(EmployeeData[[#This Row],[Age]]&lt;=34,"25-34",IF(EmployeeData[[#This Row],[Age]]&lt;=44,"35-44",IF(EmployeeData[[#This Row],[Age]]&lt;=54,"45-54","55+"))))</f>
        <v>25-34</v>
      </c>
      <c r="Z1010">
        <f ca="1">DATEDIF(EmployeeData[[#This Row],[DateOfJoining]],IF(AND(EmployeeData[[#This Row],[Attrition]]="Yes",EmployeeData[[#This Row],[LastWorkingDate]]&lt;&gt;""),EmployeeData[[#This Row],[LastWorkingDate]],TODAY()),"Y")</f>
        <v>0</v>
      </c>
      <c r="AA1010" t="str">
        <f>IF(EmployeeData[[#This Row],[MonthlyIncome]]&lt;30000,"Low",IF(EmployeeData[[#This Row],[MonthlyIncome]]&lt;=60000,"Medium",IF(EmployeeData[[#This Row],[MonthlyIncome]]&lt;=100000,"High","Very High")))</f>
        <v>High</v>
      </c>
      <c r="AB1010">
        <f>IF(EmployeeData[[#This Row],[Attrition]]="Yes",1,0)</f>
        <v>1</v>
      </c>
      <c r="AC1010" t="str">
        <f ca="1">IF(EmployeeData[[#This Row],[Tenure Years]]&lt;1,"Less than 1 Year",IF(EmployeeData[[#This Row],[Tenure Years]]&lt;=3,"1-3 Years",IF(EmployeeData[[#This Row],[Tenure Years]]&lt;=5,"4-5 Years",IF(EmployeeData[[#This Row],[Tenure Years]]&lt;=10,"6-10 Years","More than 10 Years"))))</f>
        <v>Less than 1 Year</v>
      </c>
      <c r="AD1010">
        <f>ROUND(AVERAGE(EmployeeData[[#This Row],[JobSatisfaction]],EmployeeData[[#This Row],[EnvironmentSatisfaction]],EmployeeData[[#This Row],[WorkLifeBalance]]),2)</f>
        <v>1.33</v>
      </c>
      <c r="AE1010" t="str">
        <f>IF(EmployeeData[[#This Row],[Satisfaction Score]]&lt;2,"Low",IF(EmployeeData[[#This Row],[Satisfaction Score]]&lt;3,"Medium","High"))</f>
        <v>Low</v>
      </c>
    </row>
    <row r="1011" spans="1:31" x14ac:dyDescent="0.25">
      <c r="A1011" t="s">
        <v>4641</v>
      </c>
      <c r="B1011" t="s">
        <v>4642</v>
      </c>
      <c r="C1011" t="s">
        <v>58</v>
      </c>
      <c r="D1011">
        <v>34</v>
      </c>
      <c r="E1011" t="s">
        <v>27</v>
      </c>
      <c r="F1011" t="s">
        <v>75</v>
      </c>
      <c r="G1011" s="1">
        <v>46033</v>
      </c>
      <c r="H1011">
        <v>113404</v>
      </c>
      <c r="I1011" t="s">
        <v>42</v>
      </c>
      <c r="J1011" t="s">
        <v>61</v>
      </c>
      <c r="K1011" t="s">
        <v>83</v>
      </c>
      <c r="L1011" t="s">
        <v>43</v>
      </c>
      <c r="M1011">
        <v>37</v>
      </c>
      <c r="N1011" t="s">
        <v>34</v>
      </c>
      <c r="O1011">
        <v>3</v>
      </c>
      <c r="P1011">
        <v>3</v>
      </c>
      <c r="Q1011">
        <v>1</v>
      </c>
      <c r="R1011">
        <v>3</v>
      </c>
      <c r="S1011">
        <v>3</v>
      </c>
      <c r="T1011">
        <v>2</v>
      </c>
      <c r="U1011">
        <v>24</v>
      </c>
      <c r="V1011" t="s">
        <v>3008</v>
      </c>
      <c r="W1011" t="s">
        <v>34</v>
      </c>
      <c r="Y1011" s="2" t="str">
        <f>IF(EmployeeData[[#This Row],[Age]]&lt;25,"Under 25",IF(EmployeeData[[#This Row],[Age]]&lt;=34,"25-34",IF(EmployeeData[[#This Row],[Age]]&lt;=44,"35-44",IF(EmployeeData[[#This Row],[Age]]&lt;=54,"45-54","55+"))))</f>
        <v>25-34</v>
      </c>
      <c r="Z1011">
        <f ca="1">DATEDIF(EmployeeData[[#This Row],[DateOfJoining]],IF(AND(EmployeeData[[#This Row],[Attrition]]="Yes",EmployeeData[[#This Row],[LastWorkingDate]]&lt;&gt;""),EmployeeData[[#This Row],[LastWorkingDate]],TODAY()),"Y")</f>
        <v>0</v>
      </c>
      <c r="AA1011" t="str">
        <f>IF(EmployeeData[[#This Row],[MonthlyIncome]]&lt;30000,"Low",IF(EmployeeData[[#This Row],[MonthlyIncome]]&lt;=60000,"Medium",IF(EmployeeData[[#This Row],[MonthlyIncome]]&lt;=100000,"High","Very High")))</f>
        <v>Very High</v>
      </c>
      <c r="AB1011">
        <f>IF(EmployeeData[[#This Row],[Attrition]]="Yes",1,0)</f>
        <v>0</v>
      </c>
      <c r="AC1011" t="str">
        <f ca="1">IF(EmployeeData[[#This Row],[Tenure Years]]&lt;1,"Less than 1 Year",IF(EmployeeData[[#This Row],[Tenure Years]]&lt;=3,"1-3 Years",IF(EmployeeData[[#This Row],[Tenure Years]]&lt;=5,"4-5 Years",IF(EmployeeData[[#This Row],[Tenure Years]]&lt;=10,"6-10 Years","More than 10 Years"))))</f>
        <v>Less than 1 Year</v>
      </c>
      <c r="AD1011">
        <f>ROUND(AVERAGE(EmployeeData[[#This Row],[JobSatisfaction]],EmployeeData[[#This Row],[EnvironmentSatisfaction]],EmployeeData[[#This Row],[WorkLifeBalance]]),2)</f>
        <v>2.33</v>
      </c>
      <c r="AE1011" t="str">
        <f>IF(EmployeeData[[#This Row],[Satisfaction Score]]&lt;2,"Low",IF(EmployeeData[[#This Row],[Satisfaction Score]]&lt;3,"Medium","High"))</f>
        <v>Medium</v>
      </c>
    </row>
    <row r="1012" spans="1:31" x14ac:dyDescent="0.25">
      <c r="A1012" t="s">
        <v>4645</v>
      </c>
      <c r="B1012" t="s">
        <v>4646</v>
      </c>
      <c r="C1012" t="s">
        <v>58</v>
      </c>
      <c r="D1012">
        <v>28</v>
      </c>
      <c r="E1012" t="s">
        <v>27</v>
      </c>
      <c r="F1012" t="s">
        <v>50</v>
      </c>
      <c r="G1012" s="1">
        <v>44862</v>
      </c>
      <c r="H1012">
        <v>58116</v>
      </c>
      <c r="I1012" t="s">
        <v>30</v>
      </c>
      <c r="J1012" t="s">
        <v>97</v>
      </c>
      <c r="K1012" t="s">
        <v>98</v>
      </c>
      <c r="L1012" t="s">
        <v>33</v>
      </c>
      <c r="M1012">
        <v>34</v>
      </c>
      <c r="N1012" t="s">
        <v>34</v>
      </c>
      <c r="O1012">
        <v>2</v>
      </c>
      <c r="P1012">
        <v>3</v>
      </c>
      <c r="Q1012">
        <v>3</v>
      </c>
      <c r="R1012">
        <v>3</v>
      </c>
      <c r="S1012">
        <v>4</v>
      </c>
      <c r="T1012">
        <v>3</v>
      </c>
      <c r="U1012">
        <v>17</v>
      </c>
      <c r="V1012" t="s">
        <v>5459</v>
      </c>
      <c r="W1012" t="s">
        <v>34</v>
      </c>
      <c r="Y1012" s="2" t="str">
        <f>IF(EmployeeData[[#This Row],[Age]]&lt;25,"Under 25",IF(EmployeeData[[#This Row],[Age]]&lt;=34,"25-34",IF(EmployeeData[[#This Row],[Age]]&lt;=44,"35-44",IF(EmployeeData[[#This Row],[Age]]&lt;=54,"45-54","55+"))))</f>
        <v>25-34</v>
      </c>
      <c r="Z1012">
        <f ca="1">DATEDIF(EmployeeData[[#This Row],[DateOfJoining]],IF(AND(EmployeeData[[#This Row],[Attrition]]="Yes",EmployeeData[[#This Row],[LastWorkingDate]]&lt;&gt;""),EmployeeData[[#This Row],[LastWorkingDate]],TODAY()),"Y")</f>
        <v>3</v>
      </c>
      <c r="AA1012" t="str">
        <f>IF(EmployeeData[[#This Row],[MonthlyIncome]]&lt;30000,"Low",IF(EmployeeData[[#This Row],[MonthlyIncome]]&lt;=60000,"Medium",IF(EmployeeData[[#This Row],[MonthlyIncome]]&lt;=100000,"High","Very High")))</f>
        <v>Medium</v>
      </c>
      <c r="AB1012">
        <f>IF(EmployeeData[[#This Row],[Attrition]]="Yes",1,0)</f>
        <v>0</v>
      </c>
      <c r="AC1012" t="str">
        <f ca="1">IF(EmployeeData[[#This Row],[Tenure Years]]&lt;1,"Less than 1 Year",IF(EmployeeData[[#This Row],[Tenure Years]]&lt;=3,"1-3 Years",IF(EmployeeData[[#This Row],[Tenure Years]]&lt;=5,"4-5 Years",IF(EmployeeData[[#This Row],[Tenure Years]]&lt;=10,"6-10 Years","More than 10 Years"))))</f>
        <v>1-3 Years</v>
      </c>
      <c r="AD1012">
        <f>ROUND(AVERAGE(EmployeeData[[#This Row],[JobSatisfaction]],EmployeeData[[#This Row],[EnvironmentSatisfaction]],EmployeeData[[#This Row],[WorkLifeBalance]]),2)</f>
        <v>2.67</v>
      </c>
      <c r="AE1012" t="str">
        <f>IF(EmployeeData[[#This Row],[Satisfaction Score]]&lt;2,"Low",IF(EmployeeData[[#This Row],[Satisfaction Score]]&lt;3,"Medium","High"))</f>
        <v>Medium</v>
      </c>
    </row>
    <row r="1013" spans="1:31" x14ac:dyDescent="0.25">
      <c r="A1013" t="s">
        <v>4648</v>
      </c>
      <c r="B1013" t="s">
        <v>4649</v>
      </c>
      <c r="C1013" t="s">
        <v>58</v>
      </c>
      <c r="D1013">
        <v>53</v>
      </c>
      <c r="E1013" t="s">
        <v>197</v>
      </c>
      <c r="F1013" t="s">
        <v>573</v>
      </c>
      <c r="G1013" s="1">
        <v>45324</v>
      </c>
      <c r="H1013">
        <v>77806</v>
      </c>
      <c r="I1013" t="s">
        <v>42</v>
      </c>
      <c r="J1013" t="s">
        <v>61</v>
      </c>
      <c r="K1013" t="s">
        <v>200</v>
      </c>
      <c r="L1013" t="s">
        <v>33</v>
      </c>
      <c r="M1013">
        <v>39</v>
      </c>
      <c r="N1013" t="s">
        <v>34</v>
      </c>
      <c r="O1013">
        <v>3</v>
      </c>
      <c r="P1013">
        <v>4</v>
      </c>
      <c r="Q1013">
        <v>3</v>
      </c>
      <c r="R1013">
        <v>2</v>
      </c>
      <c r="S1013">
        <v>1</v>
      </c>
      <c r="T1013">
        <v>2</v>
      </c>
      <c r="U1013">
        <v>12</v>
      </c>
      <c r="V1013" t="s">
        <v>4651</v>
      </c>
      <c r="W1013" t="s">
        <v>34</v>
      </c>
      <c r="Y1013" s="2" t="str">
        <f>IF(EmployeeData[[#This Row],[Age]]&lt;25,"Under 25",IF(EmployeeData[[#This Row],[Age]]&lt;=34,"25-34",IF(EmployeeData[[#This Row],[Age]]&lt;=44,"35-44",IF(EmployeeData[[#This Row],[Age]]&lt;=54,"45-54","55+"))))</f>
        <v>45-54</v>
      </c>
      <c r="Z1013">
        <f ca="1">DATEDIF(EmployeeData[[#This Row],[DateOfJoining]],IF(AND(EmployeeData[[#This Row],[Attrition]]="Yes",EmployeeData[[#This Row],[LastWorkingDate]]&lt;&gt;""),EmployeeData[[#This Row],[LastWorkingDate]],TODAY()),"Y")</f>
        <v>2</v>
      </c>
      <c r="AA1013" t="str">
        <f>IF(EmployeeData[[#This Row],[MonthlyIncome]]&lt;30000,"Low",IF(EmployeeData[[#This Row],[MonthlyIncome]]&lt;=60000,"Medium",IF(EmployeeData[[#This Row],[MonthlyIncome]]&lt;=100000,"High","Very High")))</f>
        <v>High</v>
      </c>
      <c r="AB1013">
        <f>IF(EmployeeData[[#This Row],[Attrition]]="Yes",1,0)</f>
        <v>0</v>
      </c>
      <c r="AC1013" t="str">
        <f ca="1">IF(EmployeeData[[#This Row],[Tenure Years]]&lt;1,"Less than 1 Year",IF(EmployeeData[[#This Row],[Tenure Years]]&lt;=3,"1-3 Years",IF(EmployeeData[[#This Row],[Tenure Years]]&lt;=5,"4-5 Years",IF(EmployeeData[[#This Row],[Tenure Years]]&lt;=10,"6-10 Years","More than 10 Years"))))</f>
        <v>1-3 Years</v>
      </c>
      <c r="AD1013">
        <f>ROUND(AVERAGE(EmployeeData[[#This Row],[JobSatisfaction]],EmployeeData[[#This Row],[EnvironmentSatisfaction]],EmployeeData[[#This Row],[WorkLifeBalance]]),2)</f>
        <v>3.33</v>
      </c>
      <c r="AE1013" t="str">
        <f>IF(EmployeeData[[#This Row],[Satisfaction Score]]&lt;2,"Low",IF(EmployeeData[[#This Row],[Satisfaction Score]]&lt;3,"Medium","High"))</f>
        <v>High</v>
      </c>
    </row>
    <row r="1014" spans="1:31" x14ac:dyDescent="0.25">
      <c r="A1014" t="s">
        <v>4652</v>
      </c>
      <c r="B1014" t="s">
        <v>4653</v>
      </c>
      <c r="C1014" t="s">
        <v>58</v>
      </c>
      <c r="D1014">
        <v>38</v>
      </c>
      <c r="E1014" t="s">
        <v>27</v>
      </c>
      <c r="F1014" t="s">
        <v>75</v>
      </c>
      <c r="G1014" s="1">
        <v>45426</v>
      </c>
      <c r="H1014">
        <v>97841</v>
      </c>
      <c r="I1014" t="s">
        <v>52</v>
      </c>
      <c r="J1014" t="s">
        <v>61</v>
      </c>
      <c r="K1014" t="s">
        <v>32</v>
      </c>
      <c r="L1014" t="s">
        <v>62</v>
      </c>
      <c r="M1014">
        <v>21</v>
      </c>
      <c r="N1014" t="s">
        <v>34</v>
      </c>
      <c r="O1014">
        <v>3</v>
      </c>
      <c r="P1014">
        <v>2</v>
      </c>
      <c r="Q1014">
        <v>1</v>
      </c>
      <c r="R1014">
        <v>3</v>
      </c>
      <c r="S1014">
        <v>6</v>
      </c>
      <c r="T1014">
        <v>7</v>
      </c>
      <c r="U1014">
        <v>19</v>
      </c>
      <c r="V1014" t="s">
        <v>5459</v>
      </c>
      <c r="W1014" t="s">
        <v>34</v>
      </c>
      <c r="Y1014" s="2" t="str">
        <f>IF(EmployeeData[[#This Row],[Age]]&lt;25,"Under 25",IF(EmployeeData[[#This Row],[Age]]&lt;=34,"25-34",IF(EmployeeData[[#This Row],[Age]]&lt;=44,"35-44",IF(EmployeeData[[#This Row],[Age]]&lt;=54,"45-54","55+"))))</f>
        <v>35-44</v>
      </c>
      <c r="Z1014">
        <f ca="1">DATEDIF(EmployeeData[[#This Row],[DateOfJoining]],IF(AND(EmployeeData[[#This Row],[Attrition]]="Yes",EmployeeData[[#This Row],[LastWorkingDate]]&lt;&gt;""),EmployeeData[[#This Row],[LastWorkingDate]],TODAY()),"Y")</f>
        <v>2</v>
      </c>
      <c r="AA1014" t="str">
        <f>IF(EmployeeData[[#This Row],[MonthlyIncome]]&lt;30000,"Low",IF(EmployeeData[[#This Row],[MonthlyIncome]]&lt;=60000,"Medium",IF(EmployeeData[[#This Row],[MonthlyIncome]]&lt;=100000,"High","Very High")))</f>
        <v>High</v>
      </c>
      <c r="AB1014">
        <f>IF(EmployeeData[[#This Row],[Attrition]]="Yes",1,0)</f>
        <v>0</v>
      </c>
      <c r="AC1014" t="str">
        <f ca="1">IF(EmployeeData[[#This Row],[Tenure Years]]&lt;1,"Less than 1 Year",IF(EmployeeData[[#This Row],[Tenure Years]]&lt;=3,"1-3 Years",IF(EmployeeData[[#This Row],[Tenure Years]]&lt;=5,"4-5 Years",IF(EmployeeData[[#This Row],[Tenure Years]]&lt;=10,"6-10 Years","More than 10 Years"))))</f>
        <v>1-3 Years</v>
      </c>
      <c r="AD1014">
        <f>ROUND(AVERAGE(EmployeeData[[#This Row],[JobSatisfaction]],EmployeeData[[#This Row],[EnvironmentSatisfaction]],EmployeeData[[#This Row],[WorkLifeBalance]]),2)</f>
        <v>2</v>
      </c>
      <c r="AE1014" t="str">
        <f>IF(EmployeeData[[#This Row],[Satisfaction Score]]&lt;2,"Low",IF(EmployeeData[[#This Row],[Satisfaction Score]]&lt;3,"Medium","High"))</f>
        <v>Medium</v>
      </c>
    </row>
    <row r="1015" spans="1:31" x14ac:dyDescent="0.25">
      <c r="A1015" t="s">
        <v>4655</v>
      </c>
      <c r="B1015" t="s">
        <v>4656</v>
      </c>
      <c r="C1015" t="s">
        <v>58</v>
      </c>
      <c r="D1015">
        <v>24</v>
      </c>
      <c r="E1015" t="s">
        <v>128</v>
      </c>
      <c r="F1015" t="s">
        <v>226</v>
      </c>
      <c r="G1015" s="1">
        <v>41390</v>
      </c>
      <c r="H1015">
        <v>67123</v>
      </c>
      <c r="I1015" t="s">
        <v>30</v>
      </c>
      <c r="J1015" t="s">
        <v>31</v>
      </c>
      <c r="K1015" t="s">
        <v>167</v>
      </c>
      <c r="L1015" t="s">
        <v>5459</v>
      </c>
      <c r="M1015">
        <v>22</v>
      </c>
      <c r="N1015" t="s">
        <v>45</v>
      </c>
      <c r="O1015">
        <v>1</v>
      </c>
      <c r="P1015">
        <v>1</v>
      </c>
      <c r="Q1015">
        <v>1</v>
      </c>
      <c r="R1015">
        <v>3</v>
      </c>
      <c r="S1015">
        <v>1</v>
      </c>
      <c r="T1015">
        <v>4</v>
      </c>
      <c r="U1015">
        <v>11</v>
      </c>
      <c r="V1015" t="s">
        <v>4658</v>
      </c>
      <c r="W1015" t="s">
        <v>45</v>
      </c>
      <c r="X1015" s="1">
        <v>45953</v>
      </c>
      <c r="Y1015" s="2" t="str">
        <f>IF(EmployeeData[[#This Row],[Age]]&lt;25,"Under 25",IF(EmployeeData[[#This Row],[Age]]&lt;=34,"25-34",IF(EmployeeData[[#This Row],[Age]]&lt;=44,"35-44",IF(EmployeeData[[#This Row],[Age]]&lt;=54,"45-54","55+"))))</f>
        <v>Under 25</v>
      </c>
      <c r="Z1015">
        <f ca="1">DATEDIF(EmployeeData[[#This Row],[DateOfJoining]],IF(AND(EmployeeData[[#This Row],[Attrition]]="Yes",EmployeeData[[#This Row],[LastWorkingDate]]&lt;&gt;""),EmployeeData[[#This Row],[LastWorkingDate]],TODAY()),"Y")</f>
        <v>12</v>
      </c>
      <c r="AA1015" t="str">
        <f>IF(EmployeeData[[#This Row],[MonthlyIncome]]&lt;30000,"Low",IF(EmployeeData[[#This Row],[MonthlyIncome]]&lt;=60000,"Medium",IF(EmployeeData[[#This Row],[MonthlyIncome]]&lt;=100000,"High","Very High")))</f>
        <v>High</v>
      </c>
      <c r="AB1015">
        <f>IF(EmployeeData[[#This Row],[Attrition]]="Yes",1,0)</f>
        <v>1</v>
      </c>
      <c r="AC1015" t="str">
        <f ca="1">IF(EmployeeData[[#This Row],[Tenure Years]]&lt;1,"Less than 1 Year",IF(EmployeeData[[#This Row],[Tenure Years]]&lt;=3,"1-3 Years",IF(EmployeeData[[#This Row],[Tenure Years]]&lt;=5,"4-5 Years",IF(EmployeeData[[#This Row],[Tenure Years]]&lt;=10,"6-10 Years","More than 10 Years"))))</f>
        <v>More than 10 Years</v>
      </c>
      <c r="AD1015">
        <f>ROUND(AVERAGE(EmployeeData[[#This Row],[JobSatisfaction]],EmployeeData[[#This Row],[EnvironmentSatisfaction]],EmployeeData[[#This Row],[WorkLifeBalance]]),2)</f>
        <v>1</v>
      </c>
      <c r="AE1015" t="str">
        <f>IF(EmployeeData[[#This Row],[Satisfaction Score]]&lt;2,"Low",IF(EmployeeData[[#This Row],[Satisfaction Score]]&lt;3,"Medium","High"))</f>
        <v>Low</v>
      </c>
    </row>
    <row r="1016" spans="1:31" x14ac:dyDescent="0.25">
      <c r="A1016" t="s">
        <v>4660</v>
      </c>
      <c r="B1016" t="s">
        <v>4661</v>
      </c>
      <c r="C1016" t="s">
        <v>58</v>
      </c>
      <c r="D1016">
        <v>45</v>
      </c>
      <c r="E1016" t="s">
        <v>128</v>
      </c>
      <c r="F1016" t="s">
        <v>123</v>
      </c>
      <c r="G1016" s="1">
        <v>42914</v>
      </c>
      <c r="H1016">
        <v>77519</v>
      </c>
      <c r="I1016" t="s">
        <v>30</v>
      </c>
      <c r="J1016" t="s">
        <v>31</v>
      </c>
      <c r="K1016" t="s">
        <v>77</v>
      </c>
      <c r="L1016" t="s">
        <v>62</v>
      </c>
      <c r="M1016">
        <v>5</v>
      </c>
      <c r="N1016" t="s">
        <v>34</v>
      </c>
      <c r="O1016">
        <v>3</v>
      </c>
      <c r="P1016">
        <v>2</v>
      </c>
      <c r="Q1016">
        <v>3</v>
      </c>
      <c r="R1016">
        <v>5</v>
      </c>
      <c r="S1016">
        <v>2</v>
      </c>
      <c r="T1016">
        <v>4</v>
      </c>
      <c r="U1016">
        <v>14</v>
      </c>
      <c r="V1016" t="s">
        <v>4664</v>
      </c>
      <c r="W1016" t="s">
        <v>34</v>
      </c>
      <c r="Y1016" s="2" t="str">
        <f>IF(EmployeeData[[#This Row],[Age]]&lt;25,"Under 25",IF(EmployeeData[[#This Row],[Age]]&lt;=34,"25-34",IF(EmployeeData[[#This Row],[Age]]&lt;=44,"35-44",IF(EmployeeData[[#This Row],[Age]]&lt;=54,"45-54","55+"))))</f>
        <v>45-54</v>
      </c>
      <c r="Z1016">
        <f ca="1">DATEDIF(EmployeeData[[#This Row],[DateOfJoining]],IF(AND(EmployeeData[[#This Row],[Attrition]]="Yes",EmployeeData[[#This Row],[LastWorkingDate]]&lt;&gt;""),EmployeeData[[#This Row],[LastWorkingDate]],TODAY()),"Y")</f>
        <v>9</v>
      </c>
      <c r="AA1016" t="str">
        <f>IF(EmployeeData[[#This Row],[MonthlyIncome]]&lt;30000,"Low",IF(EmployeeData[[#This Row],[MonthlyIncome]]&lt;=60000,"Medium",IF(EmployeeData[[#This Row],[MonthlyIncome]]&lt;=100000,"High","Very High")))</f>
        <v>High</v>
      </c>
      <c r="AB1016">
        <f>IF(EmployeeData[[#This Row],[Attrition]]="Yes",1,0)</f>
        <v>0</v>
      </c>
      <c r="AC1016" t="str">
        <f ca="1">IF(EmployeeData[[#This Row],[Tenure Years]]&lt;1,"Less than 1 Year",IF(EmployeeData[[#This Row],[Tenure Years]]&lt;=3,"1-3 Years",IF(EmployeeData[[#This Row],[Tenure Years]]&lt;=5,"4-5 Years",IF(EmployeeData[[#This Row],[Tenure Years]]&lt;=10,"6-10 Years","More than 10 Years"))))</f>
        <v>6-10 Years</v>
      </c>
      <c r="AD1016">
        <f>ROUND(AVERAGE(EmployeeData[[#This Row],[JobSatisfaction]],EmployeeData[[#This Row],[EnvironmentSatisfaction]],EmployeeData[[#This Row],[WorkLifeBalance]]),2)</f>
        <v>2.67</v>
      </c>
      <c r="AE1016" t="str">
        <f>IF(EmployeeData[[#This Row],[Satisfaction Score]]&lt;2,"Low",IF(EmployeeData[[#This Row],[Satisfaction Score]]&lt;3,"Medium","High"))</f>
        <v>Medium</v>
      </c>
    </row>
    <row r="1017" spans="1:31" x14ac:dyDescent="0.25">
      <c r="A1017" t="s">
        <v>4665</v>
      </c>
      <c r="B1017" t="s">
        <v>4666</v>
      </c>
      <c r="C1017" t="s">
        <v>58</v>
      </c>
      <c r="D1017">
        <v>27</v>
      </c>
      <c r="E1017" t="s">
        <v>128</v>
      </c>
      <c r="F1017" t="s">
        <v>123</v>
      </c>
      <c r="G1017" s="1">
        <v>45454</v>
      </c>
      <c r="H1017">
        <v>37688</v>
      </c>
      <c r="I1017" t="s">
        <v>30</v>
      </c>
      <c r="J1017" t="s">
        <v>61</v>
      </c>
      <c r="K1017" t="s">
        <v>98</v>
      </c>
      <c r="L1017" t="s">
        <v>33</v>
      </c>
      <c r="M1017">
        <v>5</v>
      </c>
      <c r="N1017" t="s">
        <v>45</v>
      </c>
      <c r="O1017">
        <v>4</v>
      </c>
      <c r="P1017">
        <v>3</v>
      </c>
      <c r="Q1017">
        <v>3</v>
      </c>
      <c r="R1017">
        <v>3</v>
      </c>
      <c r="S1017">
        <v>1</v>
      </c>
      <c r="T1017">
        <v>0</v>
      </c>
      <c r="U1017">
        <v>12</v>
      </c>
      <c r="V1017" t="s">
        <v>4668</v>
      </c>
      <c r="W1017" t="s">
        <v>34</v>
      </c>
      <c r="Y1017" s="2" t="str">
        <f>IF(EmployeeData[[#This Row],[Age]]&lt;25,"Under 25",IF(EmployeeData[[#This Row],[Age]]&lt;=34,"25-34",IF(EmployeeData[[#This Row],[Age]]&lt;=44,"35-44",IF(EmployeeData[[#This Row],[Age]]&lt;=54,"45-54","55+"))))</f>
        <v>25-34</v>
      </c>
      <c r="Z1017">
        <f ca="1">DATEDIF(EmployeeData[[#This Row],[DateOfJoining]],IF(AND(EmployeeData[[#This Row],[Attrition]]="Yes",EmployeeData[[#This Row],[LastWorkingDate]]&lt;&gt;""),EmployeeData[[#This Row],[LastWorkingDate]],TODAY()),"Y")</f>
        <v>2</v>
      </c>
      <c r="AA1017" t="str">
        <f>IF(EmployeeData[[#This Row],[MonthlyIncome]]&lt;30000,"Low",IF(EmployeeData[[#This Row],[MonthlyIncome]]&lt;=60000,"Medium",IF(EmployeeData[[#This Row],[MonthlyIncome]]&lt;=100000,"High","Very High")))</f>
        <v>Medium</v>
      </c>
      <c r="AB1017">
        <f>IF(EmployeeData[[#This Row],[Attrition]]="Yes",1,0)</f>
        <v>0</v>
      </c>
      <c r="AC1017" t="str">
        <f ca="1">IF(EmployeeData[[#This Row],[Tenure Years]]&lt;1,"Less than 1 Year",IF(EmployeeData[[#This Row],[Tenure Years]]&lt;=3,"1-3 Years",IF(EmployeeData[[#This Row],[Tenure Years]]&lt;=5,"4-5 Years",IF(EmployeeData[[#This Row],[Tenure Years]]&lt;=10,"6-10 Years","More than 10 Years"))))</f>
        <v>1-3 Years</v>
      </c>
      <c r="AD1017">
        <f>ROUND(AVERAGE(EmployeeData[[#This Row],[JobSatisfaction]],EmployeeData[[#This Row],[EnvironmentSatisfaction]],EmployeeData[[#This Row],[WorkLifeBalance]]),2)</f>
        <v>3.33</v>
      </c>
      <c r="AE1017" t="str">
        <f>IF(EmployeeData[[#This Row],[Satisfaction Score]]&lt;2,"Low",IF(EmployeeData[[#This Row],[Satisfaction Score]]&lt;3,"Medium","High"))</f>
        <v>High</v>
      </c>
    </row>
    <row r="1018" spans="1:31" x14ac:dyDescent="0.25">
      <c r="A1018" t="s">
        <v>4669</v>
      </c>
      <c r="B1018" t="s">
        <v>4670</v>
      </c>
      <c r="C1018" t="s">
        <v>49</v>
      </c>
      <c r="D1018">
        <v>28</v>
      </c>
      <c r="E1018" t="s">
        <v>27</v>
      </c>
      <c r="F1018" t="s">
        <v>188</v>
      </c>
      <c r="G1018" s="1">
        <v>44224</v>
      </c>
      <c r="H1018">
        <v>61893</v>
      </c>
      <c r="I1018" t="s">
        <v>42</v>
      </c>
      <c r="J1018" t="s">
        <v>61</v>
      </c>
      <c r="K1018" t="s">
        <v>5459</v>
      </c>
      <c r="L1018" t="s">
        <v>43</v>
      </c>
      <c r="M1018">
        <v>6</v>
      </c>
      <c r="N1018" t="s">
        <v>34</v>
      </c>
      <c r="O1018">
        <v>4</v>
      </c>
      <c r="P1018">
        <v>4</v>
      </c>
      <c r="Q1018">
        <v>4</v>
      </c>
      <c r="R1018">
        <v>2</v>
      </c>
      <c r="S1018">
        <v>3</v>
      </c>
      <c r="T1018">
        <v>4</v>
      </c>
      <c r="U1018">
        <v>21</v>
      </c>
      <c r="V1018" t="s">
        <v>4672</v>
      </c>
      <c r="W1018" t="s">
        <v>34</v>
      </c>
      <c r="Y1018" s="2" t="str">
        <f>IF(EmployeeData[[#This Row],[Age]]&lt;25,"Under 25",IF(EmployeeData[[#This Row],[Age]]&lt;=34,"25-34",IF(EmployeeData[[#This Row],[Age]]&lt;=44,"35-44",IF(EmployeeData[[#This Row],[Age]]&lt;=54,"45-54","55+"))))</f>
        <v>25-34</v>
      </c>
      <c r="Z1018">
        <f ca="1">DATEDIF(EmployeeData[[#This Row],[DateOfJoining]],IF(AND(EmployeeData[[#This Row],[Attrition]]="Yes",EmployeeData[[#This Row],[LastWorkingDate]]&lt;&gt;""),EmployeeData[[#This Row],[LastWorkingDate]],TODAY()),"Y")</f>
        <v>5</v>
      </c>
      <c r="AA1018" t="str">
        <f>IF(EmployeeData[[#This Row],[MonthlyIncome]]&lt;30000,"Low",IF(EmployeeData[[#This Row],[MonthlyIncome]]&lt;=60000,"Medium",IF(EmployeeData[[#This Row],[MonthlyIncome]]&lt;=100000,"High","Very High")))</f>
        <v>High</v>
      </c>
      <c r="AB1018">
        <f>IF(EmployeeData[[#This Row],[Attrition]]="Yes",1,0)</f>
        <v>0</v>
      </c>
      <c r="AC1018" t="str">
        <f ca="1">IF(EmployeeData[[#This Row],[Tenure Years]]&lt;1,"Less than 1 Year",IF(EmployeeData[[#This Row],[Tenure Years]]&lt;=3,"1-3 Years",IF(EmployeeData[[#This Row],[Tenure Years]]&lt;=5,"4-5 Years",IF(EmployeeData[[#This Row],[Tenure Years]]&lt;=10,"6-10 Years","More than 10 Years"))))</f>
        <v>4-5 Years</v>
      </c>
      <c r="AD1018">
        <f>ROUND(AVERAGE(EmployeeData[[#This Row],[JobSatisfaction]],EmployeeData[[#This Row],[EnvironmentSatisfaction]],EmployeeData[[#This Row],[WorkLifeBalance]]),2)</f>
        <v>4</v>
      </c>
      <c r="AE1018" t="str">
        <f>IF(EmployeeData[[#This Row],[Satisfaction Score]]&lt;2,"Low",IF(EmployeeData[[#This Row],[Satisfaction Score]]&lt;3,"Medium","High"))</f>
        <v>High</v>
      </c>
    </row>
    <row r="1019" spans="1:31" x14ac:dyDescent="0.25">
      <c r="A1019" t="s">
        <v>4673</v>
      </c>
      <c r="B1019" t="s">
        <v>4674</v>
      </c>
      <c r="C1019" t="s">
        <v>5459</v>
      </c>
      <c r="D1019">
        <v>25</v>
      </c>
      <c r="E1019" t="s">
        <v>128</v>
      </c>
      <c r="F1019" t="s">
        <v>123</v>
      </c>
      <c r="G1019" s="1">
        <v>44487</v>
      </c>
      <c r="H1019">
        <v>50157</v>
      </c>
      <c r="I1019" t="s">
        <v>42</v>
      </c>
      <c r="J1019" t="s">
        <v>61</v>
      </c>
      <c r="K1019" t="s">
        <v>83</v>
      </c>
      <c r="L1019" t="s">
        <v>33</v>
      </c>
      <c r="M1019">
        <v>25</v>
      </c>
      <c r="N1019" t="s">
        <v>34</v>
      </c>
      <c r="O1019">
        <v>3</v>
      </c>
      <c r="P1019">
        <v>3</v>
      </c>
      <c r="Q1019">
        <v>3</v>
      </c>
      <c r="R1019">
        <v>3</v>
      </c>
      <c r="S1019">
        <v>1</v>
      </c>
      <c r="T1019">
        <v>1</v>
      </c>
      <c r="U1019">
        <v>13</v>
      </c>
      <c r="V1019" t="s">
        <v>4676</v>
      </c>
      <c r="W1019" t="s">
        <v>34</v>
      </c>
      <c r="Y1019" s="2" t="str">
        <f>IF(EmployeeData[[#This Row],[Age]]&lt;25,"Under 25",IF(EmployeeData[[#This Row],[Age]]&lt;=34,"25-34",IF(EmployeeData[[#This Row],[Age]]&lt;=44,"35-44",IF(EmployeeData[[#This Row],[Age]]&lt;=54,"45-54","55+"))))</f>
        <v>25-34</v>
      </c>
      <c r="Z1019">
        <f ca="1">DATEDIF(EmployeeData[[#This Row],[DateOfJoining]],IF(AND(EmployeeData[[#This Row],[Attrition]]="Yes",EmployeeData[[#This Row],[LastWorkingDate]]&lt;&gt;""),EmployeeData[[#This Row],[LastWorkingDate]],TODAY()),"Y")</f>
        <v>4</v>
      </c>
      <c r="AA1019" t="str">
        <f>IF(EmployeeData[[#This Row],[MonthlyIncome]]&lt;30000,"Low",IF(EmployeeData[[#This Row],[MonthlyIncome]]&lt;=60000,"Medium",IF(EmployeeData[[#This Row],[MonthlyIncome]]&lt;=100000,"High","Very High")))</f>
        <v>Medium</v>
      </c>
      <c r="AB1019">
        <f>IF(EmployeeData[[#This Row],[Attrition]]="Yes",1,0)</f>
        <v>0</v>
      </c>
      <c r="AC1019" t="str">
        <f ca="1">IF(EmployeeData[[#This Row],[Tenure Years]]&lt;1,"Less than 1 Year",IF(EmployeeData[[#This Row],[Tenure Years]]&lt;=3,"1-3 Years",IF(EmployeeData[[#This Row],[Tenure Years]]&lt;=5,"4-5 Years",IF(EmployeeData[[#This Row],[Tenure Years]]&lt;=10,"6-10 Years","More than 10 Years"))))</f>
        <v>4-5 Years</v>
      </c>
      <c r="AD1019">
        <f>ROUND(AVERAGE(EmployeeData[[#This Row],[JobSatisfaction]],EmployeeData[[#This Row],[EnvironmentSatisfaction]],EmployeeData[[#This Row],[WorkLifeBalance]]),2)</f>
        <v>3</v>
      </c>
      <c r="AE1019" t="str">
        <f>IF(EmployeeData[[#This Row],[Satisfaction Score]]&lt;2,"Low",IF(EmployeeData[[#This Row],[Satisfaction Score]]&lt;3,"Medium","High"))</f>
        <v>High</v>
      </c>
    </row>
    <row r="1020" spans="1:31" x14ac:dyDescent="0.25">
      <c r="A1020" t="s">
        <v>4677</v>
      </c>
      <c r="B1020" t="s">
        <v>4678</v>
      </c>
      <c r="C1020" t="s">
        <v>49</v>
      </c>
      <c r="D1020">
        <v>32</v>
      </c>
      <c r="E1020" t="s">
        <v>128</v>
      </c>
      <c r="F1020" t="s">
        <v>226</v>
      </c>
      <c r="G1020" s="1">
        <v>44706</v>
      </c>
      <c r="H1020">
        <v>53612</v>
      </c>
      <c r="I1020" t="s">
        <v>42</v>
      </c>
      <c r="J1020" t="s">
        <v>31</v>
      </c>
      <c r="K1020" t="s">
        <v>32</v>
      </c>
      <c r="L1020" t="s">
        <v>5459</v>
      </c>
      <c r="M1020">
        <v>35</v>
      </c>
      <c r="N1020" t="s">
        <v>34</v>
      </c>
      <c r="O1020">
        <v>4</v>
      </c>
      <c r="P1020">
        <v>4</v>
      </c>
      <c r="Q1020">
        <v>1</v>
      </c>
      <c r="R1020">
        <v>3</v>
      </c>
      <c r="S1020">
        <v>6</v>
      </c>
      <c r="T1020">
        <v>0</v>
      </c>
      <c r="U1020">
        <v>11</v>
      </c>
      <c r="V1020" t="s">
        <v>4680</v>
      </c>
      <c r="W1020" t="s">
        <v>34</v>
      </c>
      <c r="Y1020" s="2" t="str">
        <f>IF(EmployeeData[[#This Row],[Age]]&lt;25,"Under 25",IF(EmployeeData[[#This Row],[Age]]&lt;=34,"25-34",IF(EmployeeData[[#This Row],[Age]]&lt;=44,"35-44",IF(EmployeeData[[#This Row],[Age]]&lt;=54,"45-54","55+"))))</f>
        <v>25-34</v>
      </c>
      <c r="Z1020">
        <f ca="1">DATEDIF(EmployeeData[[#This Row],[DateOfJoining]],IF(AND(EmployeeData[[#This Row],[Attrition]]="Yes",EmployeeData[[#This Row],[LastWorkingDate]]&lt;&gt;""),EmployeeData[[#This Row],[LastWorkingDate]],TODAY()),"Y")</f>
        <v>4</v>
      </c>
      <c r="AA1020" t="str">
        <f>IF(EmployeeData[[#This Row],[MonthlyIncome]]&lt;30000,"Low",IF(EmployeeData[[#This Row],[MonthlyIncome]]&lt;=60000,"Medium",IF(EmployeeData[[#This Row],[MonthlyIncome]]&lt;=100000,"High","Very High")))</f>
        <v>Medium</v>
      </c>
      <c r="AB1020">
        <f>IF(EmployeeData[[#This Row],[Attrition]]="Yes",1,0)</f>
        <v>0</v>
      </c>
      <c r="AC1020" t="str">
        <f ca="1">IF(EmployeeData[[#This Row],[Tenure Years]]&lt;1,"Less than 1 Year",IF(EmployeeData[[#This Row],[Tenure Years]]&lt;=3,"1-3 Years",IF(EmployeeData[[#This Row],[Tenure Years]]&lt;=5,"4-5 Years",IF(EmployeeData[[#This Row],[Tenure Years]]&lt;=10,"6-10 Years","More than 10 Years"))))</f>
        <v>4-5 Years</v>
      </c>
      <c r="AD1020">
        <f>ROUND(AVERAGE(EmployeeData[[#This Row],[JobSatisfaction]],EmployeeData[[#This Row],[EnvironmentSatisfaction]],EmployeeData[[#This Row],[WorkLifeBalance]]),2)</f>
        <v>3</v>
      </c>
      <c r="AE1020" t="str">
        <f>IF(EmployeeData[[#This Row],[Satisfaction Score]]&lt;2,"Low",IF(EmployeeData[[#This Row],[Satisfaction Score]]&lt;3,"Medium","High"))</f>
        <v>High</v>
      </c>
    </row>
    <row r="1021" spans="1:31" x14ac:dyDescent="0.25">
      <c r="A1021" t="s">
        <v>4681</v>
      </c>
      <c r="B1021" t="s">
        <v>4682</v>
      </c>
      <c r="C1021" t="s">
        <v>58</v>
      </c>
      <c r="D1021">
        <v>44</v>
      </c>
      <c r="E1021" t="s">
        <v>5461</v>
      </c>
      <c r="F1021" t="s">
        <v>5463</v>
      </c>
      <c r="G1021" s="1">
        <v>43733</v>
      </c>
      <c r="H1021">
        <v>77259</v>
      </c>
      <c r="I1021" t="s">
        <v>52</v>
      </c>
      <c r="J1021" t="s">
        <v>31</v>
      </c>
      <c r="K1021" t="s">
        <v>83</v>
      </c>
      <c r="L1021" t="s">
        <v>33</v>
      </c>
      <c r="M1021">
        <v>43</v>
      </c>
      <c r="N1021" t="s">
        <v>34</v>
      </c>
      <c r="O1021">
        <v>2</v>
      </c>
      <c r="P1021">
        <v>4</v>
      </c>
      <c r="Q1021">
        <v>1</v>
      </c>
      <c r="R1021">
        <v>3</v>
      </c>
      <c r="S1021">
        <v>5</v>
      </c>
      <c r="T1021">
        <v>8</v>
      </c>
      <c r="U1021">
        <v>25</v>
      </c>
      <c r="V1021" t="s">
        <v>4684</v>
      </c>
      <c r="W1021" t="s">
        <v>45</v>
      </c>
      <c r="X1021" s="1">
        <v>46158</v>
      </c>
      <c r="Y1021" s="2" t="str">
        <f>IF(EmployeeData[[#This Row],[Age]]&lt;25,"Under 25",IF(EmployeeData[[#This Row],[Age]]&lt;=34,"25-34",IF(EmployeeData[[#This Row],[Age]]&lt;=44,"35-44",IF(EmployeeData[[#This Row],[Age]]&lt;=54,"45-54","55+"))))</f>
        <v>35-44</v>
      </c>
      <c r="Z1021">
        <f ca="1">DATEDIF(EmployeeData[[#This Row],[DateOfJoining]],IF(AND(EmployeeData[[#This Row],[Attrition]]="Yes",EmployeeData[[#This Row],[LastWorkingDate]]&lt;&gt;""),EmployeeData[[#This Row],[LastWorkingDate]],TODAY()),"Y")</f>
        <v>6</v>
      </c>
      <c r="AA1021" t="str">
        <f>IF(EmployeeData[[#This Row],[MonthlyIncome]]&lt;30000,"Low",IF(EmployeeData[[#This Row],[MonthlyIncome]]&lt;=60000,"Medium",IF(EmployeeData[[#This Row],[MonthlyIncome]]&lt;=100000,"High","Very High")))</f>
        <v>High</v>
      </c>
      <c r="AB1021">
        <f>IF(EmployeeData[[#This Row],[Attrition]]="Yes",1,0)</f>
        <v>1</v>
      </c>
      <c r="AC1021" t="str">
        <f ca="1">IF(EmployeeData[[#This Row],[Tenure Years]]&lt;1,"Less than 1 Year",IF(EmployeeData[[#This Row],[Tenure Years]]&lt;=3,"1-3 Years",IF(EmployeeData[[#This Row],[Tenure Years]]&lt;=5,"4-5 Years",IF(EmployeeData[[#This Row],[Tenure Years]]&lt;=10,"6-10 Years","More than 10 Years"))))</f>
        <v>6-10 Years</v>
      </c>
      <c r="AD1021">
        <f>ROUND(AVERAGE(EmployeeData[[#This Row],[JobSatisfaction]],EmployeeData[[#This Row],[EnvironmentSatisfaction]],EmployeeData[[#This Row],[WorkLifeBalance]]),2)</f>
        <v>2.33</v>
      </c>
      <c r="AE1021" t="str">
        <f>IF(EmployeeData[[#This Row],[Satisfaction Score]]&lt;2,"Low",IF(EmployeeData[[#This Row],[Satisfaction Score]]&lt;3,"Medium","High"))</f>
        <v>Medium</v>
      </c>
    </row>
    <row r="1022" spans="1:31" x14ac:dyDescent="0.25">
      <c r="A1022" t="s">
        <v>4686</v>
      </c>
      <c r="B1022" t="s">
        <v>4687</v>
      </c>
      <c r="C1022" t="s">
        <v>49</v>
      </c>
      <c r="D1022">
        <v>32</v>
      </c>
      <c r="E1022" t="s">
        <v>128</v>
      </c>
      <c r="F1022" t="s">
        <v>255</v>
      </c>
      <c r="G1022" s="1">
        <v>44474</v>
      </c>
      <c r="H1022">
        <v>54721</v>
      </c>
      <c r="I1022" t="s">
        <v>30</v>
      </c>
      <c r="J1022" t="s">
        <v>61</v>
      </c>
      <c r="K1022" t="s">
        <v>106</v>
      </c>
      <c r="L1022" t="s">
        <v>33</v>
      </c>
      <c r="M1022">
        <v>23</v>
      </c>
      <c r="N1022" t="s">
        <v>45</v>
      </c>
      <c r="O1022">
        <v>2</v>
      </c>
      <c r="P1022">
        <v>4</v>
      </c>
      <c r="Q1022">
        <v>2</v>
      </c>
      <c r="R1022">
        <v>3</v>
      </c>
      <c r="S1022">
        <v>1</v>
      </c>
      <c r="T1022">
        <v>0</v>
      </c>
      <c r="U1022">
        <v>24</v>
      </c>
      <c r="V1022" t="s">
        <v>4689</v>
      </c>
      <c r="W1022" t="s">
        <v>45</v>
      </c>
      <c r="X1022" s="1">
        <v>44885</v>
      </c>
      <c r="Y1022" s="2" t="str">
        <f>IF(EmployeeData[[#This Row],[Age]]&lt;25,"Under 25",IF(EmployeeData[[#This Row],[Age]]&lt;=34,"25-34",IF(EmployeeData[[#This Row],[Age]]&lt;=44,"35-44",IF(EmployeeData[[#This Row],[Age]]&lt;=54,"45-54","55+"))))</f>
        <v>25-34</v>
      </c>
      <c r="Z1022">
        <f ca="1">DATEDIF(EmployeeData[[#This Row],[DateOfJoining]],IF(AND(EmployeeData[[#This Row],[Attrition]]="Yes",EmployeeData[[#This Row],[LastWorkingDate]]&lt;&gt;""),EmployeeData[[#This Row],[LastWorkingDate]],TODAY()),"Y")</f>
        <v>1</v>
      </c>
      <c r="AA1022" t="str">
        <f>IF(EmployeeData[[#This Row],[MonthlyIncome]]&lt;30000,"Low",IF(EmployeeData[[#This Row],[MonthlyIncome]]&lt;=60000,"Medium",IF(EmployeeData[[#This Row],[MonthlyIncome]]&lt;=100000,"High","Very High")))</f>
        <v>Medium</v>
      </c>
      <c r="AB1022">
        <f>IF(EmployeeData[[#This Row],[Attrition]]="Yes",1,0)</f>
        <v>1</v>
      </c>
      <c r="AC1022" t="str">
        <f ca="1">IF(EmployeeData[[#This Row],[Tenure Years]]&lt;1,"Less than 1 Year",IF(EmployeeData[[#This Row],[Tenure Years]]&lt;=3,"1-3 Years",IF(EmployeeData[[#This Row],[Tenure Years]]&lt;=5,"4-5 Years",IF(EmployeeData[[#This Row],[Tenure Years]]&lt;=10,"6-10 Years","More than 10 Years"))))</f>
        <v>1-3 Years</v>
      </c>
      <c r="AD1022">
        <f>ROUND(AVERAGE(EmployeeData[[#This Row],[JobSatisfaction]],EmployeeData[[#This Row],[EnvironmentSatisfaction]],EmployeeData[[#This Row],[WorkLifeBalance]]),2)</f>
        <v>2.67</v>
      </c>
      <c r="AE1022" t="str">
        <f>IF(EmployeeData[[#This Row],[Satisfaction Score]]&lt;2,"Low",IF(EmployeeData[[#This Row],[Satisfaction Score]]&lt;3,"Medium","High"))</f>
        <v>Medium</v>
      </c>
    </row>
    <row r="1023" spans="1:31" x14ac:dyDescent="0.25">
      <c r="A1023" t="s">
        <v>4691</v>
      </c>
      <c r="B1023" t="s">
        <v>4692</v>
      </c>
      <c r="C1023" t="s">
        <v>5459</v>
      </c>
      <c r="D1023">
        <v>19</v>
      </c>
      <c r="E1023" t="s">
        <v>412</v>
      </c>
      <c r="F1023" t="s">
        <v>1093</v>
      </c>
      <c r="G1023" s="1">
        <v>45697</v>
      </c>
      <c r="H1023">
        <v>33409</v>
      </c>
      <c r="I1023" t="s">
        <v>30</v>
      </c>
      <c r="J1023" t="s">
        <v>61</v>
      </c>
      <c r="K1023" t="s">
        <v>83</v>
      </c>
      <c r="L1023" t="s">
        <v>62</v>
      </c>
      <c r="M1023">
        <v>28</v>
      </c>
      <c r="N1023" t="s">
        <v>34</v>
      </c>
      <c r="O1023">
        <v>3</v>
      </c>
      <c r="P1023">
        <v>3</v>
      </c>
      <c r="Q1023">
        <v>3</v>
      </c>
      <c r="R1023">
        <v>3</v>
      </c>
      <c r="S1023">
        <v>4</v>
      </c>
      <c r="T1023">
        <v>4</v>
      </c>
      <c r="U1023">
        <v>11</v>
      </c>
      <c r="V1023" t="s">
        <v>4694</v>
      </c>
      <c r="W1023" t="s">
        <v>34</v>
      </c>
      <c r="Y1023" s="2" t="str">
        <f>IF(EmployeeData[[#This Row],[Age]]&lt;25,"Under 25",IF(EmployeeData[[#This Row],[Age]]&lt;=34,"25-34",IF(EmployeeData[[#This Row],[Age]]&lt;=44,"35-44",IF(EmployeeData[[#This Row],[Age]]&lt;=54,"45-54","55+"))))</f>
        <v>Under 25</v>
      </c>
      <c r="Z1023">
        <f ca="1">DATEDIF(EmployeeData[[#This Row],[DateOfJoining]],IF(AND(EmployeeData[[#This Row],[Attrition]]="Yes",EmployeeData[[#This Row],[LastWorkingDate]]&lt;&gt;""),EmployeeData[[#This Row],[LastWorkingDate]],TODAY()),"Y")</f>
        <v>1</v>
      </c>
      <c r="AA1023" t="str">
        <f>IF(EmployeeData[[#This Row],[MonthlyIncome]]&lt;30000,"Low",IF(EmployeeData[[#This Row],[MonthlyIncome]]&lt;=60000,"Medium",IF(EmployeeData[[#This Row],[MonthlyIncome]]&lt;=100000,"High","Very High")))</f>
        <v>Medium</v>
      </c>
      <c r="AB1023">
        <f>IF(EmployeeData[[#This Row],[Attrition]]="Yes",1,0)</f>
        <v>0</v>
      </c>
      <c r="AC1023" t="str">
        <f ca="1">IF(EmployeeData[[#This Row],[Tenure Years]]&lt;1,"Less than 1 Year",IF(EmployeeData[[#This Row],[Tenure Years]]&lt;=3,"1-3 Years",IF(EmployeeData[[#This Row],[Tenure Years]]&lt;=5,"4-5 Years",IF(EmployeeData[[#This Row],[Tenure Years]]&lt;=10,"6-10 Years","More than 10 Years"))))</f>
        <v>1-3 Years</v>
      </c>
      <c r="AD1023">
        <f>ROUND(AVERAGE(EmployeeData[[#This Row],[JobSatisfaction]],EmployeeData[[#This Row],[EnvironmentSatisfaction]],EmployeeData[[#This Row],[WorkLifeBalance]]),2)</f>
        <v>3</v>
      </c>
      <c r="AE1023" t="str">
        <f>IF(EmployeeData[[#This Row],[Satisfaction Score]]&lt;2,"Low",IF(EmployeeData[[#This Row],[Satisfaction Score]]&lt;3,"Medium","High"))</f>
        <v>High</v>
      </c>
    </row>
    <row r="1024" spans="1:31" x14ac:dyDescent="0.25">
      <c r="A1024" t="s">
        <v>4695</v>
      </c>
      <c r="B1024" t="s">
        <v>4696</v>
      </c>
      <c r="C1024" t="s">
        <v>58</v>
      </c>
      <c r="D1024">
        <v>29</v>
      </c>
      <c r="E1024" t="s">
        <v>27</v>
      </c>
      <c r="F1024" t="s">
        <v>59</v>
      </c>
      <c r="G1024" s="1">
        <v>45647</v>
      </c>
      <c r="H1024">
        <v>51405</v>
      </c>
      <c r="I1024" t="s">
        <v>52</v>
      </c>
      <c r="J1024" t="s">
        <v>143</v>
      </c>
      <c r="K1024" t="s">
        <v>98</v>
      </c>
      <c r="L1024" t="s">
        <v>43</v>
      </c>
      <c r="M1024">
        <v>14</v>
      </c>
      <c r="N1024" t="s">
        <v>34</v>
      </c>
      <c r="O1024">
        <v>3</v>
      </c>
      <c r="P1024">
        <v>4</v>
      </c>
      <c r="Q1024">
        <v>4</v>
      </c>
      <c r="R1024">
        <v>4</v>
      </c>
      <c r="S1024">
        <v>5</v>
      </c>
      <c r="T1024">
        <v>3</v>
      </c>
      <c r="U1024">
        <v>13</v>
      </c>
      <c r="V1024" t="s">
        <v>4698</v>
      </c>
      <c r="W1024" t="s">
        <v>34</v>
      </c>
      <c r="Y1024" s="2" t="str">
        <f>IF(EmployeeData[[#This Row],[Age]]&lt;25,"Under 25",IF(EmployeeData[[#This Row],[Age]]&lt;=34,"25-34",IF(EmployeeData[[#This Row],[Age]]&lt;=44,"35-44",IF(EmployeeData[[#This Row],[Age]]&lt;=54,"45-54","55+"))))</f>
        <v>25-34</v>
      </c>
      <c r="Z1024">
        <f ca="1">DATEDIF(EmployeeData[[#This Row],[DateOfJoining]],IF(AND(EmployeeData[[#This Row],[Attrition]]="Yes",EmployeeData[[#This Row],[LastWorkingDate]]&lt;&gt;""),EmployeeData[[#This Row],[LastWorkingDate]],TODAY()),"Y")</f>
        <v>1</v>
      </c>
      <c r="AA1024" t="str">
        <f>IF(EmployeeData[[#This Row],[MonthlyIncome]]&lt;30000,"Low",IF(EmployeeData[[#This Row],[MonthlyIncome]]&lt;=60000,"Medium",IF(EmployeeData[[#This Row],[MonthlyIncome]]&lt;=100000,"High","Very High")))</f>
        <v>Medium</v>
      </c>
      <c r="AB1024">
        <f>IF(EmployeeData[[#This Row],[Attrition]]="Yes",1,0)</f>
        <v>0</v>
      </c>
      <c r="AC1024" t="str">
        <f ca="1">IF(EmployeeData[[#This Row],[Tenure Years]]&lt;1,"Less than 1 Year",IF(EmployeeData[[#This Row],[Tenure Years]]&lt;=3,"1-3 Years",IF(EmployeeData[[#This Row],[Tenure Years]]&lt;=5,"4-5 Years",IF(EmployeeData[[#This Row],[Tenure Years]]&lt;=10,"6-10 Years","More than 10 Years"))))</f>
        <v>1-3 Years</v>
      </c>
      <c r="AD1024">
        <f>ROUND(AVERAGE(EmployeeData[[#This Row],[JobSatisfaction]],EmployeeData[[#This Row],[EnvironmentSatisfaction]],EmployeeData[[#This Row],[WorkLifeBalance]]),2)</f>
        <v>3.67</v>
      </c>
      <c r="AE1024" t="str">
        <f>IF(EmployeeData[[#This Row],[Satisfaction Score]]&lt;2,"Low",IF(EmployeeData[[#This Row],[Satisfaction Score]]&lt;3,"Medium","High"))</f>
        <v>High</v>
      </c>
    </row>
    <row r="1025" spans="1:31" x14ac:dyDescent="0.25">
      <c r="A1025" t="s">
        <v>4699</v>
      </c>
      <c r="B1025" t="s">
        <v>4700</v>
      </c>
      <c r="C1025" t="s">
        <v>49</v>
      </c>
      <c r="D1025">
        <v>26</v>
      </c>
      <c r="E1025" t="s">
        <v>27</v>
      </c>
      <c r="F1025" t="s">
        <v>188</v>
      </c>
      <c r="G1025" s="1">
        <v>44083</v>
      </c>
      <c r="H1025">
        <v>93834</v>
      </c>
      <c r="I1025" t="s">
        <v>52</v>
      </c>
      <c r="J1025" t="s">
        <v>143</v>
      </c>
      <c r="K1025" t="s">
        <v>32</v>
      </c>
      <c r="L1025" t="s">
        <v>43</v>
      </c>
      <c r="M1025">
        <v>23</v>
      </c>
      <c r="N1025" t="s">
        <v>34</v>
      </c>
      <c r="O1025">
        <v>1</v>
      </c>
      <c r="P1025">
        <v>4</v>
      </c>
      <c r="Q1025">
        <v>3</v>
      </c>
      <c r="R1025">
        <v>2</v>
      </c>
      <c r="S1025">
        <v>4</v>
      </c>
      <c r="T1025">
        <v>1</v>
      </c>
      <c r="U1025">
        <v>24</v>
      </c>
      <c r="V1025" t="s">
        <v>4701</v>
      </c>
      <c r="W1025" t="s">
        <v>34</v>
      </c>
      <c r="Y1025" s="2" t="str">
        <f>IF(EmployeeData[[#This Row],[Age]]&lt;25,"Under 25",IF(EmployeeData[[#This Row],[Age]]&lt;=34,"25-34",IF(EmployeeData[[#This Row],[Age]]&lt;=44,"35-44",IF(EmployeeData[[#This Row],[Age]]&lt;=54,"45-54","55+"))))</f>
        <v>25-34</v>
      </c>
      <c r="Z1025">
        <f ca="1">DATEDIF(EmployeeData[[#This Row],[DateOfJoining]],IF(AND(EmployeeData[[#This Row],[Attrition]]="Yes",EmployeeData[[#This Row],[LastWorkingDate]]&lt;&gt;""),EmployeeData[[#This Row],[LastWorkingDate]],TODAY()),"Y")</f>
        <v>5</v>
      </c>
      <c r="AA1025" t="str">
        <f>IF(EmployeeData[[#This Row],[MonthlyIncome]]&lt;30000,"Low",IF(EmployeeData[[#This Row],[MonthlyIncome]]&lt;=60000,"Medium",IF(EmployeeData[[#This Row],[MonthlyIncome]]&lt;=100000,"High","Very High")))</f>
        <v>High</v>
      </c>
      <c r="AB1025">
        <f>IF(EmployeeData[[#This Row],[Attrition]]="Yes",1,0)</f>
        <v>0</v>
      </c>
      <c r="AC1025" t="str">
        <f ca="1">IF(EmployeeData[[#This Row],[Tenure Years]]&lt;1,"Less than 1 Year",IF(EmployeeData[[#This Row],[Tenure Years]]&lt;=3,"1-3 Years",IF(EmployeeData[[#This Row],[Tenure Years]]&lt;=5,"4-5 Years",IF(EmployeeData[[#This Row],[Tenure Years]]&lt;=10,"6-10 Years","More than 10 Years"))))</f>
        <v>4-5 Years</v>
      </c>
      <c r="AD1025">
        <f>ROUND(AVERAGE(EmployeeData[[#This Row],[JobSatisfaction]],EmployeeData[[#This Row],[EnvironmentSatisfaction]],EmployeeData[[#This Row],[WorkLifeBalance]]),2)</f>
        <v>2.67</v>
      </c>
      <c r="AE1025" t="str">
        <f>IF(EmployeeData[[#This Row],[Satisfaction Score]]&lt;2,"Low",IF(EmployeeData[[#This Row],[Satisfaction Score]]&lt;3,"Medium","High"))</f>
        <v>Medium</v>
      </c>
    </row>
    <row r="1026" spans="1:31" x14ac:dyDescent="0.25">
      <c r="A1026" t="s">
        <v>4702</v>
      </c>
      <c r="B1026" t="s">
        <v>4703</v>
      </c>
      <c r="C1026" t="s">
        <v>49</v>
      </c>
      <c r="D1026">
        <v>46</v>
      </c>
      <c r="E1026" t="s">
        <v>38</v>
      </c>
      <c r="F1026" t="s">
        <v>792</v>
      </c>
      <c r="G1026" s="1">
        <v>40927</v>
      </c>
      <c r="H1026">
        <v>60396</v>
      </c>
      <c r="I1026" t="s">
        <v>42</v>
      </c>
      <c r="J1026" t="s">
        <v>61</v>
      </c>
      <c r="K1026" t="s">
        <v>98</v>
      </c>
      <c r="L1026" t="s">
        <v>62</v>
      </c>
      <c r="M1026">
        <v>2</v>
      </c>
      <c r="N1026" t="s">
        <v>34</v>
      </c>
      <c r="O1026">
        <v>4</v>
      </c>
      <c r="P1026">
        <v>4</v>
      </c>
      <c r="Q1026">
        <v>3</v>
      </c>
      <c r="R1026">
        <v>3</v>
      </c>
      <c r="S1026">
        <v>6</v>
      </c>
      <c r="T1026">
        <v>2</v>
      </c>
      <c r="U1026">
        <v>16</v>
      </c>
      <c r="V1026" t="s">
        <v>4705</v>
      </c>
      <c r="W1026" t="s">
        <v>34</v>
      </c>
      <c r="Y1026" s="2" t="str">
        <f>IF(EmployeeData[[#This Row],[Age]]&lt;25,"Under 25",IF(EmployeeData[[#This Row],[Age]]&lt;=34,"25-34",IF(EmployeeData[[#This Row],[Age]]&lt;=44,"35-44",IF(EmployeeData[[#This Row],[Age]]&lt;=54,"45-54","55+"))))</f>
        <v>45-54</v>
      </c>
      <c r="Z1026">
        <f ca="1">DATEDIF(EmployeeData[[#This Row],[DateOfJoining]],IF(AND(EmployeeData[[#This Row],[Attrition]]="Yes",EmployeeData[[#This Row],[LastWorkingDate]]&lt;&gt;""),EmployeeData[[#This Row],[LastWorkingDate]],TODAY()),"Y")</f>
        <v>14</v>
      </c>
      <c r="AA1026" t="str">
        <f>IF(EmployeeData[[#This Row],[MonthlyIncome]]&lt;30000,"Low",IF(EmployeeData[[#This Row],[MonthlyIncome]]&lt;=60000,"Medium",IF(EmployeeData[[#This Row],[MonthlyIncome]]&lt;=100000,"High","Very High")))</f>
        <v>High</v>
      </c>
      <c r="AB1026">
        <f>IF(EmployeeData[[#This Row],[Attrition]]="Yes",1,0)</f>
        <v>0</v>
      </c>
      <c r="AC1026" t="str">
        <f ca="1">IF(EmployeeData[[#This Row],[Tenure Years]]&lt;1,"Less than 1 Year",IF(EmployeeData[[#This Row],[Tenure Years]]&lt;=3,"1-3 Years",IF(EmployeeData[[#This Row],[Tenure Years]]&lt;=5,"4-5 Years",IF(EmployeeData[[#This Row],[Tenure Years]]&lt;=10,"6-10 Years","More than 10 Years"))))</f>
        <v>More than 10 Years</v>
      </c>
      <c r="AD1026">
        <f>ROUND(AVERAGE(EmployeeData[[#This Row],[JobSatisfaction]],EmployeeData[[#This Row],[EnvironmentSatisfaction]],EmployeeData[[#This Row],[WorkLifeBalance]]),2)</f>
        <v>3.67</v>
      </c>
      <c r="AE1026" t="str">
        <f>IF(EmployeeData[[#This Row],[Satisfaction Score]]&lt;2,"Low",IF(EmployeeData[[#This Row],[Satisfaction Score]]&lt;3,"Medium","High"))</f>
        <v>High</v>
      </c>
    </row>
    <row r="1027" spans="1:31" x14ac:dyDescent="0.25">
      <c r="A1027" t="s">
        <v>4706</v>
      </c>
      <c r="B1027" t="s">
        <v>4707</v>
      </c>
      <c r="C1027" t="s">
        <v>58</v>
      </c>
      <c r="D1027">
        <v>29</v>
      </c>
      <c r="E1027" t="s">
        <v>128</v>
      </c>
      <c r="F1027" t="s">
        <v>226</v>
      </c>
      <c r="G1027" s="1">
        <v>44660</v>
      </c>
      <c r="H1027">
        <v>93615</v>
      </c>
      <c r="I1027" t="s">
        <v>30</v>
      </c>
      <c r="J1027" t="s">
        <v>5459</v>
      </c>
      <c r="K1027" t="s">
        <v>32</v>
      </c>
      <c r="L1027" t="s">
        <v>33</v>
      </c>
      <c r="M1027">
        <v>35</v>
      </c>
      <c r="N1027" t="s">
        <v>34</v>
      </c>
      <c r="O1027">
        <v>3</v>
      </c>
      <c r="P1027">
        <v>1</v>
      </c>
      <c r="Q1027">
        <v>1</v>
      </c>
      <c r="R1027">
        <v>5</v>
      </c>
      <c r="S1027">
        <v>1</v>
      </c>
      <c r="T1027">
        <v>2</v>
      </c>
      <c r="U1027">
        <v>23</v>
      </c>
      <c r="V1027" t="s">
        <v>4709</v>
      </c>
      <c r="W1027" t="s">
        <v>34</v>
      </c>
      <c r="Y1027" s="2" t="str">
        <f>IF(EmployeeData[[#This Row],[Age]]&lt;25,"Under 25",IF(EmployeeData[[#This Row],[Age]]&lt;=34,"25-34",IF(EmployeeData[[#This Row],[Age]]&lt;=44,"35-44",IF(EmployeeData[[#This Row],[Age]]&lt;=54,"45-54","55+"))))</f>
        <v>25-34</v>
      </c>
      <c r="Z1027">
        <f ca="1">DATEDIF(EmployeeData[[#This Row],[DateOfJoining]],IF(AND(EmployeeData[[#This Row],[Attrition]]="Yes",EmployeeData[[#This Row],[LastWorkingDate]]&lt;&gt;""),EmployeeData[[#This Row],[LastWorkingDate]],TODAY()),"Y")</f>
        <v>4</v>
      </c>
      <c r="AA1027" t="str">
        <f>IF(EmployeeData[[#This Row],[MonthlyIncome]]&lt;30000,"Low",IF(EmployeeData[[#This Row],[MonthlyIncome]]&lt;=60000,"Medium",IF(EmployeeData[[#This Row],[MonthlyIncome]]&lt;=100000,"High","Very High")))</f>
        <v>High</v>
      </c>
      <c r="AB1027">
        <f>IF(EmployeeData[[#This Row],[Attrition]]="Yes",1,0)</f>
        <v>0</v>
      </c>
      <c r="AC1027" t="str">
        <f ca="1">IF(EmployeeData[[#This Row],[Tenure Years]]&lt;1,"Less than 1 Year",IF(EmployeeData[[#This Row],[Tenure Years]]&lt;=3,"1-3 Years",IF(EmployeeData[[#This Row],[Tenure Years]]&lt;=5,"4-5 Years",IF(EmployeeData[[#This Row],[Tenure Years]]&lt;=10,"6-10 Years","More than 10 Years"))))</f>
        <v>4-5 Years</v>
      </c>
      <c r="AD1027">
        <f>ROUND(AVERAGE(EmployeeData[[#This Row],[JobSatisfaction]],EmployeeData[[#This Row],[EnvironmentSatisfaction]],EmployeeData[[#This Row],[WorkLifeBalance]]),2)</f>
        <v>1.67</v>
      </c>
      <c r="AE1027" t="str">
        <f>IF(EmployeeData[[#This Row],[Satisfaction Score]]&lt;2,"Low",IF(EmployeeData[[#This Row],[Satisfaction Score]]&lt;3,"Medium","High"))</f>
        <v>Low</v>
      </c>
    </row>
    <row r="1028" spans="1:31" x14ac:dyDescent="0.25">
      <c r="A1028" t="s">
        <v>4710</v>
      </c>
      <c r="B1028" t="s">
        <v>4711</v>
      </c>
      <c r="C1028" t="s">
        <v>49</v>
      </c>
      <c r="D1028">
        <v>28</v>
      </c>
      <c r="E1028" t="s">
        <v>197</v>
      </c>
      <c r="F1028" t="s">
        <v>573</v>
      </c>
      <c r="G1028" s="1">
        <v>40962</v>
      </c>
      <c r="H1028">
        <v>85700</v>
      </c>
      <c r="I1028" t="s">
        <v>42</v>
      </c>
      <c r="J1028" t="s">
        <v>61</v>
      </c>
      <c r="K1028" t="s">
        <v>83</v>
      </c>
      <c r="L1028" t="s">
        <v>62</v>
      </c>
      <c r="M1028">
        <v>2</v>
      </c>
      <c r="N1028" t="s">
        <v>34</v>
      </c>
      <c r="O1028">
        <v>3</v>
      </c>
      <c r="P1028">
        <v>2</v>
      </c>
      <c r="Q1028">
        <v>2</v>
      </c>
      <c r="R1028">
        <v>4</v>
      </c>
      <c r="S1028">
        <v>1</v>
      </c>
      <c r="T1028">
        <v>8</v>
      </c>
      <c r="U1028">
        <v>15</v>
      </c>
      <c r="V1028" t="s">
        <v>4714</v>
      </c>
      <c r="W1028" t="s">
        <v>34</v>
      </c>
      <c r="Y1028" s="2" t="str">
        <f>IF(EmployeeData[[#This Row],[Age]]&lt;25,"Under 25",IF(EmployeeData[[#This Row],[Age]]&lt;=34,"25-34",IF(EmployeeData[[#This Row],[Age]]&lt;=44,"35-44",IF(EmployeeData[[#This Row],[Age]]&lt;=54,"45-54","55+"))))</f>
        <v>25-34</v>
      </c>
      <c r="Z1028">
        <f ca="1">DATEDIF(EmployeeData[[#This Row],[DateOfJoining]],IF(AND(EmployeeData[[#This Row],[Attrition]]="Yes",EmployeeData[[#This Row],[LastWorkingDate]]&lt;&gt;""),EmployeeData[[#This Row],[LastWorkingDate]],TODAY()),"Y")</f>
        <v>14</v>
      </c>
      <c r="AA1028" t="str">
        <f>IF(EmployeeData[[#This Row],[MonthlyIncome]]&lt;30000,"Low",IF(EmployeeData[[#This Row],[MonthlyIncome]]&lt;=60000,"Medium",IF(EmployeeData[[#This Row],[MonthlyIncome]]&lt;=100000,"High","Very High")))</f>
        <v>High</v>
      </c>
      <c r="AB1028">
        <f>IF(EmployeeData[[#This Row],[Attrition]]="Yes",1,0)</f>
        <v>0</v>
      </c>
      <c r="AC1028" t="str">
        <f ca="1">IF(EmployeeData[[#This Row],[Tenure Years]]&lt;1,"Less than 1 Year",IF(EmployeeData[[#This Row],[Tenure Years]]&lt;=3,"1-3 Years",IF(EmployeeData[[#This Row],[Tenure Years]]&lt;=5,"4-5 Years",IF(EmployeeData[[#This Row],[Tenure Years]]&lt;=10,"6-10 Years","More than 10 Years"))))</f>
        <v>More than 10 Years</v>
      </c>
      <c r="AD1028">
        <f>ROUND(AVERAGE(EmployeeData[[#This Row],[JobSatisfaction]],EmployeeData[[#This Row],[EnvironmentSatisfaction]],EmployeeData[[#This Row],[WorkLifeBalance]]),2)</f>
        <v>2.33</v>
      </c>
      <c r="AE1028" t="str">
        <f>IF(EmployeeData[[#This Row],[Satisfaction Score]]&lt;2,"Low",IF(EmployeeData[[#This Row],[Satisfaction Score]]&lt;3,"Medium","High"))</f>
        <v>Medium</v>
      </c>
    </row>
    <row r="1029" spans="1:31" x14ac:dyDescent="0.25">
      <c r="A1029" t="s">
        <v>4715</v>
      </c>
      <c r="B1029" t="s">
        <v>4716</v>
      </c>
      <c r="C1029" t="s">
        <v>49</v>
      </c>
      <c r="D1029">
        <v>29</v>
      </c>
      <c r="E1029" t="s">
        <v>38</v>
      </c>
      <c r="F1029" t="s">
        <v>5460</v>
      </c>
      <c r="G1029" s="1">
        <v>41575</v>
      </c>
      <c r="H1029">
        <v>65771</v>
      </c>
      <c r="I1029" t="s">
        <v>52</v>
      </c>
      <c r="J1029" t="s">
        <v>31</v>
      </c>
      <c r="K1029" t="s">
        <v>83</v>
      </c>
      <c r="L1029" t="s">
        <v>43</v>
      </c>
      <c r="M1029">
        <v>16</v>
      </c>
      <c r="N1029" t="s">
        <v>45</v>
      </c>
      <c r="O1029">
        <v>3</v>
      </c>
      <c r="P1029">
        <v>1</v>
      </c>
      <c r="Q1029">
        <v>3</v>
      </c>
      <c r="R1029">
        <v>3</v>
      </c>
      <c r="S1029">
        <v>5</v>
      </c>
      <c r="T1029">
        <v>5</v>
      </c>
      <c r="U1029">
        <v>13</v>
      </c>
      <c r="V1029" t="s">
        <v>4718</v>
      </c>
      <c r="W1029" t="s">
        <v>34</v>
      </c>
      <c r="Y1029" s="2" t="str">
        <f>IF(EmployeeData[[#This Row],[Age]]&lt;25,"Under 25",IF(EmployeeData[[#This Row],[Age]]&lt;=34,"25-34",IF(EmployeeData[[#This Row],[Age]]&lt;=44,"35-44",IF(EmployeeData[[#This Row],[Age]]&lt;=54,"45-54","55+"))))</f>
        <v>25-34</v>
      </c>
      <c r="Z1029">
        <f ca="1">DATEDIF(EmployeeData[[#This Row],[DateOfJoining]],IF(AND(EmployeeData[[#This Row],[Attrition]]="Yes",EmployeeData[[#This Row],[LastWorkingDate]]&lt;&gt;""),EmployeeData[[#This Row],[LastWorkingDate]],TODAY()),"Y")</f>
        <v>12</v>
      </c>
      <c r="AA1029" t="str">
        <f>IF(EmployeeData[[#This Row],[MonthlyIncome]]&lt;30000,"Low",IF(EmployeeData[[#This Row],[MonthlyIncome]]&lt;=60000,"Medium",IF(EmployeeData[[#This Row],[MonthlyIncome]]&lt;=100000,"High","Very High")))</f>
        <v>High</v>
      </c>
      <c r="AB1029">
        <f>IF(EmployeeData[[#This Row],[Attrition]]="Yes",1,0)</f>
        <v>0</v>
      </c>
      <c r="AC1029" t="str">
        <f ca="1">IF(EmployeeData[[#This Row],[Tenure Years]]&lt;1,"Less than 1 Year",IF(EmployeeData[[#This Row],[Tenure Years]]&lt;=3,"1-3 Years",IF(EmployeeData[[#This Row],[Tenure Years]]&lt;=5,"4-5 Years",IF(EmployeeData[[#This Row],[Tenure Years]]&lt;=10,"6-10 Years","More than 10 Years"))))</f>
        <v>More than 10 Years</v>
      </c>
      <c r="AD1029">
        <f>ROUND(AVERAGE(EmployeeData[[#This Row],[JobSatisfaction]],EmployeeData[[#This Row],[EnvironmentSatisfaction]],EmployeeData[[#This Row],[WorkLifeBalance]]),2)</f>
        <v>2.33</v>
      </c>
      <c r="AE1029" t="str">
        <f>IF(EmployeeData[[#This Row],[Satisfaction Score]]&lt;2,"Low",IF(EmployeeData[[#This Row],[Satisfaction Score]]&lt;3,"Medium","High"))</f>
        <v>Medium</v>
      </c>
    </row>
    <row r="1030" spans="1:31" x14ac:dyDescent="0.25">
      <c r="A1030" t="s">
        <v>4719</v>
      </c>
      <c r="B1030" t="s">
        <v>4720</v>
      </c>
      <c r="C1030" t="s">
        <v>49</v>
      </c>
      <c r="D1030">
        <v>48</v>
      </c>
      <c r="E1030" t="s">
        <v>128</v>
      </c>
      <c r="F1030" t="s">
        <v>123</v>
      </c>
      <c r="G1030" s="1">
        <v>42566</v>
      </c>
      <c r="H1030">
        <v>52780</v>
      </c>
      <c r="I1030" t="s">
        <v>30</v>
      </c>
      <c r="J1030" t="s">
        <v>61</v>
      </c>
      <c r="K1030" t="s">
        <v>113</v>
      </c>
      <c r="L1030" t="s">
        <v>5459</v>
      </c>
      <c r="M1030">
        <v>42</v>
      </c>
      <c r="N1030" t="s">
        <v>34</v>
      </c>
      <c r="O1030">
        <v>3</v>
      </c>
      <c r="P1030">
        <v>3</v>
      </c>
      <c r="Q1030">
        <v>1</v>
      </c>
      <c r="R1030">
        <v>2</v>
      </c>
      <c r="S1030">
        <v>5</v>
      </c>
      <c r="T1030">
        <v>2</v>
      </c>
      <c r="U1030">
        <v>11</v>
      </c>
      <c r="V1030" t="s">
        <v>4722</v>
      </c>
      <c r="W1030" t="s">
        <v>34</v>
      </c>
      <c r="Y1030" s="2" t="str">
        <f>IF(EmployeeData[[#This Row],[Age]]&lt;25,"Under 25",IF(EmployeeData[[#This Row],[Age]]&lt;=34,"25-34",IF(EmployeeData[[#This Row],[Age]]&lt;=44,"35-44",IF(EmployeeData[[#This Row],[Age]]&lt;=54,"45-54","55+"))))</f>
        <v>45-54</v>
      </c>
      <c r="Z1030">
        <f ca="1">DATEDIF(EmployeeData[[#This Row],[DateOfJoining]],IF(AND(EmployeeData[[#This Row],[Attrition]]="Yes",EmployeeData[[#This Row],[LastWorkingDate]]&lt;&gt;""),EmployeeData[[#This Row],[LastWorkingDate]],TODAY()),"Y")</f>
        <v>10</v>
      </c>
      <c r="AA1030" t="str">
        <f>IF(EmployeeData[[#This Row],[MonthlyIncome]]&lt;30000,"Low",IF(EmployeeData[[#This Row],[MonthlyIncome]]&lt;=60000,"Medium",IF(EmployeeData[[#This Row],[MonthlyIncome]]&lt;=100000,"High","Very High")))</f>
        <v>Medium</v>
      </c>
      <c r="AB1030">
        <f>IF(EmployeeData[[#This Row],[Attrition]]="Yes",1,0)</f>
        <v>0</v>
      </c>
      <c r="AC1030" t="str">
        <f ca="1">IF(EmployeeData[[#This Row],[Tenure Years]]&lt;1,"Less than 1 Year",IF(EmployeeData[[#This Row],[Tenure Years]]&lt;=3,"1-3 Years",IF(EmployeeData[[#This Row],[Tenure Years]]&lt;=5,"4-5 Years",IF(EmployeeData[[#This Row],[Tenure Years]]&lt;=10,"6-10 Years","More than 10 Years"))))</f>
        <v>6-10 Years</v>
      </c>
      <c r="AD1030">
        <f>ROUND(AVERAGE(EmployeeData[[#This Row],[JobSatisfaction]],EmployeeData[[#This Row],[EnvironmentSatisfaction]],EmployeeData[[#This Row],[WorkLifeBalance]]),2)</f>
        <v>2.33</v>
      </c>
      <c r="AE1030" t="str">
        <f>IF(EmployeeData[[#This Row],[Satisfaction Score]]&lt;2,"Low",IF(EmployeeData[[#This Row],[Satisfaction Score]]&lt;3,"Medium","High"))</f>
        <v>Medium</v>
      </c>
    </row>
    <row r="1031" spans="1:31" x14ac:dyDescent="0.25">
      <c r="A1031" t="s">
        <v>4723</v>
      </c>
      <c r="B1031" t="s">
        <v>4724</v>
      </c>
      <c r="C1031" t="s">
        <v>49</v>
      </c>
      <c r="D1031">
        <v>30</v>
      </c>
      <c r="E1031" t="s">
        <v>128</v>
      </c>
      <c r="F1031" t="s">
        <v>123</v>
      </c>
      <c r="G1031" s="1">
        <v>43059</v>
      </c>
      <c r="H1031">
        <v>90332</v>
      </c>
      <c r="I1031" t="s">
        <v>30</v>
      </c>
      <c r="J1031" t="s">
        <v>61</v>
      </c>
      <c r="K1031" t="s">
        <v>32</v>
      </c>
      <c r="L1031" t="s">
        <v>43</v>
      </c>
      <c r="M1031">
        <v>22</v>
      </c>
      <c r="N1031" t="s">
        <v>34</v>
      </c>
      <c r="O1031">
        <v>1</v>
      </c>
      <c r="P1031">
        <v>1</v>
      </c>
      <c r="Q1031">
        <v>2</v>
      </c>
      <c r="R1031">
        <v>1</v>
      </c>
      <c r="S1031">
        <v>3</v>
      </c>
      <c r="T1031">
        <v>0</v>
      </c>
      <c r="U1031">
        <v>25</v>
      </c>
      <c r="V1031" t="s">
        <v>4727</v>
      </c>
      <c r="W1031" t="s">
        <v>34</v>
      </c>
      <c r="Y1031" s="2" t="str">
        <f>IF(EmployeeData[[#This Row],[Age]]&lt;25,"Under 25",IF(EmployeeData[[#This Row],[Age]]&lt;=34,"25-34",IF(EmployeeData[[#This Row],[Age]]&lt;=44,"35-44",IF(EmployeeData[[#This Row],[Age]]&lt;=54,"45-54","55+"))))</f>
        <v>25-34</v>
      </c>
      <c r="Z1031">
        <f ca="1">DATEDIF(EmployeeData[[#This Row],[DateOfJoining]],IF(AND(EmployeeData[[#This Row],[Attrition]]="Yes",EmployeeData[[#This Row],[LastWorkingDate]]&lt;&gt;""),EmployeeData[[#This Row],[LastWorkingDate]],TODAY()),"Y")</f>
        <v>8</v>
      </c>
      <c r="AA1031" t="str">
        <f>IF(EmployeeData[[#This Row],[MonthlyIncome]]&lt;30000,"Low",IF(EmployeeData[[#This Row],[MonthlyIncome]]&lt;=60000,"Medium",IF(EmployeeData[[#This Row],[MonthlyIncome]]&lt;=100000,"High","Very High")))</f>
        <v>High</v>
      </c>
      <c r="AB1031">
        <f>IF(EmployeeData[[#This Row],[Attrition]]="Yes",1,0)</f>
        <v>0</v>
      </c>
      <c r="AC1031" t="str">
        <f ca="1">IF(EmployeeData[[#This Row],[Tenure Years]]&lt;1,"Less than 1 Year",IF(EmployeeData[[#This Row],[Tenure Years]]&lt;=3,"1-3 Years",IF(EmployeeData[[#This Row],[Tenure Years]]&lt;=5,"4-5 Years",IF(EmployeeData[[#This Row],[Tenure Years]]&lt;=10,"6-10 Years","More than 10 Years"))))</f>
        <v>6-10 Years</v>
      </c>
      <c r="AD1031">
        <f>ROUND(AVERAGE(EmployeeData[[#This Row],[JobSatisfaction]],EmployeeData[[#This Row],[EnvironmentSatisfaction]],EmployeeData[[#This Row],[WorkLifeBalance]]),2)</f>
        <v>1.33</v>
      </c>
      <c r="AE1031" t="str">
        <f>IF(EmployeeData[[#This Row],[Satisfaction Score]]&lt;2,"Low",IF(EmployeeData[[#This Row],[Satisfaction Score]]&lt;3,"Medium","High"))</f>
        <v>Low</v>
      </c>
    </row>
    <row r="1032" spans="1:31" x14ac:dyDescent="0.25">
      <c r="A1032" t="s">
        <v>4728</v>
      </c>
      <c r="B1032" t="s">
        <v>4729</v>
      </c>
      <c r="C1032" t="s">
        <v>58</v>
      </c>
      <c r="D1032">
        <v>32</v>
      </c>
      <c r="E1032" t="s">
        <v>27</v>
      </c>
      <c r="F1032" t="s">
        <v>188</v>
      </c>
      <c r="G1032" s="1">
        <v>46221</v>
      </c>
      <c r="H1032">
        <v>48664</v>
      </c>
      <c r="I1032" t="s">
        <v>42</v>
      </c>
      <c r="J1032" t="s">
        <v>61</v>
      </c>
      <c r="K1032" t="s">
        <v>106</v>
      </c>
      <c r="L1032" t="s">
        <v>33</v>
      </c>
      <c r="M1032">
        <v>10</v>
      </c>
      <c r="N1032" t="s">
        <v>45</v>
      </c>
      <c r="O1032">
        <v>2</v>
      </c>
      <c r="P1032">
        <v>2</v>
      </c>
      <c r="Q1032">
        <v>2</v>
      </c>
      <c r="R1032">
        <v>4</v>
      </c>
      <c r="S1032">
        <v>6</v>
      </c>
      <c r="T1032">
        <v>1</v>
      </c>
      <c r="U1032">
        <v>18</v>
      </c>
      <c r="V1032" t="s">
        <v>4731</v>
      </c>
      <c r="W1032" t="s">
        <v>45</v>
      </c>
      <c r="X1032" s="1">
        <v>46243</v>
      </c>
      <c r="Y1032" s="2" t="str">
        <f>IF(EmployeeData[[#This Row],[Age]]&lt;25,"Under 25",IF(EmployeeData[[#This Row],[Age]]&lt;=34,"25-34",IF(EmployeeData[[#This Row],[Age]]&lt;=44,"35-44",IF(EmployeeData[[#This Row],[Age]]&lt;=54,"45-54","55+"))))</f>
        <v>25-34</v>
      </c>
      <c r="Z1032">
        <f ca="1">DATEDIF(EmployeeData[[#This Row],[DateOfJoining]],IF(AND(EmployeeData[[#This Row],[Attrition]]="Yes",EmployeeData[[#This Row],[LastWorkingDate]]&lt;&gt;""),EmployeeData[[#This Row],[LastWorkingDate]],TODAY()),"Y")</f>
        <v>0</v>
      </c>
      <c r="AA1032" t="str">
        <f>IF(EmployeeData[[#This Row],[MonthlyIncome]]&lt;30000,"Low",IF(EmployeeData[[#This Row],[MonthlyIncome]]&lt;=60000,"Medium",IF(EmployeeData[[#This Row],[MonthlyIncome]]&lt;=100000,"High","Very High")))</f>
        <v>Medium</v>
      </c>
      <c r="AB1032">
        <f>IF(EmployeeData[[#This Row],[Attrition]]="Yes",1,0)</f>
        <v>1</v>
      </c>
      <c r="AC1032" t="str">
        <f ca="1">IF(EmployeeData[[#This Row],[Tenure Years]]&lt;1,"Less than 1 Year",IF(EmployeeData[[#This Row],[Tenure Years]]&lt;=3,"1-3 Years",IF(EmployeeData[[#This Row],[Tenure Years]]&lt;=5,"4-5 Years",IF(EmployeeData[[#This Row],[Tenure Years]]&lt;=10,"6-10 Years","More than 10 Years"))))</f>
        <v>Less than 1 Year</v>
      </c>
      <c r="AD1032">
        <f>ROUND(AVERAGE(EmployeeData[[#This Row],[JobSatisfaction]],EmployeeData[[#This Row],[EnvironmentSatisfaction]],EmployeeData[[#This Row],[WorkLifeBalance]]),2)</f>
        <v>2</v>
      </c>
      <c r="AE1032" t="str">
        <f>IF(EmployeeData[[#This Row],[Satisfaction Score]]&lt;2,"Low",IF(EmployeeData[[#This Row],[Satisfaction Score]]&lt;3,"Medium","High"))</f>
        <v>Medium</v>
      </c>
    </row>
    <row r="1033" spans="1:31" x14ac:dyDescent="0.25">
      <c r="A1033" t="s">
        <v>4733</v>
      </c>
      <c r="B1033" t="s">
        <v>4734</v>
      </c>
      <c r="C1033" t="s">
        <v>49</v>
      </c>
      <c r="D1033">
        <v>48</v>
      </c>
      <c r="E1033" t="s">
        <v>27</v>
      </c>
      <c r="F1033" t="s">
        <v>50</v>
      </c>
      <c r="G1033" s="1">
        <v>44609</v>
      </c>
      <c r="H1033">
        <v>79626</v>
      </c>
      <c r="I1033" t="s">
        <v>42</v>
      </c>
      <c r="J1033" t="s">
        <v>97</v>
      </c>
      <c r="K1033" t="s">
        <v>77</v>
      </c>
      <c r="L1033" t="s">
        <v>62</v>
      </c>
      <c r="M1033">
        <v>40</v>
      </c>
      <c r="N1033" t="s">
        <v>34</v>
      </c>
      <c r="O1033">
        <v>1</v>
      </c>
      <c r="P1033">
        <v>1</v>
      </c>
      <c r="Q1033">
        <v>3</v>
      </c>
      <c r="R1033">
        <v>3</v>
      </c>
      <c r="S1033">
        <v>3</v>
      </c>
      <c r="T1033">
        <v>7</v>
      </c>
      <c r="U1033">
        <v>19</v>
      </c>
      <c r="V1033" t="s">
        <v>4736</v>
      </c>
      <c r="W1033" t="s">
        <v>34</v>
      </c>
      <c r="Y1033" s="2" t="str">
        <f>IF(EmployeeData[[#This Row],[Age]]&lt;25,"Under 25",IF(EmployeeData[[#This Row],[Age]]&lt;=34,"25-34",IF(EmployeeData[[#This Row],[Age]]&lt;=44,"35-44",IF(EmployeeData[[#This Row],[Age]]&lt;=54,"45-54","55+"))))</f>
        <v>45-54</v>
      </c>
      <c r="Z1033">
        <f ca="1">DATEDIF(EmployeeData[[#This Row],[DateOfJoining]],IF(AND(EmployeeData[[#This Row],[Attrition]]="Yes",EmployeeData[[#This Row],[LastWorkingDate]]&lt;&gt;""),EmployeeData[[#This Row],[LastWorkingDate]],TODAY()),"Y")</f>
        <v>4</v>
      </c>
      <c r="AA1033" t="str">
        <f>IF(EmployeeData[[#This Row],[MonthlyIncome]]&lt;30000,"Low",IF(EmployeeData[[#This Row],[MonthlyIncome]]&lt;=60000,"Medium",IF(EmployeeData[[#This Row],[MonthlyIncome]]&lt;=100000,"High","Very High")))</f>
        <v>High</v>
      </c>
      <c r="AB1033">
        <f>IF(EmployeeData[[#This Row],[Attrition]]="Yes",1,0)</f>
        <v>0</v>
      </c>
      <c r="AC1033" t="str">
        <f ca="1">IF(EmployeeData[[#This Row],[Tenure Years]]&lt;1,"Less than 1 Year",IF(EmployeeData[[#This Row],[Tenure Years]]&lt;=3,"1-3 Years",IF(EmployeeData[[#This Row],[Tenure Years]]&lt;=5,"4-5 Years",IF(EmployeeData[[#This Row],[Tenure Years]]&lt;=10,"6-10 Years","More than 10 Years"))))</f>
        <v>4-5 Years</v>
      </c>
      <c r="AD1033">
        <f>ROUND(AVERAGE(EmployeeData[[#This Row],[JobSatisfaction]],EmployeeData[[#This Row],[EnvironmentSatisfaction]],EmployeeData[[#This Row],[WorkLifeBalance]]),2)</f>
        <v>1.67</v>
      </c>
      <c r="AE1033" t="str">
        <f>IF(EmployeeData[[#This Row],[Satisfaction Score]]&lt;2,"Low",IF(EmployeeData[[#This Row],[Satisfaction Score]]&lt;3,"Medium","High"))</f>
        <v>Low</v>
      </c>
    </row>
    <row r="1034" spans="1:31" x14ac:dyDescent="0.25">
      <c r="A1034" t="s">
        <v>4737</v>
      </c>
      <c r="B1034" t="s">
        <v>4738</v>
      </c>
      <c r="C1034" t="s">
        <v>58</v>
      </c>
      <c r="D1034">
        <v>38</v>
      </c>
      <c r="E1034" t="s">
        <v>27</v>
      </c>
      <c r="F1034" t="s">
        <v>188</v>
      </c>
      <c r="G1034" s="1">
        <v>45329</v>
      </c>
      <c r="H1034">
        <v>91806</v>
      </c>
      <c r="I1034" t="s">
        <v>52</v>
      </c>
      <c r="J1034" t="s">
        <v>53</v>
      </c>
      <c r="K1034" t="s">
        <v>54</v>
      </c>
      <c r="L1034" t="s">
        <v>43</v>
      </c>
      <c r="M1034">
        <v>42</v>
      </c>
      <c r="N1034" t="s">
        <v>34</v>
      </c>
      <c r="O1034">
        <v>1</v>
      </c>
      <c r="P1034">
        <v>1</v>
      </c>
      <c r="Q1034">
        <v>1</v>
      </c>
      <c r="R1034">
        <v>1</v>
      </c>
      <c r="S1034">
        <v>3</v>
      </c>
      <c r="T1034">
        <v>5</v>
      </c>
      <c r="U1034">
        <v>18</v>
      </c>
      <c r="V1034" t="s">
        <v>4740</v>
      </c>
      <c r="W1034" t="s">
        <v>45</v>
      </c>
      <c r="X1034" s="1">
        <v>45376</v>
      </c>
      <c r="Y1034" s="2" t="str">
        <f>IF(EmployeeData[[#This Row],[Age]]&lt;25,"Under 25",IF(EmployeeData[[#This Row],[Age]]&lt;=34,"25-34",IF(EmployeeData[[#This Row],[Age]]&lt;=44,"35-44",IF(EmployeeData[[#This Row],[Age]]&lt;=54,"45-54","55+"))))</f>
        <v>35-44</v>
      </c>
      <c r="Z1034">
        <f ca="1">DATEDIF(EmployeeData[[#This Row],[DateOfJoining]],IF(AND(EmployeeData[[#This Row],[Attrition]]="Yes",EmployeeData[[#This Row],[LastWorkingDate]]&lt;&gt;""),EmployeeData[[#This Row],[LastWorkingDate]],TODAY()),"Y")</f>
        <v>0</v>
      </c>
      <c r="AA1034" t="str">
        <f>IF(EmployeeData[[#This Row],[MonthlyIncome]]&lt;30000,"Low",IF(EmployeeData[[#This Row],[MonthlyIncome]]&lt;=60000,"Medium",IF(EmployeeData[[#This Row],[MonthlyIncome]]&lt;=100000,"High","Very High")))</f>
        <v>High</v>
      </c>
      <c r="AB1034">
        <f>IF(EmployeeData[[#This Row],[Attrition]]="Yes",1,0)</f>
        <v>1</v>
      </c>
      <c r="AC1034" t="str">
        <f ca="1">IF(EmployeeData[[#This Row],[Tenure Years]]&lt;1,"Less than 1 Year",IF(EmployeeData[[#This Row],[Tenure Years]]&lt;=3,"1-3 Years",IF(EmployeeData[[#This Row],[Tenure Years]]&lt;=5,"4-5 Years",IF(EmployeeData[[#This Row],[Tenure Years]]&lt;=10,"6-10 Years","More than 10 Years"))))</f>
        <v>Less than 1 Year</v>
      </c>
      <c r="AD1034">
        <f>ROUND(AVERAGE(EmployeeData[[#This Row],[JobSatisfaction]],EmployeeData[[#This Row],[EnvironmentSatisfaction]],EmployeeData[[#This Row],[WorkLifeBalance]]),2)</f>
        <v>1</v>
      </c>
      <c r="AE1034" t="str">
        <f>IF(EmployeeData[[#This Row],[Satisfaction Score]]&lt;2,"Low",IF(EmployeeData[[#This Row],[Satisfaction Score]]&lt;3,"Medium","High"))</f>
        <v>Low</v>
      </c>
    </row>
    <row r="1035" spans="1:31" x14ac:dyDescent="0.25">
      <c r="A1035" t="s">
        <v>4741</v>
      </c>
      <c r="B1035" t="s">
        <v>4742</v>
      </c>
      <c r="C1035" t="s">
        <v>58</v>
      </c>
      <c r="D1035">
        <v>25</v>
      </c>
      <c r="E1035" t="s">
        <v>128</v>
      </c>
      <c r="F1035" t="s">
        <v>123</v>
      </c>
      <c r="G1035" s="1">
        <v>45495</v>
      </c>
      <c r="H1035">
        <v>87429</v>
      </c>
      <c r="I1035" t="s">
        <v>42</v>
      </c>
      <c r="J1035" t="s">
        <v>97</v>
      </c>
      <c r="K1035" t="s">
        <v>200</v>
      </c>
      <c r="L1035" t="s">
        <v>43</v>
      </c>
      <c r="M1035">
        <v>32</v>
      </c>
      <c r="N1035" t="s">
        <v>34</v>
      </c>
      <c r="O1035">
        <v>3</v>
      </c>
      <c r="P1035">
        <v>3</v>
      </c>
      <c r="Q1035">
        <v>3</v>
      </c>
      <c r="R1035">
        <v>2</v>
      </c>
      <c r="S1035">
        <v>5</v>
      </c>
      <c r="T1035">
        <v>7</v>
      </c>
      <c r="U1035">
        <v>24</v>
      </c>
      <c r="V1035" t="s">
        <v>4745</v>
      </c>
      <c r="W1035" t="s">
        <v>34</v>
      </c>
      <c r="Y1035" s="2" t="str">
        <f>IF(EmployeeData[[#This Row],[Age]]&lt;25,"Under 25",IF(EmployeeData[[#This Row],[Age]]&lt;=34,"25-34",IF(EmployeeData[[#This Row],[Age]]&lt;=44,"35-44",IF(EmployeeData[[#This Row],[Age]]&lt;=54,"45-54","55+"))))</f>
        <v>25-34</v>
      </c>
      <c r="Z1035">
        <f ca="1">DATEDIF(EmployeeData[[#This Row],[DateOfJoining]],IF(AND(EmployeeData[[#This Row],[Attrition]]="Yes",EmployeeData[[#This Row],[LastWorkingDate]]&lt;&gt;""),EmployeeData[[#This Row],[LastWorkingDate]],TODAY()),"Y")</f>
        <v>2</v>
      </c>
      <c r="AA1035" t="str">
        <f>IF(EmployeeData[[#This Row],[MonthlyIncome]]&lt;30000,"Low",IF(EmployeeData[[#This Row],[MonthlyIncome]]&lt;=60000,"Medium",IF(EmployeeData[[#This Row],[MonthlyIncome]]&lt;=100000,"High","Very High")))</f>
        <v>High</v>
      </c>
      <c r="AB1035">
        <f>IF(EmployeeData[[#This Row],[Attrition]]="Yes",1,0)</f>
        <v>0</v>
      </c>
      <c r="AC1035" t="str">
        <f ca="1">IF(EmployeeData[[#This Row],[Tenure Years]]&lt;1,"Less than 1 Year",IF(EmployeeData[[#This Row],[Tenure Years]]&lt;=3,"1-3 Years",IF(EmployeeData[[#This Row],[Tenure Years]]&lt;=5,"4-5 Years",IF(EmployeeData[[#This Row],[Tenure Years]]&lt;=10,"6-10 Years","More than 10 Years"))))</f>
        <v>1-3 Years</v>
      </c>
      <c r="AD1035">
        <f>ROUND(AVERAGE(EmployeeData[[#This Row],[JobSatisfaction]],EmployeeData[[#This Row],[EnvironmentSatisfaction]],EmployeeData[[#This Row],[WorkLifeBalance]]),2)</f>
        <v>3</v>
      </c>
      <c r="AE1035" t="str">
        <f>IF(EmployeeData[[#This Row],[Satisfaction Score]]&lt;2,"Low",IF(EmployeeData[[#This Row],[Satisfaction Score]]&lt;3,"Medium","High"))</f>
        <v>High</v>
      </c>
    </row>
    <row r="1036" spans="1:31" x14ac:dyDescent="0.25">
      <c r="A1036" t="s">
        <v>4746</v>
      </c>
      <c r="B1036" t="s">
        <v>4747</v>
      </c>
      <c r="C1036" t="s">
        <v>49</v>
      </c>
      <c r="D1036">
        <v>38</v>
      </c>
      <c r="E1036" t="s">
        <v>5461</v>
      </c>
      <c r="F1036" t="s">
        <v>89</v>
      </c>
      <c r="G1036" s="1">
        <v>42757</v>
      </c>
      <c r="H1036">
        <v>70916</v>
      </c>
      <c r="I1036" t="s">
        <v>30</v>
      </c>
      <c r="J1036" t="s">
        <v>31</v>
      </c>
      <c r="K1036" t="s">
        <v>167</v>
      </c>
      <c r="L1036" t="s">
        <v>62</v>
      </c>
      <c r="M1036">
        <v>18</v>
      </c>
      <c r="N1036" t="s">
        <v>34</v>
      </c>
      <c r="O1036">
        <v>4</v>
      </c>
      <c r="P1036">
        <v>2</v>
      </c>
      <c r="Q1036">
        <v>2</v>
      </c>
      <c r="R1036">
        <v>2</v>
      </c>
      <c r="S1036">
        <v>3</v>
      </c>
      <c r="T1036">
        <v>3</v>
      </c>
      <c r="U1036">
        <v>20</v>
      </c>
      <c r="V1036" t="s">
        <v>4749</v>
      </c>
      <c r="W1036" t="s">
        <v>34</v>
      </c>
      <c r="Y1036" s="2" t="str">
        <f>IF(EmployeeData[[#This Row],[Age]]&lt;25,"Under 25",IF(EmployeeData[[#This Row],[Age]]&lt;=34,"25-34",IF(EmployeeData[[#This Row],[Age]]&lt;=44,"35-44",IF(EmployeeData[[#This Row],[Age]]&lt;=54,"45-54","55+"))))</f>
        <v>35-44</v>
      </c>
      <c r="Z1036">
        <f ca="1">DATEDIF(EmployeeData[[#This Row],[DateOfJoining]],IF(AND(EmployeeData[[#This Row],[Attrition]]="Yes",EmployeeData[[#This Row],[LastWorkingDate]]&lt;&gt;""),EmployeeData[[#This Row],[LastWorkingDate]],TODAY()),"Y")</f>
        <v>9</v>
      </c>
      <c r="AA1036" t="str">
        <f>IF(EmployeeData[[#This Row],[MonthlyIncome]]&lt;30000,"Low",IF(EmployeeData[[#This Row],[MonthlyIncome]]&lt;=60000,"Medium",IF(EmployeeData[[#This Row],[MonthlyIncome]]&lt;=100000,"High","Very High")))</f>
        <v>High</v>
      </c>
      <c r="AB1036">
        <f>IF(EmployeeData[[#This Row],[Attrition]]="Yes",1,0)</f>
        <v>0</v>
      </c>
      <c r="AC1036" t="str">
        <f ca="1">IF(EmployeeData[[#This Row],[Tenure Years]]&lt;1,"Less than 1 Year",IF(EmployeeData[[#This Row],[Tenure Years]]&lt;=3,"1-3 Years",IF(EmployeeData[[#This Row],[Tenure Years]]&lt;=5,"4-5 Years",IF(EmployeeData[[#This Row],[Tenure Years]]&lt;=10,"6-10 Years","More than 10 Years"))))</f>
        <v>6-10 Years</v>
      </c>
      <c r="AD1036">
        <f>ROUND(AVERAGE(EmployeeData[[#This Row],[JobSatisfaction]],EmployeeData[[#This Row],[EnvironmentSatisfaction]],EmployeeData[[#This Row],[WorkLifeBalance]]),2)</f>
        <v>2.67</v>
      </c>
      <c r="AE1036" t="str">
        <f>IF(EmployeeData[[#This Row],[Satisfaction Score]]&lt;2,"Low",IF(EmployeeData[[#This Row],[Satisfaction Score]]&lt;3,"Medium","High"))</f>
        <v>Medium</v>
      </c>
    </row>
    <row r="1037" spans="1:31" x14ac:dyDescent="0.25">
      <c r="A1037" t="s">
        <v>4750</v>
      </c>
      <c r="B1037" t="s">
        <v>4751</v>
      </c>
      <c r="C1037" t="s">
        <v>58</v>
      </c>
      <c r="D1037">
        <v>42</v>
      </c>
      <c r="E1037" t="s">
        <v>5461</v>
      </c>
      <c r="F1037" t="s">
        <v>5463</v>
      </c>
      <c r="G1037" s="1">
        <v>44198</v>
      </c>
      <c r="H1037">
        <v>69948</v>
      </c>
      <c r="I1037" t="s">
        <v>30</v>
      </c>
      <c r="J1037" t="s">
        <v>31</v>
      </c>
      <c r="K1037" t="s">
        <v>106</v>
      </c>
      <c r="L1037" t="s">
        <v>33</v>
      </c>
      <c r="M1037">
        <v>14</v>
      </c>
      <c r="N1037" t="s">
        <v>34</v>
      </c>
      <c r="O1037">
        <v>4</v>
      </c>
      <c r="P1037">
        <v>4</v>
      </c>
      <c r="Q1037">
        <v>4</v>
      </c>
      <c r="R1037">
        <v>4</v>
      </c>
      <c r="S1037">
        <v>6</v>
      </c>
      <c r="T1037">
        <v>1</v>
      </c>
      <c r="U1037">
        <v>22</v>
      </c>
      <c r="V1037" t="s">
        <v>4753</v>
      </c>
      <c r="W1037" t="s">
        <v>34</v>
      </c>
      <c r="Y1037" s="2" t="str">
        <f>IF(EmployeeData[[#This Row],[Age]]&lt;25,"Under 25",IF(EmployeeData[[#This Row],[Age]]&lt;=34,"25-34",IF(EmployeeData[[#This Row],[Age]]&lt;=44,"35-44",IF(EmployeeData[[#This Row],[Age]]&lt;=54,"45-54","55+"))))</f>
        <v>35-44</v>
      </c>
      <c r="Z1037">
        <f ca="1">DATEDIF(EmployeeData[[#This Row],[DateOfJoining]],IF(AND(EmployeeData[[#This Row],[Attrition]]="Yes",EmployeeData[[#This Row],[LastWorkingDate]]&lt;&gt;""),EmployeeData[[#This Row],[LastWorkingDate]],TODAY()),"Y")</f>
        <v>5</v>
      </c>
      <c r="AA1037" t="str">
        <f>IF(EmployeeData[[#This Row],[MonthlyIncome]]&lt;30000,"Low",IF(EmployeeData[[#This Row],[MonthlyIncome]]&lt;=60000,"Medium",IF(EmployeeData[[#This Row],[MonthlyIncome]]&lt;=100000,"High","Very High")))</f>
        <v>High</v>
      </c>
      <c r="AB1037">
        <f>IF(EmployeeData[[#This Row],[Attrition]]="Yes",1,0)</f>
        <v>0</v>
      </c>
      <c r="AC1037" t="str">
        <f ca="1">IF(EmployeeData[[#This Row],[Tenure Years]]&lt;1,"Less than 1 Year",IF(EmployeeData[[#This Row],[Tenure Years]]&lt;=3,"1-3 Years",IF(EmployeeData[[#This Row],[Tenure Years]]&lt;=5,"4-5 Years",IF(EmployeeData[[#This Row],[Tenure Years]]&lt;=10,"6-10 Years","More than 10 Years"))))</f>
        <v>4-5 Years</v>
      </c>
      <c r="AD1037">
        <f>ROUND(AVERAGE(EmployeeData[[#This Row],[JobSatisfaction]],EmployeeData[[#This Row],[EnvironmentSatisfaction]],EmployeeData[[#This Row],[WorkLifeBalance]]),2)</f>
        <v>4</v>
      </c>
      <c r="AE1037" t="str">
        <f>IF(EmployeeData[[#This Row],[Satisfaction Score]]&lt;2,"Low",IF(EmployeeData[[#This Row],[Satisfaction Score]]&lt;3,"Medium","High"))</f>
        <v>High</v>
      </c>
    </row>
    <row r="1038" spans="1:31" x14ac:dyDescent="0.25">
      <c r="A1038" t="s">
        <v>4754</v>
      </c>
      <c r="B1038" t="s">
        <v>4755</v>
      </c>
      <c r="C1038" t="s">
        <v>49</v>
      </c>
      <c r="D1038">
        <v>44</v>
      </c>
      <c r="E1038" t="s">
        <v>197</v>
      </c>
      <c r="F1038" t="s">
        <v>323</v>
      </c>
      <c r="G1038" s="1">
        <v>45366</v>
      </c>
      <c r="H1038">
        <v>51097</v>
      </c>
      <c r="I1038" t="s">
        <v>42</v>
      </c>
      <c r="J1038" t="s">
        <v>31</v>
      </c>
      <c r="K1038" t="s">
        <v>167</v>
      </c>
      <c r="L1038" t="s">
        <v>43</v>
      </c>
      <c r="M1038">
        <v>17</v>
      </c>
      <c r="N1038" t="s">
        <v>34</v>
      </c>
      <c r="O1038">
        <v>3</v>
      </c>
      <c r="P1038">
        <v>3</v>
      </c>
      <c r="Q1038">
        <v>2</v>
      </c>
      <c r="R1038">
        <v>4</v>
      </c>
      <c r="S1038">
        <v>3</v>
      </c>
      <c r="T1038">
        <v>0</v>
      </c>
      <c r="U1038">
        <v>24</v>
      </c>
      <c r="V1038" t="s">
        <v>2103</v>
      </c>
      <c r="W1038" t="s">
        <v>34</v>
      </c>
      <c r="Y1038" s="2" t="str">
        <f>IF(EmployeeData[[#This Row],[Age]]&lt;25,"Under 25",IF(EmployeeData[[#This Row],[Age]]&lt;=34,"25-34",IF(EmployeeData[[#This Row],[Age]]&lt;=44,"35-44",IF(EmployeeData[[#This Row],[Age]]&lt;=54,"45-54","55+"))))</f>
        <v>35-44</v>
      </c>
      <c r="Z1038">
        <f ca="1">DATEDIF(EmployeeData[[#This Row],[DateOfJoining]],IF(AND(EmployeeData[[#This Row],[Attrition]]="Yes",EmployeeData[[#This Row],[LastWorkingDate]]&lt;&gt;""),EmployeeData[[#This Row],[LastWorkingDate]],TODAY()),"Y")</f>
        <v>2</v>
      </c>
      <c r="AA1038" t="str">
        <f>IF(EmployeeData[[#This Row],[MonthlyIncome]]&lt;30000,"Low",IF(EmployeeData[[#This Row],[MonthlyIncome]]&lt;=60000,"Medium",IF(EmployeeData[[#This Row],[MonthlyIncome]]&lt;=100000,"High","Very High")))</f>
        <v>Medium</v>
      </c>
      <c r="AB1038">
        <f>IF(EmployeeData[[#This Row],[Attrition]]="Yes",1,0)</f>
        <v>0</v>
      </c>
      <c r="AC1038" t="str">
        <f ca="1">IF(EmployeeData[[#This Row],[Tenure Years]]&lt;1,"Less than 1 Year",IF(EmployeeData[[#This Row],[Tenure Years]]&lt;=3,"1-3 Years",IF(EmployeeData[[#This Row],[Tenure Years]]&lt;=5,"4-5 Years",IF(EmployeeData[[#This Row],[Tenure Years]]&lt;=10,"6-10 Years","More than 10 Years"))))</f>
        <v>1-3 Years</v>
      </c>
      <c r="AD1038">
        <f>ROUND(AVERAGE(EmployeeData[[#This Row],[JobSatisfaction]],EmployeeData[[#This Row],[EnvironmentSatisfaction]],EmployeeData[[#This Row],[WorkLifeBalance]]),2)</f>
        <v>2.67</v>
      </c>
      <c r="AE1038" t="str">
        <f>IF(EmployeeData[[#This Row],[Satisfaction Score]]&lt;2,"Low",IF(EmployeeData[[#This Row],[Satisfaction Score]]&lt;3,"Medium","High"))</f>
        <v>Medium</v>
      </c>
    </row>
    <row r="1039" spans="1:31" x14ac:dyDescent="0.25">
      <c r="A1039" t="s">
        <v>4757</v>
      </c>
      <c r="B1039" t="s">
        <v>4758</v>
      </c>
      <c r="C1039" t="s">
        <v>49</v>
      </c>
      <c r="D1039">
        <v>32</v>
      </c>
      <c r="E1039" t="s">
        <v>27</v>
      </c>
      <c r="F1039" t="s">
        <v>75</v>
      </c>
      <c r="G1039" s="1">
        <v>45615</v>
      </c>
      <c r="H1039">
        <v>81951</v>
      </c>
      <c r="I1039" t="s">
        <v>52</v>
      </c>
      <c r="J1039" t="s">
        <v>53</v>
      </c>
      <c r="K1039" t="s">
        <v>200</v>
      </c>
      <c r="L1039" t="s">
        <v>43</v>
      </c>
      <c r="M1039">
        <v>9</v>
      </c>
      <c r="N1039" t="s">
        <v>34</v>
      </c>
      <c r="O1039">
        <v>1</v>
      </c>
      <c r="P1039">
        <v>4</v>
      </c>
      <c r="Q1039">
        <v>2</v>
      </c>
      <c r="R1039">
        <v>2</v>
      </c>
      <c r="S1039">
        <v>1</v>
      </c>
      <c r="T1039">
        <v>7</v>
      </c>
      <c r="U1039">
        <v>12</v>
      </c>
      <c r="V1039" t="s">
        <v>4760</v>
      </c>
      <c r="W1039" t="s">
        <v>45</v>
      </c>
      <c r="X1039" s="1">
        <v>45664</v>
      </c>
      <c r="Y1039" s="2" t="str">
        <f>IF(EmployeeData[[#This Row],[Age]]&lt;25,"Under 25",IF(EmployeeData[[#This Row],[Age]]&lt;=34,"25-34",IF(EmployeeData[[#This Row],[Age]]&lt;=44,"35-44",IF(EmployeeData[[#This Row],[Age]]&lt;=54,"45-54","55+"))))</f>
        <v>25-34</v>
      </c>
      <c r="Z1039">
        <f ca="1">DATEDIF(EmployeeData[[#This Row],[DateOfJoining]],IF(AND(EmployeeData[[#This Row],[Attrition]]="Yes",EmployeeData[[#This Row],[LastWorkingDate]]&lt;&gt;""),EmployeeData[[#This Row],[LastWorkingDate]],TODAY()),"Y")</f>
        <v>0</v>
      </c>
      <c r="AA1039" t="str">
        <f>IF(EmployeeData[[#This Row],[MonthlyIncome]]&lt;30000,"Low",IF(EmployeeData[[#This Row],[MonthlyIncome]]&lt;=60000,"Medium",IF(EmployeeData[[#This Row],[MonthlyIncome]]&lt;=100000,"High","Very High")))</f>
        <v>High</v>
      </c>
      <c r="AB1039">
        <f>IF(EmployeeData[[#This Row],[Attrition]]="Yes",1,0)</f>
        <v>1</v>
      </c>
      <c r="AC1039" t="str">
        <f ca="1">IF(EmployeeData[[#This Row],[Tenure Years]]&lt;1,"Less than 1 Year",IF(EmployeeData[[#This Row],[Tenure Years]]&lt;=3,"1-3 Years",IF(EmployeeData[[#This Row],[Tenure Years]]&lt;=5,"4-5 Years",IF(EmployeeData[[#This Row],[Tenure Years]]&lt;=10,"6-10 Years","More than 10 Years"))))</f>
        <v>Less than 1 Year</v>
      </c>
      <c r="AD1039">
        <f>ROUND(AVERAGE(EmployeeData[[#This Row],[JobSatisfaction]],EmployeeData[[#This Row],[EnvironmentSatisfaction]],EmployeeData[[#This Row],[WorkLifeBalance]]),2)</f>
        <v>2.33</v>
      </c>
      <c r="AE1039" t="str">
        <f>IF(EmployeeData[[#This Row],[Satisfaction Score]]&lt;2,"Low",IF(EmployeeData[[#This Row],[Satisfaction Score]]&lt;3,"Medium","High"))</f>
        <v>Medium</v>
      </c>
    </row>
    <row r="1040" spans="1:31" x14ac:dyDescent="0.25">
      <c r="A1040" t="s">
        <v>4762</v>
      </c>
      <c r="B1040" t="s">
        <v>4763</v>
      </c>
      <c r="C1040" t="s">
        <v>49</v>
      </c>
      <c r="D1040">
        <v>42</v>
      </c>
      <c r="E1040" t="s">
        <v>5461</v>
      </c>
      <c r="F1040" t="s">
        <v>483</v>
      </c>
      <c r="G1040" s="1">
        <v>41981</v>
      </c>
      <c r="H1040">
        <v>149269</v>
      </c>
      <c r="I1040" t="s">
        <v>30</v>
      </c>
      <c r="J1040" t="s">
        <v>31</v>
      </c>
      <c r="K1040" t="s">
        <v>77</v>
      </c>
      <c r="L1040" t="s">
        <v>62</v>
      </c>
      <c r="M1040">
        <v>41</v>
      </c>
      <c r="N1040" t="s">
        <v>34</v>
      </c>
      <c r="O1040">
        <v>1</v>
      </c>
      <c r="P1040">
        <v>4</v>
      </c>
      <c r="Q1040">
        <v>3</v>
      </c>
      <c r="R1040">
        <v>3</v>
      </c>
      <c r="S1040">
        <v>6</v>
      </c>
      <c r="T1040">
        <v>7</v>
      </c>
      <c r="U1040">
        <v>14</v>
      </c>
      <c r="V1040" t="s">
        <v>4765</v>
      </c>
      <c r="W1040" t="s">
        <v>34</v>
      </c>
      <c r="Y1040" s="2" t="str">
        <f>IF(EmployeeData[[#This Row],[Age]]&lt;25,"Under 25",IF(EmployeeData[[#This Row],[Age]]&lt;=34,"25-34",IF(EmployeeData[[#This Row],[Age]]&lt;=44,"35-44",IF(EmployeeData[[#This Row],[Age]]&lt;=54,"45-54","55+"))))</f>
        <v>35-44</v>
      </c>
      <c r="Z1040">
        <f ca="1">DATEDIF(EmployeeData[[#This Row],[DateOfJoining]],IF(AND(EmployeeData[[#This Row],[Attrition]]="Yes",EmployeeData[[#This Row],[LastWorkingDate]]&lt;&gt;""),EmployeeData[[#This Row],[LastWorkingDate]],TODAY()),"Y")</f>
        <v>11</v>
      </c>
      <c r="AA1040" t="str">
        <f>IF(EmployeeData[[#This Row],[MonthlyIncome]]&lt;30000,"Low",IF(EmployeeData[[#This Row],[MonthlyIncome]]&lt;=60000,"Medium",IF(EmployeeData[[#This Row],[MonthlyIncome]]&lt;=100000,"High","Very High")))</f>
        <v>Very High</v>
      </c>
      <c r="AB1040">
        <f>IF(EmployeeData[[#This Row],[Attrition]]="Yes",1,0)</f>
        <v>0</v>
      </c>
      <c r="AC1040" t="str">
        <f ca="1">IF(EmployeeData[[#This Row],[Tenure Years]]&lt;1,"Less than 1 Year",IF(EmployeeData[[#This Row],[Tenure Years]]&lt;=3,"1-3 Years",IF(EmployeeData[[#This Row],[Tenure Years]]&lt;=5,"4-5 Years",IF(EmployeeData[[#This Row],[Tenure Years]]&lt;=10,"6-10 Years","More than 10 Years"))))</f>
        <v>More than 10 Years</v>
      </c>
      <c r="AD1040">
        <f>ROUND(AVERAGE(EmployeeData[[#This Row],[JobSatisfaction]],EmployeeData[[#This Row],[EnvironmentSatisfaction]],EmployeeData[[#This Row],[WorkLifeBalance]]),2)</f>
        <v>2.67</v>
      </c>
      <c r="AE1040" t="str">
        <f>IF(EmployeeData[[#This Row],[Satisfaction Score]]&lt;2,"Low",IF(EmployeeData[[#This Row],[Satisfaction Score]]&lt;3,"Medium","High"))</f>
        <v>Medium</v>
      </c>
    </row>
    <row r="1041" spans="1:31" x14ac:dyDescent="0.25">
      <c r="A1041" t="s">
        <v>4766</v>
      </c>
      <c r="B1041" t="s">
        <v>4767</v>
      </c>
      <c r="C1041" t="s">
        <v>49</v>
      </c>
      <c r="D1041">
        <v>35</v>
      </c>
      <c r="E1041" t="s">
        <v>128</v>
      </c>
      <c r="F1041" t="s">
        <v>5459</v>
      </c>
      <c r="G1041" s="1">
        <v>44235</v>
      </c>
      <c r="H1041">
        <v>101374</v>
      </c>
      <c r="I1041" t="s">
        <v>42</v>
      </c>
      <c r="J1041" t="s">
        <v>143</v>
      </c>
      <c r="K1041" t="s">
        <v>167</v>
      </c>
      <c r="L1041" t="s">
        <v>43</v>
      </c>
      <c r="M1041">
        <v>43</v>
      </c>
      <c r="N1041" t="s">
        <v>45</v>
      </c>
      <c r="O1041">
        <v>3</v>
      </c>
      <c r="P1041">
        <v>2</v>
      </c>
      <c r="Q1041">
        <v>4</v>
      </c>
      <c r="R1041">
        <v>3</v>
      </c>
      <c r="S1041">
        <v>6</v>
      </c>
      <c r="T1041">
        <v>6</v>
      </c>
      <c r="U1041">
        <v>20</v>
      </c>
      <c r="V1041" t="s">
        <v>4769</v>
      </c>
      <c r="W1041" t="s">
        <v>45</v>
      </c>
      <c r="X1041" s="1">
        <v>45348</v>
      </c>
      <c r="Y1041" s="2" t="str">
        <f>IF(EmployeeData[[#This Row],[Age]]&lt;25,"Under 25",IF(EmployeeData[[#This Row],[Age]]&lt;=34,"25-34",IF(EmployeeData[[#This Row],[Age]]&lt;=44,"35-44",IF(EmployeeData[[#This Row],[Age]]&lt;=54,"45-54","55+"))))</f>
        <v>35-44</v>
      </c>
      <c r="Z1041">
        <f ca="1">DATEDIF(EmployeeData[[#This Row],[DateOfJoining]],IF(AND(EmployeeData[[#This Row],[Attrition]]="Yes",EmployeeData[[#This Row],[LastWorkingDate]]&lt;&gt;""),EmployeeData[[#This Row],[LastWorkingDate]],TODAY()),"Y")</f>
        <v>3</v>
      </c>
      <c r="AA1041" t="str">
        <f>IF(EmployeeData[[#This Row],[MonthlyIncome]]&lt;30000,"Low",IF(EmployeeData[[#This Row],[MonthlyIncome]]&lt;=60000,"Medium",IF(EmployeeData[[#This Row],[MonthlyIncome]]&lt;=100000,"High","Very High")))</f>
        <v>Very High</v>
      </c>
      <c r="AB1041">
        <f>IF(EmployeeData[[#This Row],[Attrition]]="Yes",1,0)</f>
        <v>1</v>
      </c>
      <c r="AC1041" t="str">
        <f ca="1">IF(EmployeeData[[#This Row],[Tenure Years]]&lt;1,"Less than 1 Year",IF(EmployeeData[[#This Row],[Tenure Years]]&lt;=3,"1-3 Years",IF(EmployeeData[[#This Row],[Tenure Years]]&lt;=5,"4-5 Years",IF(EmployeeData[[#This Row],[Tenure Years]]&lt;=10,"6-10 Years","More than 10 Years"))))</f>
        <v>1-3 Years</v>
      </c>
      <c r="AD1041">
        <f>ROUND(AVERAGE(EmployeeData[[#This Row],[JobSatisfaction]],EmployeeData[[#This Row],[EnvironmentSatisfaction]],EmployeeData[[#This Row],[WorkLifeBalance]]),2)</f>
        <v>3</v>
      </c>
      <c r="AE1041" t="str">
        <f>IF(EmployeeData[[#This Row],[Satisfaction Score]]&lt;2,"Low",IF(EmployeeData[[#This Row],[Satisfaction Score]]&lt;3,"Medium","High"))</f>
        <v>High</v>
      </c>
    </row>
    <row r="1042" spans="1:31" x14ac:dyDescent="0.25">
      <c r="A1042" t="s">
        <v>4771</v>
      </c>
      <c r="B1042" t="s">
        <v>4772</v>
      </c>
      <c r="C1042" t="s">
        <v>58</v>
      </c>
      <c r="D1042">
        <v>35</v>
      </c>
      <c r="E1042" t="s">
        <v>27</v>
      </c>
      <c r="F1042" t="s">
        <v>188</v>
      </c>
      <c r="G1042" s="1">
        <v>41365</v>
      </c>
      <c r="H1042">
        <v>59530</v>
      </c>
      <c r="I1042" t="s">
        <v>5459</v>
      </c>
      <c r="J1042" t="s">
        <v>31</v>
      </c>
      <c r="K1042" t="s">
        <v>113</v>
      </c>
      <c r="L1042" t="s">
        <v>33</v>
      </c>
      <c r="M1042">
        <v>3</v>
      </c>
      <c r="N1042" t="s">
        <v>34</v>
      </c>
      <c r="O1042">
        <v>3</v>
      </c>
      <c r="P1042">
        <v>3</v>
      </c>
      <c r="Q1042">
        <v>2</v>
      </c>
      <c r="R1042">
        <v>4</v>
      </c>
      <c r="S1042">
        <v>3</v>
      </c>
      <c r="T1042">
        <v>7</v>
      </c>
      <c r="U1042">
        <v>16</v>
      </c>
      <c r="V1042" t="s">
        <v>4773</v>
      </c>
      <c r="W1042" t="s">
        <v>34</v>
      </c>
      <c r="Y1042" s="2" t="str">
        <f>IF(EmployeeData[[#This Row],[Age]]&lt;25,"Under 25",IF(EmployeeData[[#This Row],[Age]]&lt;=34,"25-34",IF(EmployeeData[[#This Row],[Age]]&lt;=44,"35-44",IF(EmployeeData[[#This Row],[Age]]&lt;=54,"45-54","55+"))))</f>
        <v>35-44</v>
      </c>
      <c r="Z1042">
        <f ca="1">DATEDIF(EmployeeData[[#This Row],[DateOfJoining]],IF(AND(EmployeeData[[#This Row],[Attrition]]="Yes",EmployeeData[[#This Row],[LastWorkingDate]]&lt;&gt;""),EmployeeData[[#This Row],[LastWorkingDate]],TODAY()),"Y")</f>
        <v>13</v>
      </c>
      <c r="AA1042" t="str">
        <f>IF(EmployeeData[[#This Row],[MonthlyIncome]]&lt;30000,"Low",IF(EmployeeData[[#This Row],[MonthlyIncome]]&lt;=60000,"Medium",IF(EmployeeData[[#This Row],[MonthlyIncome]]&lt;=100000,"High","Very High")))</f>
        <v>Medium</v>
      </c>
      <c r="AB1042">
        <f>IF(EmployeeData[[#This Row],[Attrition]]="Yes",1,0)</f>
        <v>0</v>
      </c>
      <c r="AC1042" t="str">
        <f ca="1">IF(EmployeeData[[#This Row],[Tenure Years]]&lt;1,"Less than 1 Year",IF(EmployeeData[[#This Row],[Tenure Years]]&lt;=3,"1-3 Years",IF(EmployeeData[[#This Row],[Tenure Years]]&lt;=5,"4-5 Years",IF(EmployeeData[[#This Row],[Tenure Years]]&lt;=10,"6-10 Years","More than 10 Years"))))</f>
        <v>More than 10 Years</v>
      </c>
      <c r="AD1042">
        <f>ROUND(AVERAGE(EmployeeData[[#This Row],[JobSatisfaction]],EmployeeData[[#This Row],[EnvironmentSatisfaction]],EmployeeData[[#This Row],[WorkLifeBalance]]),2)</f>
        <v>2.67</v>
      </c>
      <c r="AE1042" t="str">
        <f>IF(EmployeeData[[#This Row],[Satisfaction Score]]&lt;2,"Low",IF(EmployeeData[[#This Row],[Satisfaction Score]]&lt;3,"Medium","High"))</f>
        <v>Medium</v>
      </c>
    </row>
    <row r="1043" spans="1:31" x14ac:dyDescent="0.25">
      <c r="A1043" t="s">
        <v>4774</v>
      </c>
      <c r="B1043" t="s">
        <v>4775</v>
      </c>
      <c r="C1043" t="s">
        <v>58</v>
      </c>
      <c r="D1043">
        <v>48</v>
      </c>
      <c r="E1043" t="s">
        <v>27</v>
      </c>
      <c r="F1043" t="s">
        <v>59</v>
      </c>
      <c r="G1043" s="1">
        <v>41517</v>
      </c>
      <c r="H1043">
        <v>53666</v>
      </c>
      <c r="I1043" t="s">
        <v>52</v>
      </c>
      <c r="J1043" t="s">
        <v>31</v>
      </c>
      <c r="K1043" t="s">
        <v>32</v>
      </c>
      <c r="L1043" t="s">
        <v>62</v>
      </c>
      <c r="M1043">
        <v>45</v>
      </c>
      <c r="N1043" t="s">
        <v>45</v>
      </c>
      <c r="O1043">
        <v>3</v>
      </c>
      <c r="P1043">
        <v>1</v>
      </c>
      <c r="Q1043">
        <v>4</v>
      </c>
      <c r="R1043">
        <v>2</v>
      </c>
      <c r="S1043">
        <v>4</v>
      </c>
      <c r="T1043">
        <v>3</v>
      </c>
      <c r="U1043">
        <v>13</v>
      </c>
      <c r="V1043" t="s">
        <v>4777</v>
      </c>
      <c r="W1043" t="s">
        <v>34</v>
      </c>
      <c r="Y1043" s="2" t="str">
        <f>IF(EmployeeData[[#This Row],[Age]]&lt;25,"Under 25",IF(EmployeeData[[#This Row],[Age]]&lt;=34,"25-34",IF(EmployeeData[[#This Row],[Age]]&lt;=44,"35-44",IF(EmployeeData[[#This Row],[Age]]&lt;=54,"45-54","55+"))))</f>
        <v>45-54</v>
      </c>
      <c r="Z1043">
        <f ca="1">DATEDIF(EmployeeData[[#This Row],[DateOfJoining]],IF(AND(EmployeeData[[#This Row],[Attrition]]="Yes",EmployeeData[[#This Row],[LastWorkingDate]]&lt;&gt;""),EmployeeData[[#This Row],[LastWorkingDate]],TODAY()),"Y")</f>
        <v>13</v>
      </c>
      <c r="AA1043" t="str">
        <f>IF(EmployeeData[[#This Row],[MonthlyIncome]]&lt;30000,"Low",IF(EmployeeData[[#This Row],[MonthlyIncome]]&lt;=60000,"Medium",IF(EmployeeData[[#This Row],[MonthlyIncome]]&lt;=100000,"High","Very High")))</f>
        <v>Medium</v>
      </c>
      <c r="AB1043">
        <f>IF(EmployeeData[[#This Row],[Attrition]]="Yes",1,0)</f>
        <v>0</v>
      </c>
      <c r="AC1043" t="str">
        <f ca="1">IF(EmployeeData[[#This Row],[Tenure Years]]&lt;1,"Less than 1 Year",IF(EmployeeData[[#This Row],[Tenure Years]]&lt;=3,"1-3 Years",IF(EmployeeData[[#This Row],[Tenure Years]]&lt;=5,"4-5 Years",IF(EmployeeData[[#This Row],[Tenure Years]]&lt;=10,"6-10 Years","More than 10 Years"))))</f>
        <v>More than 10 Years</v>
      </c>
      <c r="AD1043">
        <f>ROUND(AVERAGE(EmployeeData[[#This Row],[JobSatisfaction]],EmployeeData[[#This Row],[EnvironmentSatisfaction]],EmployeeData[[#This Row],[WorkLifeBalance]]),2)</f>
        <v>2.67</v>
      </c>
      <c r="AE1043" t="str">
        <f>IF(EmployeeData[[#This Row],[Satisfaction Score]]&lt;2,"Low",IF(EmployeeData[[#This Row],[Satisfaction Score]]&lt;3,"Medium","High"))</f>
        <v>Medium</v>
      </c>
    </row>
    <row r="1044" spans="1:31" x14ac:dyDescent="0.25">
      <c r="A1044" t="s">
        <v>4778</v>
      </c>
      <c r="B1044" t="s">
        <v>4779</v>
      </c>
      <c r="C1044" t="s">
        <v>58</v>
      </c>
      <c r="D1044">
        <v>41</v>
      </c>
      <c r="E1044" t="s">
        <v>5461</v>
      </c>
      <c r="F1044" t="s">
        <v>89</v>
      </c>
      <c r="G1044" s="1">
        <v>45696</v>
      </c>
      <c r="H1044">
        <v>97572</v>
      </c>
      <c r="I1044" t="s">
        <v>52</v>
      </c>
      <c r="J1044" t="s">
        <v>61</v>
      </c>
      <c r="K1044" t="s">
        <v>98</v>
      </c>
      <c r="L1044" t="s">
        <v>43</v>
      </c>
      <c r="M1044">
        <v>24</v>
      </c>
      <c r="N1044" t="s">
        <v>34</v>
      </c>
      <c r="O1044">
        <v>1</v>
      </c>
      <c r="P1044">
        <v>2</v>
      </c>
      <c r="Q1044">
        <v>1</v>
      </c>
      <c r="R1044">
        <v>5</v>
      </c>
      <c r="S1044">
        <v>1</v>
      </c>
      <c r="T1044">
        <v>7</v>
      </c>
      <c r="U1044">
        <v>17</v>
      </c>
      <c r="V1044" t="s">
        <v>4782</v>
      </c>
      <c r="W1044" t="s">
        <v>45</v>
      </c>
      <c r="X1044" s="1">
        <v>45801</v>
      </c>
      <c r="Y1044" s="2" t="str">
        <f>IF(EmployeeData[[#This Row],[Age]]&lt;25,"Under 25",IF(EmployeeData[[#This Row],[Age]]&lt;=34,"25-34",IF(EmployeeData[[#This Row],[Age]]&lt;=44,"35-44",IF(EmployeeData[[#This Row],[Age]]&lt;=54,"45-54","55+"))))</f>
        <v>35-44</v>
      </c>
      <c r="Z1044">
        <f ca="1">DATEDIF(EmployeeData[[#This Row],[DateOfJoining]],IF(AND(EmployeeData[[#This Row],[Attrition]]="Yes",EmployeeData[[#This Row],[LastWorkingDate]]&lt;&gt;""),EmployeeData[[#This Row],[LastWorkingDate]],TODAY()),"Y")</f>
        <v>0</v>
      </c>
      <c r="AA1044" t="str">
        <f>IF(EmployeeData[[#This Row],[MonthlyIncome]]&lt;30000,"Low",IF(EmployeeData[[#This Row],[MonthlyIncome]]&lt;=60000,"Medium",IF(EmployeeData[[#This Row],[MonthlyIncome]]&lt;=100000,"High","Very High")))</f>
        <v>High</v>
      </c>
      <c r="AB1044">
        <f>IF(EmployeeData[[#This Row],[Attrition]]="Yes",1,0)</f>
        <v>1</v>
      </c>
      <c r="AC1044" t="str">
        <f ca="1">IF(EmployeeData[[#This Row],[Tenure Years]]&lt;1,"Less than 1 Year",IF(EmployeeData[[#This Row],[Tenure Years]]&lt;=3,"1-3 Years",IF(EmployeeData[[#This Row],[Tenure Years]]&lt;=5,"4-5 Years",IF(EmployeeData[[#This Row],[Tenure Years]]&lt;=10,"6-10 Years","More than 10 Years"))))</f>
        <v>Less than 1 Year</v>
      </c>
      <c r="AD1044">
        <f>ROUND(AVERAGE(EmployeeData[[#This Row],[JobSatisfaction]],EmployeeData[[#This Row],[EnvironmentSatisfaction]],EmployeeData[[#This Row],[WorkLifeBalance]]),2)</f>
        <v>1.33</v>
      </c>
      <c r="AE1044" t="str">
        <f>IF(EmployeeData[[#This Row],[Satisfaction Score]]&lt;2,"Low",IF(EmployeeData[[#This Row],[Satisfaction Score]]&lt;3,"Medium","High"))</f>
        <v>Low</v>
      </c>
    </row>
    <row r="1045" spans="1:31" x14ac:dyDescent="0.25">
      <c r="A1045" t="s">
        <v>4784</v>
      </c>
      <c r="B1045" t="s">
        <v>4785</v>
      </c>
      <c r="C1045" t="s">
        <v>58</v>
      </c>
      <c r="D1045">
        <v>32</v>
      </c>
      <c r="E1045" t="s">
        <v>128</v>
      </c>
      <c r="F1045" t="s">
        <v>123</v>
      </c>
      <c r="G1045" s="1">
        <v>45273</v>
      </c>
      <c r="H1045">
        <v>51880</v>
      </c>
      <c r="I1045" t="s">
        <v>52</v>
      </c>
      <c r="J1045" t="s">
        <v>61</v>
      </c>
      <c r="K1045" t="s">
        <v>32</v>
      </c>
      <c r="L1045" t="s">
        <v>33</v>
      </c>
      <c r="M1045">
        <v>35</v>
      </c>
      <c r="N1045" t="s">
        <v>34</v>
      </c>
      <c r="O1045">
        <v>2</v>
      </c>
      <c r="P1045">
        <v>3</v>
      </c>
      <c r="Q1045">
        <v>2</v>
      </c>
      <c r="R1045">
        <v>3</v>
      </c>
      <c r="S1045">
        <v>0</v>
      </c>
      <c r="T1045">
        <v>2</v>
      </c>
      <c r="U1045">
        <v>23</v>
      </c>
      <c r="V1045" t="s">
        <v>4788</v>
      </c>
      <c r="W1045" t="s">
        <v>45</v>
      </c>
      <c r="X1045" s="1">
        <v>45774</v>
      </c>
      <c r="Y1045" s="2" t="str">
        <f>IF(EmployeeData[[#This Row],[Age]]&lt;25,"Under 25",IF(EmployeeData[[#This Row],[Age]]&lt;=34,"25-34",IF(EmployeeData[[#This Row],[Age]]&lt;=44,"35-44",IF(EmployeeData[[#This Row],[Age]]&lt;=54,"45-54","55+"))))</f>
        <v>25-34</v>
      </c>
      <c r="Z1045">
        <f ca="1">DATEDIF(EmployeeData[[#This Row],[DateOfJoining]],IF(AND(EmployeeData[[#This Row],[Attrition]]="Yes",EmployeeData[[#This Row],[LastWorkingDate]]&lt;&gt;""),EmployeeData[[#This Row],[LastWorkingDate]],TODAY()),"Y")</f>
        <v>1</v>
      </c>
      <c r="AA1045" t="str">
        <f>IF(EmployeeData[[#This Row],[MonthlyIncome]]&lt;30000,"Low",IF(EmployeeData[[#This Row],[MonthlyIncome]]&lt;=60000,"Medium",IF(EmployeeData[[#This Row],[MonthlyIncome]]&lt;=100000,"High","Very High")))</f>
        <v>Medium</v>
      </c>
      <c r="AB1045">
        <f>IF(EmployeeData[[#This Row],[Attrition]]="Yes",1,0)</f>
        <v>1</v>
      </c>
      <c r="AC1045" t="str">
        <f ca="1">IF(EmployeeData[[#This Row],[Tenure Years]]&lt;1,"Less than 1 Year",IF(EmployeeData[[#This Row],[Tenure Years]]&lt;=3,"1-3 Years",IF(EmployeeData[[#This Row],[Tenure Years]]&lt;=5,"4-5 Years",IF(EmployeeData[[#This Row],[Tenure Years]]&lt;=10,"6-10 Years","More than 10 Years"))))</f>
        <v>1-3 Years</v>
      </c>
      <c r="AD1045">
        <f>ROUND(AVERAGE(EmployeeData[[#This Row],[JobSatisfaction]],EmployeeData[[#This Row],[EnvironmentSatisfaction]],EmployeeData[[#This Row],[WorkLifeBalance]]),2)</f>
        <v>2.33</v>
      </c>
      <c r="AE1045" t="str">
        <f>IF(EmployeeData[[#This Row],[Satisfaction Score]]&lt;2,"Low",IF(EmployeeData[[#This Row],[Satisfaction Score]]&lt;3,"Medium","High"))</f>
        <v>Medium</v>
      </c>
    </row>
    <row r="1046" spans="1:31" x14ac:dyDescent="0.25">
      <c r="A1046" t="s">
        <v>4790</v>
      </c>
      <c r="B1046" t="s">
        <v>4791</v>
      </c>
      <c r="C1046" t="s">
        <v>49</v>
      </c>
      <c r="D1046">
        <v>42</v>
      </c>
      <c r="E1046" t="s">
        <v>5461</v>
      </c>
      <c r="F1046" t="s">
        <v>89</v>
      </c>
      <c r="G1046" s="1">
        <v>41116</v>
      </c>
      <c r="H1046">
        <v>76092</v>
      </c>
      <c r="I1046" t="s">
        <v>52</v>
      </c>
      <c r="J1046" t="s">
        <v>61</v>
      </c>
      <c r="K1046" t="s">
        <v>167</v>
      </c>
      <c r="L1046" t="s">
        <v>62</v>
      </c>
      <c r="M1046">
        <v>25</v>
      </c>
      <c r="N1046" t="s">
        <v>34</v>
      </c>
      <c r="O1046">
        <v>3</v>
      </c>
      <c r="P1046">
        <v>2</v>
      </c>
      <c r="Q1046">
        <v>2</v>
      </c>
      <c r="R1046">
        <v>3</v>
      </c>
      <c r="S1046">
        <v>6</v>
      </c>
      <c r="T1046">
        <v>3</v>
      </c>
      <c r="U1046">
        <v>18</v>
      </c>
      <c r="V1046" t="s">
        <v>4793</v>
      </c>
      <c r="W1046" t="s">
        <v>34</v>
      </c>
      <c r="Y1046" s="2" t="str">
        <f>IF(EmployeeData[[#This Row],[Age]]&lt;25,"Under 25",IF(EmployeeData[[#This Row],[Age]]&lt;=34,"25-34",IF(EmployeeData[[#This Row],[Age]]&lt;=44,"35-44",IF(EmployeeData[[#This Row],[Age]]&lt;=54,"45-54","55+"))))</f>
        <v>35-44</v>
      </c>
      <c r="Z1046">
        <f ca="1">DATEDIF(EmployeeData[[#This Row],[DateOfJoining]],IF(AND(EmployeeData[[#This Row],[Attrition]]="Yes",EmployeeData[[#This Row],[LastWorkingDate]]&lt;&gt;""),EmployeeData[[#This Row],[LastWorkingDate]],TODAY()),"Y")</f>
        <v>14</v>
      </c>
      <c r="AA1046" t="str">
        <f>IF(EmployeeData[[#This Row],[MonthlyIncome]]&lt;30000,"Low",IF(EmployeeData[[#This Row],[MonthlyIncome]]&lt;=60000,"Medium",IF(EmployeeData[[#This Row],[MonthlyIncome]]&lt;=100000,"High","Very High")))</f>
        <v>High</v>
      </c>
      <c r="AB1046">
        <f>IF(EmployeeData[[#This Row],[Attrition]]="Yes",1,0)</f>
        <v>0</v>
      </c>
      <c r="AC1046" t="str">
        <f ca="1">IF(EmployeeData[[#This Row],[Tenure Years]]&lt;1,"Less than 1 Year",IF(EmployeeData[[#This Row],[Tenure Years]]&lt;=3,"1-3 Years",IF(EmployeeData[[#This Row],[Tenure Years]]&lt;=5,"4-5 Years",IF(EmployeeData[[#This Row],[Tenure Years]]&lt;=10,"6-10 Years","More than 10 Years"))))</f>
        <v>More than 10 Years</v>
      </c>
      <c r="AD1046">
        <f>ROUND(AVERAGE(EmployeeData[[#This Row],[JobSatisfaction]],EmployeeData[[#This Row],[EnvironmentSatisfaction]],EmployeeData[[#This Row],[WorkLifeBalance]]),2)</f>
        <v>2.33</v>
      </c>
      <c r="AE1046" t="str">
        <f>IF(EmployeeData[[#This Row],[Satisfaction Score]]&lt;2,"Low",IF(EmployeeData[[#This Row],[Satisfaction Score]]&lt;3,"Medium","High"))</f>
        <v>Medium</v>
      </c>
    </row>
    <row r="1047" spans="1:31" x14ac:dyDescent="0.25">
      <c r="A1047" t="s">
        <v>4794</v>
      </c>
      <c r="B1047" t="s">
        <v>4795</v>
      </c>
      <c r="C1047" t="s">
        <v>58</v>
      </c>
      <c r="D1047">
        <v>28</v>
      </c>
      <c r="E1047" t="s">
        <v>38</v>
      </c>
      <c r="F1047" t="s">
        <v>5460</v>
      </c>
      <c r="G1047" s="1">
        <v>41164</v>
      </c>
      <c r="H1047">
        <v>44475</v>
      </c>
      <c r="I1047" t="s">
        <v>42</v>
      </c>
      <c r="J1047" t="s">
        <v>5459</v>
      </c>
      <c r="K1047" t="s">
        <v>54</v>
      </c>
      <c r="L1047" t="s">
        <v>43</v>
      </c>
      <c r="M1047">
        <v>8</v>
      </c>
      <c r="N1047" t="s">
        <v>34</v>
      </c>
      <c r="O1047">
        <v>1</v>
      </c>
      <c r="P1047">
        <v>2</v>
      </c>
      <c r="Q1047">
        <v>1</v>
      </c>
      <c r="R1047">
        <v>3</v>
      </c>
      <c r="S1047">
        <v>4</v>
      </c>
      <c r="T1047">
        <v>5</v>
      </c>
      <c r="U1047">
        <v>20</v>
      </c>
      <c r="V1047" t="s">
        <v>4797</v>
      </c>
      <c r="W1047" t="s">
        <v>34</v>
      </c>
      <c r="Y1047" s="2" t="str">
        <f>IF(EmployeeData[[#This Row],[Age]]&lt;25,"Under 25",IF(EmployeeData[[#This Row],[Age]]&lt;=34,"25-34",IF(EmployeeData[[#This Row],[Age]]&lt;=44,"35-44",IF(EmployeeData[[#This Row],[Age]]&lt;=54,"45-54","55+"))))</f>
        <v>25-34</v>
      </c>
      <c r="Z1047">
        <f ca="1">DATEDIF(EmployeeData[[#This Row],[DateOfJoining]],IF(AND(EmployeeData[[#This Row],[Attrition]]="Yes",EmployeeData[[#This Row],[LastWorkingDate]]&lt;&gt;""),EmployeeData[[#This Row],[LastWorkingDate]],TODAY()),"Y")</f>
        <v>13</v>
      </c>
      <c r="AA1047" t="str">
        <f>IF(EmployeeData[[#This Row],[MonthlyIncome]]&lt;30000,"Low",IF(EmployeeData[[#This Row],[MonthlyIncome]]&lt;=60000,"Medium",IF(EmployeeData[[#This Row],[MonthlyIncome]]&lt;=100000,"High","Very High")))</f>
        <v>Medium</v>
      </c>
      <c r="AB1047">
        <f>IF(EmployeeData[[#This Row],[Attrition]]="Yes",1,0)</f>
        <v>0</v>
      </c>
      <c r="AC1047" t="str">
        <f ca="1">IF(EmployeeData[[#This Row],[Tenure Years]]&lt;1,"Less than 1 Year",IF(EmployeeData[[#This Row],[Tenure Years]]&lt;=3,"1-3 Years",IF(EmployeeData[[#This Row],[Tenure Years]]&lt;=5,"4-5 Years",IF(EmployeeData[[#This Row],[Tenure Years]]&lt;=10,"6-10 Years","More than 10 Years"))))</f>
        <v>More than 10 Years</v>
      </c>
      <c r="AD1047">
        <f>ROUND(AVERAGE(EmployeeData[[#This Row],[JobSatisfaction]],EmployeeData[[#This Row],[EnvironmentSatisfaction]],EmployeeData[[#This Row],[WorkLifeBalance]]),2)</f>
        <v>1.33</v>
      </c>
      <c r="AE1047" t="str">
        <f>IF(EmployeeData[[#This Row],[Satisfaction Score]]&lt;2,"Low",IF(EmployeeData[[#This Row],[Satisfaction Score]]&lt;3,"Medium","High"))</f>
        <v>Low</v>
      </c>
    </row>
    <row r="1048" spans="1:31" x14ac:dyDescent="0.25">
      <c r="A1048" t="s">
        <v>4798</v>
      </c>
      <c r="B1048" t="s">
        <v>4799</v>
      </c>
      <c r="C1048" t="s">
        <v>58</v>
      </c>
      <c r="D1048">
        <v>33</v>
      </c>
      <c r="E1048" t="s">
        <v>5461</v>
      </c>
      <c r="F1048" t="s">
        <v>483</v>
      </c>
      <c r="G1048" s="1">
        <v>43437</v>
      </c>
      <c r="H1048">
        <v>92139</v>
      </c>
      <c r="I1048" t="s">
        <v>42</v>
      </c>
      <c r="J1048" t="s">
        <v>61</v>
      </c>
      <c r="K1048" t="s">
        <v>106</v>
      </c>
      <c r="L1048" t="s">
        <v>33</v>
      </c>
      <c r="M1048">
        <v>4</v>
      </c>
      <c r="N1048" t="s">
        <v>34</v>
      </c>
      <c r="O1048">
        <v>3</v>
      </c>
      <c r="P1048">
        <v>1</v>
      </c>
      <c r="Q1048">
        <v>3</v>
      </c>
      <c r="R1048">
        <v>4</v>
      </c>
      <c r="S1048">
        <v>0</v>
      </c>
      <c r="T1048">
        <v>5</v>
      </c>
      <c r="U1048">
        <v>16</v>
      </c>
      <c r="V1048" t="s">
        <v>4801</v>
      </c>
      <c r="W1048" t="s">
        <v>34</v>
      </c>
      <c r="Y1048" s="2" t="str">
        <f>IF(EmployeeData[[#This Row],[Age]]&lt;25,"Under 25",IF(EmployeeData[[#This Row],[Age]]&lt;=34,"25-34",IF(EmployeeData[[#This Row],[Age]]&lt;=44,"35-44",IF(EmployeeData[[#This Row],[Age]]&lt;=54,"45-54","55+"))))</f>
        <v>25-34</v>
      </c>
      <c r="Z1048">
        <f ca="1">DATEDIF(EmployeeData[[#This Row],[DateOfJoining]],IF(AND(EmployeeData[[#This Row],[Attrition]]="Yes",EmployeeData[[#This Row],[LastWorkingDate]]&lt;&gt;""),EmployeeData[[#This Row],[LastWorkingDate]],TODAY()),"Y")</f>
        <v>7</v>
      </c>
      <c r="AA1048" t="str">
        <f>IF(EmployeeData[[#This Row],[MonthlyIncome]]&lt;30000,"Low",IF(EmployeeData[[#This Row],[MonthlyIncome]]&lt;=60000,"Medium",IF(EmployeeData[[#This Row],[MonthlyIncome]]&lt;=100000,"High","Very High")))</f>
        <v>High</v>
      </c>
      <c r="AB1048">
        <f>IF(EmployeeData[[#This Row],[Attrition]]="Yes",1,0)</f>
        <v>0</v>
      </c>
      <c r="AC1048" t="str">
        <f ca="1">IF(EmployeeData[[#This Row],[Tenure Years]]&lt;1,"Less than 1 Year",IF(EmployeeData[[#This Row],[Tenure Years]]&lt;=3,"1-3 Years",IF(EmployeeData[[#This Row],[Tenure Years]]&lt;=5,"4-5 Years",IF(EmployeeData[[#This Row],[Tenure Years]]&lt;=10,"6-10 Years","More than 10 Years"))))</f>
        <v>6-10 Years</v>
      </c>
      <c r="AD1048">
        <f>ROUND(AVERAGE(EmployeeData[[#This Row],[JobSatisfaction]],EmployeeData[[#This Row],[EnvironmentSatisfaction]],EmployeeData[[#This Row],[WorkLifeBalance]]),2)</f>
        <v>2.33</v>
      </c>
      <c r="AE1048" t="str">
        <f>IF(EmployeeData[[#This Row],[Satisfaction Score]]&lt;2,"Low",IF(EmployeeData[[#This Row],[Satisfaction Score]]&lt;3,"Medium","High"))</f>
        <v>Medium</v>
      </c>
    </row>
    <row r="1049" spans="1:31" x14ac:dyDescent="0.25">
      <c r="A1049" t="s">
        <v>4802</v>
      </c>
      <c r="B1049" t="s">
        <v>4803</v>
      </c>
      <c r="C1049" t="s">
        <v>49</v>
      </c>
      <c r="D1049">
        <v>29</v>
      </c>
      <c r="E1049" t="s">
        <v>197</v>
      </c>
      <c r="F1049" t="s">
        <v>323</v>
      </c>
      <c r="G1049" s="1">
        <v>45057</v>
      </c>
      <c r="H1049">
        <v>82086</v>
      </c>
      <c r="I1049" t="s">
        <v>42</v>
      </c>
      <c r="J1049" t="s">
        <v>31</v>
      </c>
      <c r="K1049" t="s">
        <v>113</v>
      </c>
      <c r="L1049" t="s">
        <v>33</v>
      </c>
      <c r="M1049">
        <v>21</v>
      </c>
      <c r="N1049" t="s">
        <v>45</v>
      </c>
      <c r="O1049">
        <v>2</v>
      </c>
      <c r="P1049">
        <v>4</v>
      </c>
      <c r="Q1049">
        <v>1</v>
      </c>
      <c r="R1049">
        <v>3</v>
      </c>
      <c r="S1049">
        <v>6</v>
      </c>
      <c r="T1049">
        <v>1</v>
      </c>
      <c r="U1049">
        <v>13</v>
      </c>
      <c r="V1049" t="s">
        <v>4805</v>
      </c>
      <c r="W1049" t="s">
        <v>45</v>
      </c>
      <c r="X1049" s="1">
        <v>45665</v>
      </c>
      <c r="Y1049" s="2" t="str">
        <f>IF(EmployeeData[[#This Row],[Age]]&lt;25,"Under 25",IF(EmployeeData[[#This Row],[Age]]&lt;=34,"25-34",IF(EmployeeData[[#This Row],[Age]]&lt;=44,"35-44",IF(EmployeeData[[#This Row],[Age]]&lt;=54,"45-54","55+"))))</f>
        <v>25-34</v>
      </c>
      <c r="Z1049">
        <f ca="1">DATEDIF(EmployeeData[[#This Row],[DateOfJoining]],IF(AND(EmployeeData[[#This Row],[Attrition]]="Yes",EmployeeData[[#This Row],[LastWorkingDate]]&lt;&gt;""),EmployeeData[[#This Row],[LastWorkingDate]],TODAY()),"Y")</f>
        <v>1</v>
      </c>
      <c r="AA1049" t="str">
        <f>IF(EmployeeData[[#This Row],[MonthlyIncome]]&lt;30000,"Low",IF(EmployeeData[[#This Row],[MonthlyIncome]]&lt;=60000,"Medium",IF(EmployeeData[[#This Row],[MonthlyIncome]]&lt;=100000,"High","Very High")))</f>
        <v>High</v>
      </c>
      <c r="AB1049">
        <f>IF(EmployeeData[[#This Row],[Attrition]]="Yes",1,0)</f>
        <v>1</v>
      </c>
      <c r="AC1049" t="str">
        <f ca="1">IF(EmployeeData[[#This Row],[Tenure Years]]&lt;1,"Less than 1 Year",IF(EmployeeData[[#This Row],[Tenure Years]]&lt;=3,"1-3 Years",IF(EmployeeData[[#This Row],[Tenure Years]]&lt;=5,"4-5 Years",IF(EmployeeData[[#This Row],[Tenure Years]]&lt;=10,"6-10 Years","More than 10 Years"))))</f>
        <v>1-3 Years</v>
      </c>
      <c r="AD1049">
        <f>ROUND(AVERAGE(EmployeeData[[#This Row],[JobSatisfaction]],EmployeeData[[#This Row],[EnvironmentSatisfaction]],EmployeeData[[#This Row],[WorkLifeBalance]]),2)</f>
        <v>2.33</v>
      </c>
      <c r="AE1049" t="str">
        <f>IF(EmployeeData[[#This Row],[Satisfaction Score]]&lt;2,"Low",IF(EmployeeData[[#This Row],[Satisfaction Score]]&lt;3,"Medium","High"))</f>
        <v>Medium</v>
      </c>
    </row>
    <row r="1050" spans="1:31" x14ac:dyDescent="0.25">
      <c r="A1050" t="s">
        <v>4807</v>
      </c>
      <c r="B1050" t="s">
        <v>2245</v>
      </c>
      <c r="C1050" t="s">
        <v>5459</v>
      </c>
      <c r="D1050">
        <v>32</v>
      </c>
      <c r="E1050" t="s">
        <v>27</v>
      </c>
      <c r="F1050" t="s">
        <v>188</v>
      </c>
      <c r="G1050" s="1">
        <v>41737</v>
      </c>
      <c r="H1050">
        <v>83084</v>
      </c>
      <c r="I1050" t="s">
        <v>42</v>
      </c>
      <c r="J1050" t="s">
        <v>31</v>
      </c>
      <c r="K1050" t="s">
        <v>106</v>
      </c>
      <c r="L1050" t="s">
        <v>33</v>
      </c>
      <c r="M1050">
        <v>29</v>
      </c>
      <c r="N1050" t="s">
        <v>34</v>
      </c>
      <c r="O1050">
        <v>3</v>
      </c>
      <c r="P1050">
        <v>4</v>
      </c>
      <c r="Q1050">
        <v>3</v>
      </c>
      <c r="R1050">
        <v>1</v>
      </c>
      <c r="S1050">
        <v>4</v>
      </c>
      <c r="T1050">
        <v>0</v>
      </c>
      <c r="U1050">
        <v>25</v>
      </c>
      <c r="V1050" t="s">
        <v>4809</v>
      </c>
      <c r="W1050" t="s">
        <v>45</v>
      </c>
      <c r="X1050" s="1">
        <v>41915</v>
      </c>
      <c r="Y1050" s="2" t="str">
        <f>IF(EmployeeData[[#This Row],[Age]]&lt;25,"Under 25",IF(EmployeeData[[#This Row],[Age]]&lt;=34,"25-34",IF(EmployeeData[[#This Row],[Age]]&lt;=44,"35-44",IF(EmployeeData[[#This Row],[Age]]&lt;=54,"45-54","55+"))))</f>
        <v>25-34</v>
      </c>
      <c r="Z1050">
        <f ca="1">DATEDIF(EmployeeData[[#This Row],[DateOfJoining]],IF(AND(EmployeeData[[#This Row],[Attrition]]="Yes",EmployeeData[[#This Row],[LastWorkingDate]]&lt;&gt;""),EmployeeData[[#This Row],[LastWorkingDate]],TODAY()),"Y")</f>
        <v>0</v>
      </c>
      <c r="AA1050" t="str">
        <f>IF(EmployeeData[[#This Row],[MonthlyIncome]]&lt;30000,"Low",IF(EmployeeData[[#This Row],[MonthlyIncome]]&lt;=60000,"Medium",IF(EmployeeData[[#This Row],[MonthlyIncome]]&lt;=100000,"High","Very High")))</f>
        <v>High</v>
      </c>
      <c r="AB1050">
        <f>IF(EmployeeData[[#This Row],[Attrition]]="Yes",1,0)</f>
        <v>1</v>
      </c>
      <c r="AC1050" t="str">
        <f ca="1">IF(EmployeeData[[#This Row],[Tenure Years]]&lt;1,"Less than 1 Year",IF(EmployeeData[[#This Row],[Tenure Years]]&lt;=3,"1-3 Years",IF(EmployeeData[[#This Row],[Tenure Years]]&lt;=5,"4-5 Years",IF(EmployeeData[[#This Row],[Tenure Years]]&lt;=10,"6-10 Years","More than 10 Years"))))</f>
        <v>Less than 1 Year</v>
      </c>
      <c r="AD1050">
        <f>ROUND(AVERAGE(EmployeeData[[#This Row],[JobSatisfaction]],EmployeeData[[#This Row],[EnvironmentSatisfaction]],EmployeeData[[#This Row],[WorkLifeBalance]]),2)</f>
        <v>3.33</v>
      </c>
      <c r="AE1050" t="str">
        <f>IF(EmployeeData[[#This Row],[Satisfaction Score]]&lt;2,"Low",IF(EmployeeData[[#This Row],[Satisfaction Score]]&lt;3,"Medium","High"))</f>
        <v>High</v>
      </c>
    </row>
    <row r="1051" spans="1:31" x14ac:dyDescent="0.25">
      <c r="A1051" t="s">
        <v>4811</v>
      </c>
      <c r="B1051" t="s">
        <v>4812</v>
      </c>
      <c r="C1051" t="s">
        <v>58</v>
      </c>
      <c r="D1051">
        <v>41</v>
      </c>
      <c r="E1051" t="s">
        <v>27</v>
      </c>
      <c r="F1051" t="s">
        <v>75</v>
      </c>
      <c r="G1051" s="1">
        <v>42347</v>
      </c>
      <c r="H1051">
        <v>129279</v>
      </c>
      <c r="I1051" t="s">
        <v>30</v>
      </c>
      <c r="J1051" t="s">
        <v>61</v>
      </c>
      <c r="K1051" t="s">
        <v>200</v>
      </c>
      <c r="L1051" t="s">
        <v>33</v>
      </c>
      <c r="M1051">
        <v>18</v>
      </c>
      <c r="N1051" t="s">
        <v>34</v>
      </c>
      <c r="O1051">
        <v>4</v>
      </c>
      <c r="P1051">
        <v>3</v>
      </c>
      <c r="Q1051">
        <v>3</v>
      </c>
      <c r="R1051">
        <v>3</v>
      </c>
      <c r="S1051">
        <v>5</v>
      </c>
      <c r="T1051">
        <v>2</v>
      </c>
      <c r="U1051">
        <v>25</v>
      </c>
      <c r="V1051" t="s">
        <v>4815</v>
      </c>
      <c r="W1051" t="s">
        <v>34</v>
      </c>
      <c r="Y1051" s="2" t="str">
        <f>IF(EmployeeData[[#This Row],[Age]]&lt;25,"Under 25",IF(EmployeeData[[#This Row],[Age]]&lt;=34,"25-34",IF(EmployeeData[[#This Row],[Age]]&lt;=44,"35-44",IF(EmployeeData[[#This Row],[Age]]&lt;=54,"45-54","55+"))))</f>
        <v>35-44</v>
      </c>
      <c r="Z1051">
        <f ca="1">DATEDIF(EmployeeData[[#This Row],[DateOfJoining]],IF(AND(EmployeeData[[#This Row],[Attrition]]="Yes",EmployeeData[[#This Row],[LastWorkingDate]]&lt;&gt;""),EmployeeData[[#This Row],[LastWorkingDate]],TODAY()),"Y")</f>
        <v>10</v>
      </c>
      <c r="AA1051" t="str">
        <f>IF(EmployeeData[[#This Row],[MonthlyIncome]]&lt;30000,"Low",IF(EmployeeData[[#This Row],[MonthlyIncome]]&lt;=60000,"Medium",IF(EmployeeData[[#This Row],[MonthlyIncome]]&lt;=100000,"High","Very High")))</f>
        <v>Very High</v>
      </c>
      <c r="AB1051">
        <f>IF(EmployeeData[[#This Row],[Attrition]]="Yes",1,0)</f>
        <v>0</v>
      </c>
      <c r="AC1051" t="str">
        <f ca="1">IF(EmployeeData[[#This Row],[Tenure Years]]&lt;1,"Less than 1 Year",IF(EmployeeData[[#This Row],[Tenure Years]]&lt;=3,"1-3 Years",IF(EmployeeData[[#This Row],[Tenure Years]]&lt;=5,"4-5 Years",IF(EmployeeData[[#This Row],[Tenure Years]]&lt;=10,"6-10 Years","More than 10 Years"))))</f>
        <v>6-10 Years</v>
      </c>
      <c r="AD1051">
        <f>ROUND(AVERAGE(EmployeeData[[#This Row],[JobSatisfaction]],EmployeeData[[#This Row],[EnvironmentSatisfaction]],EmployeeData[[#This Row],[WorkLifeBalance]]),2)</f>
        <v>3.33</v>
      </c>
      <c r="AE1051" t="str">
        <f>IF(EmployeeData[[#This Row],[Satisfaction Score]]&lt;2,"Low",IF(EmployeeData[[#This Row],[Satisfaction Score]]&lt;3,"Medium","High"))</f>
        <v>High</v>
      </c>
    </row>
    <row r="1052" spans="1:31" x14ac:dyDescent="0.25">
      <c r="A1052" t="s">
        <v>4816</v>
      </c>
      <c r="B1052" t="s">
        <v>4817</v>
      </c>
      <c r="C1052" t="s">
        <v>58</v>
      </c>
      <c r="D1052">
        <v>25</v>
      </c>
      <c r="E1052" t="s">
        <v>5459</v>
      </c>
      <c r="F1052" t="s">
        <v>123</v>
      </c>
      <c r="G1052" s="1">
        <v>43778</v>
      </c>
      <c r="H1052">
        <v>70845</v>
      </c>
      <c r="I1052" t="s">
        <v>52</v>
      </c>
      <c r="J1052" t="s">
        <v>31</v>
      </c>
      <c r="K1052" t="s">
        <v>98</v>
      </c>
      <c r="L1052" t="s">
        <v>62</v>
      </c>
      <c r="M1052">
        <v>2</v>
      </c>
      <c r="N1052" t="s">
        <v>34</v>
      </c>
      <c r="O1052">
        <v>4</v>
      </c>
      <c r="P1052">
        <v>3</v>
      </c>
      <c r="Q1052">
        <v>3</v>
      </c>
      <c r="R1052">
        <v>3</v>
      </c>
      <c r="S1052">
        <v>3</v>
      </c>
      <c r="T1052">
        <v>4</v>
      </c>
      <c r="U1052">
        <v>13</v>
      </c>
      <c r="V1052" t="s">
        <v>4820</v>
      </c>
      <c r="W1052" t="s">
        <v>34</v>
      </c>
      <c r="Y1052" s="2" t="str">
        <f>IF(EmployeeData[[#This Row],[Age]]&lt;25,"Under 25",IF(EmployeeData[[#This Row],[Age]]&lt;=34,"25-34",IF(EmployeeData[[#This Row],[Age]]&lt;=44,"35-44",IF(EmployeeData[[#This Row],[Age]]&lt;=54,"45-54","55+"))))</f>
        <v>25-34</v>
      </c>
      <c r="Z1052">
        <f ca="1">DATEDIF(EmployeeData[[#This Row],[DateOfJoining]],IF(AND(EmployeeData[[#This Row],[Attrition]]="Yes",EmployeeData[[#This Row],[LastWorkingDate]]&lt;&gt;""),EmployeeData[[#This Row],[LastWorkingDate]],TODAY()),"Y")</f>
        <v>6</v>
      </c>
      <c r="AA1052" t="str">
        <f>IF(EmployeeData[[#This Row],[MonthlyIncome]]&lt;30000,"Low",IF(EmployeeData[[#This Row],[MonthlyIncome]]&lt;=60000,"Medium",IF(EmployeeData[[#This Row],[MonthlyIncome]]&lt;=100000,"High","Very High")))</f>
        <v>High</v>
      </c>
      <c r="AB1052">
        <f>IF(EmployeeData[[#This Row],[Attrition]]="Yes",1,0)</f>
        <v>0</v>
      </c>
      <c r="AC1052" t="str">
        <f ca="1">IF(EmployeeData[[#This Row],[Tenure Years]]&lt;1,"Less than 1 Year",IF(EmployeeData[[#This Row],[Tenure Years]]&lt;=3,"1-3 Years",IF(EmployeeData[[#This Row],[Tenure Years]]&lt;=5,"4-5 Years",IF(EmployeeData[[#This Row],[Tenure Years]]&lt;=10,"6-10 Years","More than 10 Years"))))</f>
        <v>6-10 Years</v>
      </c>
      <c r="AD1052">
        <f>ROUND(AVERAGE(EmployeeData[[#This Row],[JobSatisfaction]],EmployeeData[[#This Row],[EnvironmentSatisfaction]],EmployeeData[[#This Row],[WorkLifeBalance]]),2)</f>
        <v>3.33</v>
      </c>
      <c r="AE1052" t="str">
        <f>IF(EmployeeData[[#This Row],[Satisfaction Score]]&lt;2,"Low",IF(EmployeeData[[#This Row],[Satisfaction Score]]&lt;3,"Medium","High"))</f>
        <v>High</v>
      </c>
    </row>
    <row r="1053" spans="1:31" x14ac:dyDescent="0.25">
      <c r="A1053" t="s">
        <v>4821</v>
      </c>
      <c r="B1053" t="s">
        <v>4822</v>
      </c>
      <c r="C1053" t="s">
        <v>49</v>
      </c>
      <c r="D1053">
        <v>40</v>
      </c>
      <c r="E1053" t="s">
        <v>94</v>
      </c>
      <c r="F1053" t="s">
        <v>306</v>
      </c>
      <c r="G1053" s="1">
        <v>44970</v>
      </c>
      <c r="H1053">
        <v>59269</v>
      </c>
      <c r="I1053" t="s">
        <v>42</v>
      </c>
      <c r="J1053" t="s">
        <v>143</v>
      </c>
      <c r="K1053" t="s">
        <v>83</v>
      </c>
      <c r="L1053" t="s">
        <v>43</v>
      </c>
      <c r="M1053">
        <v>28</v>
      </c>
      <c r="N1053" t="s">
        <v>34</v>
      </c>
      <c r="O1053">
        <v>2</v>
      </c>
      <c r="P1053">
        <v>2</v>
      </c>
      <c r="Q1053">
        <v>3</v>
      </c>
      <c r="R1053">
        <v>4</v>
      </c>
      <c r="S1053">
        <v>5</v>
      </c>
      <c r="T1053">
        <v>5</v>
      </c>
      <c r="U1053">
        <v>12</v>
      </c>
      <c r="V1053" t="s">
        <v>4825</v>
      </c>
      <c r="W1053" t="s">
        <v>34</v>
      </c>
      <c r="Y1053" s="2" t="str">
        <f>IF(EmployeeData[[#This Row],[Age]]&lt;25,"Under 25",IF(EmployeeData[[#This Row],[Age]]&lt;=34,"25-34",IF(EmployeeData[[#This Row],[Age]]&lt;=44,"35-44",IF(EmployeeData[[#This Row],[Age]]&lt;=54,"45-54","55+"))))</f>
        <v>35-44</v>
      </c>
      <c r="Z1053">
        <f ca="1">DATEDIF(EmployeeData[[#This Row],[DateOfJoining]],IF(AND(EmployeeData[[#This Row],[Attrition]]="Yes",EmployeeData[[#This Row],[LastWorkingDate]]&lt;&gt;""),EmployeeData[[#This Row],[LastWorkingDate]],TODAY()),"Y")</f>
        <v>3</v>
      </c>
      <c r="AA1053" t="str">
        <f>IF(EmployeeData[[#This Row],[MonthlyIncome]]&lt;30000,"Low",IF(EmployeeData[[#This Row],[MonthlyIncome]]&lt;=60000,"Medium",IF(EmployeeData[[#This Row],[MonthlyIncome]]&lt;=100000,"High","Very High")))</f>
        <v>Medium</v>
      </c>
      <c r="AB1053">
        <f>IF(EmployeeData[[#This Row],[Attrition]]="Yes",1,0)</f>
        <v>0</v>
      </c>
      <c r="AC1053" t="str">
        <f ca="1">IF(EmployeeData[[#This Row],[Tenure Years]]&lt;1,"Less than 1 Year",IF(EmployeeData[[#This Row],[Tenure Years]]&lt;=3,"1-3 Years",IF(EmployeeData[[#This Row],[Tenure Years]]&lt;=5,"4-5 Years",IF(EmployeeData[[#This Row],[Tenure Years]]&lt;=10,"6-10 Years","More than 10 Years"))))</f>
        <v>1-3 Years</v>
      </c>
      <c r="AD1053">
        <f>ROUND(AVERAGE(EmployeeData[[#This Row],[JobSatisfaction]],EmployeeData[[#This Row],[EnvironmentSatisfaction]],EmployeeData[[#This Row],[WorkLifeBalance]]),2)</f>
        <v>2.33</v>
      </c>
      <c r="AE1053" t="str">
        <f>IF(EmployeeData[[#This Row],[Satisfaction Score]]&lt;2,"Low",IF(EmployeeData[[#This Row],[Satisfaction Score]]&lt;3,"Medium","High"))</f>
        <v>Medium</v>
      </c>
    </row>
    <row r="1054" spans="1:31" x14ac:dyDescent="0.25">
      <c r="A1054" t="s">
        <v>4826</v>
      </c>
      <c r="B1054" t="s">
        <v>4827</v>
      </c>
      <c r="C1054" t="s">
        <v>58</v>
      </c>
      <c r="D1054">
        <v>45</v>
      </c>
      <c r="E1054" t="s">
        <v>94</v>
      </c>
      <c r="F1054" t="s">
        <v>306</v>
      </c>
      <c r="G1054" s="1">
        <v>41187</v>
      </c>
      <c r="H1054">
        <v>92134</v>
      </c>
      <c r="I1054" t="s">
        <v>52</v>
      </c>
      <c r="J1054" t="s">
        <v>61</v>
      </c>
      <c r="K1054" t="s">
        <v>98</v>
      </c>
      <c r="L1054" t="s">
        <v>33</v>
      </c>
      <c r="M1054">
        <v>24</v>
      </c>
      <c r="N1054" t="s">
        <v>45</v>
      </c>
      <c r="O1054">
        <v>3</v>
      </c>
      <c r="P1054">
        <v>2</v>
      </c>
      <c r="Q1054">
        <v>1</v>
      </c>
      <c r="R1054">
        <v>3</v>
      </c>
      <c r="S1054">
        <v>3</v>
      </c>
      <c r="T1054">
        <v>2</v>
      </c>
      <c r="U1054">
        <v>17</v>
      </c>
      <c r="V1054" t="s">
        <v>4829</v>
      </c>
      <c r="W1054" t="s">
        <v>45</v>
      </c>
      <c r="X1054" s="1">
        <v>41339</v>
      </c>
      <c r="Y1054" s="2" t="str">
        <f>IF(EmployeeData[[#This Row],[Age]]&lt;25,"Under 25",IF(EmployeeData[[#This Row],[Age]]&lt;=34,"25-34",IF(EmployeeData[[#This Row],[Age]]&lt;=44,"35-44",IF(EmployeeData[[#This Row],[Age]]&lt;=54,"45-54","55+"))))</f>
        <v>45-54</v>
      </c>
      <c r="Z1054">
        <f ca="1">DATEDIF(EmployeeData[[#This Row],[DateOfJoining]],IF(AND(EmployeeData[[#This Row],[Attrition]]="Yes",EmployeeData[[#This Row],[LastWorkingDate]]&lt;&gt;""),EmployeeData[[#This Row],[LastWorkingDate]],TODAY()),"Y")</f>
        <v>0</v>
      </c>
      <c r="AA1054" t="str">
        <f>IF(EmployeeData[[#This Row],[MonthlyIncome]]&lt;30000,"Low",IF(EmployeeData[[#This Row],[MonthlyIncome]]&lt;=60000,"Medium",IF(EmployeeData[[#This Row],[MonthlyIncome]]&lt;=100000,"High","Very High")))</f>
        <v>High</v>
      </c>
      <c r="AB1054">
        <f>IF(EmployeeData[[#This Row],[Attrition]]="Yes",1,0)</f>
        <v>1</v>
      </c>
      <c r="AC1054" t="str">
        <f ca="1">IF(EmployeeData[[#This Row],[Tenure Years]]&lt;1,"Less than 1 Year",IF(EmployeeData[[#This Row],[Tenure Years]]&lt;=3,"1-3 Years",IF(EmployeeData[[#This Row],[Tenure Years]]&lt;=5,"4-5 Years",IF(EmployeeData[[#This Row],[Tenure Years]]&lt;=10,"6-10 Years","More than 10 Years"))))</f>
        <v>Less than 1 Year</v>
      </c>
      <c r="AD1054">
        <f>ROUND(AVERAGE(EmployeeData[[#This Row],[JobSatisfaction]],EmployeeData[[#This Row],[EnvironmentSatisfaction]],EmployeeData[[#This Row],[WorkLifeBalance]]),2)</f>
        <v>2</v>
      </c>
      <c r="AE1054" t="str">
        <f>IF(EmployeeData[[#This Row],[Satisfaction Score]]&lt;2,"Low",IF(EmployeeData[[#This Row],[Satisfaction Score]]&lt;3,"Medium","High"))</f>
        <v>Medium</v>
      </c>
    </row>
    <row r="1055" spans="1:31" x14ac:dyDescent="0.25">
      <c r="A1055" t="s">
        <v>4831</v>
      </c>
      <c r="B1055" t="s">
        <v>4832</v>
      </c>
      <c r="C1055" t="s">
        <v>58</v>
      </c>
      <c r="D1055">
        <v>33</v>
      </c>
      <c r="E1055" t="s">
        <v>38</v>
      </c>
      <c r="F1055" t="s">
        <v>5462</v>
      </c>
      <c r="G1055" s="1">
        <v>41292</v>
      </c>
      <c r="H1055">
        <v>84194</v>
      </c>
      <c r="I1055" t="s">
        <v>52</v>
      </c>
      <c r="J1055" t="s">
        <v>31</v>
      </c>
      <c r="K1055" t="s">
        <v>113</v>
      </c>
      <c r="L1055" t="s">
        <v>62</v>
      </c>
      <c r="M1055">
        <v>2</v>
      </c>
      <c r="N1055" t="s">
        <v>34</v>
      </c>
      <c r="O1055">
        <v>2</v>
      </c>
      <c r="P1055">
        <v>4</v>
      </c>
      <c r="Q1055">
        <v>4</v>
      </c>
      <c r="R1055">
        <v>4</v>
      </c>
      <c r="S1055">
        <v>6</v>
      </c>
      <c r="T1055">
        <v>4</v>
      </c>
      <c r="U1055">
        <v>20</v>
      </c>
      <c r="V1055" t="s">
        <v>4834</v>
      </c>
      <c r="W1055" t="s">
        <v>34</v>
      </c>
      <c r="Y1055" s="2" t="str">
        <f>IF(EmployeeData[[#This Row],[Age]]&lt;25,"Under 25",IF(EmployeeData[[#This Row],[Age]]&lt;=34,"25-34",IF(EmployeeData[[#This Row],[Age]]&lt;=44,"35-44",IF(EmployeeData[[#This Row],[Age]]&lt;=54,"45-54","55+"))))</f>
        <v>25-34</v>
      </c>
      <c r="Z1055">
        <f ca="1">DATEDIF(EmployeeData[[#This Row],[DateOfJoining]],IF(AND(EmployeeData[[#This Row],[Attrition]]="Yes",EmployeeData[[#This Row],[LastWorkingDate]]&lt;&gt;""),EmployeeData[[#This Row],[LastWorkingDate]],TODAY()),"Y")</f>
        <v>13</v>
      </c>
      <c r="AA1055" t="str">
        <f>IF(EmployeeData[[#This Row],[MonthlyIncome]]&lt;30000,"Low",IF(EmployeeData[[#This Row],[MonthlyIncome]]&lt;=60000,"Medium",IF(EmployeeData[[#This Row],[MonthlyIncome]]&lt;=100000,"High","Very High")))</f>
        <v>High</v>
      </c>
      <c r="AB1055">
        <f>IF(EmployeeData[[#This Row],[Attrition]]="Yes",1,0)</f>
        <v>0</v>
      </c>
      <c r="AC1055" t="str">
        <f ca="1">IF(EmployeeData[[#This Row],[Tenure Years]]&lt;1,"Less than 1 Year",IF(EmployeeData[[#This Row],[Tenure Years]]&lt;=3,"1-3 Years",IF(EmployeeData[[#This Row],[Tenure Years]]&lt;=5,"4-5 Years",IF(EmployeeData[[#This Row],[Tenure Years]]&lt;=10,"6-10 Years","More than 10 Years"))))</f>
        <v>More than 10 Years</v>
      </c>
      <c r="AD1055">
        <f>ROUND(AVERAGE(EmployeeData[[#This Row],[JobSatisfaction]],EmployeeData[[#This Row],[EnvironmentSatisfaction]],EmployeeData[[#This Row],[WorkLifeBalance]]),2)</f>
        <v>3.33</v>
      </c>
      <c r="AE1055" t="str">
        <f>IF(EmployeeData[[#This Row],[Satisfaction Score]]&lt;2,"Low",IF(EmployeeData[[#This Row],[Satisfaction Score]]&lt;3,"Medium","High"))</f>
        <v>High</v>
      </c>
    </row>
    <row r="1056" spans="1:31" x14ac:dyDescent="0.25">
      <c r="A1056" t="s">
        <v>4835</v>
      </c>
      <c r="B1056" t="s">
        <v>4836</v>
      </c>
      <c r="C1056" t="s">
        <v>49</v>
      </c>
      <c r="D1056">
        <v>20</v>
      </c>
      <c r="E1056" t="s">
        <v>94</v>
      </c>
      <c r="F1056" t="s">
        <v>356</v>
      </c>
      <c r="G1056" s="1">
        <v>44664</v>
      </c>
      <c r="H1056">
        <v>55841</v>
      </c>
      <c r="I1056" t="s">
        <v>42</v>
      </c>
      <c r="J1056" t="s">
        <v>5459</v>
      </c>
      <c r="K1056" t="s">
        <v>77</v>
      </c>
      <c r="L1056" t="s">
        <v>43</v>
      </c>
      <c r="M1056">
        <v>24</v>
      </c>
      <c r="N1056" t="s">
        <v>34</v>
      </c>
      <c r="O1056">
        <v>2</v>
      </c>
      <c r="P1056">
        <v>4</v>
      </c>
      <c r="Q1056">
        <v>1</v>
      </c>
      <c r="R1056">
        <v>5</v>
      </c>
      <c r="S1056">
        <v>3</v>
      </c>
      <c r="T1056">
        <v>7</v>
      </c>
      <c r="U1056">
        <v>13</v>
      </c>
      <c r="V1056" t="s">
        <v>4839</v>
      </c>
      <c r="W1056" t="s">
        <v>34</v>
      </c>
      <c r="Y1056" s="2" t="str">
        <f>IF(EmployeeData[[#This Row],[Age]]&lt;25,"Under 25",IF(EmployeeData[[#This Row],[Age]]&lt;=34,"25-34",IF(EmployeeData[[#This Row],[Age]]&lt;=44,"35-44",IF(EmployeeData[[#This Row],[Age]]&lt;=54,"45-54","55+"))))</f>
        <v>Under 25</v>
      </c>
      <c r="Z1056">
        <f ca="1">DATEDIF(EmployeeData[[#This Row],[DateOfJoining]],IF(AND(EmployeeData[[#This Row],[Attrition]]="Yes",EmployeeData[[#This Row],[LastWorkingDate]]&lt;&gt;""),EmployeeData[[#This Row],[LastWorkingDate]],TODAY()),"Y")</f>
        <v>4</v>
      </c>
      <c r="AA1056" t="str">
        <f>IF(EmployeeData[[#This Row],[MonthlyIncome]]&lt;30000,"Low",IF(EmployeeData[[#This Row],[MonthlyIncome]]&lt;=60000,"Medium",IF(EmployeeData[[#This Row],[MonthlyIncome]]&lt;=100000,"High","Very High")))</f>
        <v>Medium</v>
      </c>
      <c r="AB1056">
        <f>IF(EmployeeData[[#This Row],[Attrition]]="Yes",1,0)</f>
        <v>0</v>
      </c>
      <c r="AC1056" t="str">
        <f ca="1">IF(EmployeeData[[#This Row],[Tenure Years]]&lt;1,"Less than 1 Year",IF(EmployeeData[[#This Row],[Tenure Years]]&lt;=3,"1-3 Years",IF(EmployeeData[[#This Row],[Tenure Years]]&lt;=5,"4-5 Years",IF(EmployeeData[[#This Row],[Tenure Years]]&lt;=10,"6-10 Years","More than 10 Years"))))</f>
        <v>4-5 Years</v>
      </c>
      <c r="AD1056">
        <f>ROUND(AVERAGE(EmployeeData[[#This Row],[JobSatisfaction]],EmployeeData[[#This Row],[EnvironmentSatisfaction]],EmployeeData[[#This Row],[WorkLifeBalance]]),2)</f>
        <v>2.33</v>
      </c>
      <c r="AE1056" t="str">
        <f>IF(EmployeeData[[#This Row],[Satisfaction Score]]&lt;2,"Low",IF(EmployeeData[[#This Row],[Satisfaction Score]]&lt;3,"Medium","High"))</f>
        <v>Medium</v>
      </c>
    </row>
    <row r="1057" spans="1:31" x14ac:dyDescent="0.25">
      <c r="A1057" t="s">
        <v>4840</v>
      </c>
      <c r="B1057" t="s">
        <v>4841</v>
      </c>
      <c r="C1057" t="s">
        <v>49</v>
      </c>
      <c r="D1057">
        <v>19</v>
      </c>
      <c r="E1057" t="s">
        <v>94</v>
      </c>
      <c r="F1057" t="s">
        <v>266</v>
      </c>
      <c r="G1057" s="1">
        <v>42230</v>
      </c>
      <c r="H1057">
        <v>62692</v>
      </c>
      <c r="I1057" t="s">
        <v>30</v>
      </c>
      <c r="J1057" t="s">
        <v>53</v>
      </c>
      <c r="K1057" t="s">
        <v>54</v>
      </c>
      <c r="L1057" t="s">
        <v>43</v>
      </c>
      <c r="M1057">
        <v>34</v>
      </c>
      <c r="N1057" t="s">
        <v>45</v>
      </c>
      <c r="O1057">
        <v>3</v>
      </c>
      <c r="P1057">
        <v>3</v>
      </c>
      <c r="Q1057">
        <v>4</v>
      </c>
      <c r="R1057">
        <v>4</v>
      </c>
      <c r="S1057">
        <v>3</v>
      </c>
      <c r="T1057">
        <v>6</v>
      </c>
      <c r="U1057">
        <v>22</v>
      </c>
      <c r="V1057" t="s">
        <v>4843</v>
      </c>
      <c r="W1057" t="s">
        <v>34</v>
      </c>
      <c r="Y1057" s="2" t="str">
        <f>IF(EmployeeData[[#This Row],[Age]]&lt;25,"Under 25",IF(EmployeeData[[#This Row],[Age]]&lt;=34,"25-34",IF(EmployeeData[[#This Row],[Age]]&lt;=44,"35-44",IF(EmployeeData[[#This Row],[Age]]&lt;=54,"45-54","55+"))))</f>
        <v>Under 25</v>
      </c>
      <c r="Z1057">
        <f ca="1">DATEDIF(EmployeeData[[#This Row],[DateOfJoining]],IF(AND(EmployeeData[[#This Row],[Attrition]]="Yes",EmployeeData[[#This Row],[LastWorkingDate]]&lt;&gt;""),EmployeeData[[#This Row],[LastWorkingDate]],TODAY()),"Y")</f>
        <v>11</v>
      </c>
      <c r="AA1057" t="str">
        <f>IF(EmployeeData[[#This Row],[MonthlyIncome]]&lt;30000,"Low",IF(EmployeeData[[#This Row],[MonthlyIncome]]&lt;=60000,"Medium",IF(EmployeeData[[#This Row],[MonthlyIncome]]&lt;=100000,"High","Very High")))</f>
        <v>High</v>
      </c>
      <c r="AB1057">
        <f>IF(EmployeeData[[#This Row],[Attrition]]="Yes",1,0)</f>
        <v>0</v>
      </c>
      <c r="AC1057" t="str">
        <f ca="1">IF(EmployeeData[[#This Row],[Tenure Years]]&lt;1,"Less than 1 Year",IF(EmployeeData[[#This Row],[Tenure Years]]&lt;=3,"1-3 Years",IF(EmployeeData[[#This Row],[Tenure Years]]&lt;=5,"4-5 Years",IF(EmployeeData[[#This Row],[Tenure Years]]&lt;=10,"6-10 Years","More than 10 Years"))))</f>
        <v>More than 10 Years</v>
      </c>
      <c r="AD1057">
        <f>ROUND(AVERAGE(EmployeeData[[#This Row],[JobSatisfaction]],EmployeeData[[#This Row],[EnvironmentSatisfaction]],EmployeeData[[#This Row],[WorkLifeBalance]]),2)</f>
        <v>3.33</v>
      </c>
      <c r="AE1057" t="str">
        <f>IF(EmployeeData[[#This Row],[Satisfaction Score]]&lt;2,"Low",IF(EmployeeData[[#This Row],[Satisfaction Score]]&lt;3,"Medium","High"))</f>
        <v>High</v>
      </c>
    </row>
    <row r="1058" spans="1:31" x14ac:dyDescent="0.25">
      <c r="A1058" t="s">
        <v>4844</v>
      </c>
      <c r="B1058" t="s">
        <v>4845</v>
      </c>
      <c r="C1058" t="s">
        <v>58</v>
      </c>
      <c r="D1058">
        <v>33</v>
      </c>
      <c r="E1058" t="s">
        <v>38</v>
      </c>
      <c r="F1058" t="s">
        <v>5460</v>
      </c>
      <c r="G1058" s="1">
        <v>43539</v>
      </c>
      <c r="H1058">
        <v>43331</v>
      </c>
      <c r="I1058" t="s">
        <v>30</v>
      </c>
      <c r="J1058" t="s">
        <v>61</v>
      </c>
      <c r="K1058" t="s">
        <v>113</v>
      </c>
      <c r="L1058" t="s">
        <v>62</v>
      </c>
      <c r="M1058">
        <v>7</v>
      </c>
      <c r="N1058" t="s">
        <v>45</v>
      </c>
      <c r="O1058">
        <v>2</v>
      </c>
      <c r="P1058">
        <v>1</v>
      </c>
      <c r="Q1058">
        <v>2</v>
      </c>
      <c r="R1058">
        <v>4</v>
      </c>
      <c r="S1058">
        <v>2</v>
      </c>
      <c r="T1058">
        <v>5</v>
      </c>
      <c r="U1058">
        <v>14</v>
      </c>
      <c r="V1058" t="s">
        <v>4847</v>
      </c>
      <c r="W1058" t="s">
        <v>45</v>
      </c>
      <c r="X1058" s="1">
        <v>43611</v>
      </c>
      <c r="Y1058" s="2" t="str">
        <f>IF(EmployeeData[[#This Row],[Age]]&lt;25,"Under 25",IF(EmployeeData[[#This Row],[Age]]&lt;=34,"25-34",IF(EmployeeData[[#This Row],[Age]]&lt;=44,"35-44",IF(EmployeeData[[#This Row],[Age]]&lt;=54,"45-54","55+"))))</f>
        <v>25-34</v>
      </c>
      <c r="Z1058">
        <f ca="1">DATEDIF(EmployeeData[[#This Row],[DateOfJoining]],IF(AND(EmployeeData[[#This Row],[Attrition]]="Yes",EmployeeData[[#This Row],[LastWorkingDate]]&lt;&gt;""),EmployeeData[[#This Row],[LastWorkingDate]],TODAY()),"Y")</f>
        <v>0</v>
      </c>
      <c r="AA1058" t="str">
        <f>IF(EmployeeData[[#This Row],[MonthlyIncome]]&lt;30000,"Low",IF(EmployeeData[[#This Row],[MonthlyIncome]]&lt;=60000,"Medium",IF(EmployeeData[[#This Row],[MonthlyIncome]]&lt;=100000,"High","Very High")))</f>
        <v>Medium</v>
      </c>
      <c r="AB1058">
        <f>IF(EmployeeData[[#This Row],[Attrition]]="Yes",1,0)</f>
        <v>1</v>
      </c>
      <c r="AC1058" t="str">
        <f ca="1">IF(EmployeeData[[#This Row],[Tenure Years]]&lt;1,"Less than 1 Year",IF(EmployeeData[[#This Row],[Tenure Years]]&lt;=3,"1-3 Years",IF(EmployeeData[[#This Row],[Tenure Years]]&lt;=5,"4-5 Years",IF(EmployeeData[[#This Row],[Tenure Years]]&lt;=10,"6-10 Years","More than 10 Years"))))</f>
        <v>Less than 1 Year</v>
      </c>
      <c r="AD1058">
        <f>ROUND(AVERAGE(EmployeeData[[#This Row],[JobSatisfaction]],EmployeeData[[#This Row],[EnvironmentSatisfaction]],EmployeeData[[#This Row],[WorkLifeBalance]]),2)</f>
        <v>1.67</v>
      </c>
      <c r="AE1058" t="str">
        <f>IF(EmployeeData[[#This Row],[Satisfaction Score]]&lt;2,"Low",IF(EmployeeData[[#This Row],[Satisfaction Score]]&lt;3,"Medium","High"))</f>
        <v>Low</v>
      </c>
    </row>
    <row r="1059" spans="1:31" x14ac:dyDescent="0.25">
      <c r="A1059" t="s">
        <v>4849</v>
      </c>
      <c r="B1059" t="s">
        <v>4850</v>
      </c>
      <c r="C1059" t="s">
        <v>49</v>
      </c>
      <c r="D1059">
        <v>38</v>
      </c>
      <c r="E1059" t="s">
        <v>94</v>
      </c>
      <c r="F1059" t="s">
        <v>639</v>
      </c>
      <c r="G1059" s="1">
        <v>42533</v>
      </c>
      <c r="H1059">
        <v>110301</v>
      </c>
      <c r="I1059" t="s">
        <v>5459</v>
      </c>
      <c r="J1059" t="s">
        <v>97</v>
      </c>
      <c r="K1059" t="s">
        <v>83</v>
      </c>
      <c r="L1059" t="s">
        <v>62</v>
      </c>
      <c r="M1059">
        <v>23</v>
      </c>
      <c r="N1059" t="s">
        <v>45</v>
      </c>
      <c r="O1059">
        <v>2</v>
      </c>
      <c r="P1059">
        <v>4</v>
      </c>
      <c r="Q1059">
        <v>3</v>
      </c>
      <c r="R1059">
        <v>3</v>
      </c>
      <c r="S1059">
        <v>3</v>
      </c>
      <c r="T1059">
        <v>6</v>
      </c>
      <c r="U1059">
        <v>21</v>
      </c>
      <c r="V1059" t="s">
        <v>4852</v>
      </c>
      <c r="W1059" t="s">
        <v>34</v>
      </c>
      <c r="Y1059" s="2" t="str">
        <f>IF(EmployeeData[[#This Row],[Age]]&lt;25,"Under 25",IF(EmployeeData[[#This Row],[Age]]&lt;=34,"25-34",IF(EmployeeData[[#This Row],[Age]]&lt;=44,"35-44",IF(EmployeeData[[#This Row],[Age]]&lt;=54,"45-54","55+"))))</f>
        <v>35-44</v>
      </c>
      <c r="Z1059">
        <f ca="1">DATEDIF(EmployeeData[[#This Row],[DateOfJoining]],IF(AND(EmployeeData[[#This Row],[Attrition]]="Yes",EmployeeData[[#This Row],[LastWorkingDate]]&lt;&gt;""),EmployeeData[[#This Row],[LastWorkingDate]],TODAY()),"Y")</f>
        <v>10</v>
      </c>
      <c r="AA1059" t="str">
        <f>IF(EmployeeData[[#This Row],[MonthlyIncome]]&lt;30000,"Low",IF(EmployeeData[[#This Row],[MonthlyIncome]]&lt;=60000,"Medium",IF(EmployeeData[[#This Row],[MonthlyIncome]]&lt;=100000,"High","Very High")))</f>
        <v>Very High</v>
      </c>
      <c r="AB1059">
        <f>IF(EmployeeData[[#This Row],[Attrition]]="Yes",1,0)</f>
        <v>0</v>
      </c>
      <c r="AC1059" t="str">
        <f ca="1">IF(EmployeeData[[#This Row],[Tenure Years]]&lt;1,"Less than 1 Year",IF(EmployeeData[[#This Row],[Tenure Years]]&lt;=3,"1-3 Years",IF(EmployeeData[[#This Row],[Tenure Years]]&lt;=5,"4-5 Years",IF(EmployeeData[[#This Row],[Tenure Years]]&lt;=10,"6-10 Years","More than 10 Years"))))</f>
        <v>6-10 Years</v>
      </c>
      <c r="AD1059">
        <f>ROUND(AVERAGE(EmployeeData[[#This Row],[JobSatisfaction]],EmployeeData[[#This Row],[EnvironmentSatisfaction]],EmployeeData[[#This Row],[WorkLifeBalance]]),2)</f>
        <v>3</v>
      </c>
      <c r="AE1059" t="str">
        <f>IF(EmployeeData[[#This Row],[Satisfaction Score]]&lt;2,"Low",IF(EmployeeData[[#This Row],[Satisfaction Score]]&lt;3,"Medium","High"))</f>
        <v>High</v>
      </c>
    </row>
    <row r="1060" spans="1:31" x14ac:dyDescent="0.25">
      <c r="A1060" t="s">
        <v>4853</v>
      </c>
      <c r="B1060" t="s">
        <v>4854</v>
      </c>
      <c r="C1060" t="s">
        <v>58</v>
      </c>
      <c r="D1060">
        <v>46</v>
      </c>
      <c r="E1060" t="s">
        <v>128</v>
      </c>
      <c r="F1060" t="s">
        <v>123</v>
      </c>
      <c r="G1060" s="1">
        <v>42672</v>
      </c>
      <c r="H1060">
        <v>54967</v>
      </c>
      <c r="I1060" t="s">
        <v>52</v>
      </c>
      <c r="J1060" t="s">
        <v>61</v>
      </c>
      <c r="K1060" t="s">
        <v>54</v>
      </c>
      <c r="L1060" t="s">
        <v>62</v>
      </c>
      <c r="M1060">
        <v>40</v>
      </c>
      <c r="N1060" t="s">
        <v>34</v>
      </c>
      <c r="O1060">
        <v>3</v>
      </c>
      <c r="P1060">
        <v>1</v>
      </c>
      <c r="Q1060">
        <v>4</v>
      </c>
      <c r="R1060">
        <v>3</v>
      </c>
      <c r="S1060">
        <v>1</v>
      </c>
      <c r="T1060">
        <v>1</v>
      </c>
      <c r="U1060">
        <v>19</v>
      </c>
      <c r="V1060" t="s">
        <v>4856</v>
      </c>
      <c r="W1060" t="s">
        <v>34</v>
      </c>
      <c r="Y1060" s="2" t="str">
        <f>IF(EmployeeData[[#This Row],[Age]]&lt;25,"Under 25",IF(EmployeeData[[#This Row],[Age]]&lt;=34,"25-34",IF(EmployeeData[[#This Row],[Age]]&lt;=44,"35-44",IF(EmployeeData[[#This Row],[Age]]&lt;=54,"45-54","55+"))))</f>
        <v>45-54</v>
      </c>
      <c r="Z1060">
        <f ca="1">DATEDIF(EmployeeData[[#This Row],[DateOfJoining]],IF(AND(EmployeeData[[#This Row],[Attrition]]="Yes",EmployeeData[[#This Row],[LastWorkingDate]]&lt;&gt;""),EmployeeData[[#This Row],[LastWorkingDate]],TODAY()),"Y")</f>
        <v>9</v>
      </c>
      <c r="AA1060" t="str">
        <f>IF(EmployeeData[[#This Row],[MonthlyIncome]]&lt;30000,"Low",IF(EmployeeData[[#This Row],[MonthlyIncome]]&lt;=60000,"Medium",IF(EmployeeData[[#This Row],[MonthlyIncome]]&lt;=100000,"High","Very High")))</f>
        <v>Medium</v>
      </c>
      <c r="AB1060">
        <f>IF(EmployeeData[[#This Row],[Attrition]]="Yes",1,0)</f>
        <v>0</v>
      </c>
      <c r="AC1060" t="str">
        <f ca="1">IF(EmployeeData[[#This Row],[Tenure Years]]&lt;1,"Less than 1 Year",IF(EmployeeData[[#This Row],[Tenure Years]]&lt;=3,"1-3 Years",IF(EmployeeData[[#This Row],[Tenure Years]]&lt;=5,"4-5 Years",IF(EmployeeData[[#This Row],[Tenure Years]]&lt;=10,"6-10 Years","More than 10 Years"))))</f>
        <v>6-10 Years</v>
      </c>
      <c r="AD1060">
        <f>ROUND(AVERAGE(EmployeeData[[#This Row],[JobSatisfaction]],EmployeeData[[#This Row],[EnvironmentSatisfaction]],EmployeeData[[#This Row],[WorkLifeBalance]]),2)</f>
        <v>2.67</v>
      </c>
      <c r="AE1060" t="str">
        <f>IF(EmployeeData[[#This Row],[Satisfaction Score]]&lt;2,"Low",IF(EmployeeData[[#This Row],[Satisfaction Score]]&lt;3,"Medium","High"))</f>
        <v>Medium</v>
      </c>
    </row>
    <row r="1061" spans="1:31" x14ac:dyDescent="0.25">
      <c r="A1061" t="s">
        <v>4857</v>
      </c>
      <c r="B1061" t="s">
        <v>1960</v>
      </c>
      <c r="C1061" t="s">
        <v>49</v>
      </c>
      <c r="D1061">
        <v>45</v>
      </c>
      <c r="E1061" t="s">
        <v>27</v>
      </c>
      <c r="F1061" t="s">
        <v>50</v>
      </c>
      <c r="G1061" s="1">
        <v>46074</v>
      </c>
      <c r="H1061">
        <v>113670</v>
      </c>
      <c r="I1061" t="s">
        <v>52</v>
      </c>
      <c r="J1061" t="s">
        <v>61</v>
      </c>
      <c r="K1061" t="s">
        <v>167</v>
      </c>
      <c r="L1061" t="s">
        <v>43</v>
      </c>
      <c r="M1061">
        <v>17</v>
      </c>
      <c r="N1061" t="s">
        <v>34</v>
      </c>
      <c r="O1061">
        <v>3</v>
      </c>
      <c r="P1061">
        <v>2</v>
      </c>
      <c r="Q1061">
        <v>2</v>
      </c>
      <c r="R1061">
        <v>3</v>
      </c>
      <c r="S1061">
        <v>3</v>
      </c>
      <c r="T1061">
        <v>1</v>
      </c>
      <c r="U1061">
        <v>11</v>
      </c>
      <c r="V1061" t="s">
        <v>4860</v>
      </c>
      <c r="W1061" t="s">
        <v>34</v>
      </c>
      <c r="Y1061" s="2" t="str">
        <f>IF(EmployeeData[[#This Row],[Age]]&lt;25,"Under 25",IF(EmployeeData[[#This Row],[Age]]&lt;=34,"25-34",IF(EmployeeData[[#This Row],[Age]]&lt;=44,"35-44",IF(EmployeeData[[#This Row],[Age]]&lt;=54,"45-54","55+"))))</f>
        <v>45-54</v>
      </c>
      <c r="Z1061">
        <f ca="1">DATEDIF(EmployeeData[[#This Row],[DateOfJoining]],IF(AND(EmployeeData[[#This Row],[Attrition]]="Yes",EmployeeData[[#This Row],[LastWorkingDate]]&lt;&gt;""),EmployeeData[[#This Row],[LastWorkingDate]],TODAY()),"Y")</f>
        <v>0</v>
      </c>
      <c r="AA1061" t="str">
        <f>IF(EmployeeData[[#This Row],[MonthlyIncome]]&lt;30000,"Low",IF(EmployeeData[[#This Row],[MonthlyIncome]]&lt;=60000,"Medium",IF(EmployeeData[[#This Row],[MonthlyIncome]]&lt;=100000,"High","Very High")))</f>
        <v>Very High</v>
      </c>
      <c r="AB1061">
        <f>IF(EmployeeData[[#This Row],[Attrition]]="Yes",1,0)</f>
        <v>0</v>
      </c>
      <c r="AC1061" t="str">
        <f ca="1">IF(EmployeeData[[#This Row],[Tenure Years]]&lt;1,"Less than 1 Year",IF(EmployeeData[[#This Row],[Tenure Years]]&lt;=3,"1-3 Years",IF(EmployeeData[[#This Row],[Tenure Years]]&lt;=5,"4-5 Years",IF(EmployeeData[[#This Row],[Tenure Years]]&lt;=10,"6-10 Years","More than 10 Years"))))</f>
        <v>Less than 1 Year</v>
      </c>
      <c r="AD1061">
        <f>ROUND(AVERAGE(EmployeeData[[#This Row],[JobSatisfaction]],EmployeeData[[#This Row],[EnvironmentSatisfaction]],EmployeeData[[#This Row],[WorkLifeBalance]]),2)</f>
        <v>2.33</v>
      </c>
      <c r="AE1061" t="str">
        <f>IF(EmployeeData[[#This Row],[Satisfaction Score]]&lt;2,"Low",IF(EmployeeData[[#This Row],[Satisfaction Score]]&lt;3,"Medium","High"))</f>
        <v>Medium</v>
      </c>
    </row>
    <row r="1062" spans="1:31" x14ac:dyDescent="0.25">
      <c r="A1062" t="s">
        <v>4861</v>
      </c>
      <c r="B1062" t="s">
        <v>4862</v>
      </c>
      <c r="C1062" t="s">
        <v>49</v>
      </c>
      <c r="D1062">
        <v>30</v>
      </c>
      <c r="E1062" t="s">
        <v>128</v>
      </c>
      <c r="F1062" t="s">
        <v>271</v>
      </c>
      <c r="G1062" s="1">
        <v>42419</v>
      </c>
      <c r="H1062">
        <v>56696</v>
      </c>
      <c r="I1062" t="s">
        <v>52</v>
      </c>
      <c r="J1062" t="s">
        <v>31</v>
      </c>
      <c r="K1062" t="s">
        <v>54</v>
      </c>
      <c r="L1062" t="s">
        <v>43</v>
      </c>
      <c r="M1062">
        <v>12</v>
      </c>
      <c r="N1062" t="s">
        <v>45</v>
      </c>
      <c r="O1062">
        <v>4</v>
      </c>
      <c r="P1062">
        <v>3</v>
      </c>
      <c r="Q1062">
        <v>4</v>
      </c>
      <c r="R1062">
        <v>3</v>
      </c>
      <c r="S1062">
        <v>5</v>
      </c>
      <c r="T1062">
        <v>7</v>
      </c>
      <c r="U1062">
        <v>13</v>
      </c>
      <c r="V1062" t="s">
        <v>4864</v>
      </c>
      <c r="W1062" t="s">
        <v>34</v>
      </c>
      <c r="Y1062" s="2" t="str">
        <f>IF(EmployeeData[[#This Row],[Age]]&lt;25,"Under 25",IF(EmployeeData[[#This Row],[Age]]&lt;=34,"25-34",IF(EmployeeData[[#This Row],[Age]]&lt;=44,"35-44",IF(EmployeeData[[#This Row],[Age]]&lt;=54,"45-54","55+"))))</f>
        <v>25-34</v>
      </c>
      <c r="Z1062">
        <f ca="1">DATEDIF(EmployeeData[[#This Row],[DateOfJoining]],IF(AND(EmployeeData[[#This Row],[Attrition]]="Yes",EmployeeData[[#This Row],[LastWorkingDate]]&lt;&gt;""),EmployeeData[[#This Row],[LastWorkingDate]],TODAY()),"Y")</f>
        <v>10</v>
      </c>
      <c r="AA1062" t="str">
        <f>IF(EmployeeData[[#This Row],[MonthlyIncome]]&lt;30000,"Low",IF(EmployeeData[[#This Row],[MonthlyIncome]]&lt;=60000,"Medium",IF(EmployeeData[[#This Row],[MonthlyIncome]]&lt;=100000,"High","Very High")))</f>
        <v>Medium</v>
      </c>
      <c r="AB1062">
        <f>IF(EmployeeData[[#This Row],[Attrition]]="Yes",1,0)</f>
        <v>0</v>
      </c>
      <c r="AC1062" t="str">
        <f ca="1">IF(EmployeeData[[#This Row],[Tenure Years]]&lt;1,"Less than 1 Year",IF(EmployeeData[[#This Row],[Tenure Years]]&lt;=3,"1-3 Years",IF(EmployeeData[[#This Row],[Tenure Years]]&lt;=5,"4-5 Years",IF(EmployeeData[[#This Row],[Tenure Years]]&lt;=10,"6-10 Years","More than 10 Years"))))</f>
        <v>6-10 Years</v>
      </c>
      <c r="AD1062">
        <f>ROUND(AVERAGE(EmployeeData[[#This Row],[JobSatisfaction]],EmployeeData[[#This Row],[EnvironmentSatisfaction]],EmployeeData[[#This Row],[WorkLifeBalance]]),2)</f>
        <v>3.67</v>
      </c>
      <c r="AE1062" t="str">
        <f>IF(EmployeeData[[#This Row],[Satisfaction Score]]&lt;2,"Low",IF(EmployeeData[[#This Row],[Satisfaction Score]]&lt;3,"Medium","High"))</f>
        <v>High</v>
      </c>
    </row>
    <row r="1063" spans="1:31" x14ac:dyDescent="0.25">
      <c r="A1063" t="s">
        <v>4865</v>
      </c>
      <c r="B1063" t="s">
        <v>4866</v>
      </c>
      <c r="C1063" t="s">
        <v>49</v>
      </c>
      <c r="D1063">
        <v>31</v>
      </c>
      <c r="E1063" t="s">
        <v>27</v>
      </c>
      <c r="F1063" t="s">
        <v>75</v>
      </c>
      <c r="G1063" s="1">
        <v>41896</v>
      </c>
      <c r="H1063">
        <v>63267</v>
      </c>
      <c r="I1063" t="s">
        <v>52</v>
      </c>
      <c r="J1063" t="s">
        <v>31</v>
      </c>
      <c r="K1063" t="s">
        <v>77</v>
      </c>
      <c r="L1063" t="s">
        <v>62</v>
      </c>
      <c r="M1063">
        <v>23</v>
      </c>
      <c r="N1063" t="s">
        <v>45</v>
      </c>
      <c r="O1063">
        <v>4</v>
      </c>
      <c r="P1063">
        <v>4</v>
      </c>
      <c r="Q1063">
        <v>4</v>
      </c>
      <c r="R1063">
        <v>4</v>
      </c>
      <c r="S1063">
        <v>5</v>
      </c>
      <c r="T1063">
        <v>3</v>
      </c>
      <c r="U1063">
        <v>13</v>
      </c>
      <c r="V1063" t="s">
        <v>4869</v>
      </c>
      <c r="W1063" t="s">
        <v>34</v>
      </c>
      <c r="Y1063" s="2" t="str">
        <f>IF(EmployeeData[[#This Row],[Age]]&lt;25,"Under 25",IF(EmployeeData[[#This Row],[Age]]&lt;=34,"25-34",IF(EmployeeData[[#This Row],[Age]]&lt;=44,"35-44",IF(EmployeeData[[#This Row],[Age]]&lt;=54,"45-54","55+"))))</f>
        <v>25-34</v>
      </c>
      <c r="Z1063">
        <f ca="1">DATEDIF(EmployeeData[[#This Row],[DateOfJoining]],IF(AND(EmployeeData[[#This Row],[Attrition]]="Yes",EmployeeData[[#This Row],[LastWorkingDate]]&lt;&gt;""),EmployeeData[[#This Row],[LastWorkingDate]],TODAY()),"Y")</f>
        <v>11</v>
      </c>
      <c r="AA1063" t="str">
        <f>IF(EmployeeData[[#This Row],[MonthlyIncome]]&lt;30000,"Low",IF(EmployeeData[[#This Row],[MonthlyIncome]]&lt;=60000,"Medium",IF(EmployeeData[[#This Row],[MonthlyIncome]]&lt;=100000,"High","Very High")))</f>
        <v>High</v>
      </c>
      <c r="AB1063">
        <f>IF(EmployeeData[[#This Row],[Attrition]]="Yes",1,0)</f>
        <v>0</v>
      </c>
      <c r="AC1063" t="str">
        <f ca="1">IF(EmployeeData[[#This Row],[Tenure Years]]&lt;1,"Less than 1 Year",IF(EmployeeData[[#This Row],[Tenure Years]]&lt;=3,"1-3 Years",IF(EmployeeData[[#This Row],[Tenure Years]]&lt;=5,"4-5 Years",IF(EmployeeData[[#This Row],[Tenure Years]]&lt;=10,"6-10 Years","More than 10 Years"))))</f>
        <v>More than 10 Years</v>
      </c>
      <c r="AD1063">
        <f>ROUND(AVERAGE(EmployeeData[[#This Row],[JobSatisfaction]],EmployeeData[[#This Row],[EnvironmentSatisfaction]],EmployeeData[[#This Row],[WorkLifeBalance]]),2)</f>
        <v>4</v>
      </c>
      <c r="AE1063" t="str">
        <f>IF(EmployeeData[[#This Row],[Satisfaction Score]]&lt;2,"Low",IF(EmployeeData[[#This Row],[Satisfaction Score]]&lt;3,"Medium","High"))</f>
        <v>High</v>
      </c>
    </row>
    <row r="1064" spans="1:31" x14ac:dyDescent="0.25">
      <c r="A1064" t="s">
        <v>4870</v>
      </c>
      <c r="B1064" t="s">
        <v>4871</v>
      </c>
      <c r="C1064" t="s">
        <v>58</v>
      </c>
      <c r="D1064">
        <v>34</v>
      </c>
      <c r="E1064" t="s">
        <v>5461</v>
      </c>
      <c r="F1064" t="s">
        <v>5463</v>
      </c>
      <c r="G1064" s="1">
        <v>44661</v>
      </c>
      <c r="H1064">
        <v>99137</v>
      </c>
      <c r="I1064" t="s">
        <v>30</v>
      </c>
      <c r="J1064" t="s">
        <v>61</v>
      </c>
      <c r="K1064" t="s">
        <v>113</v>
      </c>
      <c r="L1064" t="s">
        <v>43</v>
      </c>
      <c r="M1064">
        <v>39</v>
      </c>
      <c r="N1064" t="s">
        <v>34</v>
      </c>
      <c r="O1064">
        <v>3</v>
      </c>
      <c r="P1064">
        <v>3</v>
      </c>
      <c r="Q1064">
        <v>2</v>
      </c>
      <c r="R1064">
        <v>1</v>
      </c>
      <c r="S1064">
        <v>1</v>
      </c>
      <c r="T1064">
        <v>6</v>
      </c>
      <c r="U1064">
        <v>21</v>
      </c>
      <c r="V1064" t="s">
        <v>4873</v>
      </c>
      <c r="W1064" t="s">
        <v>34</v>
      </c>
      <c r="Y1064" s="2" t="str">
        <f>IF(EmployeeData[[#This Row],[Age]]&lt;25,"Under 25",IF(EmployeeData[[#This Row],[Age]]&lt;=34,"25-34",IF(EmployeeData[[#This Row],[Age]]&lt;=44,"35-44",IF(EmployeeData[[#This Row],[Age]]&lt;=54,"45-54","55+"))))</f>
        <v>25-34</v>
      </c>
      <c r="Z1064">
        <f ca="1">DATEDIF(EmployeeData[[#This Row],[DateOfJoining]],IF(AND(EmployeeData[[#This Row],[Attrition]]="Yes",EmployeeData[[#This Row],[LastWorkingDate]]&lt;&gt;""),EmployeeData[[#This Row],[LastWorkingDate]],TODAY()),"Y")</f>
        <v>4</v>
      </c>
      <c r="AA1064" t="str">
        <f>IF(EmployeeData[[#This Row],[MonthlyIncome]]&lt;30000,"Low",IF(EmployeeData[[#This Row],[MonthlyIncome]]&lt;=60000,"Medium",IF(EmployeeData[[#This Row],[MonthlyIncome]]&lt;=100000,"High","Very High")))</f>
        <v>High</v>
      </c>
      <c r="AB1064">
        <f>IF(EmployeeData[[#This Row],[Attrition]]="Yes",1,0)</f>
        <v>0</v>
      </c>
      <c r="AC1064" t="str">
        <f ca="1">IF(EmployeeData[[#This Row],[Tenure Years]]&lt;1,"Less than 1 Year",IF(EmployeeData[[#This Row],[Tenure Years]]&lt;=3,"1-3 Years",IF(EmployeeData[[#This Row],[Tenure Years]]&lt;=5,"4-5 Years",IF(EmployeeData[[#This Row],[Tenure Years]]&lt;=10,"6-10 Years","More than 10 Years"))))</f>
        <v>4-5 Years</v>
      </c>
      <c r="AD1064">
        <f>ROUND(AVERAGE(EmployeeData[[#This Row],[JobSatisfaction]],EmployeeData[[#This Row],[EnvironmentSatisfaction]],EmployeeData[[#This Row],[WorkLifeBalance]]),2)</f>
        <v>2.67</v>
      </c>
      <c r="AE1064" t="str">
        <f>IF(EmployeeData[[#This Row],[Satisfaction Score]]&lt;2,"Low",IF(EmployeeData[[#This Row],[Satisfaction Score]]&lt;3,"Medium","High"))</f>
        <v>Medium</v>
      </c>
    </row>
    <row r="1065" spans="1:31" x14ac:dyDescent="0.25">
      <c r="A1065" t="s">
        <v>4874</v>
      </c>
      <c r="B1065" t="s">
        <v>4875</v>
      </c>
      <c r="C1065" t="s">
        <v>49</v>
      </c>
      <c r="D1065">
        <v>47</v>
      </c>
      <c r="E1065" t="s">
        <v>412</v>
      </c>
      <c r="F1065" t="s">
        <v>945</v>
      </c>
      <c r="G1065" s="1">
        <v>41740</v>
      </c>
      <c r="H1065">
        <v>97171</v>
      </c>
      <c r="I1065" t="s">
        <v>42</v>
      </c>
      <c r="J1065" t="s">
        <v>31</v>
      </c>
      <c r="K1065" t="s">
        <v>200</v>
      </c>
      <c r="L1065" t="s">
        <v>43</v>
      </c>
      <c r="M1065">
        <v>43</v>
      </c>
      <c r="N1065" t="s">
        <v>34</v>
      </c>
      <c r="O1065">
        <v>3</v>
      </c>
      <c r="P1065">
        <v>2</v>
      </c>
      <c r="Q1065">
        <v>2</v>
      </c>
      <c r="R1065">
        <v>4</v>
      </c>
      <c r="S1065">
        <v>6</v>
      </c>
      <c r="T1065">
        <v>1</v>
      </c>
      <c r="U1065">
        <v>23</v>
      </c>
      <c r="V1065" t="s">
        <v>4878</v>
      </c>
      <c r="W1065" t="s">
        <v>34</v>
      </c>
      <c r="Y1065" s="2" t="str">
        <f>IF(EmployeeData[[#This Row],[Age]]&lt;25,"Under 25",IF(EmployeeData[[#This Row],[Age]]&lt;=34,"25-34",IF(EmployeeData[[#This Row],[Age]]&lt;=44,"35-44",IF(EmployeeData[[#This Row],[Age]]&lt;=54,"45-54","55+"))))</f>
        <v>45-54</v>
      </c>
      <c r="Z1065">
        <f ca="1">DATEDIF(EmployeeData[[#This Row],[DateOfJoining]],IF(AND(EmployeeData[[#This Row],[Attrition]]="Yes",EmployeeData[[#This Row],[LastWorkingDate]]&lt;&gt;""),EmployeeData[[#This Row],[LastWorkingDate]],TODAY()),"Y")</f>
        <v>12</v>
      </c>
      <c r="AA1065" t="str">
        <f>IF(EmployeeData[[#This Row],[MonthlyIncome]]&lt;30000,"Low",IF(EmployeeData[[#This Row],[MonthlyIncome]]&lt;=60000,"Medium",IF(EmployeeData[[#This Row],[MonthlyIncome]]&lt;=100000,"High","Very High")))</f>
        <v>High</v>
      </c>
      <c r="AB1065">
        <f>IF(EmployeeData[[#This Row],[Attrition]]="Yes",1,0)</f>
        <v>0</v>
      </c>
      <c r="AC1065" t="str">
        <f ca="1">IF(EmployeeData[[#This Row],[Tenure Years]]&lt;1,"Less than 1 Year",IF(EmployeeData[[#This Row],[Tenure Years]]&lt;=3,"1-3 Years",IF(EmployeeData[[#This Row],[Tenure Years]]&lt;=5,"4-5 Years",IF(EmployeeData[[#This Row],[Tenure Years]]&lt;=10,"6-10 Years","More than 10 Years"))))</f>
        <v>More than 10 Years</v>
      </c>
      <c r="AD1065">
        <f>ROUND(AVERAGE(EmployeeData[[#This Row],[JobSatisfaction]],EmployeeData[[#This Row],[EnvironmentSatisfaction]],EmployeeData[[#This Row],[WorkLifeBalance]]),2)</f>
        <v>2.33</v>
      </c>
      <c r="AE1065" t="str">
        <f>IF(EmployeeData[[#This Row],[Satisfaction Score]]&lt;2,"Low",IF(EmployeeData[[#This Row],[Satisfaction Score]]&lt;3,"Medium","High"))</f>
        <v>Medium</v>
      </c>
    </row>
    <row r="1066" spans="1:31" x14ac:dyDescent="0.25">
      <c r="A1066" t="s">
        <v>4879</v>
      </c>
      <c r="B1066" t="s">
        <v>4880</v>
      </c>
      <c r="C1066" t="s">
        <v>58</v>
      </c>
      <c r="D1066">
        <v>36</v>
      </c>
      <c r="E1066" t="s">
        <v>5461</v>
      </c>
      <c r="F1066" t="s">
        <v>5463</v>
      </c>
      <c r="G1066" s="1">
        <v>41747</v>
      </c>
      <c r="H1066">
        <v>141290</v>
      </c>
      <c r="I1066" t="s">
        <v>42</v>
      </c>
      <c r="J1066" t="s">
        <v>53</v>
      </c>
      <c r="K1066" t="s">
        <v>113</v>
      </c>
      <c r="L1066" t="s">
        <v>62</v>
      </c>
      <c r="M1066">
        <v>17</v>
      </c>
      <c r="N1066" t="s">
        <v>45</v>
      </c>
      <c r="O1066">
        <v>1</v>
      </c>
      <c r="P1066">
        <v>1</v>
      </c>
      <c r="Q1066">
        <v>4</v>
      </c>
      <c r="R1066">
        <v>5</v>
      </c>
      <c r="S1066">
        <v>2</v>
      </c>
      <c r="T1066">
        <v>6</v>
      </c>
      <c r="U1066">
        <v>20</v>
      </c>
      <c r="V1066" t="s">
        <v>4882</v>
      </c>
      <c r="W1066" t="s">
        <v>45</v>
      </c>
      <c r="X1066" s="1">
        <v>42871</v>
      </c>
      <c r="Y1066" s="2" t="str">
        <f>IF(EmployeeData[[#This Row],[Age]]&lt;25,"Under 25",IF(EmployeeData[[#This Row],[Age]]&lt;=34,"25-34",IF(EmployeeData[[#This Row],[Age]]&lt;=44,"35-44",IF(EmployeeData[[#This Row],[Age]]&lt;=54,"45-54","55+"))))</f>
        <v>35-44</v>
      </c>
      <c r="Z1066">
        <f ca="1">DATEDIF(EmployeeData[[#This Row],[DateOfJoining]],IF(AND(EmployeeData[[#This Row],[Attrition]]="Yes",EmployeeData[[#This Row],[LastWorkingDate]]&lt;&gt;""),EmployeeData[[#This Row],[LastWorkingDate]],TODAY()),"Y")</f>
        <v>3</v>
      </c>
      <c r="AA1066" t="str">
        <f>IF(EmployeeData[[#This Row],[MonthlyIncome]]&lt;30000,"Low",IF(EmployeeData[[#This Row],[MonthlyIncome]]&lt;=60000,"Medium",IF(EmployeeData[[#This Row],[MonthlyIncome]]&lt;=100000,"High","Very High")))</f>
        <v>Very High</v>
      </c>
      <c r="AB1066">
        <f>IF(EmployeeData[[#This Row],[Attrition]]="Yes",1,0)</f>
        <v>1</v>
      </c>
      <c r="AC1066" t="str">
        <f ca="1">IF(EmployeeData[[#This Row],[Tenure Years]]&lt;1,"Less than 1 Year",IF(EmployeeData[[#This Row],[Tenure Years]]&lt;=3,"1-3 Years",IF(EmployeeData[[#This Row],[Tenure Years]]&lt;=5,"4-5 Years",IF(EmployeeData[[#This Row],[Tenure Years]]&lt;=10,"6-10 Years","More than 10 Years"))))</f>
        <v>1-3 Years</v>
      </c>
      <c r="AD1066">
        <f>ROUND(AVERAGE(EmployeeData[[#This Row],[JobSatisfaction]],EmployeeData[[#This Row],[EnvironmentSatisfaction]],EmployeeData[[#This Row],[WorkLifeBalance]]),2)</f>
        <v>2</v>
      </c>
      <c r="AE1066" t="str">
        <f>IF(EmployeeData[[#This Row],[Satisfaction Score]]&lt;2,"Low",IF(EmployeeData[[#This Row],[Satisfaction Score]]&lt;3,"Medium","High"))</f>
        <v>Medium</v>
      </c>
    </row>
    <row r="1067" spans="1:31" x14ac:dyDescent="0.25">
      <c r="A1067" t="s">
        <v>4884</v>
      </c>
      <c r="B1067" t="s">
        <v>4885</v>
      </c>
      <c r="C1067" t="s">
        <v>58</v>
      </c>
      <c r="D1067">
        <v>35</v>
      </c>
      <c r="E1067" t="s">
        <v>27</v>
      </c>
      <c r="F1067" t="s">
        <v>59</v>
      </c>
      <c r="G1067" s="1">
        <v>43255</v>
      </c>
      <c r="H1067">
        <v>118855</v>
      </c>
      <c r="I1067" t="s">
        <v>52</v>
      </c>
      <c r="J1067" t="s">
        <v>61</v>
      </c>
      <c r="K1067" t="s">
        <v>83</v>
      </c>
      <c r="L1067" t="s">
        <v>62</v>
      </c>
      <c r="M1067">
        <v>3</v>
      </c>
      <c r="N1067" t="s">
        <v>45</v>
      </c>
      <c r="O1067">
        <v>3</v>
      </c>
      <c r="P1067">
        <v>4</v>
      </c>
      <c r="Q1067">
        <v>4</v>
      </c>
      <c r="R1067">
        <v>2</v>
      </c>
      <c r="S1067">
        <v>5</v>
      </c>
      <c r="T1067">
        <v>8</v>
      </c>
      <c r="U1067">
        <v>12</v>
      </c>
      <c r="V1067" t="s">
        <v>4886</v>
      </c>
      <c r="W1067" t="s">
        <v>34</v>
      </c>
      <c r="Y1067" s="2" t="str">
        <f>IF(EmployeeData[[#This Row],[Age]]&lt;25,"Under 25",IF(EmployeeData[[#This Row],[Age]]&lt;=34,"25-34",IF(EmployeeData[[#This Row],[Age]]&lt;=44,"35-44",IF(EmployeeData[[#This Row],[Age]]&lt;=54,"45-54","55+"))))</f>
        <v>35-44</v>
      </c>
      <c r="Z1067">
        <f ca="1">DATEDIF(EmployeeData[[#This Row],[DateOfJoining]],IF(AND(EmployeeData[[#This Row],[Attrition]]="Yes",EmployeeData[[#This Row],[LastWorkingDate]]&lt;&gt;""),EmployeeData[[#This Row],[LastWorkingDate]],TODAY()),"Y")</f>
        <v>8</v>
      </c>
      <c r="AA1067" t="str">
        <f>IF(EmployeeData[[#This Row],[MonthlyIncome]]&lt;30000,"Low",IF(EmployeeData[[#This Row],[MonthlyIncome]]&lt;=60000,"Medium",IF(EmployeeData[[#This Row],[MonthlyIncome]]&lt;=100000,"High","Very High")))</f>
        <v>Very High</v>
      </c>
      <c r="AB1067">
        <f>IF(EmployeeData[[#This Row],[Attrition]]="Yes",1,0)</f>
        <v>0</v>
      </c>
      <c r="AC1067" t="str">
        <f ca="1">IF(EmployeeData[[#This Row],[Tenure Years]]&lt;1,"Less than 1 Year",IF(EmployeeData[[#This Row],[Tenure Years]]&lt;=3,"1-3 Years",IF(EmployeeData[[#This Row],[Tenure Years]]&lt;=5,"4-5 Years",IF(EmployeeData[[#This Row],[Tenure Years]]&lt;=10,"6-10 Years","More than 10 Years"))))</f>
        <v>6-10 Years</v>
      </c>
      <c r="AD1067">
        <f>ROUND(AVERAGE(EmployeeData[[#This Row],[JobSatisfaction]],EmployeeData[[#This Row],[EnvironmentSatisfaction]],EmployeeData[[#This Row],[WorkLifeBalance]]),2)</f>
        <v>3.67</v>
      </c>
      <c r="AE1067" t="str">
        <f>IF(EmployeeData[[#This Row],[Satisfaction Score]]&lt;2,"Low",IF(EmployeeData[[#This Row],[Satisfaction Score]]&lt;3,"Medium","High"))</f>
        <v>High</v>
      </c>
    </row>
    <row r="1068" spans="1:31" x14ac:dyDescent="0.25">
      <c r="A1068" t="s">
        <v>4887</v>
      </c>
      <c r="B1068" t="s">
        <v>4888</v>
      </c>
      <c r="C1068" t="s">
        <v>58</v>
      </c>
      <c r="D1068">
        <v>34</v>
      </c>
      <c r="E1068" t="s">
        <v>197</v>
      </c>
      <c r="F1068" t="s">
        <v>323</v>
      </c>
      <c r="G1068" s="1">
        <v>41691</v>
      </c>
      <c r="H1068">
        <v>65392</v>
      </c>
      <c r="I1068" t="s">
        <v>42</v>
      </c>
      <c r="J1068" t="s">
        <v>53</v>
      </c>
      <c r="K1068" t="s">
        <v>54</v>
      </c>
      <c r="L1068" t="s">
        <v>33</v>
      </c>
      <c r="M1068">
        <v>15</v>
      </c>
      <c r="N1068" t="s">
        <v>34</v>
      </c>
      <c r="O1068">
        <v>4</v>
      </c>
      <c r="P1068">
        <v>3</v>
      </c>
      <c r="Q1068">
        <v>3</v>
      </c>
      <c r="R1068">
        <v>5</v>
      </c>
      <c r="S1068">
        <v>3</v>
      </c>
      <c r="T1068">
        <v>3</v>
      </c>
      <c r="U1068">
        <v>12</v>
      </c>
      <c r="V1068" t="s">
        <v>4890</v>
      </c>
      <c r="W1068" t="s">
        <v>34</v>
      </c>
      <c r="Y1068" s="2" t="str">
        <f>IF(EmployeeData[[#This Row],[Age]]&lt;25,"Under 25",IF(EmployeeData[[#This Row],[Age]]&lt;=34,"25-34",IF(EmployeeData[[#This Row],[Age]]&lt;=44,"35-44",IF(EmployeeData[[#This Row],[Age]]&lt;=54,"45-54","55+"))))</f>
        <v>25-34</v>
      </c>
      <c r="Z1068">
        <f ca="1">DATEDIF(EmployeeData[[#This Row],[DateOfJoining]],IF(AND(EmployeeData[[#This Row],[Attrition]]="Yes",EmployeeData[[#This Row],[LastWorkingDate]]&lt;&gt;""),EmployeeData[[#This Row],[LastWorkingDate]],TODAY()),"Y")</f>
        <v>12</v>
      </c>
      <c r="AA1068" t="str">
        <f>IF(EmployeeData[[#This Row],[MonthlyIncome]]&lt;30000,"Low",IF(EmployeeData[[#This Row],[MonthlyIncome]]&lt;=60000,"Medium",IF(EmployeeData[[#This Row],[MonthlyIncome]]&lt;=100000,"High","Very High")))</f>
        <v>High</v>
      </c>
      <c r="AB1068">
        <f>IF(EmployeeData[[#This Row],[Attrition]]="Yes",1,0)</f>
        <v>0</v>
      </c>
      <c r="AC1068" t="str">
        <f ca="1">IF(EmployeeData[[#This Row],[Tenure Years]]&lt;1,"Less than 1 Year",IF(EmployeeData[[#This Row],[Tenure Years]]&lt;=3,"1-3 Years",IF(EmployeeData[[#This Row],[Tenure Years]]&lt;=5,"4-5 Years",IF(EmployeeData[[#This Row],[Tenure Years]]&lt;=10,"6-10 Years","More than 10 Years"))))</f>
        <v>More than 10 Years</v>
      </c>
      <c r="AD1068">
        <f>ROUND(AVERAGE(EmployeeData[[#This Row],[JobSatisfaction]],EmployeeData[[#This Row],[EnvironmentSatisfaction]],EmployeeData[[#This Row],[WorkLifeBalance]]),2)</f>
        <v>3.33</v>
      </c>
      <c r="AE1068" t="str">
        <f>IF(EmployeeData[[#This Row],[Satisfaction Score]]&lt;2,"Low",IF(EmployeeData[[#This Row],[Satisfaction Score]]&lt;3,"Medium","High"))</f>
        <v>High</v>
      </c>
    </row>
    <row r="1069" spans="1:31" x14ac:dyDescent="0.25">
      <c r="A1069" t="s">
        <v>4891</v>
      </c>
      <c r="B1069" t="s">
        <v>4892</v>
      </c>
      <c r="C1069" t="s">
        <v>49</v>
      </c>
      <c r="D1069">
        <v>46</v>
      </c>
      <c r="E1069" t="s">
        <v>197</v>
      </c>
      <c r="F1069" t="s">
        <v>323</v>
      </c>
      <c r="G1069" s="1">
        <v>45074</v>
      </c>
      <c r="H1069">
        <v>68775</v>
      </c>
      <c r="I1069" t="s">
        <v>30</v>
      </c>
      <c r="J1069" t="s">
        <v>53</v>
      </c>
      <c r="K1069" t="s">
        <v>83</v>
      </c>
      <c r="L1069" t="s">
        <v>33</v>
      </c>
      <c r="M1069">
        <v>41</v>
      </c>
      <c r="N1069" t="s">
        <v>45</v>
      </c>
      <c r="O1069">
        <v>1</v>
      </c>
      <c r="P1069">
        <v>1</v>
      </c>
      <c r="Q1069">
        <v>3</v>
      </c>
      <c r="R1069">
        <v>4</v>
      </c>
      <c r="S1069">
        <v>3</v>
      </c>
      <c r="T1069">
        <v>7</v>
      </c>
      <c r="U1069">
        <v>25</v>
      </c>
      <c r="V1069" t="s">
        <v>4894</v>
      </c>
      <c r="W1069" t="s">
        <v>45</v>
      </c>
      <c r="X1069" s="1">
        <v>45339</v>
      </c>
      <c r="Y1069" s="2" t="str">
        <f>IF(EmployeeData[[#This Row],[Age]]&lt;25,"Under 25",IF(EmployeeData[[#This Row],[Age]]&lt;=34,"25-34",IF(EmployeeData[[#This Row],[Age]]&lt;=44,"35-44",IF(EmployeeData[[#This Row],[Age]]&lt;=54,"45-54","55+"))))</f>
        <v>45-54</v>
      </c>
      <c r="Z1069">
        <f ca="1">DATEDIF(EmployeeData[[#This Row],[DateOfJoining]],IF(AND(EmployeeData[[#This Row],[Attrition]]="Yes",EmployeeData[[#This Row],[LastWorkingDate]]&lt;&gt;""),EmployeeData[[#This Row],[LastWorkingDate]],TODAY()),"Y")</f>
        <v>0</v>
      </c>
      <c r="AA1069" t="str">
        <f>IF(EmployeeData[[#This Row],[MonthlyIncome]]&lt;30000,"Low",IF(EmployeeData[[#This Row],[MonthlyIncome]]&lt;=60000,"Medium",IF(EmployeeData[[#This Row],[MonthlyIncome]]&lt;=100000,"High","Very High")))</f>
        <v>High</v>
      </c>
      <c r="AB1069">
        <f>IF(EmployeeData[[#This Row],[Attrition]]="Yes",1,0)</f>
        <v>1</v>
      </c>
      <c r="AC1069" t="str">
        <f ca="1">IF(EmployeeData[[#This Row],[Tenure Years]]&lt;1,"Less than 1 Year",IF(EmployeeData[[#This Row],[Tenure Years]]&lt;=3,"1-3 Years",IF(EmployeeData[[#This Row],[Tenure Years]]&lt;=5,"4-5 Years",IF(EmployeeData[[#This Row],[Tenure Years]]&lt;=10,"6-10 Years","More than 10 Years"))))</f>
        <v>Less than 1 Year</v>
      </c>
      <c r="AD1069">
        <f>ROUND(AVERAGE(EmployeeData[[#This Row],[JobSatisfaction]],EmployeeData[[#This Row],[EnvironmentSatisfaction]],EmployeeData[[#This Row],[WorkLifeBalance]]),2)</f>
        <v>1.67</v>
      </c>
      <c r="AE1069" t="str">
        <f>IF(EmployeeData[[#This Row],[Satisfaction Score]]&lt;2,"Low",IF(EmployeeData[[#This Row],[Satisfaction Score]]&lt;3,"Medium","High"))</f>
        <v>Low</v>
      </c>
    </row>
    <row r="1070" spans="1:31" x14ac:dyDescent="0.25">
      <c r="A1070" t="s">
        <v>4896</v>
      </c>
      <c r="B1070" t="s">
        <v>4897</v>
      </c>
      <c r="C1070" t="s">
        <v>49</v>
      </c>
      <c r="D1070">
        <v>45</v>
      </c>
      <c r="E1070" t="s">
        <v>27</v>
      </c>
      <c r="F1070" t="s">
        <v>50</v>
      </c>
      <c r="G1070" s="1">
        <v>46217</v>
      </c>
      <c r="H1070">
        <v>68914</v>
      </c>
      <c r="I1070" t="s">
        <v>52</v>
      </c>
      <c r="J1070" t="s">
        <v>61</v>
      </c>
      <c r="K1070" t="s">
        <v>113</v>
      </c>
      <c r="L1070" t="s">
        <v>62</v>
      </c>
      <c r="M1070">
        <v>37</v>
      </c>
      <c r="N1070" t="s">
        <v>34</v>
      </c>
      <c r="O1070">
        <v>1</v>
      </c>
      <c r="P1070">
        <v>2</v>
      </c>
      <c r="Q1070">
        <v>3</v>
      </c>
      <c r="R1070">
        <v>3</v>
      </c>
      <c r="S1070">
        <v>1</v>
      </c>
      <c r="T1070">
        <v>0</v>
      </c>
      <c r="U1070">
        <v>14</v>
      </c>
      <c r="V1070" t="s">
        <v>4899</v>
      </c>
      <c r="W1070" t="s">
        <v>45</v>
      </c>
      <c r="X1070" s="1">
        <v>46250</v>
      </c>
      <c r="Y1070" s="2" t="str">
        <f>IF(EmployeeData[[#This Row],[Age]]&lt;25,"Under 25",IF(EmployeeData[[#This Row],[Age]]&lt;=34,"25-34",IF(EmployeeData[[#This Row],[Age]]&lt;=44,"35-44",IF(EmployeeData[[#This Row],[Age]]&lt;=54,"45-54","55+"))))</f>
        <v>45-54</v>
      </c>
      <c r="Z1070">
        <f ca="1">DATEDIF(EmployeeData[[#This Row],[DateOfJoining]],IF(AND(EmployeeData[[#This Row],[Attrition]]="Yes",EmployeeData[[#This Row],[LastWorkingDate]]&lt;&gt;""),EmployeeData[[#This Row],[LastWorkingDate]],TODAY()),"Y")</f>
        <v>0</v>
      </c>
      <c r="AA1070" t="str">
        <f>IF(EmployeeData[[#This Row],[MonthlyIncome]]&lt;30000,"Low",IF(EmployeeData[[#This Row],[MonthlyIncome]]&lt;=60000,"Medium",IF(EmployeeData[[#This Row],[MonthlyIncome]]&lt;=100000,"High","Very High")))</f>
        <v>High</v>
      </c>
      <c r="AB1070">
        <f>IF(EmployeeData[[#This Row],[Attrition]]="Yes",1,0)</f>
        <v>1</v>
      </c>
      <c r="AC1070" t="str">
        <f ca="1">IF(EmployeeData[[#This Row],[Tenure Years]]&lt;1,"Less than 1 Year",IF(EmployeeData[[#This Row],[Tenure Years]]&lt;=3,"1-3 Years",IF(EmployeeData[[#This Row],[Tenure Years]]&lt;=5,"4-5 Years",IF(EmployeeData[[#This Row],[Tenure Years]]&lt;=10,"6-10 Years","More than 10 Years"))))</f>
        <v>Less than 1 Year</v>
      </c>
      <c r="AD1070">
        <f>ROUND(AVERAGE(EmployeeData[[#This Row],[JobSatisfaction]],EmployeeData[[#This Row],[EnvironmentSatisfaction]],EmployeeData[[#This Row],[WorkLifeBalance]]),2)</f>
        <v>2</v>
      </c>
      <c r="AE1070" t="str">
        <f>IF(EmployeeData[[#This Row],[Satisfaction Score]]&lt;2,"Low",IF(EmployeeData[[#This Row],[Satisfaction Score]]&lt;3,"Medium","High"))</f>
        <v>Medium</v>
      </c>
    </row>
    <row r="1071" spans="1:31" x14ac:dyDescent="0.25">
      <c r="A1071" t="s">
        <v>4901</v>
      </c>
      <c r="B1071" t="s">
        <v>4902</v>
      </c>
      <c r="C1071" t="s">
        <v>49</v>
      </c>
      <c r="D1071">
        <v>41</v>
      </c>
      <c r="E1071" t="s">
        <v>27</v>
      </c>
      <c r="F1071" t="s">
        <v>50</v>
      </c>
      <c r="G1071" s="1">
        <v>45464</v>
      </c>
      <c r="H1071">
        <v>70596</v>
      </c>
      <c r="I1071" t="s">
        <v>42</v>
      </c>
      <c r="J1071" t="s">
        <v>61</v>
      </c>
      <c r="K1071" t="s">
        <v>98</v>
      </c>
      <c r="L1071" t="s">
        <v>33</v>
      </c>
      <c r="M1071">
        <v>4</v>
      </c>
      <c r="N1071" t="s">
        <v>34</v>
      </c>
      <c r="O1071">
        <v>4</v>
      </c>
      <c r="P1071">
        <v>2</v>
      </c>
      <c r="Q1071">
        <v>3</v>
      </c>
      <c r="R1071">
        <v>5</v>
      </c>
      <c r="S1071">
        <v>5</v>
      </c>
      <c r="T1071">
        <v>7</v>
      </c>
      <c r="U1071">
        <v>15</v>
      </c>
      <c r="V1071" t="s">
        <v>4904</v>
      </c>
      <c r="W1071" t="s">
        <v>34</v>
      </c>
      <c r="Y1071" s="2" t="str">
        <f>IF(EmployeeData[[#This Row],[Age]]&lt;25,"Under 25",IF(EmployeeData[[#This Row],[Age]]&lt;=34,"25-34",IF(EmployeeData[[#This Row],[Age]]&lt;=44,"35-44",IF(EmployeeData[[#This Row],[Age]]&lt;=54,"45-54","55+"))))</f>
        <v>35-44</v>
      </c>
      <c r="Z1071">
        <f ca="1">DATEDIF(EmployeeData[[#This Row],[DateOfJoining]],IF(AND(EmployeeData[[#This Row],[Attrition]]="Yes",EmployeeData[[#This Row],[LastWorkingDate]]&lt;&gt;""),EmployeeData[[#This Row],[LastWorkingDate]],TODAY()),"Y")</f>
        <v>2</v>
      </c>
      <c r="AA1071" t="str">
        <f>IF(EmployeeData[[#This Row],[MonthlyIncome]]&lt;30000,"Low",IF(EmployeeData[[#This Row],[MonthlyIncome]]&lt;=60000,"Medium",IF(EmployeeData[[#This Row],[MonthlyIncome]]&lt;=100000,"High","Very High")))</f>
        <v>High</v>
      </c>
      <c r="AB1071">
        <f>IF(EmployeeData[[#This Row],[Attrition]]="Yes",1,0)</f>
        <v>0</v>
      </c>
      <c r="AC1071" t="str">
        <f ca="1">IF(EmployeeData[[#This Row],[Tenure Years]]&lt;1,"Less than 1 Year",IF(EmployeeData[[#This Row],[Tenure Years]]&lt;=3,"1-3 Years",IF(EmployeeData[[#This Row],[Tenure Years]]&lt;=5,"4-5 Years",IF(EmployeeData[[#This Row],[Tenure Years]]&lt;=10,"6-10 Years","More than 10 Years"))))</f>
        <v>1-3 Years</v>
      </c>
      <c r="AD1071">
        <f>ROUND(AVERAGE(EmployeeData[[#This Row],[JobSatisfaction]],EmployeeData[[#This Row],[EnvironmentSatisfaction]],EmployeeData[[#This Row],[WorkLifeBalance]]),2)</f>
        <v>3</v>
      </c>
      <c r="AE1071" t="str">
        <f>IF(EmployeeData[[#This Row],[Satisfaction Score]]&lt;2,"Low",IF(EmployeeData[[#This Row],[Satisfaction Score]]&lt;3,"Medium","High"))</f>
        <v>High</v>
      </c>
    </row>
    <row r="1072" spans="1:31" x14ac:dyDescent="0.25">
      <c r="A1072" t="s">
        <v>4905</v>
      </c>
      <c r="B1072" t="s">
        <v>4906</v>
      </c>
      <c r="C1072" t="s">
        <v>58</v>
      </c>
      <c r="D1072">
        <v>33</v>
      </c>
      <c r="E1072" t="s">
        <v>128</v>
      </c>
      <c r="F1072" t="s">
        <v>226</v>
      </c>
      <c r="G1072" s="1">
        <v>41266</v>
      </c>
      <c r="H1072">
        <v>57882</v>
      </c>
      <c r="I1072" t="s">
        <v>52</v>
      </c>
      <c r="J1072" t="s">
        <v>61</v>
      </c>
      <c r="K1072" t="s">
        <v>98</v>
      </c>
      <c r="L1072" t="s">
        <v>62</v>
      </c>
      <c r="M1072">
        <v>12</v>
      </c>
      <c r="N1072" t="s">
        <v>45</v>
      </c>
      <c r="O1072">
        <v>4</v>
      </c>
      <c r="P1072">
        <v>3</v>
      </c>
      <c r="Q1072">
        <v>4</v>
      </c>
      <c r="R1072">
        <v>3</v>
      </c>
      <c r="S1072">
        <v>1</v>
      </c>
      <c r="T1072">
        <v>4</v>
      </c>
      <c r="U1072">
        <v>24</v>
      </c>
      <c r="V1072" t="s">
        <v>4908</v>
      </c>
      <c r="W1072" t="s">
        <v>34</v>
      </c>
      <c r="Y1072" s="2" t="str">
        <f>IF(EmployeeData[[#This Row],[Age]]&lt;25,"Under 25",IF(EmployeeData[[#This Row],[Age]]&lt;=34,"25-34",IF(EmployeeData[[#This Row],[Age]]&lt;=44,"35-44",IF(EmployeeData[[#This Row],[Age]]&lt;=54,"45-54","55+"))))</f>
        <v>25-34</v>
      </c>
      <c r="Z1072">
        <f ca="1">DATEDIF(EmployeeData[[#This Row],[DateOfJoining]],IF(AND(EmployeeData[[#This Row],[Attrition]]="Yes",EmployeeData[[#This Row],[LastWorkingDate]]&lt;&gt;""),EmployeeData[[#This Row],[LastWorkingDate]],TODAY()),"Y")</f>
        <v>13</v>
      </c>
      <c r="AA1072" t="str">
        <f>IF(EmployeeData[[#This Row],[MonthlyIncome]]&lt;30000,"Low",IF(EmployeeData[[#This Row],[MonthlyIncome]]&lt;=60000,"Medium",IF(EmployeeData[[#This Row],[MonthlyIncome]]&lt;=100000,"High","Very High")))</f>
        <v>Medium</v>
      </c>
      <c r="AB1072">
        <f>IF(EmployeeData[[#This Row],[Attrition]]="Yes",1,0)</f>
        <v>0</v>
      </c>
      <c r="AC1072" t="str">
        <f ca="1">IF(EmployeeData[[#This Row],[Tenure Years]]&lt;1,"Less than 1 Year",IF(EmployeeData[[#This Row],[Tenure Years]]&lt;=3,"1-3 Years",IF(EmployeeData[[#This Row],[Tenure Years]]&lt;=5,"4-5 Years",IF(EmployeeData[[#This Row],[Tenure Years]]&lt;=10,"6-10 Years","More than 10 Years"))))</f>
        <v>More than 10 Years</v>
      </c>
      <c r="AD1072">
        <f>ROUND(AVERAGE(EmployeeData[[#This Row],[JobSatisfaction]],EmployeeData[[#This Row],[EnvironmentSatisfaction]],EmployeeData[[#This Row],[WorkLifeBalance]]),2)</f>
        <v>3.67</v>
      </c>
      <c r="AE1072" t="str">
        <f>IF(EmployeeData[[#This Row],[Satisfaction Score]]&lt;2,"Low",IF(EmployeeData[[#This Row],[Satisfaction Score]]&lt;3,"Medium","High"))</f>
        <v>High</v>
      </c>
    </row>
    <row r="1073" spans="1:31" x14ac:dyDescent="0.25">
      <c r="A1073" t="s">
        <v>4909</v>
      </c>
      <c r="B1073" t="s">
        <v>4910</v>
      </c>
      <c r="C1073" t="s">
        <v>5459</v>
      </c>
      <c r="D1073">
        <v>35</v>
      </c>
      <c r="E1073" t="s">
        <v>5459</v>
      </c>
      <c r="F1073" t="s">
        <v>188</v>
      </c>
      <c r="G1073" s="1">
        <v>42084</v>
      </c>
      <c r="H1073">
        <v>91589</v>
      </c>
      <c r="I1073" t="s">
        <v>52</v>
      </c>
      <c r="J1073" t="s">
        <v>31</v>
      </c>
      <c r="K1073" t="s">
        <v>200</v>
      </c>
      <c r="L1073" t="s">
        <v>33</v>
      </c>
      <c r="M1073">
        <v>17</v>
      </c>
      <c r="N1073" t="s">
        <v>45</v>
      </c>
      <c r="O1073">
        <v>4</v>
      </c>
      <c r="P1073">
        <v>3</v>
      </c>
      <c r="Q1073">
        <v>1</v>
      </c>
      <c r="R1073">
        <v>3</v>
      </c>
      <c r="S1073">
        <v>5</v>
      </c>
      <c r="T1073">
        <v>6</v>
      </c>
      <c r="U1073">
        <v>18</v>
      </c>
      <c r="V1073" t="s">
        <v>1663</v>
      </c>
      <c r="W1073" t="s">
        <v>34</v>
      </c>
      <c r="Y1073" s="2" t="str">
        <f>IF(EmployeeData[[#This Row],[Age]]&lt;25,"Under 25",IF(EmployeeData[[#This Row],[Age]]&lt;=34,"25-34",IF(EmployeeData[[#This Row],[Age]]&lt;=44,"35-44",IF(EmployeeData[[#This Row],[Age]]&lt;=54,"45-54","55+"))))</f>
        <v>35-44</v>
      </c>
      <c r="Z1073">
        <f ca="1">DATEDIF(EmployeeData[[#This Row],[DateOfJoining]],IF(AND(EmployeeData[[#This Row],[Attrition]]="Yes",EmployeeData[[#This Row],[LastWorkingDate]]&lt;&gt;""),EmployeeData[[#This Row],[LastWorkingDate]],TODAY()),"Y")</f>
        <v>11</v>
      </c>
      <c r="AA1073" t="str">
        <f>IF(EmployeeData[[#This Row],[MonthlyIncome]]&lt;30000,"Low",IF(EmployeeData[[#This Row],[MonthlyIncome]]&lt;=60000,"Medium",IF(EmployeeData[[#This Row],[MonthlyIncome]]&lt;=100000,"High","Very High")))</f>
        <v>High</v>
      </c>
      <c r="AB1073">
        <f>IF(EmployeeData[[#This Row],[Attrition]]="Yes",1,0)</f>
        <v>0</v>
      </c>
      <c r="AC1073" t="str">
        <f ca="1">IF(EmployeeData[[#This Row],[Tenure Years]]&lt;1,"Less than 1 Year",IF(EmployeeData[[#This Row],[Tenure Years]]&lt;=3,"1-3 Years",IF(EmployeeData[[#This Row],[Tenure Years]]&lt;=5,"4-5 Years",IF(EmployeeData[[#This Row],[Tenure Years]]&lt;=10,"6-10 Years","More than 10 Years"))))</f>
        <v>More than 10 Years</v>
      </c>
      <c r="AD1073">
        <f>ROUND(AVERAGE(EmployeeData[[#This Row],[JobSatisfaction]],EmployeeData[[#This Row],[EnvironmentSatisfaction]],EmployeeData[[#This Row],[WorkLifeBalance]]),2)</f>
        <v>2.67</v>
      </c>
      <c r="AE1073" t="str">
        <f>IF(EmployeeData[[#This Row],[Satisfaction Score]]&lt;2,"Low",IF(EmployeeData[[#This Row],[Satisfaction Score]]&lt;3,"Medium","High"))</f>
        <v>Medium</v>
      </c>
    </row>
    <row r="1074" spans="1:31" x14ac:dyDescent="0.25">
      <c r="A1074" t="s">
        <v>4912</v>
      </c>
      <c r="B1074" t="s">
        <v>4913</v>
      </c>
      <c r="C1074" t="s">
        <v>49</v>
      </c>
      <c r="D1074">
        <v>42</v>
      </c>
      <c r="E1074" t="s">
        <v>5461</v>
      </c>
      <c r="F1074" t="s">
        <v>5464</v>
      </c>
      <c r="G1074" s="1">
        <v>44285</v>
      </c>
      <c r="H1074">
        <v>112804</v>
      </c>
      <c r="I1074" t="s">
        <v>52</v>
      </c>
      <c r="J1074" t="s">
        <v>61</v>
      </c>
      <c r="K1074" t="s">
        <v>83</v>
      </c>
      <c r="L1074" t="s">
        <v>43</v>
      </c>
      <c r="M1074">
        <v>7</v>
      </c>
      <c r="N1074" t="s">
        <v>45</v>
      </c>
      <c r="O1074">
        <v>1</v>
      </c>
      <c r="P1074">
        <v>3</v>
      </c>
      <c r="Q1074">
        <v>4</v>
      </c>
      <c r="R1074">
        <v>2</v>
      </c>
      <c r="S1074">
        <v>6</v>
      </c>
      <c r="T1074">
        <v>4</v>
      </c>
      <c r="U1074">
        <v>19</v>
      </c>
      <c r="V1074" t="s">
        <v>4915</v>
      </c>
      <c r="W1074" t="s">
        <v>45</v>
      </c>
      <c r="X1074" s="1">
        <v>45780</v>
      </c>
      <c r="Y1074" s="2" t="str">
        <f>IF(EmployeeData[[#This Row],[Age]]&lt;25,"Under 25",IF(EmployeeData[[#This Row],[Age]]&lt;=34,"25-34",IF(EmployeeData[[#This Row],[Age]]&lt;=44,"35-44",IF(EmployeeData[[#This Row],[Age]]&lt;=54,"45-54","55+"))))</f>
        <v>35-44</v>
      </c>
      <c r="Z1074">
        <f ca="1">DATEDIF(EmployeeData[[#This Row],[DateOfJoining]],IF(AND(EmployeeData[[#This Row],[Attrition]]="Yes",EmployeeData[[#This Row],[LastWorkingDate]]&lt;&gt;""),EmployeeData[[#This Row],[LastWorkingDate]],TODAY()),"Y")</f>
        <v>4</v>
      </c>
      <c r="AA1074" t="str">
        <f>IF(EmployeeData[[#This Row],[MonthlyIncome]]&lt;30000,"Low",IF(EmployeeData[[#This Row],[MonthlyIncome]]&lt;=60000,"Medium",IF(EmployeeData[[#This Row],[MonthlyIncome]]&lt;=100000,"High","Very High")))</f>
        <v>Very High</v>
      </c>
      <c r="AB1074">
        <f>IF(EmployeeData[[#This Row],[Attrition]]="Yes",1,0)</f>
        <v>1</v>
      </c>
      <c r="AC1074" t="str">
        <f ca="1">IF(EmployeeData[[#This Row],[Tenure Years]]&lt;1,"Less than 1 Year",IF(EmployeeData[[#This Row],[Tenure Years]]&lt;=3,"1-3 Years",IF(EmployeeData[[#This Row],[Tenure Years]]&lt;=5,"4-5 Years",IF(EmployeeData[[#This Row],[Tenure Years]]&lt;=10,"6-10 Years","More than 10 Years"))))</f>
        <v>4-5 Years</v>
      </c>
      <c r="AD1074">
        <f>ROUND(AVERAGE(EmployeeData[[#This Row],[JobSatisfaction]],EmployeeData[[#This Row],[EnvironmentSatisfaction]],EmployeeData[[#This Row],[WorkLifeBalance]]),2)</f>
        <v>2.67</v>
      </c>
      <c r="AE1074" t="str">
        <f>IF(EmployeeData[[#This Row],[Satisfaction Score]]&lt;2,"Low",IF(EmployeeData[[#This Row],[Satisfaction Score]]&lt;3,"Medium","High"))</f>
        <v>Medium</v>
      </c>
    </row>
    <row r="1075" spans="1:31" x14ac:dyDescent="0.25">
      <c r="A1075" t="s">
        <v>4917</v>
      </c>
      <c r="B1075" t="s">
        <v>1701</v>
      </c>
      <c r="C1075" t="s">
        <v>49</v>
      </c>
      <c r="D1075">
        <v>34</v>
      </c>
      <c r="E1075" t="s">
        <v>5461</v>
      </c>
      <c r="F1075" t="s">
        <v>483</v>
      </c>
      <c r="G1075" s="1">
        <v>43899</v>
      </c>
      <c r="H1075">
        <v>60965</v>
      </c>
      <c r="I1075" t="s">
        <v>42</v>
      </c>
      <c r="J1075" t="s">
        <v>5459</v>
      </c>
      <c r="K1075" t="s">
        <v>106</v>
      </c>
      <c r="L1075" t="s">
        <v>33</v>
      </c>
      <c r="M1075">
        <v>40</v>
      </c>
      <c r="N1075" t="s">
        <v>45</v>
      </c>
      <c r="O1075">
        <v>3</v>
      </c>
      <c r="P1075">
        <v>4</v>
      </c>
      <c r="Q1075">
        <v>4</v>
      </c>
      <c r="R1075">
        <v>3</v>
      </c>
      <c r="S1075">
        <v>5</v>
      </c>
      <c r="T1075">
        <v>4</v>
      </c>
      <c r="U1075">
        <v>12</v>
      </c>
      <c r="V1075" t="s">
        <v>4919</v>
      </c>
      <c r="W1075" t="s">
        <v>34</v>
      </c>
      <c r="Y1075" s="2" t="str">
        <f>IF(EmployeeData[[#This Row],[Age]]&lt;25,"Under 25",IF(EmployeeData[[#This Row],[Age]]&lt;=34,"25-34",IF(EmployeeData[[#This Row],[Age]]&lt;=44,"35-44",IF(EmployeeData[[#This Row],[Age]]&lt;=54,"45-54","55+"))))</f>
        <v>25-34</v>
      </c>
      <c r="Z1075">
        <f ca="1">DATEDIF(EmployeeData[[#This Row],[DateOfJoining]],IF(AND(EmployeeData[[#This Row],[Attrition]]="Yes",EmployeeData[[#This Row],[LastWorkingDate]]&lt;&gt;""),EmployeeData[[#This Row],[LastWorkingDate]],TODAY()),"Y")</f>
        <v>6</v>
      </c>
      <c r="AA1075" t="str">
        <f>IF(EmployeeData[[#This Row],[MonthlyIncome]]&lt;30000,"Low",IF(EmployeeData[[#This Row],[MonthlyIncome]]&lt;=60000,"Medium",IF(EmployeeData[[#This Row],[MonthlyIncome]]&lt;=100000,"High","Very High")))</f>
        <v>High</v>
      </c>
      <c r="AB1075">
        <f>IF(EmployeeData[[#This Row],[Attrition]]="Yes",1,0)</f>
        <v>0</v>
      </c>
      <c r="AC1075" t="str">
        <f ca="1">IF(EmployeeData[[#This Row],[Tenure Years]]&lt;1,"Less than 1 Year",IF(EmployeeData[[#This Row],[Tenure Years]]&lt;=3,"1-3 Years",IF(EmployeeData[[#This Row],[Tenure Years]]&lt;=5,"4-5 Years",IF(EmployeeData[[#This Row],[Tenure Years]]&lt;=10,"6-10 Years","More than 10 Years"))))</f>
        <v>6-10 Years</v>
      </c>
      <c r="AD1075">
        <f>ROUND(AVERAGE(EmployeeData[[#This Row],[JobSatisfaction]],EmployeeData[[#This Row],[EnvironmentSatisfaction]],EmployeeData[[#This Row],[WorkLifeBalance]]),2)</f>
        <v>3.67</v>
      </c>
      <c r="AE1075" t="str">
        <f>IF(EmployeeData[[#This Row],[Satisfaction Score]]&lt;2,"Low",IF(EmployeeData[[#This Row],[Satisfaction Score]]&lt;3,"Medium","High"))</f>
        <v>High</v>
      </c>
    </row>
    <row r="1076" spans="1:31" x14ac:dyDescent="0.25">
      <c r="A1076" t="s">
        <v>4920</v>
      </c>
      <c r="B1076" t="s">
        <v>4921</v>
      </c>
      <c r="C1076" t="s">
        <v>58</v>
      </c>
      <c r="D1076">
        <v>19</v>
      </c>
      <c r="E1076" t="s">
        <v>128</v>
      </c>
      <c r="F1076" t="s">
        <v>226</v>
      </c>
      <c r="G1076" s="1">
        <v>43864</v>
      </c>
      <c r="H1076">
        <v>71785</v>
      </c>
      <c r="I1076" t="s">
        <v>30</v>
      </c>
      <c r="J1076" t="s">
        <v>31</v>
      </c>
      <c r="K1076" t="s">
        <v>113</v>
      </c>
      <c r="L1076" t="s">
        <v>33</v>
      </c>
      <c r="M1076">
        <v>34</v>
      </c>
      <c r="N1076" t="s">
        <v>34</v>
      </c>
      <c r="O1076">
        <v>3</v>
      </c>
      <c r="P1076">
        <v>3</v>
      </c>
      <c r="Q1076">
        <v>3</v>
      </c>
      <c r="R1076">
        <v>2</v>
      </c>
      <c r="S1076">
        <v>5</v>
      </c>
      <c r="T1076">
        <v>2</v>
      </c>
      <c r="U1076">
        <v>13</v>
      </c>
      <c r="V1076" t="s">
        <v>4923</v>
      </c>
      <c r="W1076" t="s">
        <v>34</v>
      </c>
      <c r="Y1076" s="2" t="str">
        <f>IF(EmployeeData[[#This Row],[Age]]&lt;25,"Under 25",IF(EmployeeData[[#This Row],[Age]]&lt;=34,"25-34",IF(EmployeeData[[#This Row],[Age]]&lt;=44,"35-44",IF(EmployeeData[[#This Row],[Age]]&lt;=54,"45-54","55+"))))</f>
        <v>Under 25</v>
      </c>
      <c r="Z1076">
        <f ca="1">DATEDIF(EmployeeData[[#This Row],[DateOfJoining]],IF(AND(EmployeeData[[#This Row],[Attrition]]="Yes",EmployeeData[[#This Row],[LastWorkingDate]]&lt;&gt;""),EmployeeData[[#This Row],[LastWorkingDate]],TODAY()),"Y")</f>
        <v>6</v>
      </c>
      <c r="AA1076" t="str">
        <f>IF(EmployeeData[[#This Row],[MonthlyIncome]]&lt;30000,"Low",IF(EmployeeData[[#This Row],[MonthlyIncome]]&lt;=60000,"Medium",IF(EmployeeData[[#This Row],[MonthlyIncome]]&lt;=100000,"High","Very High")))</f>
        <v>High</v>
      </c>
      <c r="AB1076">
        <f>IF(EmployeeData[[#This Row],[Attrition]]="Yes",1,0)</f>
        <v>0</v>
      </c>
      <c r="AC1076" t="str">
        <f ca="1">IF(EmployeeData[[#This Row],[Tenure Years]]&lt;1,"Less than 1 Year",IF(EmployeeData[[#This Row],[Tenure Years]]&lt;=3,"1-3 Years",IF(EmployeeData[[#This Row],[Tenure Years]]&lt;=5,"4-5 Years",IF(EmployeeData[[#This Row],[Tenure Years]]&lt;=10,"6-10 Years","More than 10 Years"))))</f>
        <v>6-10 Years</v>
      </c>
      <c r="AD1076">
        <f>ROUND(AVERAGE(EmployeeData[[#This Row],[JobSatisfaction]],EmployeeData[[#This Row],[EnvironmentSatisfaction]],EmployeeData[[#This Row],[WorkLifeBalance]]),2)</f>
        <v>3</v>
      </c>
      <c r="AE1076" t="str">
        <f>IF(EmployeeData[[#This Row],[Satisfaction Score]]&lt;2,"Low",IF(EmployeeData[[#This Row],[Satisfaction Score]]&lt;3,"Medium","High"))</f>
        <v>High</v>
      </c>
    </row>
    <row r="1077" spans="1:31" x14ac:dyDescent="0.25">
      <c r="A1077" t="s">
        <v>4924</v>
      </c>
      <c r="B1077" t="s">
        <v>4925</v>
      </c>
      <c r="C1077" t="s">
        <v>58</v>
      </c>
      <c r="D1077">
        <v>27</v>
      </c>
      <c r="E1077" t="s">
        <v>27</v>
      </c>
      <c r="F1077" t="s">
        <v>50</v>
      </c>
      <c r="G1077" s="1">
        <v>44163</v>
      </c>
      <c r="H1077">
        <v>112186</v>
      </c>
      <c r="I1077" t="s">
        <v>42</v>
      </c>
      <c r="J1077" t="s">
        <v>143</v>
      </c>
      <c r="K1077" t="s">
        <v>77</v>
      </c>
      <c r="L1077" t="s">
        <v>62</v>
      </c>
      <c r="M1077">
        <v>42</v>
      </c>
      <c r="N1077" t="s">
        <v>34</v>
      </c>
      <c r="O1077">
        <v>4</v>
      </c>
      <c r="P1077">
        <v>3</v>
      </c>
      <c r="Q1077">
        <v>4</v>
      </c>
      <c r="R1077">
        <v>4</v>
      </c>
      <c r="S1077">
        <v>2</v>
      </c>
      <c r="T1077">
        <v>3</v>
      </c>
      <c r="U1077">
        <v>17</v>
      </c>
      <c r="V1077" t="s">
        <v>4927</v>
      </c>
      <c r="W1077" t="s">
        <v>34</v>
      </c>
      <c r="Y1077" s="2" t="str">
        <f>IF(EmployeeData[[#This Row],[Age]]&lt;25,"Under 25",IF(EmployeeData[[#This Row],[Age]]&lt;=34,"25-34",IF(EmployeeData[[#This Row],[Age]]&lt;=44,"35-44",IF(EmployeeData[[#This Row],[Age]]&lt;=54,"45-54","55+"))))</f>
        <v>25-34</v>
      </c>
      <c r="Z1077">
        <f ca="1">DATEDIF(EmployeeData[[#This Row],[DateOfJoining]],IF(AND(EmployeeData[[#This Row],[Attrition]]="Yes",EmployeeData[[#This Row],[LastWorkingDate]]&lt;&gt;""),EmployeeData[[#This Row],[LastWorkingDate]],TODAY()),"Y")</f>
        <v>5</v>
      </c>
      <c r="AA1077" t="str">
        <f>IF(EmployeeData[[#This Row],[MonthlyIncome]]&lt;30000,"Low",IF(EmployeeData[[#This Row],[MonthlyIncome]]&lt;=60000,"Medium",IF(EmployeeData[[#This Row],[MonthlyIncome]]&lt;=100000,"High","Very High")))</f>
        <v>Very High</v>
      </c>
      <c r="AB1077">
        <f>IF(EmployeeData[[#This Row],[Attrition]]="Yes",1,0)</f>
        <v>0</v>
      </c>
      <c r="AC1077" t="str">
        <f ca="1">IF(EmployeeData[[#This Row],[Tenure Years]]&lt;1,"Less than 1 Year",IF(EmployeeData[[#This Row],[Tenure Years]]&lt;=3,"1-3 Years",IF(EmployeeData[[#This Row],[Tenure Years]]&lt;=5,"4-5 Years",IF(EmployeeData[[#This Row],[Tenure Years]]&lt;=10,"6-10 Years","More than 10 Years"))))</f>
        <v>4-5 Years</v>
      </c>
      <c r="AD1077">
        <f>ROUND(AVERAGE(EmployeeData[[#This Row],[JobSatisfaction]],EmployeeData[[#This Row],[EnvironmentSatisfaction]],EmployeeData[[#This Row],[WorkLifeBalance]]),2)</f>
        <v>3.67</v>
      </c>
      <c r="AE1077" t="str">
        <f>IF(EmployeeData[[#This Row],[Satisfaction Score]]&lt;2,"Low",IF(EmployeeData[[#This Row],[Satisfaction Score]]&lt;3,"Medium","High"))</f>
        <v>High</v>
      </c>
    </row>
    <row r="1078" spans="1:31" x14ac:dyDescent="0.25">
      <c r="A1078" t="s">
        <v>4928</v>
      </c>
      <c r="B1078" t="s">
        <v>4929</v>
      </c>
      <c r="C1078" t="s">
        <v>58</v>
      </c>
      <c r="D1078">
        <v>34</v>
      </c>
      <c r="E1078" t="s">
        <v>412</v>
      </c>
      <c r="F1078" t="s">
        <v>828</v>
      </c>
      <c r="G1078" s="1">
        <v>43656</v>
      </c>
      <c r="H1078">
        <v>45711</v>
      </c>
      <c r="I1078" t="s">
        <v>30</v>
      </c>
      <c r="J1078" t="s">
        <v>61</v>
      </c>
      <c r="K1078" t="s">
        <v>131</v>
      </c>
      <c r="L1078" t="s">
        <v>33</v>
      </c>
      <c r="M1078">
        <v>13</v>
      </c>
      <c r="N1078" t="s">
        <v>34</v>
      </c>
      <c r="O1078">
        <v>3</v>
      </c>
      <c r="P1078">
        <v>1</v>
      </c>
      <c r="Q1078">
        <v>3</v>
      </c>
      <c r="R1078">
        <v>3</v>
      </c>
      <c r="S1078">
        <v>6</v>
      </c>
      <c r="T1078">
        <v>1</v>
      </c>
      <c r="U1078">
        <v>16</v>
      </c>
      <c r="V1078" t="s">
        <v>4931</v>
      </c>
      <c r="W1078" t="s">
        <v>34</v>
      </c>
      <c r="Y1078" s="2" t="str">
        <f>IF(EmployeeData[[#This Row],[Age]]&lt;25,"Under 25",IF(EmployeeData[[#This Row],[Age]]&lt;=34,"25-34",IF(EmployeeData[[#This Row],[Age]]&lt;=44,"35-44",IF(EmployeeData[[#This Row],[Age]]&lt;=54,"45-54","55+"))))</f>
        <v>25-34</v>
      </c>
      <c r="Z1078">
        <f ca="1">DATEDIF(EmployeeData[[#This Row],[DateOfJoining]],IF(AND(EmployeeData[[#This Row],[Attrition]]="Yes",EmployeeData[[#This Row],[LastWorkingDate]]&lt;&gt;""),EmployeeData[[#This Row],[LastWorkingDate]],TODAY()),"Y")</f>
        <v>7</v>
      </c>
      <c r="AA1078" t="str">
        <f>IF(EmployeeData[[#This Row],[MonthlyIncome]]&lt;30000,"Low",IF(EmployeeData[[#This Row],[MonthlyIncome]]&lt;=60000,"Medium",IF(EmployeeData[[#This Row],[MonthlyIncome]]&lt;=100000,"High","Very High")))</f>
        <v>Medium</v>
      </c>
      <c r="AB1078">
        <f>IF(EmployeeData[[#This Row],[Attrition]]="Yes",1,0)</f>
        <v>0</v>
      </c>
      <c r="AC1078" t="str">
        <f ca="1">IF(EmployeeData[[#This Row],[Tenure Years]]&lt;1,"Less than 1 Year",IF(EmployeeData[[#This Row],[Tenure Years]]&lt;=3,"1-3 Years",IF(EmployeeData[[#This Row],[Tenure Years]]&lt;=5,"4-5 Years",IF(EmployeeData[[#This Row],[Tenure Years]]&lt;=10,"6-10 Years","More than 10 Years"))))</f>
        <v>6-10 Years</v>
      </c>
      <c r="AD1078">
        <f>ROUND(AVERAGE(EmployeeData[[#This Row],[JobSatisfaction]],EmployeeData[[#This Row],[EnvironmentSatisfaction]],EmployeeData[[#This Row],[WorkLifeBalance]]),2)</f>
        <v>2.33</v>
      </c>
      <c r="AE1078" t="str">
        <f>IF(EmployeeData[[#This Row],[Satisfaction Score]]&lt;2,"Low",IF(EmployeeData[[#This Row],[Satisfaction Score]]&lt;3,"Medium","High"))</f>
        <v>Medium</v>
      </c>
    </row>
    <row r="1079" spans="1:31" x14ac:dyDescent="0.25">
      <c r="A1079" t="s">
        <v>4932</v>
      </c>
      <c r="B1079" t="s">
        <v>4933</v>
      </c>
      <c r="C1079" t="s">
        <v>49</v>
      </c>
      <c r="D1079">
        <v>40</v>
      </c>
      <c r="E1079" t="s">
        <v>27</v>
      </c>
      <c r="F1079" t="s">
        <v>75</v>
      </c>
      <c r="G1079" s="1">
        <v>45037</v>
      </c>
      <c r="H1079">
        <v>68161</v>
      </c>
      <c r="I1079" t="s">
        <v>52</v>
      </c>
      <c r="J1079" t="s">
        <v>31</v>
      </c>
      <c r="K1079" t="s">
        <v>77</v>
      </c>
      <c r="L1079" t="s">
        <v>33</v>
      </c>
      <c r="M1079">
        <v>39</v>
      </c>
      <c r="N1079" t="s">
        <v>34</v>
      </c>
      <c r="O1079">
        <v>1</v>
      </c>
      <c r="P1079">
        <v>1</v>
      </c>
      <c r="Q1079">
        <v>1</v>
      </c>
      <c r="R1079">
        <v>3</v>
      </c>
      <c r="S1079">
        <v>6</v>
      </c>
      <c r="T1079">
        <v>4</v>
      </c>
      <c r="U1079">
        <v>24</v>
      </c>
      <c r="V1079" t="s">
        <v>4935</v>
      </c>
      <c r="W1079" t="s">
        <v>34</v>
      </c>
      <c r="Y1079" s="2" t="str">
        <f>IF(EmployeeData[[#This Row],[Age]]&lt;25,"Under 25",IF(EmployeeData[[#This Row],[Age]]&lt;=34,"25-34",IF(EmployeeData[[#This Row],[Age]]&lt;=44,"35-44",IF(EmployeeData[[#This Row],[Age]]&lt;=54,"45-54","55+"))))</f>
        <v>35-44</v>
      </c>
      <c r="Z1079">
        <f ca="1">DATEDIF(EmployeeData[[#This Row],[DateOfJoining]],IF(AND(EmployeeData[[#This Row],[Attrition]]="Yes",EmployeeData[[#This Row],[LastWorkingDate]]&lt;&gt;""),EmployeeData[[#This Row],[LastWorkingDate]],TODAY()),"Y")</f>
        <v>3</v>
      </c>
      <c r="AA1079" t="str">
        <f>IF(EmployeeData[[#This Row],[MonthlyIncome]]&lt;30000,"Low",IF(EmployeeData[[#This Row],[MonthlyIncome]]&lt;=60000,"Medium",IF(EmployeeData[[#This Row],[MonthlyIncome]]&lt;=100000,"High","Very High")))</f>
        <v>High</v>
      </c>
      <c r="AB1079">
        <f>IF(EmployeeData[[#This Row],[Attrition]]="Yes",1,0)</f>
        <v>0</v>
      </c>
      <c r="AC1079" t="str">
        <f ca="1">IF(EmployeeData[[#This Row],[Tenure Years]]&lt;1,"Less than 1 Year",IF(EmployeeData[[#This Row],[Tenure Years]]&lt;=3,"1-3 Years",IF(EmployeeData[[#This Row],[Tenure Years]]&lt;=5,"4-5 Years",IF(EmployeeData[[#This Row],[Tenure Years]]&lt;=10,"6-10 Years","More than 10 Years"))))</f>
        <v>1-3 Years</v>
      </c>
      <c r="AD1079">
        <f>ROUND(AVERAGE(EmployeeData[[#This Row],[JobSatisfaction]],EmployeeData[[#This Row],[EnvironmentSatisfaction]],EmployeeData[[#This Row],[WorkLifeBalance]]),2)</f>
        <v>1</v>
      </c>
      <c r="AE1079" t="str">
        <f>IF(EmployeeData[[#This Row],[Satisfaction Score]]&lt;2,"Low",IF(EmployeeData[[#This Row],[Satisfaction Score]]&lt;3,"Medium","High"))</f>
        <v>Low</v>
      </c>
    </row>
    <row r="1080" spans="1:31" x14ac:dyDescent="0.25">
      <c r="A1080" t="s">
        <v>4936</v>
      </c>
      <c r="B1080" t="s">
        <v>4937</v>
      </c>
      <c r="C1080" t="s">
        <v>58</v>
      </c>
      <c r="D1080">
        <v>20</v>
      </c>
      <c r="E1080" t="s">
        <v>27</v>
      </c>
      <c r="F1080" t="s">
        <v>188</v>
      </c>
      <c r="G1080" s="1">
        <v>45385</v>
      </c>
      <c r="H1080">
        <v>76479</v>
      </c>
      <c r="I1080" t="s">
        <v>30</v>
      </c>
      <c r="J1080" t="s">
        <v>143</v>
      </c>
      <c r="K1080" t="s">
        <v>83</v>
      </c>
      <c r="L1080" t="s">
        <v>43</v>
      </c>
      <c r="M1080">
        <v>9</v>
      </c>
      <c r="N1080" t="s">
        <v>34</v>
      </c>
      <c r="O1080">
        <v>4</v>
      </c>
      <c r="P1080">
        <v>1</v>
      </c>
      <c r="Q1080">
        <v>3</v>
      </c>
      <c r="R1080">
        <v>3</v>
      </c>
      <c r="S1080">
        <v>4</v>
      </c>
      <c r="T1080">
        <v>6</v>
      </c>
      <c r="U1080">
        <v>12</v>
      </c>
      <c r="V1080" t="s">
        <v>4939</v>
      </c>
      <c r="W1080" t="s">
        <v>34</v>
      </c>
      <c r="Y1080" s="2" t="str">
        <f>IF(EmployeeData[[#This Row],[Age]]&lt;25,"Under 25",IF(EmployeeData[[#This Row],[Age]]&lt;=34,"25-34",IF(EmployeeData[[#This Row],[Age]]&lt;=44,"35-44",IF(EmployeeData[[#This Row],[Age]]&lt;=54,"45-54","55+"))))</f>
        <v>Under 25</v>
      </c>
      <c r="Z1080">
        <f ca="1">DATEDIF(EmployeeData[[#This Row],[DateOfJoining]],IF(AND(EmployeeData[[#This Row],[Attrition]]="Yes",EmployeeData[[#This Row],[LastWorkingDate]]&lt;&gt;""),EmployeeData[[#This Row],[LastWorkingDate]],TODAY()),"Y")</f>
        <v>2</v>
      </c>
      <c r="AA1080" t="str">
        <f>IF(EmployeeData[[#This Row],[MonthlyIncome]]&lt;30000,"Low",IF(EmployeeData[[#This Row],[MonthlyIncome]]&lt;=60000,"Medium",IF(EmployeeData[[#This Row],[MonthlyIncome]]&lt;=100000,"High","Very High")))</f>
        <v>High</v>
      </c>
      <c r="AB1080">
        <f>IF(EmployeeData[[#This Row],[Attrition]]="Yes",1,0)</f>
        <v>0</v>
      </c>
      <c r="AC1080" t="str">
        <f ca="1">IF(EmployeeData[[#This Row],[Tenure Years]]&lt;1,"Less than 1 Year",IF(EmployeeData[[#This Row],[Tenure Years]]&lt;=3,"1-3 Years",IF(EmployeeData[[#This Row],[Tenure Years]]&lt;=5,"4-5 Years",IF(EmployeeData[[#This Row],[Tenure Years]]&lt;=10,"6-10 Years","More than 10 Years"))))</f>
        <v>1-3 Years</v>
      </c>
      <c r="AD1080">
        <f>ROUND(AVERAGE(EmployeeData[[#This Row],[JobSatisfaction]],EmployeeData[[#This Row],[EnvironmentSatisfaction]],EmployeeData[[#This Row],[WorkLifeBalance]]),2)</f>
        <v>2.67</v>
      </c>
      <c r="AE1080" t="str">
        <f>IF(EmployeeData[[#This Row],[Satisfaction Score]]&lt;2,"Low",IF(EmployeeData[[#This Row],[Satisfaction Score]]&lt;3,"Medium","High"))</f>
        <v>Medium</v>
      </c>
    </row>
    <row r="1081" spans="1:31" x14ac:dyDescent="0.25">
      <c r="A1081" t="s">
        <v>4940</v>
      </c>
      <c r="B1081" t="s">
        <v>4941</v>
      </c>
      <c r="C1081" t="s">
        <v>58</v>
      </c>
      <c r="D1081">
        <v>44</v>
      </c>
      <c r="E1081" t="s">
        <v>5461</v>
      </c>
      <c r="F1081" t="s">
        <v>89</v>
      </c>
      <c r="G1081" s="1">
        <v>45535</v>
      </c>
      <c r="H1081">
        <v>62433</v>
      </c>
      <c r="I1081" t="s">
        <v>52</v>
      </c>
      <c r="J1081" t="s">
        <v>61</v>
      </c>
      <c r="K1081" t="s">
        <v>200</v>
      </c>
      <c r="L1081" t="s">
        <v>33</v>
      </c>
      <c r="M1081">
        <v>34</v>
      </c>
      <c r="N1081" t="s">
        <v>34</v>
      </c>
      <c r="O1081">
        <v>2</v>
      </c>
      <c r="P1081">
        <v>4</v>
      </c>
      <c r="Q1081">
        <v>3</v>
      </c>
      <c r="R1081">
        <v>2</v>
      </c>
      <c r="S1081">
        <v>1</v>
      </c>
      <c r="T1081">
        <v>2</v>
      </c>
      <c r="U1081">
        <v>25</v>
      </c>
      <c r="V1081" t="s">
        <v>4943</v>
      </c>
      <c r="W1081" t="s">
        <v>45</v>
      </c>
      <c r="X1081" s="1">
        <v>45612</v>
      </c>
      <c r="Y1081" s="2" t="str">
        <f>IF(EmployeeData[[#This Row],[Age]]&lt;25,"Under 25",IF(EmployeeData[[#This Row],[Age]]&lt;=34,"25-34",IF(EmployeeData[[#This Row],[Age]]&lt;=44,"35-44",IF(EmployeeData[[#This Row],[Age]]&lt;=54,"45-54","55+"))))</f>
        <v>35-44</v>
      </c>
      <c r="Z1081">
        <f ca="1">DATEDIF(EmployeeData[[#This Row],[DateOfJoining]],IF(AND(EmployeeData[[#This Row],[Attrition]]="Yes",EmployeeData[[#This Row],[LastWorkingDate]]&lt;&gt;""),EmployeeData[[#This Row],[LastWorkingDate]],TODAY()),"Y")</f>
        <v>0</v>
      </c>
      <c r="AA1081" t="str">
        <f>IF(EmployeeData[[#This Row],[MonthlyIncome]]&lt;30000,"Low",IF(EmployeeData[[#This Row],[MonthlyIncome]]&lt;=60000,"Medium",IF(EmployeeData[[#This Row],[MonthlyIncome]]&lt;=100000,"High","Very High")))</f>
        <v>High</v>
      </c>
      <c r="AB1081">
        <f>IF(EmployeeData[[#This Row],[Attrition]]="Yes",1,0)</f>
        <v>1</v>
      </c>
      <c r="AC1081" t="str">
        <f ca="1">IF(EmployeeData[[#This Row],[Tenure Years]]&lt;1,"Less than 1 Year",IF(EmployeeData[[#This Row],[Tenure Years]]&lt;=3,"1-3 Years",IF(EmployeeData[[#This Row],[Tenure Years]]&lt;=5,"4-5 Years",IF(EmployeeData[[#This Row],[Tenure Years]]&lt;=10,"6-10 Years","More than 10 Years"))))</f>
        <v>Less than 1 Year</v>
      </c>
      <c r="AD1081">
        <f>ROUND(AVERAGE(EmployeeData[[#This Row],[JobSatisfaction]],EmployeeData[[#This Row],[EnvironmentSatisfaction]],EmployeeData[[#This Row],[WorkLifeBalance]]),2)</f>
        <v>3</v>
      </c>
      <c r="AE1081" t="str">
        <f>IF(EmployeeData[[#This Row],[Satisfaction Score]]&lt;2,"Low",IF(EmployeeData[[#This Row],[Satisfaction Score]]&lt;3,"Medium","High"))</f>
        <v>High</v>
      </c>
    </row>
    <row r="1082" spans="1:31" x14ac:dyDescent="0.25">
      <c r="A1082" t="s">
        <v>4945</v>
      </c>
      <c r="B1082" t="s">
        <v>4946</v>
      </c>
      <c r="C1082" t="s">
        <v>58</v>
      </c>
      <c r="D1082">
        <v>30</v>
      </c>
      <c r="E1082" t="s">
        <v>5461</v>
      </c>
      <c r="F1082" t="s">
        <v>483</v>
      </c>
      <c r="G1082" s="1">
        <v>43178</v>
      </c>
      <c r="H1082">
        <v>110668</v>
      </c>
      <c r="I1082" t="s">
        <v>30</v>
      </c>
      <c r="J1082" t="s">
        <v>31</v>
      </c>
      <c r="K1082" t="s">
        <v>32</v>
      </c>
      <c r="L1082" t="s">
        <v>62</v>
      </c>
      <c r="M1082">
        <v>25</v>
      </c>
      <c r="N1082" t="s">
        <v>45</v>
      </c>
      <c r="O1082">
        <v>3</v>
      </c>
      <c r="P1082">
        <v>2</v>
      </c>
      <c r="Q1082">
        <v>2</v>
      </c>
      <c r="R1082">
        <v>2</v>
      </c>
      <c r="S1082">
        <v>4</v>
      </c>
      <c r="T1082">
        <v>0</v>
      </c>
      <c r="U1082">
        <v>25</v>
      </c>
      <c r="V1082" t="s">
        <v>4948</v>
      </c>
      <c r="W1082" t="s">
        <v>34</v>
      </c>
      <c r="Y1082" s="2" t="str">
        <f>IF(EmployeeData[[#This Row],[Age]]&lt;25,"Under 25",IF(EmployeeData[[#This Row],[Age]]&lt;=34,"25-34",IF(EmployeeData[[#This Row],[Age]]&lt;=44,"35-44",IF(EmployeeData[[#This Row],[Age]]&lt;=54,"45-54","55+"))))</f>
        <v>25-34</v>
      </c>
      <c r="Z1082">
        <f ca="1">DATEDIF(EmployeeData[[#This Row],[DateOfJoining]],IF(AND(EmployeeData[[#This Row],[Attrition]]="Yes",EmployeeData[[#This Row],[LastWorkingDate]]&lt;&gt;""),EmployeeData[[#This Row],[LastWorkingDate]],TODAY()),"Y")</f>
        <v>8</v>
      </c>
      <c r="AA1082" t="str">
        <f>IF(EmployeeData[[#This Row],[MonthlyIncome]]&lt;30000,"Low",IF(EmployeeData[[#This Row],[MonthlyIncome]]&lt;=60000,"Medium",IF(EmployeeData[[#This Row],[MonthlyIncome]]&lt;=100000,"High","Very High")))</f>
        <v>Very High</v>
      </c>
      <c r="AB1082">
        <f>IF(EmployeeData[[#This Row],[Attrition]]="Yes",1,0)</f>
        <v>0</v>
      </c>
      <c r="AC1082" t="str">
        <f ca="1">IF(EmployeeData[[#This Row],[Tenure Years]]&lt;1,"Less than 1 Year",IF(EmployeeData[[#This Row],[Tenure Years]]&lt;=3,"1-3 Years",IF(EmployeeData[[#This Row],[Tenure Years]]&lt;=5,"4-5 Years",IF(EmployeeData[[#This Row],[Tenure Years]]&lt;=10,"6-10 Years","More than 10 Years"))))</f>
        <v>6-10 Years</v>
      </c>
      <c r="AD1082">
        <f>ROUND(AVERAGE(EmployeeData[[#This Row],[JobSatisfaction]],EmployeeData[[#This Row],[EnvironmentSatisfaction]],EmployeeData[[#This Row],[WorkLifeBalance]]),2)</f>
        <v>2.33</v>
      </c>
      <c r="AE1082" t="str">
        <f>IF(EmployeeData[[#This Row],[Satisfaction Score]]&lt;2,"Low",IF(EmployeeData[[#This Row],[Satisfaction Score]]&lt;3,"Medium","High"))</f>
        <v>Medium</v>
      </c>
    </row>
    <row r="1083" spans="1:31" x14ac:dyDescent="0.25">
      <c r="A1083" t="s">
        <v>4949</v>
      </c>
      <c r="B1083" t="s">
        <v>4950</v>
      </c>
      <c r="C1083" t="s">
        <v>58</v>
      </c>
      <c r="D1083">
        <v>44</v>
      </c>
      <c r="E1083" t="s">
        <v>38</v>
      </c>
      <c r="F1083" t="s">
        <v>5462</v>
      </c>
      <c r="G1083" s="1">
        <v>40836</v>
      </c>
      <c r="H1083">
        <v>43176</v>
      </c>
      <c r="I1083" t="s">
        <v>52</v>
      </c>
      <c r="J1083" t="s">
        <v>61</v>
      </c>
      <c r="K1083" t="s">
        <v>98</v>
      </c>
      <c r="L1083" t="s">
        <v>33</v>
      </c>
      <c r="M1083">
        <v>36</v>
      </c>
      <c r="N1083" t="s">
        <v>34</v>
      </c>
      <c r="O1083">
        <v>4</v>
      </c>
      <c r="P1083">
        <v>4</v>
      </c>
      <c r="Q1083">
        <v>3</v>
      </c>
      <c r="R1083">
        <v>3</v>
      </c>
      <c r="S1083">
        <v>1</v>
      </c>
      <c r="T1083">
        <v>5</v>
      </c>
      <c r="U1083">
        <v>21</v>
      </c>
      <c r="V1083" t="s">
        <v>4953</v>
      </c>
      <c r="W1083" t="s">
        <v>34</v>
      </c>
      <c r="Y1083" s="2" t="str">
        <f>IF(EmployeeData[[#This Row],[Age]]&lt;25,"Under 25",IF(EmployeeData[[#This Row],[Age]]&lt;=34,"25-34",IF(EmployeeData[[#This Row],[Age]]&lt;=44,"35-44",IF(EmployeeData[[#This Row],[Age]]&lt;=54,"45-54","55+"))))</f>
        <v>35-44</v>
      </c>
      <c r="Z1083">
        <f ca="1">DATEDIF(EmployeeData[[#This Row],[DateOfJoining]],IF(AND(EmployeeData[[#This Row],[Attrition]]="Yes",EmployeeData[[#This Row],[LastWorkingDate]]&lt;&gt;""),EmployeeData[[#This Row],[LastWorkingDate]],TODAY()),"Y")</f>
        <v>14</v>
      </c>
      <c r="AA1083" t="str">
        <f>IF(EmployeeData[[#This Row],[MonthlyIncome]]&lt;30000,"Low",IF(EmployeeData[[#This Row],[MonthlyIncome]]&lt;=60000,"Medium",IF(EmployeeData[[#This Row],[MonthlyIncome]]&lt;=100000,"High","Very High")))</f>
        <v>Medium</v>
      </c>
      <c r="AB1083">
        <f>IF(EmployeeData[[#This Row],[Attrition]]="Yes",1,0)</f>
        <v>0</v>
      </c>
      <c r="AC1083" t="str">
        <f ca="1">IF(EmployeeData[[#This Row],[Tenure Years]]&lt;1,"Less than 1 Year",IF(EmployeeData[[#This Row],[Tenure Years]]&lt;=3,"1-3 Years",IF(EmployeeData[[#This Row],[Tenure Years]]&lt;=5,"4-5 Years",IF(EmployeeData[[#This Row],[Tenure Years]]&lt;=10,"6-10 Years","More than 10 Years"))))</f>
        <v>More than 10 Years</v>
      </c>
      <c r="AD1083">
        <f>ROUND(AVERAGE(EmployeeData[[#This Row],[JobSatisfaction]],EmployeeData[[#This Row],[EnvironmentSatisfaction]],EmployeeData[[#This Row],[WorkLifeBalance]]),2)</f>
        <v>3.67</v>
      </c>
      <c r="AE1083" t="str">
        <f>IF(EmployeeData[[#This Row],[Satisfaction Score]]&lt;2,"Low",IF(EmployeeData[[#This Row],[Satisfaction Score]]&lt;3,"Medium","High"))</f>
        <v>High</v>
      </c>
    </row>
    <row r="1084" spans="1:31" x14ac:dyDescent="0.25">
      <c r="A1084" t="s">
        <v>4954</v>
      </c>
      <c r="B1084" t="s">
        <v>4955</v>
      </c>
      <c r="C1084" t="s">
        <v>49</v>
      </c>
      <c r="D1084">
        <v>40</v>
      </c>
      <c r="E1084" t="s">
        <v>27</v>
      </c>
      <c r="F1084" t="s">
        <v>59</v>
      </c>
      <c r="G1084" s="1">
        <v>44366</v>
      </c>
      <c r="H1084">
        <v>60540</v>
      </c>
      <c r="I1084" t="s">
        <v>52</v>
      </c>
      <c r="J1084" t="s">
        <v>31</v>
      </c>
      <c r="K1084" t="s">
        <v>54</v>
      </c>
      <c r="L1084" t="s">
        <v>43</v>
      </c>
      <c r="M1084">
        <v>14</v>
      </c>
      <c r="N1084" t="s">
        <v>45</v>
      </c>
      <c r="O1084">
        <v>1</v>
      </c>
      <c r="P1084">
        <v>2</v>
      </c>
      <c r="Q1084">
        <v>1</v>
      </c>
      <c r="R1084">
        <v>3</v>
      </c>
      <c r="S1084">
        <v>1</v>
      </c>
      <c r="T1084">
        <v>0</v>
      </c>
      <c r="U1084">
        <v>14</v>
      </c>
      <c r="V1084" t="s">
        <v>4957</v>
      </c>
      <c r="W1084" t="s">
        <v>45</v>
      </c>
      <c r="X1084" s="1">
        <v>45725</v>
      </c>
      <c r="Y1084" s="2" t="str">
        <f>IF(EmployeeData[[#This Row],[Age]]&lt;25,"Under 25",IF(EmployeeData[[#This Row],[Age]]&lt;=34,"25-34",IF(EmployeeData[[#This Row],[Age]]&lt;=44,"35-44",IF(EmployeeData[[#This Row],[Age]]&lt;=54,"45-54","55+"))))</f>
        <v>35-44</v>
      </c>
      <c r="Z1084">
        <f ca="1">DATEDIF(EmployeeData[[#This Row],[DateOfJoining]],IF(AND(EmployeeData[[#This Row],[Attrition]]="Yes",EmployeeData[[#This Row],[LastWorkingDate]]&lt;&gt;""),EmployeeData[[#This Row],[LastWorkingDate]],TODAY()),"Y")</f>
        <v>3</v>
      </c>
      <c r="AA1084" t="str">
        <f>IF(EmployeeData[[#This Row],[MonthlyIncome]]&lt;30000,"Low",IF(EmployeeData[[#This Row],[MonthlyIncome]]&lt;=60000,"Medium",IF(EmployeeData[[#This Row],[MonthlyIncome]]&lt;=100000,"High","Very High")))</f>
        <v>High</v>
      </c>
      <c r="AB1084">
        <f>IF(EmployeeData[[#This Row],[Attrition]]="Yes",1,0)</f>
        <v>1</v>
      </c>
      <c r="AC1084" t="str">
        <f ca="1">IF(EmployeeData[[#This Row],[Tenure Years]]&lt;1,"Less than 1 Year",IF(EmployeeData[[#This Row],[Tenure Years]]&lt;=3,"1-3 Years",IF(EmployeeData[[#This Row],[Tenure Years]]&lt;=5,"4-5 Years",IF(EmployeeData[[#This Row],[Tenure Years]]&lt;=10,"6-10 Years","More than 10 Years"))))</f>
        <v>1-3 Years</v>
      </c>
      <c r="AD1084">
        <f>ROUND(AVERAGE(EmployeeData[[#This Row],[JobSatisfaction]],EmployeeData[[#This Row],[EnvironmentSatisfaction]],EmployeeData[[#This Row],[WorkLifeBalance]]),2)</f>
        <v>1.33</v>
      </c>
      <c r="AE1084" t="str">
        <f>IF(EmployeeData[[#This Row],[Satisfaction Score]]&lt;2,"Low",IF(EmployeeData[[#This Row],[Satisfaction Score]]&lt;3,"Medium","High"))</f>
        <v>Low</v>
      </c>
    </row>
    <row r="1085" spans="1:31" x14ac:dyDescent="0.25">
      <c r="A1085" t="s">
        <v>4959</v>
      </c>
      <c r="B1085" t="s">
        <v>4960</v>
      </c>
      <c r="C1085" t="s">
        <v>49</v>
      </c>
      <c r="D1085">
        <v>32</v>
      </c>
      <c r="E1085" t="s">
        <v>27</v>
      </c>
      <c r="F1085" t="s">
        <v>75</v>
      </c>
      <c r="G1085" s="1">
        <v>42328</v>
      </c>
      <c r="H1085">
        <v>85534</v>
      </c>
      <c r="I1085" t="s">
        <v>52</v>
      </c>
      <c r="J1085" t="s">
        <v>31</v>
      </c>
      <c r="K1085" t="s">
        <v>167</v>
      </c>
      <c r="L1085" t="s">
        <v>62</v>
      </c>
      <c r="M1085">
        <v>10</v>
      </c>
      <c r="N1085" t="s">
        <v>34</v>
      </c>
      <c r="O1085">
        <v>4</v>
      </c>
      <c r="P1085">
        <v>3</v>
      </c>
      <c r="Q1085">
        <v>4</v>
      </c>
      <c r="R1085">
        <v>1</v>
      </c>
      <c r="S1085">
        <v>3</v>
      </c>
      <c r="T1085">
        <v>5</v>
      </c>
      <c r="U1085">
        <v>22</v>
      </c>
      <c r="V1085" t="s">
        <v>4963</v>
      </c>
      <c r="W1085" t="s">
        <v>34</v>
      </c>
      <c r="Y1085" s="2" t="str">
        <f>IF(EmployeeData[[#This Row],[Age]]&lt;25,"Under 25",IF(EmployeeData[[#This Row],[Age]]&lt;=34,"25-34",IF(EmployeeData[[#This Row],[Age]]&lt;=44,"35-44",IF(EmployeeData[[#This Row],[Age]]&lt;=54,"45-54","55+"))))</f>
        <v>25-34</v>
      </c>
      <c r="Z1085">
        <f ca="1">DATEDIF(EmployeeData[[#This Row],[DateOfJoining]],IF(AND(EmployeeData[[#This Row],[Attrition]]="Yes",EmployeeData[[#This Row],[LastWorkingDate]]&lt;&gt;""),EmployeeData[[#This Row],[LastWorkingDate]],TODAY()),"Y")</f>
        <v>10</v>
      </c>
      <c r="AA1085" t="str">
        <f>IF(EmployeeData[[#This Row],[MonthlyIncome]]&lt;30000,"Low",IF(EmployeeData[[#This Row],[MonthlyIncome]]&lt;=60000,"Medium",IF(EmployeeData[[#This Row],[MonthlyIncome]]&lt;=100000,"High","Very High")))</f>
        <v>High</v>
      </c>
      <c r="AB1085">
        <f>IF(EmployeeData[[#This Row],[Attrition]]="Yes",1,0)</f>
        <v>0</v>
      </c>
      <c r="AC1085" t="str">
        <f ca="1">IF(EmployeeData[[#This Row],[Tenure Years]]&lt;1,"Less than 1 Year",IF(EmployeeData[[#This Row],[Tenure Years]]&lt;=3,"1-3 Years",IF(EmployeeData[[#This Row],[Tenure Years]]&lt;=5,"4-5 Years",IF(EmployeeData[[#This Row],[Tenure Years]]&lt;=10,"6-10 Years","More than 10 Years"))))</f>
        <v>6-10 Years</v>
      </c>
      <c r="AD1085">
        <f>ROUND(AVERAGE(EmployeeData[[#This Row],[JobSatisfaction]],EmployeeData[[#This Row],[EnvironmentSatisfaction]],EmployeeData[[#This Row],[WorkLifeBalance]]),2)</f>
        <v>3.67</v>
      </c>
      <c r="AE1085" t="str">
        <f>IF(EmployeeData[[#This Row],[Satisfaction Score]]&lt;2,"Low",IF(EmployeeData[[#This Row],[Satisfaction Score]]&lt;3,"Medium","High"))</f>
        <v>High</v>
      </c>
    </row>
    <row r="1086" spans="1:31" x14ac:dyDescent="0.25">
      <c r="A1086" t="s">
        <v>4964</v>
      </c>
      <c r="B1086" t="s">
        <v>4965</v>
      </c>
      <c r="C1086" t="s">
        <v>49</v>
      </c>
      <c r="D1086">
        <v>47</v>
      </c>
      <c r="E1086" t="s">
        <v>5459</v>
      </c>
      <c r="F1086" t="s">
        <v>50</v>
      </c>
      <c r="G1086" s="1">
        <v>41304</v>
      </c>
      <c r="H1086">
        <v>127856</v>
      </c>
      <c r="I1086" t="s">
        <v>30</v>
      </c>
      <c r="J1086" t="s">
        <v>61</v>
      </c>
      <c r="K1086" t="s">
        <v>77</v>
      </c>
      <c r="L1086" t="s">
        <v>43</v>
      </c>
      <c r="M1086">
        <v>2</v>
      </c>
      <c r="N1086" t="s">
        <v>34</v>
      </c>
      <c r="O1086">
        <v>2</v>
      </c>
      <c r="P1086">
        <v>3</v>
      </c>
      <c r="Q1086">
        <v>1</v>
      </c>
      <c r="R1086">
        <v>3</v>
      </c>
      <c r="S1086">
        <v>0</v>
      </c>
      <c r="T1086">
        <v>6</v>
      </c>
      <c r="U1086">
        <v>17</v>
      </c>
      <c r="V1086" t="s">
        <v>4968</v>
      </c>
      <c r="W1086" t="s">
        <v>34</v>
      </c>
      <c r="Y1086" s="2" t="str">
        <f>IF(EmployeeData[[#This Row],[Age]]&lt;25,"Under 25",IF(EmployeeData[[#This Row],[Age]]&lt;=34,"25-34",IF(EmployeeData[[#This Row],[Age]]&lt;=44,"35-44",IF(EmployeeData[[#This Row],[Age]]&lt;=54,"45-54","55+"))))</f>
        <v>45-54</v>
      </c>
      <c r="Z1086">
        <f ca="1">DATEDIF(EmployeeData[[#This Row],[DateOfJoining]],IF(AND(EmployeeData[[#This Row],[Attrition]]="Yes",EmployeeData[[#This Row],[LastWorkingDate]]&lt;&gt;""),EmployeeData[[#This Row],[LastWorkingDate]],TODAY()),"Y")</f>
        <v>13</v>
      </c>
      <c r="AA1086" t="str">
        <f>IF(EmployeeData[[#This Row],[MonthlyIncome]]&lt;30000,"Low",IF(EmployeeData[[#This Row],[MonthlyIncome]]&lt;=60000,"Medium",IF(EmployeeData[[#This Row],[MonthlyIncome]]&lt;=100000,"High","Very High")))</f>
        <v>Very High</v>
      </c>
      <c r="AB1086">
        <f>IF(EmployeeData[[#This Row],[Attrition]]="Yes",1,0)</f>
        <v>0</v>
      </c>
      <c r="AC1086" t="str">
        <f ca="1">IF(EmployeeData[[#This Row],[Tenure Years]]&lt;1,"Less than 1 Year",IF(EmployeeData[[#This Row],[Tenure Years]]&lt;=3,"1-3 Years",IF(EmployeeData[[#This Row],[Tenure Years]]&lt;=5,"4-5 Years",IF(EmployeeData[[#This Row],[Tenure Years]]&lt;=10,"6-10 Years","More than 10 Years"))))</f>
        <v>More than 10 Years</v>
      </c>
      <c r="AD1086">
        <f>ROUND(AVERAGE(EmployeeData[[#This Row],[JobSatisfaction]],EmployeeData[[#This Row],[EnvironmentSatisfaction]],EmployeeData[[#This Row],[WorkLifeBalance]]),2)</f>
        <v>2</v>
      </c>
      <c r="AE1086" t="str">
        <f>IF(EmployeeData[[#This Row],[Satisfaction Score]]&lt;2,"Low",IF(EmployeeData[[#This Row],[Satisfaction Score]]&lt;3,"Medium","High"))</f>
        <v>Medium</v>
      </c>
    </row>
    <row r="1087" spans="1:31" x14ac:dyDescent="0.25">
      <c r="A1087" t="s">
        <v>4969</v>
      </c>
      <c r="B1087" t="s">
        <v>4970</v>
      </c>
      <c r="C1087" t="s">
        <v>58</v>
      </c>
      <c r="D1087">
        <v>50</v>
      </c>
      <c r="E1087" t="s">
        <v>94</v>
      </c>
      <c r="F1087" t="s">
        <v>356</v>
      </c>
      <c r="G1087" s="1">
        <v>44948</v>
      </c>
      <c r="H1087">
        <v>79434</v>
      </c>
      <c r="I1087" t="s">
        <v>42</v>
      </c>
      <c r="J1087" t="s">
        <v>31</v>
      </c>
      <c r="K1087" t="s">
        <v>32</v>
      </c>
      <c r="L1087" t="s">
        <v>62</v>
      </c>
      <c r="M1087">
        <v>39</v>
      </c>
      <c r="N1087" t="s">
        <v>45</v>
      </c>
      <c r="O1087">
        <v>2</v>
      </c>
      <c r="P1087">
        <v>2</v>
      </c>
      <c r="Q1087">
        <v>2</v>
      </c>
      <c r="R1087">
        <v>2</v>
      </c>
      <c r="S1087">
        <v>5</v>
      </c>
      <c r="T1087">
        <v>6</v>
      </c>
      <c r="U1087">
        <v>12</v>
      </c>
      <c r="V1087" t="s">
        <v>4972</v>
      </c>
      <c r="W1087" t="s">
        <v>45</v>
      </c>
      <c r="X1087" s="1">
        <v>45429</v>
      </c>
      <c r="Y1087" s="2" t="str">
        <f>IF(EmployeeData[[#This Row],[Age]]&lt;25,"Under 25",IF(EmployeeData[[#This Row],[Age]]&lt;=34,"25-34",IF(EmployeeData[[#This Row],[Age]]&lt;=44,"35-44",IF(EmployeeData[[#This Row],[Age]]&lt;=54,"45-54","55+"))))</f>
        <v>45-54</v>
      </c>
      <c r="Z1087">
        <f ca="1">DATEDIF(EmployeeData[[#This Row],[DateOfJoining]],IF(AND(EmployeeData[[#This Row],[Attrition]]="Yes",EmployeeData[[#This Row],[LastWorkingDate]]&lt;&gt;""),EmployeeData[[#This Row],[LastWorkingDate]],TODAY()),"Y")</f>
        <v>1</v>
      </c>
      <c r="AA1087" t="str">
        <f>IF(EmployeeData[[#This Row],[MonthlyIncome]]&lt;30000,"Low",IF(EmployeeData[[#This Row],[MonthlyIncome]]&lt;=60000,"Medium",IF(EmployeeData[[#This Row],[MonthlyIncome]]&lt;=100000,"High","Very High")))</f>
        <v>High</v>
      </c>
      <c r="AB1087">
        <f>IF(EmployeeData[[#This Row],[Attrition]]="Yes",1,0)</f>
        <v>1</v>
      </c>
      <c r="AC1087" t="str">
        <f ca="1">IF(EmployeeData[[#This Row],[Tenure Years]]&lt;1,"Less than 1 Year",IF(EmployeeData[[#This Row],[Tenure Years]]&lt;=3,"1-3 Years",IF(EmployeeData[[#This Row],[Tenure Years]]&lt;=5,"4-5 Years",IF(EmployeeData[[#This Row],[Tenure Years]]&lt;=10,"6-10 Years","More than 10 Years"))))</f>
        <v>1-3 Years</v>
      </c>
      <c r="AD1087">
        <f>ROUND(AVERAGE(EmployeeData[[#This Row],[JobSatisfaction]],EmployeeData[[#This Row],[EnvironmentSatisfaction]],EmployeeData[[#This Row],[WorkLifeBalance]]),2)</f>
        <v>2</v>
      </c>
      <c r="AE1087" t="str">
        <f>IF(EmployeeData[[#This Row],[Satisfaction Score]]&lt;2,"Low",IF(EmployeeData[[#This Row],[Satisfaction Score]]&lt;3,"Medium","High"))</f>
        <v>Medium</v>
      </c>
    </row>
    <row r="1088" spans="1:31" x14ac:dyDescent="0.25">
      <c r="A1088" t="s">
        <v>4974</v>
      </c>
      <c r="B1088" t="s">
        <v>4975</v>
      </c>
      <c r="C1088" t="s">
        <v>49</v>
      </c>
      <c r="D1088">
        <v>38</v>
      </c>
      <c r="E1088" t="s">
        <v>38</v>
      </c>
      <c r="F1088" t="s">
        <v>5465</v>
      </c>
      <c r="G1088" s="1">
        <v>43251</v>
      </c>
      <c r="H1088">
        <v>39917</v>
      </c>
      <c r="I1088" t="s">
        <v>52</v>
      </c>
      <c r="J1088" t="s">
        <v>97</v>
      </c>
      <c r="K1088" t="s">
        <v>113</v>
      </c>
      <c r="L1088" t="s">
        <v>33</v>
      </c>
      <c r="M1088">
        <v>21</v>
      </c>
      <c r="N1088" t="s">
        <v>34</v>
      </c>
      <c r="O1088">
        <v>1</v>
      </c>
      <c r="P1088">
        <v>4</v>
      </c>
      <c r="Q1088">
        <v>3</v>
      </c>
      <c r="R1088">
        <v>5</v>
      </c>
      <c r="S1088">
        <v>6</v>
      </c>
      <c r="T1088">
        <v>8</v>
      </c>
      <c r="U1088">
        <v>16</v>
      </c>
      <c r="V1088" t="s">
        <v>4977</v>
      </c>
      <c r="W1088" t="s">
        <v>34</v>
      </c>
      <c r="Y1088" s="2" t="str">
        <f>IF(EmployeeData[[#This Row],[Age]]&lt;25,"Under 25",IF(EmployeeData[[#This Row],[Age]]&lt;=34,"25-34",IF(EmployeeData[[#This Row],[Age]]&lt;=44,"35-44",IF(EmployeeData[[#This Row],[Age]]&lt;=54,"45-54","55+"))))</f>
        <v>35-44</v>
      </c>
      <c r="Z1088">
        <f ca="1">DATEDIF(EmployeeData[[#This Row],[DateOfJoining]],IF(AND(EmployeeData[[#This Row],[Attrition]]="Yes",EmployeeData[[#This Row],[LastWorkingDate]]&lt;&gt;""),EmployeeData[[#This Row],[LastWorkingDate]],TODAY()),"Y")</f>
        <v>8</v>
      </c>
      <c r="AA1088" t="str">
        <f>IF(EmployeeData[[#This Row],[MonthlyIncome]]&lt;30000,"Low",IF(EmployeeData[[#This Row],[MonthlyIncome]]&lt;=60000,"Medium",IF(EmployeeData[[#This Row],[MonthlyIncome]]&lt;=100000,"High","Very High")))</f>
        <v>Medium</v>
      </c>
      <c r="AB1088">
        <f>IF(EmployeeData[[#This Row],[Attrition]]="Yes",1,0)</f>
        <v>0</v>
      </c>
      <c r="AC1088" t="str">
        <f ca="1">IF(EmployeeData[[#This Row],[Tenure Years]]&lt;1,"Less than 1 Year",IF(EmployeeData[[#This Row],[Tenure Years]]&lt;=3,"1-3 Years",IF(EmployeeData[[#This Row],[Tenure Years]]&lt;=5,"4-5 Years",IF(EmployeeData[[#This Row],[Tenure Years]]&lt;=10,"6-10 Years","More than 10 Years"))))</f>
        <v>6-10 Years</v>
      </c>
      <c r="AD1088">
        <f>ROUND(AVERAGE(EmployeeData[[#This Row],[JobSatisfaction]],EmployeeData[[#This Row],[EnvironmentSatisfaction]],EmployeeData[[#This Row],[WorkLifeBalance]]),2)</f>
        <v>2.67</v>
      </c>
      <c r="AE1088" t="str">
        <f>IF(EmployeeData[[#This Row],[Satisfaction Score]]&lt;2,"Low",IF(EmployeeData[[#This Row],[Satisfaction Score]]&lt;3,"Medium","High"))</f>
        <v>Medium</v>
      </c>
    </row>
    <row r="1089" spans="1:31" x14ac:dyDescent="0.25">
      <c r="A1089" t="s">
        <v>4978</v>
      </c>
      <c r="B1089" t="s">
        <v>4979</v>
      </c>
      <c r="C1089" t="s">
        <v>49</v>
      </c>
      <c r="D1089">
        <v>39</v>
      </c>
      <c r="E1089" t="s">
        <v>5461</v>
      </c>
      <c r="F1089" t="s">
        <v>5459</v>
      </c>
      <c r="G1089" s="1">
        <v>46179</v>
      </c>
      <c r="H1089">
        <v>68178</v>
      </c>
      <c r="I1089" t="s">
        <v>5459</v>
      </c>
      <c r="J1089" t="s">
        <v>61</v>
      </c>
      <c r="K1089" t="s">
        <v>54</v>
      </c>
      <c r="L1089" t="s">
        <v>33</v>
      </c>
      <c r="M1089">
        <v>42</v>
      </c>
      <c r="N1089" t="s">
        <v>45</v>
      </c>
      <c r="O1089">
        <v>3</v>
      </c>
      <c r="P1089">
        <v>2</v>
      </c>
      <c r="Q1089">
        <v>3</v>
      </c>
      <c r="R1089">
        <v>3</v>
      </c>
      <c r="S1089">
        <v>2</v>
      </c>
      <c r="T1089">
        <v>0</v>
      </c>
      <c r="U1089">
        <v>25</v>
      </c>
      <c r="V1089" t="s">
        <v>960</v>
      </c>
      <c r="W1089" t="s">
        <v>45</v>
      </c>
      <c r="X1089" s="1">
        <v>46187</v>
      </c>
      <c r="Y1089" s="2" t="str">
        <f>IF(EmployeeData[[#This Row],[Age]]&lt;25,"Under 25",IF(EmployeeData[[#This Row],[Age]]&lt;=34,"25-34",IF(EmployeeData[[#This Row],[Age]]&lt;=44,"35-44",IF(EmployeeData[[#This Row],[Age]]&lt;=54,"45-54","55+"))))</f>
        <v>35-44</v>
      </c>
      <c r="Z1089">
        <f ca="1">DATEDIF(EmployeeData[[#This Row],[DateOfJoining]],IF(AND(EmployeeData[[#This Row],[Attrition]]="Yes",EmployeeData[[#This Row],[LastWorkingDate]]&lt;&gt;""),EmployeeData[[#This Row],[LastWorkingDate]],TODAY()),"Y")</f>
        <v>0</v>
      </c>
      <c r="AA1089" t="str">
        <f>IF(EmployeeData[[#This Row],[MonthlyIncome]]&lt;30000,"Low",IF(EmployeeData[[#This Row],[MonthlyIncome]]&lt;=60000,"Medium",IF(EmployeeData[[#This Row],[MonthlyIncome]]&lt;=100000,"High","Very High")))</f>
        <v>High</v>
      </c>
      <c r="AB1089">
        <f>IF(EmployeeData[[#This Row],[Attrition]]="Yes",1,0)</f>
        <v>1</v>
      </c>
      <c r="AC1089" t="str">
        <f ca="1">IF(EmployeeData[[#This Row],[Tenure Years]]&lt;1,"Less than 1 Year",IF(EmployeeData[[#This Row],[Tenure Years]]&lt;=3,"1-3 Years",IF(EmployeeData[[#This Row],[Tenure Years]]&lt;=5,"4-5 Years",IF(EmployeeData[[#This Row],[Tenure Years]]&lt;=10,"6-10 Years","More than 10 Years"))))</f>
        <v>Less than 1 Year</v>
      </c>
      <c r="AD1089">
        <f>ROUND(AVERAGE(EmployeeData[[#This Row],[JobSatisfaction]],EmployeeData[[#This Row],[EnvironmentSatisfaction]],EmployeeData[[#This Row],[WorkLifeBalance]]),2)</f>
        <v>2.67</v>
      </c>
      <c r="AE1089" t="str">
        <f>IF(EmployeeData[[#This Row],[Satisfaction Score]]&lt;2,"Low",IF(EmployeeData[[#This Row],[Satisfaction Score]]&lt;3,"Medium","High"))</f>
        <v>Medium</v>
      </c>
    </row>
    <row r="1090" spans="1:31" x14ac:dyDescent="0.25">
      <c r="A1090" t="s">
        <v>4982</v>
      </c>
      <c r="B1090" t="s">
        <v>4983</v>
      </c>
      <c r="C1090" t="s">
        <v>49</v>
      </c>
      <c r="D1090">
        <v>38</v>
      </c>
      <c r="E1090" t="s">
        <v>27</v>
      </c>
      <c r="F1090" t="s">
        <v>188</v>
      </c>
      <c r="G1090" s="1">
        <v>44495</v>
      </c>
      <c r="H1090">
        <v>51503</v>
      </c>
      <c r="I1090" t="s">
        <v>30</v>
      </c>
      <c r="J1090" t="s">
        <v>143</v>
      </c>
      <c r="K1090" t="s">
        <v>54</v>
      </c>
      <c r="L1090" t="s">
        <v>62</v>
      </c>
      <c r="M1090">
        <v>38</v>
      </c>
      <c r="N1090" t="s">
        <v>34</v>
      </c>
      <c r="O1090">
        <v>3</v>
      </c>
      <c r="P1090">
        <v>3</v>
      </c>
      <c r="Q1090">
        <v>2</v>
      </c>
      <c r="R1090">
        <v>3</v>
      </c>
      <c r="S1090">
        <v>5</v>
      </c>
      <c r="T1090">
        <v>1</v>
      </c>
      <c r="U1090">
        <v>11</v>
      </c>
      <c r="V1090" t="s">
        <v>4985</v>
      </c>
      <c r="W1090" t="s">
        <v>34</v>
      </c>
      <c r="Y1090" s="2" t="str">
        <f>IF(EmployeeData[[#This Row],[Age]]&lt;25,"Under 25",IF(EmployeeData[[#This Row],[Age]]&lt;=34,"25-34",IF(EmployeeData[[#This Row],[Age]]&lt;=44,"35-44",IF(EmployeeData[[#This Row],[Age]]&lt;=54,"45-54","55+"))))</f>
        <v>35-44</v>
      </c>
      <c r="Z1090">
        <f ca="1">DATEDIF(EmployeeData[[#This Row],[DateOfJoining]],IF(AND(EmployeeData[[#This Row],[Attrition]]="Yes",EmployeeData[[#This Row],[LastWorkingDate]]&lt;&gt;""),EmployeeData[[#This Row],[LastWorkingDate]],TODAY()),"Y")</f>
        <v>4</v>
      </c>
      <c r="AA1090" t="str">
        <f>IF(EmployeeData[[#This Row],[MonthlyIncome]]&lt;30000,"Low",IF(EmployeeData[[#This Row],[MonthlyIncome]]&lt;=60000,"Medium",IF(EmployeeData[[#This Row],[MonthlyIncome]]&lt;=100000,"High","Very High")))</f>
        <v>Medium</v>
      </c>
      <c r="AB1090">
        <f>IF(EmployeeData[[#This Row],[Attrition]]="Yes",1,0)</f>
        <v>0</v>
      </c>
      <c r="AC1090" t="str">
        <f ca="1">IF(EmployeeData[[#This Row],[Tenure Years]]&lt;1,"Less than 1 Year",IF(EmployeeData[[#This Row],[Tenure Years]]&lt;=3,"1-3 Years",IF(EmployeeData[[#This Row],[Tenure Years]]&lt;=5,"4-5 Years",IF(EmployeeData[[#This Row],[Tenure Years]]&lt;=10,"6-10 Years","More than 10 Years"))))</f>
        <v>4-5 Years</v>
      </c>
      <c r="AD1090">
        <f>ROUND(AVERAGE(EmployeeData[[#This Row],[JobSatisfaction]],EmployeeData[[#This Row],[EnvironmentSatisfaction]],EmployeeData[[#This Row],[WorkLifeBalance]]),2)</f>
        <v>2.67</v>
      </c>
      <c r="AE1090" t="str">
        <f>IF(EmployeeData[[#This Row],[Satisfaction Score]]&lt;2,"Low",IF(EmployeeData[[#This Row],[Satisfaction Score]]&lt;3,"Medium","High"))</f>
        <v>Medium</v>
      </c>
    </row>
    <row r="1091" spans="1:31" x14ac:dyDescent="0.25">
      <c r="A1091" t="s">
        <v>4986</v>
      </c>
      <c r="B1091" t="s">
        <v>4987</v>
      </c>
      <c r="C1091" t="s">
        <v>5459</v>
      </c>
      <c r="D1091">
        <v>24</v>
      </c>
      <c r="E1091" t="s">
        <v>38</v>
      </c>
      <c r="F1091" t="s">
        <v>792</v>
      </c>
      <c r="G1091" s="1">
        <v>42045</v>
      </c>
      <c r="H1091">
        <v>56934</v>
      </c>
      <c r="I1091" t="s">
        <v>52</v>
      </c>
      <c r="J1091" t="s">
        <v>61</v>
      </c>
      <c r="K1091" t="s">
        <v>167</v>
      </c>
      <c r="L1091" t="s">
        <v>33</v>
      </c>
      <c r="M1091">
        <v>2</v>
      </c>
      <c r="N1091" t="s">
        <v>34</v>
      </c>
      <c r="O1091">
        <v>4</v>
      </c>
      <c r="P1091">
        <v>3</v>
      </c>
      <c r="Q1091">
        <v>4</v>
      </c>
      <c r="R1091">
        <v>4</v>
      </c>
      <c r="S1091">
        <v>3</v>
      </c>
      <c r="T1091">
        <v>4</v>
      </c>
      <c r="U1091">
        <v>20</v>
      </c>
      <c r="V1091" t="s">
        <v>4989</v>
      </c>
      <c r="W1091" t="s">
        <v>34</v>
      </c>
      <c r="Y1091" s="2" t="str">
        <f>IF(EmployeeData[[#This Row],[Age]]&lt;25,"Under 25",IF(EmployeeData[[#This Row],[Age]]&lt;=34,"25-34",IF(EmployeeData[[#This Row],[Age]]&lt;=44,"35-44",IF(EmployeeData[[#This Row],[Age]]&lt;=54,"45-54","55+"))))</f>
        <v>Under 25</v>
      </c>
      <c r="Z1091">
        <f ca="1">DATEDIF(EmployeeData[[#This Row],[DateOfJoining]],IF(AND(EmployeeData[[#This Row],[Attrition]]="Yes",EmployeeData[[#This Row],[LastWorkingDate]]&lt;&gt;""),EmployeeData[[#This Row],[LastWorkingDate]],TODAY()),"Y")</f>
        <v>11</v>
      </c>
      <c r="AA1091" t="str">
        <f>IF(EmployeeData[[#This Row],[MonthlyIncome]]&lt;30000,"Low",IF(EmployeeData[[#This Row],[MonthlyIncome]]&lt;=60000,"Medium",IF(EmployeeData[[#This Row],[MonthlyIncome]]&lt;=100000,"High","Very High")))</f>
        <v>Medium</v>
      </c>
      <c r="AB1091">
        <f>IF(EmployeeData[[#This Row],[Attrition]]="Yes",1,0)</f>
        <v>0</v>
      </c>
      <c r="AC1091" t="str">
        <f ca="1">IF(EmployeeData[[#This Row],[Tenure Years]]&lt;1,"Less than 1 Year",IF(EmployeeData[[#This Row],[Tenure Years]]&lt;=3,"1-3 Years",IF(EmployeeData[[#This Row],[Tenure Years]]&lt;=5,"4-5 Years",IF(EmployeeData[[#This Row],[Tenure Years]]&lt;=10,"6-10 Years","More than 10 Years"))))</f>
        <v>More than 10 Years</v>
      </c>
      <c r="AD1091">
        <f>ROUND(AVERAGE(EmployeeData[[#This Row],[JobSatisfaction]],EmployeeData[[#This Row],[EnvironmentSatisfaction]],EmployeeData[[#This Row],[WorkLifeBalance]]),2)</f>
        <v>3.67</v>
      </c>
      <c r="AE1091" t="str">
        <f>IF(EmployeeData[[#This Row],[Satisfaction Score]]&lt;2,"Low",IF(EmployeeData[[#This Row],[Satisfaction Score]]&lt;3,"Medium","High"))</f>
        <v>High</v>
      </c>
    </row>
    <row r="1092" spans="1:31" x14ac:dyDescent="0.25">
      <c r="A1092" t="s">
        <v>4990</v>
      </c>
      <c r="B1092" t="s">
        <v>4991</v>
      </c>
      <c r="C1092" t="s">
        <v>49</v>
      </c>
      <c r="D1092">
        <v>37</v>
      </c>
      <c r="E1092" t="s">
        <v>5461</v>
      </c>
      <c r="F1092" t="s">
        <v>483</v>
      </c>
      <c r="G1092" s="1">
        <v>42765</v>
      </c>
      <c r="H1092">
        <v>110360</v>
      </c>
      <c r="I1092" t="s">
        <v>30</v>
      </c>
      <c r="J1092" t="s">
        <v>61</v>
      </c>
      <c r="K1092" t="s">
        <v>98</v>
      </c>
      <c r="L1092" t="s">
        <v>5459</v>
      </c>
      <c r="M1092">
        <v>29</v>
      </c>
      <c r="N1092" t="s">
        <v>34</v>
      </c>
      <c r="O1092">
        <v>4</v>
      </c>
      <c r="P1092">
        <v>2</v>
      </c>
      <c r="Q1092">
        <v>3</v>
      </c>
      <c r="R1092">
        <v>4</v>
      </c>
      <c r="S1092">
        <v>3</v>
      </c>
      <c r="T1092">
        <v>5</v>
      </c>
      <c r="U1092">
        <v>17</v>
      </c>
      <c r="V1092" t="s">
        <v>4993</v>
      </c>
      <c r="W1092" t="s">
        <v>34</v>
      </c>
      <c r="Y1092" s="2" t="str">
        <f>IF(EmployeeData[[#This Row],[Age]]&lt;25,"Under 25",IF(EmployeeData[[#This Row],[Age]]&lt;=34,"25-34",IF(EmployeeData[[#This Row],[Age]]&lt;=44,"35-44",IF(EmployeeData[[#This Row],[Age]]&lt;=54,"45-54","55+"))))</f>
        <v>35-44</v>
      </c>
      <c r="Z1092">
        <f ca="1">DATEDIF(EmployeeData[[#This Row],[DateOfJoining]],IF(AND(EmployeeData[[#This Row],[Attrition]]="Yes",EmployeeData[[#This Row],[LastWorkingDate]]&lt;&gt;""),EmployeeData[[#This Row],[LastWorkingDate]],TODAY()),"Y")</f>
        <v>9</v>
      </c>
      <c r="AA1092" t="str">
        <f>IF(EmployeeData[[#This Row],[MonthlyIncome]]&lt;30000,"Low",IF(EmployeeData[[#This Row],[MonthlyIncome]]&lt;=60000,"Medium",IF(EmployeeData[[#This Row],[MonthlyIncome]]&lt;=100000,"High","Very High")))</f>
        <v>Very High</v>
      </c>
      <c r="AB1092">
        <f>IF(EmployeeData[[#This Row],[Attrition]]="Yes",1,0)</f>
        <v>0</v>
      </c>
      <c r="AC1092" t="str">
        <f ca="1">IF(EmployeeData[[#This Row],[Tenure Years]]&lt;1,"Less than 1 Year",IF(EmployeeData[[#This Row],[Tenure Years]]&lt;=3,"1-3 Years",IF(EmployeeData[[#This Row],[Tenure Years]]&lt;=5,"4-5 Years",IF(EmployeeData[[#This Row],[Tenure Years]]&lt;=10,"6-10 Years","More than 10 Years"))))</f>
        <v>6-10 Years</v>
      </c>
      <c r="AD1092">
        <f>ROUND(AVERAGE(EmployeeData[[#This Row],[JobSatisfaction]],EmployeeData[[#This Row],[EnvironmentSatisfaction]],EmployeeData[[#This Row],[WorkLifeBalance]]),2)</f>
        <v>3</v>
      </c>
      <c r="AE1092" t="str">
        <f>IF(EmployeeData[[#This Row],[Satisfaction Score]]&lt;2,"Low",IF(EmployeeData[[#This Row],[Satisfaction Score]]&lt;3,"Medium","High"))</f>
        <v>High</v>
      </c>
    </row>
    <row r="1093" spans="1:31" x14ac:dyDescent="0.25">
      <c r="A1093" t="s">
        <v>4994</v>
      </c>
      <c r="B1093" t="s">
        <v>4995</v>
      </c>
      <c r="C1093" t="s">
        <v>49</v>
      </c>
      <c r="D1093">
        <v>30</v>
      </c>
      <c r="E1093" t="s">
        <v>197</v>
      </c>
      <c r="F1093" t="s">
        <v>235</v>
      </c>
      <c r="G1093" s="1">
        <v>41401</v>
      </c>
      <c r="H1093">
        <v>53864</v>
      </c>
      <c r="I1093" t="s">
        <v>30</v>
      </c>
      <c r="J1093" t="s">
        <v>31</v>
      </c>
      <c r="K1093" t="s">
        <v>131</v>
      </c>
      <c r="L1093" t="s">
        <v>62</v>
      </c>
      <c r="M1093">
        <v>14</v>
      </c>
      <c r="N1093" t="s">
        <v>45</v>
      </c>
      <c r="O1093">
        <v>2</v>
      </c>
      <c r="P1093">
        <v>3</v>
      </c>
      <c r="Q1093">
        <v>4</v>
      </c>
      <c r="R1093">
        <v>5</v>
      </c>
      <c r="S1093">
        <v>2</v>
      </c>
      <c r="T1093">
        <v>7</v>
      </c>
      <c r="U1093">
        <v>16</v>
      </c>
      <c r="V1093" t="s">
        <v>4997</v>
      </c>
      <c r="W1093" t="s">
        <v>34</v>
      </c>
      <c r="Y1093" s="2" t="str">
        <f>IF(EmployeeData[[#This Row],[Age]]&lt;25,"Under 25",IF(EmployeeData[[#This Row],[Age]]&lt;=34,"25-34",IF(EmployeeData[[#This Row],[Age]]&lt;=44,"35-44",IF(EmployeeData[[#This Row],[Age]]&lt;=54,"45-54","55+"))))</f>
        <v>25-34</v>
      </c>
      <c r="Z1093">
        <f ca="1">DATEDIF(EmployeeData[[#This Row],[DateOfJoining]],IF(AND(EmployeeData[[#This Row],[Attrition]]="Yes",EmployeeData[[#This Row],[LastWorkingDate]]&lt;&gt;""),EmployeeData[[#This Row],[LastWorkingDate]],TODAY()),"Y")</f>
        <v>13</v>
      </c>
      <c r="AA1093" t="str">
        <f>IF(EmployeeData[[#This Row],[MonthlyIncome]]&lt;30000,"Low",IF(EmployeeData[[#This Row],[MonthlyIncome]]&lt;=60000,"Medium",IF(EmployeeData[[#This Row],[MonthlyIncome]]&lt;=100000,"High","Very High")))</f>
        <v>Medium</v>
      </c>
      <c r="AB1093">
        <f>IF(EmployeeData[[#This Row],[Attrition]]="Yes",1,0)</f>
        <v>0</v>
      </c>
      <c r="AC1093" t="str">
        <f ca="1">IF(EmployeeData[[#This Row],[Tenure Years]]&lt;1,"Less than 1 Year",IF(EmployeeData[[#This Row],[Tenure Years]]&lt;=3,"1-3 Years",IF(EmployeeData[[#This Row],[Tenure Years]]&lt;=5,"4-5 Years",IF(EmployeeData[[#This Row],[Tenure Years]]&lt;=10,"6-10 Years","More than 10 Years"))))</f>
        <v>More than 10 Years</v>
      </c>
      <c r="AD1093">
        <f>ROUND(AVERAGE(EmployeeData[[#This Row],[JobSatisfaction]],EmployeeData[[#This Row],[EnvironmentSatisfaction]],EmployeeData[[#This Row],[WorkLifeBalance]]),2)</f>
        <v>3</v>
      </c>
      <c r="AE1093" t="str">
        <f>IF(EmployeeData[[#This Row],[Satisfaction Score]]&lt;2,"Low",IF(EmployeeData[[#This Row],[Satisfaction Score]]&lt;3,"Medium","High"))</f>
        <v>High</v>
      </c>
    </row>
    <row r="1094" spans="1:31" x14ac:dyDescent="0.25">
      <c r="A1094" t="s">
        <v>4998</v>
      </c>
      <c r="B1094" t="s">
        <v>4999</v>
      </c>
      <c r="C1094" t="s">
        <v>58</v>
      </c>
      <c r="D1094">
        <v>45</v>
      </c>
      <c r="E1094" t="s">
        <v>128</v>
      </c>
      <c r="F1094" t="s">
        <v>271</v>
      </c>
      <c r="G1094" s="1">
        <v>42873</v>
      </c>
      <c r="H1094">
        <v>104392</v>
      </c>
      <c r="I1094" t="s">
        <v>30</v>
      </c>
      <c r="J1094" t="s">
        <v>61</v>
      </c>
      <c r="K1094" t="s">
        <v>77</v>
      </c>
      <c r="L1094" t="s">
        <v>33</v>
      </c>
      <c r="M1094">
        <v>44</v>
      </c>
      <c r="N1094" t="s">
        <v>34</v>
      </c>
      <c r="O1094">
        <v>1</v>
      </c>
      <c r="P1094">
        <v>4</v>
      </c>
      <c r="Q1094">
        <v>2</v>
      </c>
      <c r="R1094">
        <v>3</v>
      </c>
      <c r="S1094">
        <v>4</v>
      </c>
      <c r="T1094">
        <v>6</v>
      </c>
      <c r="U1094">
        <v>17</v>
      </c>
      <c r="V1094" t="s">
        <v>5001</v>
      </c>
      <c r="W1094" t="s">
        <v>45</v>
      </c>
      <c r="X1094" s="1">
        <v>44520</v>
      </c>
      <c r="Y1094" s="2" t="str">
        <f>IF(EmployeeData[[#This Row],[Age]]&lt;25,"Under 25",IF(EmployeeData[[#This Row],[Age]]&lt;=34,"25-34",IF(EmployeeData[[#This Row],[Age]]&lt;=44,"35-44",IF(EmployeeData[[#This Row],[Age]]&lt;=54,"45-54","55+"))))</f>
        <v>45-54</v>
      </c>
      <c r="Z1094">
        <f ca="1">DATEDIF(EmployeeData[[#This Row],[DateOfJoining]],IF(AND(EmployeeData[[#This Row],[Attrition]]="Yes",EmployeeData[[#This Row],[LastWorkingDate]]&lt;&gt;""),EmployeeData[[#This Row],[LastWorkingDate]],TODAY()),"Y")</f>
        <v>4</v>
      </c>
      <c r="AA1094" t="str">
        <f>IF(EmployeeData[[#This Row],[MonthlyIncome]]&lt;30000,"Low",IF(EmployeeData[[#This Row],[MonthlyIncome]]&lt;=60000,"Medium",IF(EmployeeData[[#This Row],[MonthlyIncome]]&lt;=100000,"High","Very High")))</f>
        <v>Very High</v>
      </c>
      <c r="AB1094">
        <f>IF(EmployeeData[[#This Row],[Attrition]]="Yes",1,0)</f>
        <v>1</v>
      </c>
      <c r="AC1094" t="str">
        <f ca="1">IF(EmployeeData[[#This Row],[Tenure Years]]&lt;1,"Less than 1 Year",IF(EmployeeData[[#This Row],[Tenure Years]]&lt;=3,"1-3 Years",IF(EmployeeData[[#This Row],[Tenure Years]]&lt;=5,"4-5 Years",IF(EmployeeData[[#This Row],[Tenure Years]]&lt;=10,"6-10 Years","More than 10 Years"))))</f>
        <v>4-5 Years</v>
      </c>
      <c r="AD1094">
        <f>ROUND(AVERAGE(EmployeeData[[#This Row],[JobSatisfaction]],EmployeeData[[#This Row],[EnvironmentSatisfaction]],EmployeeData[[#This Row],[WorkLifeBalance]]),2)</f>
        <v>2.33</v>
      </c>
      <c r="AE1094" t="str">
        <f>IF(EmployeeData[[#This Row],[Satisfaction Score]]&lt;2,"Low",IF(EmployeeData[[#This Row],[Satisfaction Score]]&lt;3,"Medium","High"))</f>
        <v>Medium</v>
      </c>
    </row>
    <row r="1095" spans="1:31" x14ac:dyDescent="0.25">
      <c r="A1095" t="s">
        <v>5003</v>
      </c>
      <c r="B1095" t="s">
        <v>5004</v>
      </c>
      <c r="C1095" t="s">
        <v>58</v>
      </c>
      <c r="D1095">
        <v>28</v>
      </c>
      <c r="E1095" t="s">
        <v>94</v>
      </c>
      <c r="F1095" t="s">
        <v>306</v>
      </c>
      <c r="G1095" s="1">
        <v>43660</v>
      </c>
      <c r="H1095">
        <v>126327</v>
      </c>
      <c r="I1095" t="s">
        <v>42</v>
      </c>
      <c r="J1095" t="s">
        <v>61</v>
      </c>
      <c r="K1095" t="s">
        <v>200</v>
      </c>
      <c r="L1095" t="s">
        <v>62</v>
      </c>
      <c r="M1095">
        <v>44</v>
      </c>
      <c r="N1095" t="s">
        <v>34</v>
      </c>
      <c r="O1095">
        <v>2</v>
      </c>
      <c r="P1095">
        <v>1</v>
      </c>
      <c r="Q1095">
        <v>3</v>
      </c>
      <c r="R1095">
        <v>3</v>
      </c>
      <c r="S1095">
        <v>3</v>
      </c>
      <c r="T1095">
        <v>4</v>
      </c>
      <c r="U1095">
        <v>11</v>
      </c>
      <c r="V1095" t="s">
        <v>5006</v>
      </c>
      <c r="W1095" t="s">
        <v>34</v>
      </c>
      <c r="Y1095" s="2" t="str">
        <f>IF(EmployeeData[[#This Row],[Age]]&lt;25,"Under 25",IF(EmployeeData[[#This Row],[Age]]&lt;=34,"25-34",IF(EmployeeData[[#This Row],[Age]]&lt;=44,"35-44",IF(EmployeeData[[#This Row],[Age]]&lt;=54,"45-54","55+"))))</f>
        <v>25-34</v>
      </c>
      <c r="Z1095">
        <f ca="1">DATEDIF(EmployeeData[[#This Row],[DateOfJoining]],IF(AND(EmployeeData[[#This Row],[Attrition]]="Yes",EmployeeData[[#This Row],[LastWorkingDate]]&lt;&gt;""),EmployeeData[[#This Row],[LastWorkingDate]],TODAY()),"Y")</f>
        <v>7</v>
      </c>
      <c r="AA1095" t="str">
        <f>IF(EmployeeData[[#This Row],[MonthlyIncome]]&lt;30000,"Low",IF(EmployeeData[[#This Row],[MonthlyIncome]]&lt;=60000,"Medium",IF(EmployeeData[[#This Row],[MonthlyIncome]]&lt;=100000,"High","Very High")))</f>
        <v>Very High</v>
      </c>
      <c r="AB1095">
        <f>IF(EmployeeData[[#This Row],[Attrition]]="Yes",1,0)</f>
        <v>0</v>
      </c>
      <c r="AC1095" t="str">
        <f ca="1">IF(EmployeeData[[#This Row],[Tenure Years]]&lt;1,"Less than 1 Year",IF(EmployeeData[[#This Row],[Tenure Years]]&lt;=3,"1-3 Years",IF(EmployeeData[[#This Row],[Tenure Years]]&lt;=5,"4-5 Years",IF(EmployeeData[[#This Row],[Tenure Years]]&lt;=10,"6-10 Years","More than 10 Years"))))</f>
        <v>6-10 Years</v>
      </c>
      <c r="AD1095">
        <f>ROUND(AVERAGE(EmployeeData[[#This Row],[JobSatisfaction]],EmployeeData[[#This Row],[EnvironmentSatisfaction]],EmployeeData[[#This Row],[WorkLifeBalance]]),2)</f>
        <v>2</v>
      </c>
      <c r="AE1095" t="str">
        <f>IF(EmployeeData[[#This Row],[Satisfaction Score]]&lt;2,"Low",IF(EmployeeData[[#This Row],[Satisfaction Score]]&lt;3,"Medium","High"))</f>
        <v>Medium</v>
      </c>
    </row>
    <row r="1096" spans="1:31" x14ac:dyDescent="0.25">
      <c r="A1096" t="s">
        <v>5007</v>
      </c>
      <c r="B1096" t="s">
        <v>5008</v>
      </c>
      <c r="C1096" t="s">
        <v>58</v>
      </c>
      <c r="D1096">
        <v>35</v>
      </c>
      <c r="E1096" t="s">
        <v>128</v>
      </c>
      <c r="F1096" t="s">
        <v>255</v>
      </c>
      <c r="G1096" s="1">
        <v>43231</v>
      </c>
      <c r="H1096">
        <v>74656</v>
      </c>
      <c r="I1096" t="s">
        <v>52</v>
      </c>
      <c r="J1096" t="s">
        <v>61</v>
      </c>
      <c r="K1096" t="s">
        <v>77</v>
      </c>
      <c r="L1096" t="s">
        <v>62</v>
      </c>
      <c r="M1096">
        <v>15</v>
      </c>
      <c r="N1096" t="s">
        <v>34</v>
      </c>
      <c r="O1096">
        <v>3</v>
      </c>
      <c r="P1096">
        <v>4</v>
      </c>
      <c r="Q1096">
        <v>1</v>
      </c>
      <c r="R1096">
        <v>3</v>
      </c>
      <c r="S1096">
        <v>4</v>
      </c>
      <c r="T1096">
        <v>6</v>
      </c>
      <c r="U1096">
        <v>22</v>
      </c>
      <c r="V1096" t="s">
        <v>5010</v>
      </c>
      <c r="W1096" t="s">
        <v>34</v>
      </c>
      <c r="Y1096" s="2" t="str">
        <f>IF(EmployeeData[[#This Row],[Age]]&lt;25,"Under 25",IF(EmployeeData[[#This Row],[Age]]&lt;=34,"25-34",IF(EmployeeData[[#This Row],[Age]]&lt;=44,"35-44",IF(EmployeeData[[#This Row],[Age]]&lt;=54,"45-54","55+"))))</f>
        <v>35-44</v>
      </c>
      <c r="Z1096">
        <f ca="1">DATEDIF(EmployeeData[[#This Row],[DateOfJoining]],IF(AND(EmployeeData[[#This Row],[Attrition]]="Yes",EmployeeData[[#This Row],[LastWorkingDate]]&lt;&gt;""),EmployeeData[[#This Row],[LastWorkingDate]],TODAY()),"Y")</f>
        <v>8</v>
      </c>
      <c r="AA1096" t="str">
        <f>IF(EmployeeData[[#This Row],[MonthlyIncome]]&lt;30000,"Low",IF(EmployeeData[[#This Row],[MonthlyIncome]]&lt;=60000,"Medium",IF(EmployeeData[[#This Row],[MonthlyIncome]]&lt;=100000,"High","Very High")))</f>
        <v>High</v>
      </c>
      <c r="AB1096">
        <f>IF(EmployeeData[[#This Row],[Attrition]]="Yes",1,0)</f>
        <v>0</v>
      </c>
      <c r="AC1096" t="str">
        <f ca="1">IF(EmployeeData[[#This Row],[Tenure Years]]&lt;1,"Less than 1 Year",IF(EmployeeData[[#This Row],[Tenure Years]]&lt;=3,"1-3 Years",IF(EmployeeData[[#This Row],[Tenure Years]]&lt;=5,"4-5 Years",IF(EmployeeData[[#This Row],[Tenure Years]]&lt;=10,"6-10 Years","More than 10 Years"))))</f>
        <v>6-10 Years</v>
      </c>
      <c r="AD1096">
        <f>ROUND(AVERAGE(EmployeeData[[#This Row],[JobSatisfaction]],EmployeeData[[#This Row],[EnvironmentSatisfaction]],EmployeeData[[#This Row],[WorkLifeBalance]]),2)</f>
        <v>2.67</v>
      </c>
      <c r="AE1096" t="str">
        <f>IF(EmployeeData[[#This Row],[Satisfaction Score]]&lt;2,"Low",IF(EmployeeData[[#This Row],[Satisfaction Score]]&lt;3,"Medium","High"))</f>
        <v>Medium</v>
      </c>
    </row>
    <row r="1097" spans="1:31" x14ac:dyDescent="0.25">
      <c r="A1097" t="s">
        <v>5011</v>
      </c>
      <c r="B1097" t="s">
        <v>5012</v>
      </c>
      <c r="C1097" t="s">
        <v>58</v>
      </c>
      <c r="D1097">
        <v>44</v>
      </c>
      <c r="E1097" t="s">
        <v>27</v>
      </c>
      <c r="F1097" t="s">
        <v>75</v>
      </c>
      <c r="G1097" s="1">
        <v>42467</v>
      </c>
      <c r="H1097">
        <v>84050</v>
      </c>
      <c r="I1097" t="s">
        <v>42</v>
      </c>
      <c r="J1097" t="s">
        <v>61</v>
      </c>
      <c r="K1097" t="s">
        <v>167</v>
      </c>
      <c r="L1097" t="s">
        <v>5459</v>
      </c>
      <c r="M1097">
        <v>37</v>
      </c>
      <c r="N1097" t="s">
        <v>34</v>
      </c>
      <c r="O1097">
        <v>4</v>
      </c>
      <c r="P1097">
        <v>2</v>
      </c>
      <c r="Q1097">
        <v>3</v>
      </c>
      <c r="R1097">
        <v>5</v>
      </c>
      <c r="S1097">
        <v>4</v>
      </c>
      <c r="T1097">
        <v>1</v>
      </c>
      <c r="U1097">
        <v>20</v>
      </c>
      <c r="V1097" t="s">
        <v>5014</v>
      </c>
      <c r="W1097" t="s">
        <v>34</v>
      </c>
      <c r="Y1097" s="2" t="str">
        <f>IF(EmployeeData[[#This Row],[Age]]&lt;25,"Under 25",IF(EmployeeData[[#This Row],[Age]]&lt;=34,"25-34",IF(EmployeeData[[#This Row],[Age]]&lt;=44,"35-44",IF(EmployeeData[[#This Row],[Age]]&lt;=54,"45-54","55+"))))</f>
        <v>35-44</v>
      </c>
      <c r="Z1097">
        <f ca="1">DATEDIF(EmployeeData[[#This Row],[DateOfJoining]],IF(AND(EmployeeData[[#This Row],[Attrition]]="Yes",EmployeeData[[#This Row],[LastWorkingDate]]&lt;&gt;""),EmployeeData[[#This Row],[LastWorkingDate]],TODAY()),"Y")</f>
        <v>10</v>
      </c>
      <c r="AA1097" t="str">
        <f>IF(EmployeeData[[#This Row],[MonthlyIncome]]&lt;30000,"Low",IF(EmployeeData[[#This Row],[MonthlyIncome]]&lt;=60000,"Medium",IF(EmployeeData[[#This Row],[MonthlyIncome]]&lt;=100000,"High","Very High")))</f>
        <v>High</v>
      </c>
      <c r="AB1097">
        <f>IF(EmployeeData[[#This Row],[Attrition]]="Yes",1,0)</f>
        <v>0</v>
      </c>
      <c r="AC1097" t="str">
        <f ca="1">IF(EmployeeData[[#This Row],[Tenure Years]]&lt;1,"Less than 1 Year",IF(EmployeeData[[#This Row],[Tenure Years]]&lt;=3,"1-3 Years",IF(EmployeeData[[#This Row],[Tenure Years]]&lt;=5,"4-5 Years",IF(EmployeeData[[#This Row],[Tenure Years]]&lt;=10,"6-10 Years","More than 10 Years"))))</f>
        <v>6-10 Years</v>
      </c>
      <c r="AD1097">
        <f>ROUND(AVERAGE(EmployeeData[[#This Row],[JobSatisfaction]],EmployeeData[[#This Row],[EnvironmentSatisfaction]],EmployeeData[[#This Row],[WorkLifeBalance]]),2)</f>
        <v>3</v>
      </c>
      <c r="AE1097" t="str">
        <f>IF(EmployeeData[[#This Row],[Satisfaction Score]]&lt;2,"Low",IF(EmployeeData[[#This Row],[Satisfaction Score]]&lt;3,"Medium","High"))</f>
        <v>High</v>
      </c>
    </row>
    <row r="1098" spans="1:31" x14ac:dyDescent="0.25">
      <c r="A1098" t="s">
        <v>5015</v>
      </c>
      <c r="B1098" t="s">
        <v>5016</v>
      </c>
      <c r="C1098" t="s">
        <v>49</v>
      </c>
      <c r="D1098">
        <v>30</v>
      </c>
      <c r="E1098" t="s">
        <v>94</v>
      </c>
      <c r="F1098" t="s">
        <v>266</v>
      </c>
      <c r="G1098" s="1">
        <v>42884</v>
      </c>
      <c r="H1098">
        <v>95493</v>
      </c>
      <c r="I1098" t="s">
        <v>52</v>
      </c>
      <c r="J1098" t="s">
        <v>31</v>
      </c>
      <c r="K1098" t="s">
        <v>200</v>
      </c>
      <c r="L1098" t="s">
        <v>33</v>
      </c>
      <c r="M1098">
        <v>7</v>
      </c>
      <c r="N1098" t="s">
        <v>34</v>
      </c>
      <c r="O1098">
        <v>1</v>
      </c>
      <c r="P1098">
        <v>3</v>
      </c>
      <c r="Q1098">
        <v>4</v>
      </c>
      <c r="R1098">
        <v>2</v>
      </c>
      <c r="S1098">
        <v>1</v>
      </c>
      <c r="T1098">
        <v>6</v>
      </c>
      <c r="U1098">
        <v>21</v>
      </c>
      <c r="V1098" t="s">
        <v>5018</v>
      </c>
      <c r="W1098" t="s">
        <v>34</v>
      </c>
      <c r="Y1098" s="2" t="str">
        <f>IF(EmployeeData[[#This Row],[Age]]&lt;25,"Under 25",IF(EmployeeData[[#This Row],[Age]]&lt;=34,"25-34",IF(EmployeeData[[#This Row],[Age]]&lt;=44,"35-44",IF(EmployeeData[[#This Row],[Age]]&lt;=54,"45-54","55+"))))</f>
        <v>25-34</v>
      </c>
      <c r="Z1098">
        <f ca="1">DATEDIF(EmployeeData[[#This Row],[DateOfJoining]],IF(AND(EmployeeData[[#This Row],[Attrition]]="Yes",EmployeeData[[#This Row],[LastWorkingDate]]&lt;&gt;""),EmployeeData[[#This Row],[LastWorkingDate]],TODAY()),"Y")</f>
        <v>9</v>
      </c>
      <c r="AA1098" t="str">
        <f>IF(EmployeeData[[#This Row],[MonthlyIncome]]&lt;30000,"Low",IF(EmployeeData[[#This Row],[MonthlyIncome]]&lt;=60000,"Medium",IF(EmployeeData[[#This Row],[MonthlyIncome]]&lt;=100000,"High","Very High")))</f>
        <v>High</v>
      </c>
      <c r="AB1098">
        <f>IF(EmployeeData[[#This Row],[Attrition]]="Yes",1,0)</f>
        <v>0</v>
      </c>
      <c r="AC1098" t="str">
        <f ca="1">IF(EmployeeData[[#This Row],[Tenure Years]]&lt;1,"Less than 1 Year",IF(EmployeeData[[#This Row],[Tenure Years]]&lt;=3,"1-3 Years",IF(EmployeeData[[#This Row],[Tenure Years]]&lt;=5,"4-5 Years",IF(EmployeeData[[#This Row],[Tenure Years]]&lt;=10,"6-10 Years","More than 10 Years"))))</f>
        <v>6-10 Years</v>
      </c>
      <c r="AD1098">
        <f>ROUND(AVERAGE(EmployeeData[[#This Row],[JobSatisfaction]],EmployeeData[[#This Row],[EnvironmentSatisfaction]],EmployeeData[[#This Row],[WorkLifeBalance]]),2)</f>
        <v>2.67</v>
      </c>
      <c r="AE1098" t="str">
        <f>IF(EmployeeData[[#This Row],[Satisfaction Score]]&lt;2,"Low",IF(EmployeeData[[#This Row],[Satisfaction Score]]&lt;3,"Medium","High"))</f>
        <v>Medium</v>
      </c>
    </row>
    <row r="1099" spans="1:31" x14ac:dyDescent="0.25">
      <c r="A1099" t="s">
        <v>5019</v>
      </c>
      <c r="B1099" t="s">
        <v>5020</v>
      </c>
      <c r="C1099" t="s">
        <v>49</v>
      </c>
      <c r="D1099">
        <v>20</v>
      </c>
      <c r="E1099" t="s">
        <v>94</v>
      </c>
      <c r="F1099" t="s">
        <v>266</v>
      </c>
      <c r="G1099" s="1">
        <v>42143</v>
      </c>
      <c r="H1099">
        <v>81933</v>
      </c>
      <c r="I1099" t="s">
        <v>30</v>
      </c>
      <c r="J1099" t="s">
        <v>31</v>
      </c>
      <c r="K1099" t="s">
        <v>113</v>
      </c>
      <c r="L1099" t="s">
        <v>33</v>
      </c>
      <c r="M1099">
        <v>22</v>
      </c>
      <c r="N1099" t="s">
        <v>34</v>
      </c>
      <c r="O1099">
        <v>2</v>
      </c>
      <c r="P1099">
        <v>2</v>
      </c>
      <c r="Q1099">
        <v>1</v>
      </c>
      <c r="R1099">
        <v>4</v>
      </c>
      <c r="S1099">
        <v>2</v>
      </c>
      <c r="T1099">
        <v>6</v>
      </c>
      <c r="U1099">
        <v>24</v>
      </c>
      <c r="V1099" t="s">
        <v>5022</v>
      </c>
      <c r="W1099" t="s">
        <v>45</v>
      </c>
      <c r="X1099" s="1">
        <v>44652</v>
      </c>
      <c r="Y1099" s="2" t="str">
        <f>IF(EmployeeData[[#This Row],[Age]]&lt;25,"Under 25",IF(EmployeeData[[#This Row],[Age]]&lt;=34,"25-34",IF(EmployeeData[[#This Row],[Age]]&lt;=44,"35-44",IF(EmployeeData[[#This Row],[Age]]&lt;=54,"45-54","55+"))))</f>
        <v>Under 25</v>
      </c>
      <c r="Z1099">
        <f ca="1">DATEDIF(EmployeeData[[#This Row],[DateOfJoining]],IF(AND(EmployeeData[[#This Row],[Attrition]]="Yes",EmployeeData[[#This Row],[LastWorkingDate]]&lt;&gt;""),EmployeeData[[#This Row],[LastWorkingDate]],TODAY()),"Y")</f>
        <v>6</v>
      </c>
      <c r="AA1099" t="str">
        <f>IF(EmployeeData[[#This Row],[MonthlyIncome]]&lt;30000,"Low",IF(EmployeeData[[#This Row],[MonthlyIncome]]&lt;=60000,"Medium",IF(EmployeeData[[#This Row],[MonthlyIncome]]&lt;=100000,"High","Very High")))</f>
        <v>High</v>
      </c>
      <c r="AB1099">
        <f>IF(EmployeeData[[#This Row],[Attrition]]="Yes",1,0)</f>
        <v>1</v>
      </c>
      <c r="AC1099" t="str">
        <f ca="1">IF(EmployeeData[[#This Row],[Tenure Years]]&lt;1,"Less than 1 Year",IF(EmployeeData[[#This Row],[Tenure Years]]&lt;=3,"1-3 Years",IF(EmployeeData[[#This Row],[Tenure Years]]&lt;=5,"4-5 Years",IF(EmployeeData[[#This Row],[Tenure Years]]&lt;=10,"6-10 Years","More than 10 Years"))))</f>
        <v>6-10 Years</v>
      </c>
      <c r="AD1099">
        <f>ROUND(AVERAGE(EmployeeData[[#This Row],[JobSatisfaction]],EmployeeData[[#This Row],[EnvironmentSatisfaction]],EmployeeData[[#This Row],[WorkLifeBalance]]),2)</f>
        <v>1.67</v>
      </c>
      <c r="AE1099" t="str">
        <f>IF(EmployeeData[[#This Row],[Satisfaction Score]]&lt;2,"Low",IF(EmployeeData[[#This Row],[Satisfaction Score]]&lt;3,"Medium","High"))</f>
        <v>Low</v>
      </c>
    </row>
    <row r="1100" spans="1:31" x14ac:dyDescent="0.25">
      <c r="A1100" t="s">
        <v>5024</v>
      </c>
      <c r="B1100" t="s">
        <v>5025</v>
      </c>
      <c r="C1100" t="s">
        <v>58</v>
      </c>
      <c r="D1100">
        <v>39</v>
      </c>
      <c r="E1100" t="s">
        <v>128</v>
      </c>
      <c r="F1100" t="s">
        <v>226</v>
      </c>
      <c r="G1100" s="1">
        <v>45976</v>
      </c>
      <c r="H1100">
        <v>45020</v>
      </c>
      <c r="I1100" t="s">
        <v>30</v>
      </c>
      <c r="J1100" t="s">
        <v>31</v>
      </c>
      <c r="K1100" t="s">
        <v>32</v>
      </c>
      <c r="L1100" t="s">
        <v>62</v>
      </c>
      <c r="M1100">
        <v>28</v>
      </c>
      <c r="N1100" t="s">
        <v>34</v>
      </c>
      <c r="O1100">
        <v>3</v>
      </c>
      <c r="P1100">
        <v>3</v>
      </c>
      <c r="Q1100">
        <v>1</v>
      </c>
      <c r="R1100">
        <v>3</v>
      </c>
      <c r="S1100">
        <v>0</v>
      </c>
      <c r="T1100">
        <v>3</v>
      </c>
      <c r="U1100">
        <v>18</v>
      </c>
      <c r="V1100" t="s">
        <v>5027</v>
      </c>
      <c r="W1100" t="s">
        <v>45</v>
      </c>
      <c r="X1100" s="1">
        <v>46071</v>
      </c>
      <c r="Y1100" s="2" t="str">
        <f>IF(EmployeeData[[#This Row],[Age]]&lt;25,"Under 25",IF(EmployeeData[[#This Row],[Age]]&lt;=34,"25-34",IF(EmployeeData[[#This Row],[Age]]&lt;=44,"35-44",IF(EmployeeData[[#This Row],[Age]]&lt;=54,"45-54","55+"))))</f>
        <v>35-44</v>
      </c>
      <c r="Z1100">
        <f ca="1">DATEDIF(EmployeeData[[#This Row],[DateOfJoining]],IF(AND(EmployeeData[[#This Row],[Attrition]]="Yes",EmployeeData[[#This Row],[LastWorkingDate]]&lt;&gt;""),EmployeeData[[#This Row],[LastWorkingDate]],TODAY()),"Y")</f>
        <v>0</v>
      </c>
      <c r="AA1100" t="str">
        <f>IF(EmployeeData[[#This Row],[MonthlyIncome]]&lt;30000,"Low",IF(EmployeeData[[#This Row],[MonthlyIncome]]&lt;=60000,"Medium",IF(EmployeeData[[#This Row],[MonthlyIncome]]&lt;=100000,"High","Very High")))</f>
        <v>Medium</v>
      </c>
      <c r="AB1100">
        <f>IF(EmployeeData[[#This Row],[Attrition]]="Yes",1,0)</f>
        <v>1</v>
      </c>
      <c r="AC1100" t="str">
        <f ca="1">IF(EmployeeData[[#This Row],[Tenure Years]]&lt;1,"Less than 1 Year",IF(EmployeeData[[#This Row],[Tenure Years]]&lt;=3,"1-3 Years",IF(EmployeeData[[#This Row],[Tenure Years]]&lt;=5,"4-5 Years",IF(EmployeeData[[#This Row],[Tenure Years]]&lt;=10,"6-10 Years","More than 10 Years"))))</f>
        <v>Less than 1 Year</v>
      </c>
      <c r="AD1100">
        <f>ROUND(AVERAGE(EmployeeData[[#This Row],[JobSatisfaction]],EmployeeData[[#This Row],[EnvironmentSatisfaction]],EmployeeData[[#This Row],[WorkLifeBalance]]),2)</f>
        <v>2.33</v>
      </c>
      <c r="AE1100" t="str">
        <f>IF(EmployeeData[[#This Row],[Satisfaction Score]]&lt;2,"Low",IF(EmployeeData[[#This Row],[Satisfaction Score]]&lt;3,"Medium","High"))</f>
        <v>Medium</v>
      </c>
    </row>
    <row r="1101" spans="1:31" x14ac:dyDescent="0.25">
      <c r="A1101" t="s">
        <v>5028</v>
      </c>
      <c r="B1101" t="s">
        <v>5029</v>
      </c>
      <c r="C1101" t="s">
        <v>58</v>
      </c>
      <c r="D1101">
        <v>36</v>
      </c>
      <c r="E1101" t="s">
        <v>128</v>
      </c>
      <c r="F1101" t="s">
        <v>255</v>
      </c>
      <c r="G1101" s="1">
        <v>45338</v>
      </c>
      <c r="H1101">
        <v>99401</v>
      </c>
      <c r="I1101" t="s">
        <v>42</v>
      </c>
      <c r="J1101" t="s">
        <v>61</v>
      </c>
      <c r="K1101" t="s">
        <v>167</v>
      </c>
      <c r="L1101" t="s">
        <v>62</v>
      </c>
      <c r="M1101">
        <v>37</v>
      </c>
      <c r="N1101" t="s">
        <v>34</v>
      </c>
      <c r="O1101">
        <v>1</v>
      </c>
      <c r="P1101">
        <v>3</v>
      </c>
      <c r="Q1101">
        <v>3</v>
      </c>
      <c r="R1101">
        <v>3</v>
      </c>
      <c r="S1101">
        <v>3</v>
      </c>
      <c r="T1101">
        <v>0</v>
      </c>
      <c r="U1101">
        <v>18</v>
      </c>
      <c r="V1101" t="s">
        <v>5031</v>
      </c>
      <c r="W1101" t="s">
        <v>34</v>
      </c>
      <c r="Y1101" s="2" t="str">
        <f>IF(EmployeeData[[#This Row],[Age]]&lt;25,"Under 25",IF(EmployeeData[[#This Row],[Age]]&lt;=34,"25-34",IF(EmployeeData[[#This Row],[Age]]&lt;=44,"35-44",IF(EmployeeData[[#This Row],[Age]]&lt;=54,"45-54","55+"))))</f>
        <v>35-44</v>
      </c>
      <c r="Z1101">
        <f ca="1">DATEDIF(EmployeeData[[#This Row],[DateOfJoining]],IF(AND(EmployeeData[[#This Row],[Attrition]]="Yes",EmployeeData[[#This Row],[LastWorkingDate]]&lt;&gt;""),EmployeeData[[#This Row],[LastWorkingDate]],TODAY()),"Y")</f>
        <v>2</v>
      </c>
      <c r="AA1101" t="str">
        <f>IF(EmployeeData[[#This Row],[MonthlyIncome]]&lt;30000,"Low",IF(EmployeeData[[#This Row],[MonthlyIncome]]&lt;=60000,"Medium",IF(EmployeeData[[#This Row],[MonthlyIncome]]&lt;=100000,"High","Very High")))</f>
        <v>High</v>
      </c>
      <c r="AB1101">
        <f>IF(EmployeeData[[#This Row],[Attrition]]="Yes",1,0)</f>
        <v>0</v>
      </c>
      <c r="AC1101" t="str">
        <f ca="1">IF(EmployeeData[[#This Row],[Tenure Years]]&lt;1,"Less than 1 Year",IF(EmployeeData[[#This Row],[Tenure Years]]&lt;=3,"1-3 Years",IF(EmployeeData[[#This Row],[Tenure Years]]&lt;=5,"4-5 Years",IF(EmployeeData[[#This Row],[Tenure Years]]&lt;=10,"6-10 Years","More than 10 Years"))))</f>
        <v>1-3 Years</v>
      </c>
      <c r="AD1101">
        <f>ROUND(AVERAGE(EmployeeData[[#This Row],[JobSatisfaction]],EmployeeData[[#This Row],[EnvironmentSatisfaction]],EmployeeData[[#This Row],[WorkLifeBalance]]),2)</f>
        <v>2.33</v>
      </c>
      <c r="AE1101" t="str">
        <f>IF(EmployeeData[[#This Row],[Satisfaction Score]]&lt;2,"Low",IF(EmployeeData[[#This Row],[Satisfaction Score]]&lt;3,"Medium","High"))</f>
        <v>Medium</v>
      </c>
    </row>
    <row r="1102" spans="1:31" x14ac:dyDescent="0.25">
      <c r="A1102" t="s">
        <v>5032</v>
      </c>
      <c r="B1102" t="s">
        <v>5033</v>
      </c>
      <c r="C1102" t="s">
        <v>49</v>
      </c>
      <c r="D1102">
        <v>37</v>
      </c>
      <c r="E1102" t="s">
        <v>197</v>
      </c>
      <c r="F1102" t="s">
        <v>573</v>
      </c>
      <c r="G1102" s="1">
        <v>44328</v>
      </c>
      <c r="H1102">
        <v>101208</v>
      </c>
      <c r="I1102" t="s">
        <v>5459</v>
      </c>
      <c r="J1102" t="s">
        <v>31</v>
      </c>
      <c r="K1102" t="s">
        <v>83</v>
      </c>
      <c r="L1102" t="s">
        <v>62</v>
      </c>
      <c r="M1102">
        <v>22</v>
      </c>
      <c r="N1102" t="s">
        <v>34</v>
      </c>
      <c r="O1102">
        <v>3</v>
      </c>
      <c r="P1102">
        <v>4</v>
      </c>
      <c r="Q1102">
        <v>3</v>
      </c>
      <c r="R1102">
        <v>3</v>
      </c>
      <c r="S1102">
        <v>0</v>
      </c>
      <c r="T1102">
        <v>3</v>
      </c>
      <c r="U1102">
        <v>11</v>
      </c>
      <c r="V1102" t="s">
        <v>5035</v>
      </c>
      <c r="W1102" t="s">
        <v>34</v>
      </c>
      <c r="Y1102" s="2" t="str">
        <f>IF(EmployeeData[[#This Row],[Age]]&lt;25,"Under 25",IF(EmployeeData[[#This Row],[Age]]&lt;=34,"25-34",IF(EmployeeData[[#This Row],[Age]]&lt;=44,"35-44",IF(EmployeeData[[#This Row],[Age]]&lt;=54,"45-54","55+"))))</f>
        <v>35-44</v>
      </c>
      <c r="Z1102">
        <f ca="1">DATEDIF(EmployeeData[[#This Row],[DateOfJoining]],IF(AND(EmployeeData[[#This Row],[Attrition]]="Yes",EmployeeData[[#This Row],[LastWorkingDate]]&lt;&gt;""),EmployeeData[[#This Row],[LastWorkingDate]],TODAY()),"Y")</f>
        <v>5</v>
      </c>
      <c r="AA1102" t="str">
        <f>IF(EmployeeData[[#This Row],[MonthlyIncome]]&lt;30000,"Low",IF(EmployeeData[[#This Row],[MonthlyIncome]]&lt;=60000,"Medium",IF(EmployeeData[[#This Row],[MonthlyIncome]]&lt;=100000,"High","Very High")))</f>
        <v>Very High</v>
      </c>
      <c r="AB1102">
        <f>IF(EmployeeData[[#This Row],[Attrition]]="Yes",1,0)</f>
        <v>0</v>
      </c>
      <c r="AC1102" t="str">
        <f ca="1">IF(EmployeeData[[#This Row],[Tenure Years]]&lt;1,"Less than 1 Year",IF(EmployeeData[[#This Row],[Tenure Years]]&lt;=3,"1-3 Years",IF(EmployeeData[[#This Row],[Tenure Years]]&lt;=5,"4-5 Years",IF(EmployeeData[[#This Row],[Tenure Years]]&lt;=10,"6-10 Years","More than 10 Years"))))</f>
        <v>4-5 Years</v>
      </c>
      <c r="AD1102">
        <f>ROUND(AVERAGE(EmployeeData[[#This Row],[JobSatisfaction]],EmployeeData[[#This Row],[EnvironmentSatisfaction]],EmployeeData[[#This Row],[WorkLifeBalance]]),2)</f>
        <v>3.33</v>
      </c>
      <c r="AE1102" t="str">
        <f>IF(EmployeeData[[#This Row],[Satisfaction Score]]&lt;2,"Low",IF(EmployeeData[[#This Row],[Satisfaction Score]]&lt;3,"Medium","High"))</f>
        <v>High</v>
      </c>
    </row>
    <row r="1103" spans="1:31" x14ac:dyDescent="0.25">
      <c r="A1103" t="s">
        <v>5036</v>
      </c>
      <c r="B1103" t="s">
        <v>5037</v>
      </c>
      <c r="C1103" t="s">
        <v>5459</v>
      </c>
      <c r="D1103">
        <v>36</v>
      </c>
      <c r="E1103" t="s">
        <v>94</v>
      </c>
      <c r="F1103" t="s">
        <v>306</v>
      </c>
      <c r="G1103" s="1">
        <v>41063</v>
      </c>
      <c r="H1103">
        <v>61415</v>
      </c>
      <c r="I1103" t="s">
        <v>42</v>
      </c>
      <c r="J1103" t="s">
        <v>61</v>
      </c>
      <c r="K1103" t="s">
        <v>83</v>
      </c>
      <c r="L1103" t="s">
        <v>62</v>
      </c>
      <c r="M1103">
        <v>9</v>
      </c>
      <c r="N1103" t="s">
        <v>34</v>
      </c>
      <c r="O1103">
        <v>4</v>
      </c>
      <c r="P1103">
        <v>1</v>
      </c>
      <c r="Q1103">
        <v>4</v>
      </c>
      <c r="R1103">
        <v>4</v>
      </c>
      <c r="S1103">
        <v>4</v>
      </c>
      <c r="T1103">
        <v>2</v>
      </c>
      <c r="U1103">
        <v>22</v>
      </c>
      <c r="V1103" t="s">
        <v>5039</v>
      </c>
      <c r="W1103" t="s">
        <v>34</v>
      </c>
      <c r="Y1103" s="2" t="str">
        <f>IF(EmployeeData[[#This Row],[Age]]&lt;25,"Under 25",IF(EmployeeData[[#This Row],[Age]]&lt;=34,"25-34",IF(EmployeeData[[#This Row],[Age]]&lt;=44,"35-44",IF(EmployeeData[[#This Row],[Age]]&lt;=54,"45-54","55+"))))</f>
        <v>35-44</v>
      </c>
      <c r="Z1103">
        <f ca="1">DATEDIF(EmployeeData[[#This Row],[DateOfJoining]],IF(AND(EmployeeData[[#This Row],[Attrition]]="Yes",EmployeeData[[#This Row],[LastWorkingDate]]&lt;&gt;""),EmployeeData[[#This Row],[LastWorkingDate]],TODAY()),"Y")</f>
        <v>14</v>
      </c>
      <c r="AA1103" t="str">
        <f>IF(EmployeeData[[#This Row],[MonthlyIncome]]&lt;30000,"Low",IF(EmployeeData[[#This Row],[MonthlyIncome]]&lt;=60000,"Medium",IF(EmployeeData[[#This Row],[MonthlyIncome]]&lt;=100000,"High","Very High")))</f>
        <v>High</v>
      </c>
      <c r="AB1103">
        <f>IF(EmployeeData[[#This Row],[Attrition]]="Yes",1,0)</f>
        <v>0</v>
      </c>
      <c r="AC1103" t="str">
        <f ca="1">IF(EmployeeData[[#This Row],[Tenure Years]]&lt;1,"Less than 1 Year",IF(EmployeeData[[#This Row],[Tenure Years]]&lt;=3,"1-3 Years",IF(EmployeeData[[#This Row],[Tenure Years]]&lt;=5,"4-5 Years",IF(EmployeeData[[#This Row],[Tenure Years]]&lt;=10,"6-10 Years","More than 10 Years"))))</f>
        <v>More than 10 Years</v>
      </c>
      <c r="AD1103">
        <f>ROUND(AVERAGE(EmployeeData[[#This Row],[JobSatisfaction]],EmployeeData[[#This Row],[EnvironmentSatisfaction]],EmployeeData[[#This Row],[WorkLifeBalance]]),2)</f>
        <v>3</v>
      </c>
      <c r="AE1103" t="str">
        <f>IF(EmployeeData[[#This Row],[Satisfaction Score]]&lt;2,"Low",IF(EmployeeData[[#This Row],[Satisfaction Score]]&lt;3,"Medium","High"))</f>
        <v>High</v>
      </c>
    </row>
    <row r="1104" spans="1:31" x14ac:dyDescent="0.25">
      <c r="A1104" t="s">
        <v>5040</v>
      </c>
      <c r="B1104" t="s">
        <v>5041</v>
      </c>
      <c r="C1104" t="s">
        <v>58</v>
      </c>
      <c r="D1104">
        <v>36</v>
      </c>
      <c r="E1104" t="s">
        <v>38</v>
      </c>
      <c r="F1104" t="s">
        <v>792</v>
      </c>
      <c r="G1104" s="1">
        <v>45809</v>
      </c>
      <c r="H1104">
        <v>30589</v>
      </c>
      <c r="I1104" t="s">
        <v>52</v>
      </c>
      <c r="J1104" t="s">
        <v>53</v>
      </c>
      <c r="K1104" t="s">
        <v>32</v>
      </c>
      <c r="L1104" t="s">
        <v>33</v>
      </c>
      <c r="M1104">
        <v>7</v>
      </c>
      <c r="N1104" t="s">
        <v>34</v>
      </c>
      <c r="O1104">
        <v>4</v>
      </c>
      <c r="P1104">
        <v>1</v>
      </c>
      <c r="Q1104">
        <v>3</v>
      </c>
      <c r="R1104">
        <v>4</v>
      </c>
      <c r="S1104">
        <v>2</v>
      </c>
      <c r="T1104">
        <v>8</v>
      </c>
      <c r="U1104">
        <v>20</v>
      </c>
      <c r="V1104" t="s">
        <v>5043</v>
      </c>
      <c r="W1104" t="s">
        <v>34</v>
      </c>
      <c r="Y1104" s="2" t="str">
        <f>IF(EmployeeData[[#This Row],[Age]]&lt;25,"Under 25",IF(EmployeeData[[#This Row],[Age]]&lt;=34,"25-34",IF(EmployeeData[[#This Row],[Age]]&lt;=44,"35-44",IF(EmployeeData[[#This Row],[Age]]&lt;=54,"45-54","55+"))))</f>
        <v>35-44</v>
      </c>
      <c r="Z1104">
        <f ca="1">DATEDIF(EmployeeData[[#This Row],[DateOfJoining]],IF(AND(EmployeeData[[#This Row],[Attrition]]="Yes",EmployeeData[[#This Row],[LastWorkingDate]]&lt;&gt;""),EmployeeData[[#This Row],[LastWorkingDate]],TODAY()),"Y")</f>
        <v>1</v>
      </c>
      <c r="AA1104" t="str">
        <f>IF(EmployeeData[[#This Row],[MonthlyIncome]]&lt;30000,"Low",IF(EmployeeData[[#This Row],[MonthlyIncome]]&lt;=60000,"Medium",IF(EmployeeData[[#This Row],[MonthlyIncome]]&lt;=100000,"High","Very High")))</f>
        <v>Medium</v>
      </c>
      <c r="AB1104">
        <f>IF(EmployeeData[[#This Row],[Attrition]]="Yes",1,0)</f>
        <v>0</v>
      </c>
      <c r="AC1104" t="str">
        <f ca="1">IF(EmployeeData[[#This Row],[Tenure Years]]&lt;1,"Less than 1 Year",IF(EmployeeData[[#This Row],[Tenure Years]]&lt;=3,"1-3 Years",IF(EmployeeData[[#This Row],[Tenure Years]]&lt;=5,"4-5 Years",IF(EmployeeData[[#This Row],[Tenure Years]]&lt;=10,"6-10 Years","More than 10 Years"))))</f>
        <v>1-3 Years</v>
      </c>
      <c r="AD1104">
        <f>ROUND(AVERAGE(EmployeeData[[#This Row],[JobSatisfaction]],EmployeeData[[#This Row],[EnvironmentSatisfaction]],EmployeeData[[#This Row],[WorkLifeBalance]]),2)</f>
        <v>2.67</v>
      </c>
      <c r="AE1104" t="str">
        <f>IF(EmployeeData[[#This Row],[Satisfaction Score]]&lt;2,"Low",IF(EmployeeData[[#This Row],[Satisfaction Score]]&lt;3,"Medium","High"))</f>
        <v>Medium</v>
      </c>
    </row>
    <row r="1105" spans="1:31" x14ac:dyDescent="0.25">
      <c r="A1105" t="s">
        <v>5044</v>
      </c>
      <c r="B1105" t="s">
        <v>5045</v>
      </c>
      <c r="C1105" t="s">
        <v>49</v>
      </c>
      <c r="D1105">
        <v>28</v>
      </c>
      <c r="E1105" t="s">
        <v>27</v>
      </c>
      <c r="F1105" t="s">
        <v>75</v>
      </c>
      <c r="G1105" s="1">
        <v>43965</v>
      </c>
      <c r="H1105">
        <v>83084</v>
      </c>
      <c r="I1105" t="s">
        <v>30</v>
      </c>
      <c r="J1105" t="s">
        <v>97</v>
      </c>
      <c r="K1105" t="s">
        <v>106</v>
      </c>
      <c r="L1105" t="s">
        <v>43</v>
      </c>
      <c r="M1105">
        <v>21</v>
      </c>
      <c r="N1105" t="s">
        <v>45</v>
      </c>
      <c r="O1105">
        <v>4</v>
      </c>
      <c r="P1105">
        <v>1</v>
      </c>
      <c r="Q1105">
        <v>3</v>
      </c>
      <c r="R1105">
        <v>3</v>
      </c>
      <c r="S1105">
        <v>2</v>
      </c>
      <c r="T1105">
        <v>8</v>
      </c>
      <c r="U1105">
        <v>25</v>
      </c>
      <c r="V1105" t="s">
        <v>5047</v>
      </c>
      <c r="W1105" t="s">
        <v>34</v>
      </c>
      <c r="Y1105" s="2" t="str">
        <f>IF(EmployeeData[[#This Row],[Age]]&lt;25,"Under 25",IF(EmployeeData[[#This Row],[Age]]&lt;=34,"25-34",IF(EmployeeData[[#This Row],[Age]]&lt;=44,"35-44",IF(EmployeeData[[#This Row],[Age]]&lt;=54,"45-54","55+"))))</f>
        <v>25-34</v>
      </c>
      <c r="Z1105">
        <f ca="1">DATEDIF(EmployeeData[[#This Row],[DateOfJoining]],IF(AND(EmployeeData[[#This Row],[Attrition]]="Yes",EmployeeData[[#This Row],[LastWorkingDate]]&lt;&gt;""),EmployeeData[[#This Row],[LastWorkingDate]],TODAY()),"Y")</f>
        <v>6</v>
      </c>
      <c r="AA1105" t="str">
        <f>IF(EmployeeData[[#This Row],[MonthlyIncome]]&lt;30000,"Low",IF(EmployeeData[[#This Row],[MonthlyIncome]]&lt;=60000,"Medium",IF(EmployeeData[[#This Row],[MonthlyIncome]]&lt;=100000,"High","Very High")))</f>
        <v>High</v>
      </c>
      <c r="AB1105">
        <f>IF(EmployeeData[[#This Row],[Attrition]]="Yes",1,0)</f>
        <v>0</v>
      </c>
      <c r="AC1105" t="str">
        <f ca="1">IF(EmployeeData[[#This Row],[Tenure Years]]&lt;1,"Less than 1 Year",IF(EmployeeData[[#This Row],[Tenure Years]]&lt;=3,"1-3 Years",IF(EmployeeData[[#This Row],[Tenure Years]]&lt;=5,"4-5 Years",IF(EmployeeData[[#This Row],[Tenure Years]]&lt;=10,"6-10 Years","More than 10 Years"))))</f>
        <v>6-10 Years</v>
      </c>
      <c r="AD1105">
        <f>ROUND(AVERAGE(EmployeeData[[#This Row],[JobSatisfaction]],EmployeeData[[#This Row],[EnvironmentSatisfaction]],EmployeeData[[#This Row],[WorkLifeBalance]]),2)</f>
        <v>2.67</v>
      </c>
      <c r="AE1105" t="str">
        <f>IF(EmployeeData[[#This Row],[Satisfaction Score]]&lt;2,"Low",IF(EmployeeData[[#This Row],[Satisfaction Score]]&lt;3,"Medium","High"))</f>
        <v>Medium</v>
      </c>
    </row>
    <row r="1106" spans="1:31" x14ac:dyDescent="0.25">
      <c r="A1106" t="s">
        <v>5048</v>
      </c>
      <c r="B1106" t="s">
        <v>5049</v>
      </c>
      <c r="C1106" t="s">
        <v>49</v>
      </c>
      <c r="D1106">
        <v>36</v>
      </c>
      <c r="E1106" t="s">
        <v>27</v>
      </c>
      <c r="F1106" t="s">
        <v>75</v>
      </c>
      <c r="G1106" s="1">
        <v>41541</v>
      </c>
      <c r="H1106">
        <v>107441</v>
      </c>
      <c r="I1106" t="s">
        <v>30</v>
      </c>
      <c r="J1106" t="s">
        <v>143</v>
      </c>
      <c r="K1106" t="s">
        <v>167</v>
      </c>
      <c r="L1106" t="s">
        <v>43</v>
      </c>
      <c r="M1106">
        <v>42</v>
      </c>
      <c r="N1106" t="s">
        <v>34</v>
      </c>
      <c r="O1106">
        <v>1</v>
      </c>
      <c r="P1106">
        <v>2</v>
      </c>
      <c r="Q1106">
        <v>4</v>
      </c>
      <c r="R1106">
        <v>3</v>
      </c>
      <c r="S1106">
        <v>3</v>
      </c>
      <c r="T1106">
        <v>4</v>
      </c>
      <c r="U1106">
        <v>19</v>
      </c>
      <c r="V1106" t="s">
        <v>5051</v>
      </c>
      <c r="W1106" t="s">
        <v>34</v>
      </c>
      <c r="Y1106" s="2" t="str">
        <f>IF(EmployeeData[[#This Row],[Age]]&lt;25,"Under 25",IF(EmployeeData[[#This Row],[Age]]&lt;=34,"25-34",IF(EmployeeData[[#This Row],[Age]]&lt;=44,"35-44",IF(EmployeeData[[#This Row],[Age]]&lt;=54,"45-54","55+"))))</f>
        <v>35-44</v>
      </c>
      <c r="Z1106">
        <f ca="1">DATEDIF(EmployeeData[[#This Row],[DateOfJoining]],IF(AND(EmployeeData[[#This Row],[Attrition]]="Yes",EmployeeData[[#This Row],[LastWorkingDate]]&lt;&gt;""),EmployeeData[[#This Row],[LastWorkingDate]],TODAY()),"Y")</f>
        <v>12</v>
      </c>
      <c r="AA1106" t="str">
        <f>IF(EmployeeData[[#This Row],[MonthlyIncome]]&lt;30000,"Low",IF(EmployeeData[[#This Row],[MonthlyIncome]]&lt;=60000,"Medium",IF(EmployeeData[[#This Row],[MonthlyIncome]]&lt;=100000,"High","Very High")))</f>
        <v>Very High</v>
      </c>
      <c r="AB1106">
        <f>IF(EmployeeData[[#This Row],[Attrition]]="Yes",1,0)</f>
        <v>0</v>
      </c>
      <c r="AC1106" t="str">
        <f ca="1">IF(EmployeeData[[#This Row],[Tenure Years]]&lt;1,"Less than 1 Year",IF(EmployeeData[[#This Row],[Tenure Years]]&lt;=3,"1-3 Years",IF(EmployeeData[[#This Row],[Tenure Years]]&lt;=5,"4-5 Years",IF(EmployeeData[[#This Row],[Tenure Years]]&lt;=10,"6-10 Years","More than 10 Years"))))</f>
        <v>More than 10 Years</v>
      </c>
      <c r="AD1106">
        <f>ROUND(AVERAGE(EmployeeData[[#This Row],[JobSatisfaction]],EmployeeData[[#This Row],[EnvironmentSatisfaction]],EmployeeData[[#This Row],[WorkLifeBalance]]),2)</f>
        <v>2.33</v>
      </c>
      <c r="AE1106" t="str">
        <f>IF(EmployeeData[[#This Row],[Satisfaction Score]]&lt;2,"Low",IF(EmployeeData[[#This Row],[Satisfaction Score]]&lt;3,"Medium","High"))</f>
        <v>Medium</v>
      </c>
    </row>
    <row r="1107" spans="1:31" x14ac:dyDescent="0.25">
      <c r="A1107" t="s">
        <v>5052</v>
      </c>
      <c r="B1107" t="s">
        <v>5053</v>
      </c>
      <c r="C1107" t="s">
        <v>49</v>
      </c>
      <c r="D1107">
        <v>32</v>
      </c>
      <c r="E1107" t="s">
        <v>38</v>
      </c>
      <c r="F1107" t="s">
        <v>5462</v>
      </c>
      <c r="G1107" s="1">
        <v>41563</v>
      </c>
      <c r="H1107">
        <v>92356</v>
      </c>
      <c r="I1107" t="s">
        <v>52</v>
      </c>
      <c r="J1107" t="s">
        <v>61</v>
      </c>
      <c r="K1107" t="s">
        <v>98</v>
      </c>
      <c r="L1107" t="s">
        <v>33</v>
      </c>
      <c r="M1107">
        <v>29</v>
      </c>
      <c r="N1107" t="s">
        <v>34</v>
      </c>
      <c r="O1107">
        <v>3</v>
      </c>
      <c r="P1107">
        <v>3</v>
      </c>
      <c r="Q1107">
        <v>1</v>
      </c>
      <c r="R1107">
        <v>2</v>
      </c>
      <c r="S1107">
        <v>3</v>
      </c>
      <c r="T1107">
        <v>3</v>
      </c>
      <c r="U1107">
        <v>19</v>
      </c>
      <c r="V1107" t="s">
        <v>5055</v>
      </c>
      <c r="W1107" t="s">
        <v>34</v>
      </c>
      <c r="Y1107" s="2" t="str">
        <f>IF(EmployeeData[[#This Row],[Age]]&lt;25,"Under 25",IF(EmployeeData[[#This Row],[Age]]&lt;=34,"25-34",IF(EmployeeData[[#This Row],[Age]]&lt;=44,"35-44",IF(EmployeeData[[#This Row],[Age]]&lt;=54,"45-54","55+"))))</f>
        <v>25-34</v>
      </c>
      <c r="Z1107">
        <f ca="1">DATEDIF(EmployeeData[[#This Row],[DateOfJoining]],IF(AND(EmployeeData[[#This Row],[Attrition]]="Yes",EmployeeData[[#This Row],[LastWorkingDate]]&lt;&gt;""),EmployeeData[[#This Row],[LastWorkingDate]],TODAY()),"Y")</f>
        <v>12</v>
      </c>
      <c r="AA1107" t="str">
        <f>IF(EmployeeData[[#This Row],[MonthlyIncome]]&lt;30000,"Low",IF(EmployeeData[[#This Row],[MonthlyIncome]]&lt;=60000,"Medium",IF(EmployeeData[[#This Row],[MonthlyIncome]]&lt;=100000,"High","Very High")))</f>
        <v>High</v>
      </c>
      <c r="AB1107">
        <f>IF(EmployeeData[[#This Row],[Attrition]]="Yes",1,0)</f>
        <v>0</v>
      </c>
      <c r="AC1107" t="str">
        <f ca="1">IF(EmployeeData[[#This Row],[Tenure Years]]&lt;1,"Less than 1 Year",IF(EmployeeData[[#This Row],[Tenure Years]]&lt;=3,"1-3 Years",IF(EmployeeData[[#This Row],[Tenure Years]]&lt;=5,"4-5 Years",IF(EmployeeData[[#This Row],[Tenure Years]]&lt;=10,"6-10 Years","More than 10 Years"))))</f>
        <v>More than 10 Years</v>
      </c>
      <c r="AD1107">
        <f>ROUND(AVERAGE(EmployeeData[[#This Row],[JobSatisfaction]],EmployeeData[[#This Row],[EnvironmentSatisfaction]],EmployeeData[[#This Row],[WorkLifeBalance]]),2)</f>
        <v>2.33</v>
      </c>
      <c r="AE1107" t="str">
        <f>IF(EmployeeData[[#This Row],[Satisfaction Score]]&lt;2,"Low",IF(EmployeeData[[#This Row],[Satisfaction Score]]&lt;3,"Medium","High"))</f>
        <v>Medium</v>
      </c>
    </row>
    <row r="1108" spans="1:31" x14ac:dyDescent="0.25">
      <c r="A1108" t="s">
        <v>5056</v>
      </c>
      <c r="B1108" t="s">
        <v>5057</v>
      </c>
      <c r="C1108" t="s">
        <v>49</v>
      </c>
      <c r="D1108">
        <v>32</v>
      </c>
      <c r="E1108" t="s">
        <v>5459</v>
      </c>
      <c r="F1108" t="s">
        <v>261</v>
      </c>
      <c r="G1108" s="1">
        <v>46200</v>
      </c>
      <c r="H1108">
        <v>60702</v>
      </c>
      <c r="I1108" t="s">
        <v>42</v>
      </c>
      <c r="J1108" t="s">
        <v>31</v>
      </c>
      <c r="K1108" t="s">
        <v>83</v>
      </c>
      <c r="L1108" t="s">
        <v>62</v>
      </c>
      <c r="M1108">
        <v>2</v>
      </c>
      <c r="N1108" t="s">
        <v>34</v>
      </c>
      <c r="O1108">
        <v>2</v>
      </c>
      <c r="P1108">
        <v>4</v>
      </c>
      <c r="Q1108">
        <v>2</v>
      </c>
      <c r="R1108">
        <v>5</v>
      </c>
      <c r="S1108">
        <v>5</v>
      </c>
      <c r="T1108">
        <v>8</v>
      </c>
      <c r="U1108">
        <v>21</v>
      </c>
      <c r="V1108" t="s">
        <v>5059</v>
      </c>
      <c r="W1108" t="s">
        <v>45</v>
      </c>
      <c r="X1108" s="1">
        <v>46250</v>
      </c>
      <c r="Y1108" s="2" t="str">
        <f>IF(EmployeeData[[#This Row],[Age]]&lt;25,"Under 25",IF(EmployeeData[[#This Row],[Age]]&lt;=34,"25-34",IF(EmployeeData[[#This Row],[Age]]&lt;=44,"35-44",IF(EmployeeData[[#This Row],[Age]]&lt;=54,"45-54","55+"))))</f>
        <v>25-34</v>
      </c>
      <c r="Z1108">
        <f ca="1">DATEDIF(EmployeeData[[#This Row],[DateOfJoining]],IF(AND(EmployeeData[[#This Row],[Attrition]]="Yes",EmployeeData[[#This Row],[LastWorkingDate]]&lt;&gt;""),EmployeeData[[#This Row],[LastWorkingDate]],TODAY()),"Y")</f>
        <v>0</v>
      </c>
      <c r="AA1108" t="str">
        <f>IF(EmployeeData[[#This Row],[MonthlyIncome]]&lt;30000,"Low",IF(EmployeeData[[#This Row],[MonthlyIncome]]&lt;=60000,"Medium",IF(EmployeeData[[#This Row],[MonthlyIncome]]&lt;=100000,"High","Very High")))</f>
        <v>High</v>
      </c>
      <c r="AB1108">
        <f>IF(EmployeeData[[#This Row],[Attrition]]="Yes",1,0)</f>
        <v>1</v>
      </c>
      <c r="AC1108" t="str">
        <f ca="1">IF(EmployeeData[[#This Row],[Tenure Years]]&lt;1,"Less than 1 Year",IF(EmployeeData[[#This Row],[Tenure Years]]&lt;=3,"1-3 Years",IF(EmployeeData[[#This Row],[Tenure Years]]&lt;=5,"4-5 Years",IF(EmployeeData[[#This Row],[Tenure Years]]&lt;=10,"6-10 Years","More than 10 Years"))))</f>
        <v>Less than 1 Year</v>
      </c>
      <c r="AD1108">
        <f>ROUND(AVERAGE(EmployeeData[[#This Row],[JobSatisfaction]],EmployeeData[[#This Row],[EnvironmentSatisfaction]],EmployeeData[[#This Row],[WorkLifeBalance]]),2)</f>
        <v>2.67</v>
      </c>
      <c r="AE1108" t="str">
        <f>IF(EmployeeData[[#This Row],[Satisfaction Score]]&lt;2,"Low",IF(EmployeeData[[#This Row],[Satisfaction Score]]&lt;3,"Medium","High"))</f>
        <v>Medium</v>
      </c>
    </row>
    <row r="1109" spans="1:31" x14ac:dyDescent="0.25">
      <c r="A1109" t="s">
        <v>5060</v>
      </c>
      <c r="B1109" t="s">
        <v>5061</v>
      </c>
      <c r="C1109" t="s">
        <v>58</v>
      </c>
      <c r="D1109">
        <v>35</v>
      </c>
      <c r="E1109" t="s">
        <v>5459</v>
      </c>
      <c r="F1109" t="s">
        <v>483</v>
      </c>
      <c r="G1109" s="1">
        <v>45117</v>
      </c>
      <c r="H1109">
        <v>64753</v>
      </c>
      <c r="I1109" t="s">
        <v>30</v>
      </c>
      <c r="J1109" t="s">
        <v>61</v>
      </c>
      <c r="K1109" t="s">
        <v>106</v>
      </c>
      <c r="L1109" t="s">
        <v>62</v>
      </c>
      <c r="M1109">
        <v>44</v>
      </c>
      <c r="N1109" t="s">
        <v>34</v>
      </c>
      <c r="O1109">
        <v>1</v>
      </c>
      <c r="P1109">
        <v>4</v>
      </c>
      <c r="Q1109">
        <v>2</v>
      </c>
      <c r="R1109">
        <v>3</v>
      </c>
      <c r="S1109">
        <v>5</v>
      </c>
      <c r="T1109">
        <v>7</v>
      </c>
      <c r="U1109">
        <v>15</v>
      </c>
      <c r="V1109" t="s">
        <v>5063</v>
      </c>
      <c r="W1109" t="s">
        <v>45</v>
      </c>
      <c r="X1109" s="1">
        <v>45311</v>
      </c>
      <c r="Y1109" s="2" t="str">
        <f>IF(EmployeeData[[#This Row],[Age]]&lt;25,"Under 25",IF(EmployeeData[[#This Row],[Age]]&lt;=34,"25-34",IF(EmployeeData[[#This Row],[Age]]&lt;=44,"35-44",IF(EmployeeData[[#This Row],[Age]]&lt;=54,"45-54","55+"))))</f>
        <v>35-44</v>
      </c>
      <c r="Z1109">
        <f ca="1">DATEDIF(EmployeeData[[#This Row],[DateOfJoining]],IF(AND(EmployeeData[[#This Row],[Attrition]]="Yes",EmployeeData[[#This Row],[LastWorkingDate]]&lt;&gt;""),EmployeeData[[#This Row],[LastWorkingDate]],TODAY()),"Y")</f>
        <v>0</v>
      </c>
      <c r="AA1109" t="str">
        <f>IF(EmployeeData[[#This Row],[MonthlyIncome]]&lt;30000,"Low",IF(EmployeeData[[#This Row],[MonthlyIncome]]&lt;=60000,"Medium",IF(EmployeeData[[#This Row],[MonthlyIncome]]&lt;=100000,"High","Very High")))</f>
        <v>High</v>
      </c>
      <c r="AB1109">
        <f>IF(EmployeeData[[#This Row],[Attrition]]="Yes",1,0)</f>
        <v>1</v>
      </c>
      <c r="AC1109" t="str">
        <f ca="1">IF(EmployeeData[[#This Row],[Tenure Years]]&lt;1,"Less than 1 Year",IF(EmployeeData[[#This Row],[Tenure Years]]&lt;=3,"1-3 Years",IF(EmployeeData[[#This Row],[Tenure Years]]&lt;=5,"4-5 Years",IF(EmployeeData[[#This Row],[Tenure Years]]&lt;=10,"6-10 Years","More than 10 Years"))))</f>
        <v>Less than 1 Year</v>
      </c>
      <c r="AD1109">
        <f>ROUND(AVERAGE(EmployeeData[[#This Row],[JobSatisfaction]],EmployeeData[[#This Row],[EnvironmentSatisfaction]],EmployeeData[[#This Row],[WorkLifeBalance]]),2)</f>
        <v>2.33</v>
      </c>
      <c r="AE1109" t="str">
        <f>IF(EmployeeData[[#This Row],[Satisfaction Score]]&lt;2,"Low",IF(EmployeeData[[#This Row],[Satisfaction Score]]&lt;3,"Medium","High"))</f>
        <v>Medium</v>
      </c>
    </row>
    <row r="1110" spans="1:31" x14ac:dyDescent="0.25">
      <c r="A1110" t="s">
        <v>5065</v>
      </c>
      <c r="B1110" t="s">
        <v>5066</v>
      </c>
      <c r="C1110" t="s">
        <v>58</v>
      </c>
      <c r="D1110">
        <v>32</v>
      </c>
      <c r="E1110" t="s">
        <v>128</v>
      </c>
      <c r="F1110" t="s">
        <v>271</v>
      </c>
      <c r="G1110" s="1">
        <v>43814</v>
      </c>
      <c r="H1110">
        <v>98129</v>
      </c>
      <c r="I1110" t="s">
        <v>42</v>
      </c>
      <c r="J1110" t="s">
        <v>97</v>
      </c>
      <c r="K1110" t="s">
        <v>77</v>
      </c>
      <c r="L1110" t="s">
        <v>33</v>
      </c>
      <c r="M1110">
        <v>45</v>
      </c>
      <c r="N1110" t="s">
        <v>34</v>
      </c>
      <c r="O1110">
        <v>3</v>
      </c>
      <c r="P1110">
        <v>4</v>
      </c>
      <c r="Q1110">
        <v>1</v>
      </c>
      <c r="R1110">
        <v>3</v>
      </c>
      <c r="S1110">
        <v>6</v>
      </c>
      <c r="T1110">
        <v>3</v>
      </c>
      <c r="U1110">
        <v>17</v>
      </c>
      <c r="V1110" t="s">
        <v>5068</v>
      </c>
      <c r="W1110" t="s">
        <v>34</v>
      </c>
      <c r="Y1110" s="2" t="str">
        <f>IF(EmployeeData[[#This Row],[Age]]&lt;25,"Under 25",IF(EmployeeData[[#This Row],[Age]]&lt;=34,"25-34",IF(EmployeeData[[#This Row],[Age]]&lt;=44,"35-44",IF(EmployeeData[[#This Row],[Age]]&lt;=54,"45-54","55+"))))</f>
        <v>25-34</v>
      </c>
      <c r="Z1110">
        <f ca="1">DATEDIF(EmployeeData[[#This Row],[DateOfJoining]],IF(AND(EmployeeData[[#This Row],[Attrition]]="Yes",EmployeeData[[#This Row],[LastWorkingDate]]&lt;&gt;""),EmployeeData[[#This Row],[LastWorkingDate]],TODAY()),"Y")</f>
        <v>6</v>
      </c>
      <c r="AA1110" t="str">
        <f>IF(EmployeeData[[#This Row],[MonthlyIncome]]&lt;30000,"Low",IF(EmployeeData[[#This Row],[MonthlyIncome]]&lt;=60000,"Medium",IF(EmployeeData[[#This Row],[MonthlyIncome]]&lt;=100000,"High","Very High")))</f>
        <v>High</v>
      </c>
      <c r="AB1110">
        <f>IF(EmployeeData[[#This Row],[Attrition]]="Yes",1,0)</f>
        <v>0</v>
      </c>
      <c r="AC1110" t="str">
        <f ca="1">IF(EmployeeData[[#This Row],[Tenure Years]]&lt;1,"Less than 1 Year",IF(EmployeeData[[#This Row],[Tenure Years]]&lt;=3,"1-3 Years",IF(EmployeeData[[#This Row],[Tenure Years]]&lt;=5,"4-5 Years",IF(EmployeeData[[#This Row],[Tenure Years]]&lt;=10,"6-10 Years","More than 10 Years"))))</f>
        <v>6-10 Years</v>
      </c>
      <c r="AD1110">
        <f>ROUND(AVERAGE(EmployeeData[[#This Row],[JobSatisfaction]],EmployeeData[[#This Row],[EnvironmentSatisfaction]],EmployeeData[[#This Row],[WorkLifeBalance]]),2)</f>
        <v>2.67</v>
      </c>
      <c r="AE1110" t="str">
        <f>IF(EmployeeData[[#This Row],[Satisfaction Score]]&lt;2,"Low",IF(EmployeeData[[#This Row],[Satisfaction Score]]&lt;3,"Medium","High"))</f>
        <v>Medium</v>
      </c>
    </row>
    <row r="1111" spans="1:31" x14ac:dyDescent="0.25">
      <c r="A1111" t="s">
        <v>5069</v>
      </c>
      <c r="B1111" t="s">
        <v>5070</v>
      </c>
      <c r="C1111" t="s">
        <v>49</v>
      </c>
      <c r="D1111">
        <v>35</v>
      </c>
      <c r="E1111" t="s">
        <v>5461</v>
      </c>
      <c r="F1111" t="s">
        <v>5463</v>
      </c>
      <c r="G1111" s="1">
        <v>42537</v>
      </c>
      <c r="H1111">
        <v>141820</v>
      </c>
      <c r="I1111" t="s">
        <v>42</v>
      </c>
      <c r="J1111" t="s">
        <v>31</v>
      </c>
      <c r="K1111" t="s">
        <v>131</v>
      </c>
      <c r="L1111" t="s">
        <v>62</v>
      </c>
      <c r="M1111">
        <v>23</v>
      </c>
      <c r="N1111" t="s">
        <v>34</v>
      </c>
      <c r="O1111">
        <v>4</v>
      </c>
      <c r="P1111">
        <v>3</v>
      </c>
      <c r="Q1111">
        <v>4</v>
      </c>
      <c r="R1111">
        <v>3</v>
      </c>
      <c r="S1111">
        <v>5</v>
      </c>
      <c r="T1111">
        <v>4</v>
      </c>
      <c r="U1111">
        <v>20</v>
      </c>
      <c r="V1111" t="s">
        <v>5073</v>
      </c>
      <c r="W1111" t="s">
        <v>34</v>
      </c>
      <c r="Y1111" s="2" t="str">
        <f>IF(EmployeeData[[#This Row],[Age]]&lt;25,"Under 25",IF(EmployeeData[[#This Row],[Age]]&lt;=34,"25-34",IF(EmployeeData[[#This Row],[Age]]&lt;=44,"35-44",IF(EmployeeData[[#This Row],[Age]]&lt;=54,"45-54","55+"))))</f>
        <v>35-44</v>
      </c>
      <c r="Z1111">
        <f ca="1">DATEDIF(EmployeeData[[#This Row],[DateOfJoining]],IF(AND(EmployeeData[[#This Row],[Attrition]]="Yes",EmployeeData[[#This Row],[LastWorkingDate]]&lt;&gt;""),EmployeeData[[#This Row],[LastWorkingDate]],TODAY()),"Y")</f>
        <v>10</v>
      </c>
      <c r="AA1111" t="str">
        <f>IF(EmployeeData[[#This Row],[MonthlyIncome]]&lt;30000,"Low",IF(EmployeeData[[#This Row],[MonthlyIncome]]&lt;=60000,"Medium",IF(EmployeeData[[#This Row],[MonthlyIncome]]&lt;=100000,"High","Very High")))</f>
        <v>Very High</v>
      </c>
      <c r="AB1111">
        <f>IF(EmployeeData[[#This Row],[Attrition]]="Yes",1,0)</f>
        <v>0</v>
      </c>
      <c r="AC1111" t="str">
        <f ca="1">IF(EmployeeData[[#This Row],[Tenure Years]]&lt;1,"Less than 1 Year",IF(EmployeeData[[#This Row],[Tenure Years]]&lt;=3,"1-3 Years",IF(EmployeeData[[#This Row],[Tenure Years]]&lt;=5,"4-5 Years",IF(EmployeeData[[#This Row],[Tenure Years]]&lt;=10,"6-10 Years","More than 10 Years"))))</f>
        <v>6-10 Years</v>
      </c>
      <c r="AD1111">
        <f>ROUND(AVERAGE(EmployeeData[[#This Row],[JobSatisfaction]],EmployeeData[[#This Row],[EnvironmentSatisfaction]],EmployeeData[[#This Row],[WorkLifeBalance]]),2)</f>
        <v>3.67</v>
      </c>
      <c r="AE1111" t="str">
        <f>IF(EmployeeData[[#This Row],[Satisfaction Score]]&lt;2,"Low",IF(EmployeeData[[#This Row],[Satisfaction Score]]&lt;3,"Medium","High"))</f>
        <v>High</v>
      </c>
    </row>
    <row r="1112" spans="1:31" x14ac:dyDescent="0.25">
      <c r="A1112" t="s">
        <v>5074</v>
      </c>
      <c r="B1112" t="s">
        <v>5075</v>
      </c>
      <c r="C1112" t="s">
        <v>58</v>
      </c>
      <c r="D1112">
        <v>29</v>
      </c>
      <c r="E1112" t="s">
        <v>197</v>
      </c>
      <c r="F1112" t="s">
        <v>323</v>
      </c>
      <c r="G1112" s="1">
        <v>43549</v>
      </c>
      <c r="H1112">
        <v>101106</v>
      </c>
      <c r="I1112" t="s">
        <v>52</v>
      </c>
      <c r="J1112" t="s">
        <v>143</v>
      </c>
      <c r="K1112" t="s">
        <v>32</v>
      </c>
      <c r="L1112" t="s">
        <v>43</v>
      </c>
      <c r="M1112">
        <v>39</v>
      </c>
      <c r="N1112" t="s">
        <v>34</v>
      </c>
      <c r="O1112">
        <v>4</v>
      </c>
      <c r="P1112">
        <v>3</v>
      </c>
      <c r="Q1112">
        <v>1</v>
      </c>
      <c r="R1112">
        <v>3</v>
      </c>
      <c r="S1112">
        <v>5</v>
      </c>
      <c r="T1112">
        <v>3</v>
      </c>
      <c r="U1112">
        <v>17</v>
      </c>
      <c r="V1112" t="s">
        <v>5077</v>
      </c>
      <c r="W1112" t="s">
        <v>34</v>
      </c>
      <c r="Y1112" s="2" t="str">
        <f>IF(EmployeeData[[#This Row],[Age]]&lt;25,"Under 25",IF(EmployeeData[[#This Row],[Age]]&lt;=34,"25-34",IF(EmployeeData[[#This Row],[Age]]&lt;=44,"35-44",IF(EmployeeData[[#This Row],[Age]]&lt;=54,"45-54","55+"))))</f>
        <v>25-34</v>
      </c>
      <c r="Z1112">
        <f ca="1">DATEDIF(EmployeeData[[#This Row],[DateOfJoining]],IF(AND(EmployeeData[[#This Row],[Attrition]]="Yes",EmployeeData[[#This Row],[LastWorkingDate]]&lt;&gt;""),EmployeeData[[#This Row],[LastWorkingDate]],TODAY()),"Y")</f>
        <v>7</v>
      </c>
      <c r="AA1112" t="str">
        <f>IF(EmployeeData[[#This Row],[MonthlyIncome]]&lt;30000,"Low",IF(EmployeeData[[#This Row],[MonthlyIncome]]&lt;=60000,"Medium",IF(EmployeeData[[#This Row],[MonthlyIncome]]&lt;=100000,"High","Very High")))</f>
        <v>Very High</v>
      </c>
      <c r="AB1112">
        <f>IF(EmployeeData[[#This Row],[Attrition]]="Yes",1,0)</f>
        <v>0</v>
      </c>
      <c r="AC1112" t="str">
        <f ca="1">IF(EmployeeData[[#This Row],[Tenure Years]]&lt;1,"Less than 1 Year",IF(EmployeeData[[#This Row],[Tenure Years]]&lt;=3,"1-3 Years",IF(EmployeeData[[#This Row],[Tenure Years]]&lt;=5,"4-5 Years",IF(EmployeeData[[#This Row],[Tenure Years]]&lt;=10,"6-10 Years","More than 10 Years"))))</f>
        <v>6-10 Years</v>
      </c>
      <c r="AD1112">
        <f>ROUND(AVERAGE(EmployeeData[[#This Row],[JobSatisfaction]],EmployeeData[[#This Row],[EnvironmentSatisfaction]],EmployeeData[[#This Row],[WorkLifeBalance]]),2)</f>
        <v>2.67</v>
      </c>
      <c r="AE1112" t="str">
        <f>IF(EmployeeData[[#This Row],[Satisfaction Score]]&lt;2,"Low",IF(EmployeeData[[#This Row],[Satisfaction Score]]&lt;3,"Medium","High"))</f>
        <v>Medium</v>
      </c>
    </row>
    <row r="1113" spans="1:31" x14ac:dyDescent="0.25">
      <c r="A1113" t="s">
        <v>5078</v>
      </c>
      <c r="B1113" t="s">
        <v>2675</v>
      </c>
      <c r="C1113" t="s">
        <v>49</v>
      </c>
      <c r="D1113">
        <v>38</v>
      </c>
      <c r="E1113" t="s">
        <v>128</v>
      </c>
      <c r="F1113" t="s">
        <v>271</v>
      </c>
      <c r="G1113" s="1">
        <v>44565</v>
      </c>
      <c r="H1113">
        <v>67230</v>
      </c>
      <c r="I1113" t="s">
        <v>52</v>
      </c>
      <c r="J1113" t="s">
        <v>61</v>
      </c>
      <c r="K1113" t="s">
        <v>83</v>
      </c>
      <c r="L1113" t="s">
        <v>33</v>
      </c>
      <c r="M1113">
        <v>21</v>
      </c>
      <c r="N1113" t="s">
        <v>34</v>
      </c>
      <c r="O1113">
        <v>3</v>
      </c>
      <c r="P1113">
        <v>3</v>
      </c>
      <c r="Q1113">
        <v>1</v>
      </c>
      <c r="R1113">
        <v>3</v>
      </c>
      <c r="S1113">
        <v>0</v>
      </c>
      <c r="T1113">
        <v>4</v>
      </c>
      <c r="U1113">
        <v>13</v>
      </c>
      <c r="V1113" t="s">
        <v>5080</v>
      </c>
      <c r="W1113" t="s">
        <v>34</v>
      </c>
      <c r="Y1113" s="2" t="str">
        <f>IF(EmployeeData[[#This Row],[Age]]&lt;25,"Under 25",IF(EmployeeData[[#This Row],[Age]]&lt;=34,"25-34",IF(EmployeeData[[#This Row],[Age]]&lt;=44,"35-44",IF(EmployeeData[[#This Row],[Age]]&lt;=54,"45-54","55+"))))</f>
        <v>35-44</v>
      </c>
      <c r="Z1113">
        <f ca="1">DATEDIF(EmployeeData[[#This Row],[DateOfJoining]],IF(AND(EmployeeData[[#This Row],[Attrition]]="Yes",EmployeeData[[#This Row],[LastWorkingDate]]&lt;&gt;""),EmployeeData[[#This Row],[LastWorkingDate]],TODAY()),"Y")</f>
        <v>4</v>
      </c>
      <c r="AA1113" t="str">
        <f>IF(EmployeeData[[#This Row],[MonthlyIncome]]&lt;30000,"Low",IF(EmployeeData[[#This Row],[MonthlyIncome]]&lt;=60000,"Medium",IF(EmployeeData[[#This Row],[MonthlyIncome]]&lt;=100000,"High","Very High")))</f>
        <v>High</v>
      </c>
      <c r="AB1113">
        <f>IF(EmployeeData[[#This Row],[Attrition]]="Yes",1,0)</f>
        <v>0</v>
      </c>
      <c r="AC1113" t="str">
        <f ca="1">IF(EmployeeData[[#This Row],[Tenure Years]]&lt;1,"Less than 1 Year",IF(EmployeeData[[#This Row],[Tenure Years]]&lt;=3,"1-3 Years",IF(EmployeeData[[#This Row],[Tenure Years]]&lt;=5,"4-5 Years",IF(EmployeeData[[#This Row],[Tenure Years]]&lt;=10,"6-10 Years","More than 10 Years"))))</f>
        <v>4-5 Years</v>
      </c>
      <c r="AD1113">
        <f>ROUND(AVERAGE(EmployeeData[[#This Row],[JobSatisfaction]],EmployeeData[[#This Row],[EnvironmentSatisfaction]],EmployeeData[[#This Row],[WorkLifeBalance]]),2)</f>
        <v>2.33</v>
      </c>
      <c r="AE1113" t="str">
        <f>IF(EmployeeData[[#This Row],[Satisfaction Score]]&lt;2,"Low",IF(EmployeeData[[#This Row],[Satisfaction Score]]&lt;3,"Medium","High"))</f>
        <v>Medium</v>
      </c>
    </row>
    <row r="1114" spans="1:31" x14ac:dyDescent="0.25">
      <c r="A1114" t="s">
        <v>5081</v>
      </c>
      <c r="B1114" t="s">
        <v>5082</v>
      </c>
      <c r="C1114" t="s">
        <v>49</v>
      </c>
      <c r="D1114">
        <v>33</v>
      </c>
      <c r="E1114" t="s">
        <v>5459</v>
      </c>
      <c r="F1114" t="s">
        <v>639</v>
      </c>
      <c r="G1114" s="1">
        <v>45503</v>
      </c>
      <c r="H1114">
        <v>101801</v>
      </c>
      <c r="I1114" t="s">
        <v>30</v>
      </c>
      <c r="J1114" t="s">
        <v>5459</v>
      </c>
      <c r="K1114" t="s">
        <v>77</v>
      </c>
      <c r="L1114" t="s">
        <v>43</v>
      </c>
      <c r="M1114">
        <v>28</v>
      </c>
      <c r="N1114" t="s">
        <v>45</v>
      </c>
      <c r="O1114">
        <v>4</v>
      </c>
      <c r="P1114">
        <v>1</v>
      </c>
      <c r="Q1114">
        <v>3</v>
      </c>
      <c r="R1114">
        <v>3</v>
      </c>
      <c r="S1114">
        <v>3</v>
      </c>
      <c r="T1114">
        <v>5</v>
      </c>
      <c r="U1114">
        <v>19</v>
      </c>
      <c r="V1114" t="s">
        <v>5084</v>
      </c>
      <c r="W1114" t="s">
        <v>34</v>
      </c>
      <c r="Y1114" s="2" t="str">
        <f>IF(EmployeeData[[#This Row],[Age]]&lt;25,"Under 25",IF(EmployeeData[[#This Row],[Age]]&lt;=34,"25-34",IF(EmployeeData[[#This Row],[Age]]&lt;=44,"35-44",IF(EmployeeData[[#This Row],[Age]]&lt;=54,"45-54","55+"))))</f>
        <v>25-34</v>
      </c>
      <c r="Z1114">
        <f ca="1">DATEDIF(EmployeeData[[#This Row],[DateOfJoining]],IF(AND(EmployeeData[[#This Row],[Attrition]]="Yes",EmployeeData[[#This Row],[LastWorkingDate]]&lt;&gt;""),EmployeeData[[#This Row],[LastWorkingDate]],TODAY()),"Y")</f>
        <v>2</v>
      </c>
      <c r="AA1114" t="str">
        <f>IF(EmployeeData[[#This Row],[MonthlyIncome]]&lt;30000,"Low",IF(EmployeeData[[#This Row],[MonthlyIncome]]&lt;=60000,"Medium",IF(EmployeeData[[#This Row],[MonthlyIncome]]&lt;=100000,"High","Very High")))</f>
        <v>Very High</v>
      </c>
      <c r="AB1114">
        <f>IF(EmployeeData[[#This Row],[Attrition]]="Yes",1,0)</f>
        <v>0</v>
      </c>
      <c r="AC1114" t="str">
        <f ca="1">IF(EmployeeData[[#This Row],[Tenure Years]]&lt;1,"Less than 1 Year",IF(EmployeeData[[#This Row],[Tenure Years]]&lt;=3,"1-3 Years",IF(EmployeeData[[#This Row],[Tenure Years]]&lt;=5,"4-5 Years",IF(EmployeeData[[#This Row],[Tenure Years]]&lt;=10,"6-10 Years","More than 10 Years"))))</f>
        <v>1-3 Years</v>
      </c>
      <c r="AD1114">
        <f>ROUND(AVERAGE(EmployeeData[[#This Row],[JobSatisfaction]],EmployeeData[[#This Row],[EnvironmentSatisfaction]],EmployeeData[[#This Row],[WorkLifeBalance]]),2)</f>
        <v>2.67</v>
      </c>
      <c r="AE1114" t="str">
        <f>IF(EmployeeData[[#This Row],[Satisfaction Score]]&lt;2,"Low",IF(EmployeeData[[#This Row],[Satisfaction Score]]&lt;3,"Medium","High"))</f>
        <v>Medium</v>
      </c>
    </row>
    <row r="1115" spans="1:31" x14ac:dyDescent="0.25">
      <c r="A1115" t="s">
        <v>5085</v>
      </c>
      <c r="B1115" t="s">
        <v>5086</v>
      </c>
      <c r="C1115" t="s">
        <v>49</v>
      </c>
      <c r="D1115">
        <v>40</v>
      </c>
      <c r="E1115" t="s">
        <v>128</v>
      </c>
      <c r="F1115" t="s">
        <v>123</v>
      </c>
      <c r="G1115" s="1">
        <v>41804</v>
      </c>
      <c r="H1115">
        <v>68224</v>
      </c>
      <c r="I1115" t="s">
        <v>42</v>
      </c>
      <c r="J1115" t="s">
        <v>61</v>
      </c>
      <c r="K1115" t="s">
        <v>83</v>
      </c>
      <c r="L1115" t="s">
        <v>33</v>
      </c>
      <c r="M1115">
        <v>28</v>
      </c>
      <c r="N1115" t="s">
        <v>34</v>
      </c>
      <c r="O1115">
        <v>3</v>
      </c>
      <c r="P1115">
        <v>4</v>
      </c>
      <c r="Q1115">
        <v>2</v>
      </c>
      <c r="R1115">
        <v>4</v>
      </c>
      <c r="S1115">
        <v>3</v>
      </c>
      <c r="T1115">
        <v>2</v>
      </c>
      <c r="U1115">
        <v>24</v>
      </c>
      <c r="V1115" t="s">
        <v>5088</v>
      </c>
      <c r="W1115" t="s">
        <v>34</v>
      </c>
      <c r="Y1115" s="2" t="str">
        <f>IF(EmployeeData[[#This Row],[Age]]&lt;25,"Under 25",IF(EmployeeData[[#This Row],[Age]]&lt;=34,"25-34",IF(EmployeeData[[#This Row],[Age]]&lt;=44,"35-44",IF(EmployeeData[[#This Row],[Age]]&lt;=54,"45-54","55+"))))</f>
        <v>35-44</v>
      </c>
      <c r="Z1115">
        <f ca="1">DATEDIF(EmployeeData[[#This Row],[DateOfJoining]],IF(AND(EmployeeData[[#This Row],[Attrition]]="Yes",EmployeeData[[#This Row],[LastWorkingDate]]&lt;&gt;""),EmployeeData[[#This Row],[LastWorkingDate]],TODAY()),"Y")</f>
        <v>12</v>
      </c>
      <c r="AA1115" t="str">
        <f>IF(EmployeeData[[#This Row],[MonthlyIncome]]&lt;30000,"Low",IF(EmployeeData[[#This Row],[MonthlyIncome]]&lt;=60000,"Medium",IF(EmployeeData[[#This Row],[MonthlyIncome]]&lt;=100000,"High","Very High")))</f>
        <v>High</v>
      </c>
      <c r="AB1115">
        <f>IF(EmployeeData[[#This Row],[Attrition]]="Yes",1,0)</f>
        <v>0</v>
      </c>
      <c r="AC1115" t="str">
        <f ca="1">IF(EmployeeData[[#This Row],[Tenure Years]]&lt;1,"Less than 1 Year",IF(EmployeeData[[#This Row],[Tenure Years]]&lt;=3,"1-3 Years",IF(EmployeeData[[#This Row],[Tenure Years]]&lt;=5,"4-5 Years",IF(EmployeeData[[#This Row],[Tenure Years]]&lt;=10,"6-10 Years","More than 10 Years"))))</f>
        <v>More than 10 Years</v>
      </c>
      <c r="AD1115">
        <f>ROUND(AVERAGE(EmployeeData[[#This Row],[JobSatisfaction]],EmployeeData[[#This Row],[EnvironmentSatisfaction]],EmployeeData[[#This Row],[WorkLifeBalance]]),2)</f>
        <v>3</v>
      </c>
      <c r="AE1115" t="str">
        <f>IF(EmployeeData[[#This Row],[Satisfaction Score]]&lt;2,"Low",IF(EmployeeData[[#This Row],[Satisfaction Score]]&lt;3,"Medium","High"))</f>
        <v>High</v>
      </c>
    </row>
    <row r="1116" spans="1:31" x14ac:dyDescent="0.25">
      <c r="A1116" t="s">
        <v>5089</v>
      </c>
      <c r="B1116" t="s">
        <v>5090</v>
      </c>
      <c r="C1116" t="s">
        <v>49</v>
      </c>
      <c r="D1116">
        <v>46</v>
      </c>
      <c r="E1116" t="s">
        <v>128</v>
      </c>
      <c r="F1116" t="s">
        <v>226</v>
      </c>
      <c r="G1116" s="1">
        <v>41522</v>
      </c>
      <c r="H1116">
        <v>71864</v>
      </c>
      <c r="I1116" t="s">
        <v>30</v>
      </c>
      <c r="J1116" t="s">
        <v>97</v>
      </c>
      <c r="K1116" t="s">
        <v>113</v>
      </c>
      <c r="L1116" t="s">
        <v>62</v>
      </c>
      <c r="M1116">
        <v>9</v>
      </c>
      <c r="N1116" t="s">
        <v>45</v>
      </c>
      <c r="O1116">
        <v>4</v>
      </c>
      <c r="P1116">
        <v>2</v>
      </c>
      <c r="Q1116">
        <v>1</v>
      </c>
      <c r="R1116">
        <v>3</v>
      </c>
      <c r="S1116">
        <v>4</v>
      </c>
      <c r="T1116">
        <v>8</v>
      </c>
      <c r="U1116">
        <v>18</v>
      </c>
      <c r="V1116" t="s">
        <v>5092</v>
      </c>
      <c r="W1116" t="s">
        <v>45</v>
      </c>
      <c r="X1116" s="1">
        <v>46244</v>
      </c>
      <c r="Y1116" s="2" t="str">
        <f>IF(EmployeeData[[#This Row],[Age]]&lt;25,"Under 25",IF(EmployeeData[[#This Row],[Age]]&lt;=34,"25-34",IF(EmployeeData[[#This Row],[Age]]&lt;=44,"35-44",IF(EmployeeData[[#This Row],[Age]]&lt;=54,"45-54","55+"))))</f>
        <v>45-54</v>
      </c>
      <c r="Z1116">
        <f ca="1">DATEDIF(EmployeeData[[#This Row],[DateOfJoining]],IF(AND(EmployeeData[[#This Row],[Attrition]]="Yes",EmployeeData[[#This Row],[LastWorkingDate]]&lt;&gt;""),EmployeeData[[#This Row],[LastWorkingDate]],TODAY()),"Y")</f>
        <v>12</v>
      </c>
      <c r="AA1116" t="str">
        <f>IF(EmployeeData[[#This Row],[MonthlyIncome]]&lt;30000,"Low",IF(EmployeeData[[#This Row],[MonthlyIncome]]&lt;=60000,"Medium",IF(EmployeeData[[#This Row],[MonthlyIncome]]&lt;=100000,"High","Very High")))</f>
        <v>High</v>
      </c>
      <c r="AB1116">
        <f>IF(EmployeeData[[#This Row],[Attrition]]="Yes",1,0)</f>
        <v>1</v>
      </c>
      <c r="AC1116" t="str">
        <f ca="1">IF(EmployeeData[[#This Row],[Tenure Years]]&lt;1,"Less than 1 Year",IF(EmployeeData[[#This Row],[Tenure Years]]&lt;=3,"1-3 Years",IF(EmployeeData[[#This Row],[Tenure Years]]&lt;=5,"4-5 Years",IF(EmployeeData[[#This Row],[Tenure Years]]&lt;=10,"6-10 Years","More than 10 Years"))))</f>
        <v>More than 10 Years</v>
      </c>
      <c r="AD1116">
        <f>ROUND(AVERAGE(EmployeeData[[#This Row],[JobSatisfaction]],EmployeeData[[#This Row],[EnvironmentSatisfaction]],EmployeeData[[#This Row],[WorkLifeBalance]]),2)</f>
        <v>2.33</v>
      </c>
      <c r="AE1116" t="str">
        <f>IF(EmployeeData[[#This Row],[Satisfaction Score]]&lt;2,"Low",IF(EmployeeData[[#This Row],[Satisfaction Score]]&lt;3,"Medium","High"))</f>
        <v>Medium</v>
      </c>
    </row>
    <row r="1117" spans="1:31" x14ac:dyDescent="0.25">
      <c r="A1117" t="s">
        <v>5094</v>
      </c>
      <c r="B1117" t="s">
        <v>5095</v>
      </c>
      <c r="C1117" t="s">
        <v>58</v>
      </c>
      <c r="D1117">
        <v>29</v>
      </c>
      <c r="E1117" t="s">
        <v>94</v>
      </c>
      <c r="F1117" t="s">
        <v>356</v>
      </c>
      <c r="G1117" s="1">
        <v>44492</v>
      </c>
      <c r="H1117">
        <v>101350</v>
      </c>
      <c r="I1117" t="s">
        <v>30</v>
      </c>
      <c r="J1117" t="s">
        <v>143</v>
      </c>
      <c r="K1117" t="s">
        <v>54</v>
      </c>
      <c r="L1117" t="s">
        <v>33</v>
      </c>
      <c r="M1117">
        <v>36</v>
      </c>
      <c r="N1117" t="s">
        <v>45</v>
      </c>
      <c r="O1117">
        <v>2</v>
      </c>
      <c r="P1117">
        <v>2</v>
      </c>
      <c r="Q1117">
        <v>4</v>
      </c>
      <c r="R1117">
        <v>3</v>
      </c>
      <c r="S1117">
        <v>4</v>
      </c>
      <c r="T1117">
        <v>7</v>
      </c>
      <c r="U1117">
        <v>18</v>
      </c>
      <c r="V1117" t="s">
        <v>5097</v>
      </c>
      <c r="W1117" t="s">
        <v>45</v>
      </c>
      <c r="X1117" s="1">
        <v>45319</v>
      </c>
      <c r="Y1117" s="2" t="str">
        <f>IF(EmployeeData[[#This Row],[Age]]&lt;25,"Under 25",IF(EmployeeData[[#This Row],[Age]]&lt;=34,"25-34",IF(EmployeeData[[#This Row],[Age]]&lt;=44,"35-44",IF(EmployeeData[[#This Row],[Age]]&lt;=54,"45-54","55+"))))</f>
        <v>25-34</v>
      </c>
      <c r="Z1117">
        <f ca="1">DATEDIF(EmployeeData[[#This Row],[DateOfJoining]],IF(AND(EmployeeData[[#This Row],[Attrition]]="Yes",EmployeeData[[#This Row],[LastWorkingDate]]&lt;&gt;""),EmployeeData[[#This Row],[LastWorkingDate]],TODAY()),"Y")</f>
        <v>2</v>
      </c>
      <c r="AA1117" t="str">
        <f>IF(EmployeeData[[#This Row],[MonthlyIncome]]&lt;30000,"Low",IF(EmployeeData[[#This Row],[MonthlyIncome]]&lt;=60000,"Medium",IF(EmployeeData[[#This Row],[MonthlyIncome]]&lt;=100000,"High","Very High")))</f>
        <v>Very High</v>
      </c>
      <c r="AB1117">
        <f>IF(EmployeeData[[#This Row],[Attrition]]="Yes",1,0)</f>
        <v>1</v>
      </c>
      <c r="AC1117" t="str">
        <f ca="1">IF(EmployeeData[[#This Row],[Tenure Years]]&lt;1,"Less than 1 Year",IF(EmployeeData[[#This Row],[Tenure Years]]&lt;=3,"1-3 Years",IF(EmployeeData[[#This Row],[Tenure Years]]&lt;=5,"4-5 Years",IF(EmployeeData[[#This Row],[Tenure Years]]&lt;=10,"6-10 Years","More than 10 Years"))))</f>
        <v>1-3 Years</v>
      </c>
      <c r="AD1117">
        <f>ROUND(AVERAGE(EmployeeData[[#This Row],[JobSatisfaction]],EmployeeData[[#This Row],[EnvironmentSatisfaction]],EmployeeData[[#This Row],[WorkLifeBalance]]),2)</f>
        <v>2.67</v>
      </c>
      <c r="AE1117" t="str">
        <f>IF(EmployeeData[[#This Row],[Satisfaction Score]]&lt;2,"Low",IF(EmployeeData[[#This Row],[Satisfaction Score]]&lt;3,"Medium","High"))</f>
        <v>Medium</v>
      </c>
    </row>
    <row r="1118" spans="1:31" x14ac:dyDescent="0.25">
      <c r="A1118" t="s">
        <v>5099</v>
      </c>
      <c r="B1118" t="s">
        <v>5100</v>
      </c>
      <c r="C1118" t="s">
        <v>58</v>
      </c>
      <c r="D1118">
        <v>45</v>
      </c>
      <c r="E1118" t="s">
        <v>27</v>
      </c>
      <c r="F1118" t="s">
        <v>75</v>
      </c>
      <c r="G1118" s="1">
        <v>45858</v>
      </c>
      <c r="H1118">
        <v>58996</v>
      </c>
      <c r="I1118" t="s">
        <v>30</v>
      </c>
      <c r="J1118" t="s">
        <v>61</v>
      </c>
      <c r="K1118" t="s">
        <v>98</v>
      </c>
      <c r="L1118" t="s">
        <v>62</v>
      </c>
      <c r="M1118">
        <v>27</v>
      </c>
      <c r="N1118" t="s">
        <v>45</v>
      </c>
      <c r="O1118">
        <v>1</v>
      </c>
      <c r="P1118">
        <v>2</v>
      </c>
      <c r="Q1118">
        <v>4</v>
      </c>
      <c r="R1118">
        <v>4</v>
      </c>
      <c r="S1118">
        <v>2</v>
      </c>
      <c r="T1118">
        <v>5</v>
      </c>
      <c r="U1118">
        <v>22</v>
      </c>
      <c r="V1118" t="s">
        <v>5101</v>
      </c>
      <c r="W1118" t="s">
        <v>45</v>
      </c>
      <c r="X1118" s="1">
        <v>46184</v>
      </c>
      <c r="Y1118" s="2" t="str">
        <f>IF(EmployeeData[[#This Row],[Age]]&lt;25,"Under 25",IF(EmployeeData[[#This Row],[Age]]&lt;=34,"25-34",IF(EmployeeData[[#This Row],[Age]]&lt;=44,"35-44",IF(EmployeeData[[#This Row],[Age]]&lt;=54,"45-54","55+"))))</f>
        <v>45-54</v>
      </c>
      <c r="Z1118">
        <f ca="1">DATEDIF(EmployeeData[[#This Row],[DateOfJoining]],IF(AND(EmployeeData[[#This Row],[Attrition]]="Yes",EmployeeData[[#This Row],[LastWorkingDate]]&lt;&gt;""),EmployeeData[[#This Row],[LastWorkingDate]],TODAY()),"Y")</f>
        <v>0</v>
      </c>
      <c r="AA1118" t="str">
        <f>IF(EmployeeData[[#This Row],[MonthlyIncome]]&lt;30000,"Low",IF(EmployeeData[[#This Row],[MonthlyIncome]]&lt;=60000,"Medium",IF(EmployeeData[[#This Row],[MonthlyIncome]]&lt;=100000,"High","Very High")))</f>
        <v>Medium</v>
      </c>
      <c r="AB1118">
        <f>IF(EmployeeData[[#This Row],[Attrition]]="Yes",1,0)</f>
        <v>1</v>
      </c>
      <c r="AC1118" t="str">
        <f ca="1">IF(EmployeeData[[#This Row],[Tenure Years]]&lt;1,"Less than 1 Year",IF(EmployeeData[[#This Row],[Tenure Years]]&lt;=3,"1-3 Years",IF(EmployeeData[[#This Row],[Tenure Years]]&lt;=5,"4-5 Years",IF(EmployeeData[[#This Row],[Tenure Years]]&lt;=10,"6-10 Years","More than 10 Years"))))</f>
        <v>Less than 1 Year</v>
      </c>
      <c r="AD1118">
        <f>ROUND(AVERAGE(EmployeeData[[#This Row],[JobSatisfaction]],EmployeeData[[#This Row],[EnvironmentSatisfaction]],EmployeeData[[#This Row],[WorkLifeBalance]]),2)</f>
        <v>2.33</v>
      </c>
      <c r="AE1118" t="str">
        <f>IF(EmployeeData[[#This Row],[Satisfaction Score]]&lt;2,"Low",IF(EmployeeData[[#This Row],[Satisfaction Score]]&lt;3,"Medium","High"))</f>
        <v>Medium</v>
      </c>
    </row>
    <row r="1119" spans="1:31" x14ac:dyDescent="0.25">
      <c r="A1119" t="s">
        <v>5103</v>
      </c>
      <c r="B1119" t="s">
        <v>5104</v>
      </c>
      <c r="C1119" t="s">
        <v>58</v>
      </c>
      <c r="D1119">
        <v>25</v>
      </c>
      <c r="E1119" t="s">
        <v>5461</v>
      </c>
      <c r="F1119" t="s">
        <v>261</v>
      </c>
      <c r="G1119" s="1">
        <v>45503</v>
      </c>
      <c r="H1119">
        <v>105050</v>
      </c>
      <c r="I1119" t="s">
        <v>30</v>
      </c>
      <c r="J1119" t="s">
        <v>61</v>
      </c>
      <c r="K1119" t="s">
        <v>200</v>
      </c>
      <c r="L1119" t="s">
        <v>43</v>
      </c>
      <c r="M1119">
        <v>22</v>
      </c>
      <c r="N1119" t="s">
        <v>34</v>
      </c>
      <c r="O1119">
        <v>1</v>
      </c>
      <c r="P1119">
        <v>4</v>
      </c>
      <c r="Q1119">
        <v>1</v>
      </c>
      <c r="R1119">
        <v>5</v>
      </c>
      <c r="S1119">
        <v>4</v>
      </c>
      <c r="T1119">
        <v>5</v>
      </c>
      <c r="U1119">
        <v>24</v>
      </c>
      <c r="V1119" t="s">
        <v>5106</v>
      </c>
      <c r="W1119" t="s">
        <v>34</v>
      </c>
      <c r="Y1119" s="2" t="str">
        <f>IF(EmployeeData[[#This Row],[Age]]&lt;25,"Under 25",IF(EmployeeData[[#This Row],[Age]]&lt;=34,"25-34",IF(EmployeeData[[#This Row],[Age]]&lt;=44,"35-44",IF(EmployeeData[[#This Row],[Age]]&lt;=54,"45-54","55+"))))</f>
        <v>25-34</v>
      </c>
      <c r="Z1119">
        <f ca="1">DATEDIF(EmployeeData[[#This Row],[DateOfJoining]],IF(AND(EmployeeData[[#This Row],[Attrition]]="Yes",EmployeeData[[#This Row],[LastWorkingDate]]&lt;&gt;""),EmployeeData[[#This Row],[LastWorkingDate]],TODAY()),"Y")</f>
        <v>2</v>
      </c>
      <c r="AA1119" t="str">
        <f>IF(EmployeeData[[#This Row],[MonthlyIncome]]&lt;30000,"Low",IF(EmployeeData[[#This Row],[MonthlyIncome]]&lt;=60000,"Medium",IF(EmployeeData[[#This Row],[MonthlyIncome]]&lt;=100000,"High","Very High")))</f>
        <v>Very High</v>
      </c>
      <c r="AB1119">
        <f>IF(EmployeeData[[#This Row],[Attrition]]="Yes",1,0)</f>
        <v>0</v>
      </c>
      <c r="AC1119" t="str">
        <f ca="1">IF(EmployeeData[[#This Row],[Tenure Years]]&lt;1,"Less than 1 Year",IF(EmployeeData[[#This Row],[Tenure Years]]&lt;=3,"1-3 Years",IF(EmployeeData[[#This Row],[Tenure Years]]&lt;=5,"4-5 Years",IF(EmployeeData[[#This Row],[Tenure Years]]&lt;=10,"6-10 Years","More than 10 Years"))))</f>
        <v>1-3 Years</v>
      </c>
      <c r="AD1119">
        <f>ROUND(AVERAGE(EmployeeData[[#This Row],[JobSatisfaction]],EmployeeData[[#This Row],[EnvironmentSatisfaction]],EmployeeData[[#This Row],[WorkLifeBalance]]),2)</f>
        <v>2</v>
      </c>
      <c r="AE1119" t="str">
        <f>IF(EmployeeData[[#This Row],[Satisfaction Score]]&lt;2,"Low",IF(EmployeeData[[#This Row],[Satisfaction Score]]&lt;3,"Medium","High"))</f>
        <v>Medium</v>
      </c>
    </row>
    <row r="1120" spans="1:31" x14ac:dyDescent="0.25">
      <c r="A1120" t="s">
        <v>5107</v>
      </c>
      <c r="B1120" t="s">
        <v>5108</v>
      </c>
      <c r="C1120" t="s">
        <v>58</v>
      </c>
      <c r="D1120">
        <v>37</v>
      </c>
      <c r="E1120" t="s">
        <v>128</v>
      </c>
      <c r="F1120" t="s">
        <v>123</v>
      </c>
      <c r="G1120" s="1">
        <v>43618</v>
      </c>
      <c r="H1120">
        <v>51682</v>
      </c>
      <c r="I1120" t="s">
        <v>42</v>
      </c>
      <c r="J1120" t="s">
        <v>31</v>
      </c>
      <c r="K1120" t="s">
        <v>113</v>
      </c>
      <c r="L1120" t="s">
        <v>62</v>
      </c>
      <c r="M1120">
        <v>2</v>
      </c>
      <c r="N1120" t="s">
        <v>45</v>
      </c>
      <c r="O1120">
        <v>1</v>
      </c>
      <c r="P1120">
        <v>3</v>
      </c>
      <c r="Q1120">
        <v>1</v>
      </c>
      <c r="R1120">
        <v>2</v>
      </c>
      <c r="S1120">
        <v>3</v>
      </c>
      <c r="T1120">
        <v>6</v>
      </c>
      <c r="U1120">
        <v>16</v>
      </c>
      <c r="V1120" t="s">
        <v>5110</v>
      </c>
      <c r="W1120" t="s">
        <v>45</v>
      </c>
      <c r="X1120" s="1">
        <v>45473</v>
      </c>
      <c r="Y1120" s="2" t="str">
        <f>IF(EmployeeData[[#This Row],[Age]]&lt;25,"Under 25",IF(EmployeeData[[#This Row],[Age]]&lt;=34,"25-34",IF(EmployeeData[[#This Row],[Age]]&lt;=44,"35-44",IF(EmployeeData[[#This Row],[Age]]&lt;=54,"45-54","55+"))))</f>
        <v>35-44</v>
      </c>
      <c r="Z1120">
        <f ca="1">DATEDIF(EmployeeData[[#This Row],[DateOfJoining]],IF(AND(EmployeeData[[#This Row],[Attrition]]="Yes",EmployeeData[[#This Row],[LastWorkingDate]]&lt;&gt;""),EmployeeData[[#This Row],[LastWorkingDate]],TODAY()),"Y")</f>
        <v>5</v>
      </c>
      <c r="AA1120" t="str">
        <f>IF(EmployeeData[[#This Row],[MonthlyIncome]]&lt;30000,"Low",IF(EmployeeData[[#This Row],[MonthlyIncome]]&lt;=60000,"Medium",IF(EmployeeData[[#This Row],[MonthlyIncome]]&lt;=100000,"High","Very High")))</f>
        <v>Medium</v>
      </c>
      <c r="AB1120">
        <f>IF(EmployeeData[[#This Row],[Attrition]]="Yes",1,0)</f>
        <v>1</v>
      </c>
      <c r="AC1120" t="str">
        <f ca="1">IF(EmployeeData[[#This Row],[Tenure Years]]&lt;1,"Less than 1 Year",IF(EmployeeData[[#This Row],[Tenure Years]]&lt;=3,"1-3 Years",IF(EmployeeData[[#This Row],[Tenure Years]]&lt;=5,"4-5 Years",IF(EmployeeData[[#This Row],[Tenure Years]]&lt;=10,"6-10 Years","More than 10 Years"))))</f>
        <v>4-5 Years</v>
      </c>
      <c r="AD1120">
        <f>ROUND(AVERAGE(EmployeeData[[#This Row],[JobSatisfaction]],EmployeeData[[#This Row],[EnvironmentSatisfaction]],EmployeeData[[#This Row],[WorkLifeBalance]]),2)</f>
        <v>1.67</v>
      </c>
      <c r="AE1120" t="str">
        <f>IF(EmployeeData[[#This Row],[Satisfaction Score]]&lt;2,"Low",IF(EmployeeData[[#This Row],[Satisfaction Score]]&lt;3,"Medium","High"))</f>
        <v>Low</v>
      </c>
    </row>
    <row r="1121" spans="1:31" x14ac:dyDescent="0.25">
      <c r="A1121" t="s">
        <v>5112</v>
      </c>
      <c r="B1121" t="s">
        <v>5113</v>
      </c>
      <c r="C1121" t="s">
        <v>49</v>
      </c>
      <c r="D1121">
        <v>35</v>
      </c>
      <c r="E1121" t="s">
        <v>412</v>
      </c>
      <c r="F1121" t="s">
        <v>945</v>
      </c>
      <c r="G1121" s="1">
        <v>40819</v>
      </c>
      <c r="H1121">
        <v>45337</v>
      </c>
      <c r="I1121" t="s">
        <v>30</v>
      </c>
      <c r="J1121" t="s">
        <v>97</v>
      </c>
      <c r="K1121" t="s">
        <v>200</v>
      </c>
      <c r="L1121" t="s">
        <v>43</v>
      </c>
      <c r="M1121">
        <v>2</v>
      </c>
      <c r="N1121" t="s">
        <v>34</v>
      </c>
      <c r="O1121">
        <v>4</v>
      </c>
      <c r="P1121">
        <v>4</v>
      </c>
      <c r="Q1121">
        <v>3</v>
      </c>
      <c r="R1121">
        <v>3</v>
      </c>
      <c r="S1121">
        <v>3</v>
      </c>
      <c r="T1121">
        <v>7</v>
      </c>
      <c r="U1121">
        <v>16</v>
      </c>
      <c r="V1121" t="s">
        <v>5115</v>
      </c>
      <c r="W1121" t="s">
        <v>34</v>
      </c>
      <c r="Y1121" s="2" t="str">
        <f>IF(EmployeeData[[#This Row],[Age]]&lt;25,"Under 25",IF(EmployeeData[[#This Row],[Age]]&lt;=34,"25-34",IF(EmployeeData[[#This Row],[Age]]&lt;=44,"35-44",IF(EmployeeData[[#This Row],[Age]]&lt;=54,"45-54","55+"))))</f>
        <v>35-44</v>
      </c>
      <c r="Z1121">
        <f ca="1">DATEDIF(EmployeeData[[#This Row],[DateOfJoining]],IF(AND(EmployeeData[[#This Row],[Attrition]]="Yes",EmployeeData[[#This Row],[LastWorkingDate]]&lt;&gt;""),EmployeeData[[#This Row],[LastWorkingDate]],TODAY()),"Y")</f>
        <v>14</v>
      </c>
      <c r="AA1121" t="str">
        <f>IF(EmployeeData[[#This Row],[MonthlyIncome]]&lt;30000,"Low",IF(EmployeeData[[#This Row],[MonthlyIncome]]&lt;=60000,"Medium",IF(EmployeeData[[#This Row],[MonthlyIncome]]&lt;=100000,"High","Very High")))</f>
        <v>Medium</v>
      </c>
      <c r="AB1121">
        <f>IF(EmployeeData[[#This Row],[Attrition]]="Yes",1,0)</f>
        <v>0</v>
      </c>
      <c r="AC1121" t="str">
        <f ca="1">IF(EmployeeData[[#This Row],[Tenure Years]]&lt;1,"Less than 1 Year",IF(EmployeeData[[#This Row],[Tenure Years]]&lt;=3,"1-3 Years",IF(EmployeeData[[#This Row],[Tenure Years]]&lt;=5,"4-5 Years",IF(EmployeeData[[#This Row],[Tenure Years]]&lt;=10,"6-10 Years","More than 10 Years"))))</f>
        <v>More than 10 Years</v>
      </c>
      <c r="AD1121">
        <f>ROUND(AVERAGE(EmployeeData[[#This Row],[JobSatisfaction]],EmployeeData[[#This Row],[EnvironmentSatisfaction]],EmployeeData[[#This Row],[WorkLifeBalance]]),2)</f>
        <v>3.67</v>
      </c>
      <c r="AE1121" t="str">
        <f>IF(EmployeeData[[#This Row],[Satisfaction Score]]&lt;2,"Low",IF(EmployeeData[[#This Row],[Satisfaction Score]]&lt;3,"Medium","High"))</f>
        <v>High</v>
      </c>
    </row>
    <row r="1122" spans="1:31" x14ac:dyDescent="0.25">
      <c r="A1122" t="s">
        <v>5116</v>
      </c>
      <c r="B1122" t="s">
        <v>2144</v>
      </c>
      <c r="C1122" t="s">
        <v>49</v>
      </c>
      <c r="D1122">
        <v>37</v>
      </c>
      <c r="E1122" t="s">
        <v>5461</v>
      </c>
      <c r="F1122" t="s">
        <v>5463</v>
      </c>
      <c r="G1122" s="1">
        <v>46106</v>
      </c>
      <c r="H1122">
        <v>103407</v>
      </c>
      <c r="I1122" t="s">
        <v>52</v>
      </c>
      <c r="J1122" t="s">
        <v>31</v>
      </c>
      <c r="K1122" t="s">
        <v>106</v>
      </c>
      <c r="L1122" t="s">
        <v>43</v>
      </c>
      <c r="M1122">
        <v>33</v>
      </c>
      <c r="N1122" t="s">
        <v>45</v>
      </c>
      <c r="O1122">
        <v>3</v>
      </c>
      <c r="P1122">
        <v>4</v>
      </c>
      <c r="Q1122">
        <v>3</v>
      </c>
      <c r="R1122">
        <v>3</v>
      </c>
      <c r="S1122">
        <v>3</v>
      </c>
      <c r="T1122">
        <v>4</v>
      </c>
      <c r="U1122">
        <v>21</v>
      </c>
      <c r="V1122" t="s">
        <v>446</v>
      </c>
      <c r="W1122" t="s">
        <v>45</v>
      </c>
      <c r="X1122" s="1">
        <v>46217</v>
      </c>
      <c r="Y1122" s="2" t="str">
        <f>IF(EmployeeData[[#This Row],[Age]]&lt;25,"Under 25",IF(EmployeeData[[#This Row],[Age]]&lt;=34,"25-34",IF(EmployeeData[[#This Row],[Age]]&lt;=44,"35-44",IF(EmployeeData[[#This Row],[Age]]&lt;=54,"45-54","55+"))))</f>
        <v>35-44</v>
      </c>
      <c r="Z1122">
        <f ca="1">DATEDIF(EmployeeData[[#This Row],[DateOfJoining]],IF(AND(EmployeeData[[#This Row],[Attrition]]="Yes",EmployeeData[[#This Row],[LastWorkingDate]]&lt;&gt;""),EmployeeData[[#This Row],[LastWorkingDate]],TODAY()),"Y")</f>
        <v>0</v>
      </c>
      <c r="AA1122" t="str">
        <f>IF(EmployeeData[[#This Row],[MonthlyIncome]]&lt;30000,"Low",IF(EmployeeData[[#This Row],[MonthlyIncome]]&lt;=60000,"Medium",IF(EmployeeData[[#This Row],[MonthlyIncome]]&lt;=100000,"High","Very High")))</f>
        <v>Very High</v>
      </c>
      <c r="AB1122">
        <f>IF(EmployeeData[[#This Row],[Attrition]]="Yes",1,0)</f>
        <v>1</v>
      </c>
      <c r="AC1122" t="str">
        <f ca="1">IF(EmployeeData[[#This Row],[Tenure Years]]&lt;1,"Less than 1 Year",IF(EmployeeData[[#This Row],[Tenure Years]]&lt;=3,"1-3 Years",IF(EmployeeData[[#This Row],[Tenure Years]]&lt;=5,"4-5 Years",IF(EmployeeData[[#This Row],[Tenure Years]]&lt;=10,"6-10 Years","More than 10 Years"))))</f>
        <v>Less than 1 Year</v>
      </c>
      <c r="AD1122">
        <f>ROUND(AVERAGE(EmployeeData[[#This Row],[JobSatisfaction]],EmployeeData[[#This Row],[EnvironmentSatisfaction]],EmployeeData[[#This Row],[WorkLifeBalance]]),2)</f>
        <v>3.33</v>
      </c>
      <c r="AE1122" t="str">
        <f>IF(EmployeeData[[#This Row],[Satisfaction Score]]&lt;2,"Low",IF(EmployeeData[[#This Row],[Satisfaction Score]]&lt;3,"Medium","High"))</f>
        <v>High</v>
      </c>
    </row>
    <row r="1123" spans="1:31" x14ac:dyDescent="0.25">
      <c r="A1123" t="s">
        <v>5119</v>
      </c>
      <c r="B1123" t="s">
        <v>5120</v>
      </c>
      <c r="C1123" t="s">
        <v>49</v>
      </c>
      <c r="D1123">
        <v>48</v>
      </c>
      <c r="E1123" t="s">
        <v>27</v>
      </c>
      <c r="F1123" t="s">
        <v>75</v>
      </c>
      <c r="G1123" s="1">
        <v>45190</v>
      </c>
      <c r="H1123">
        <v>77611</v>
      </c>
      <c r="I1123" t="s">
        <v>52</v>
      </c>
      <c r="J1123" t="s">
        <v>31</v>
      </c>
      <c r="K1123" t="s">
        <v>200</v>
      </c>
      <c r="L1123" t="s">
        <v>43</v>
      </c>
      <c r="M1123">
        <v>32</v>
      </c>
      <c r="N1123" t="s">
        <v>45</v>
      </c>
      <c r="O1123">
        <v>1</v>
      </c>
      <c r="P1123">
        <v>2</v>
      </c>
      <c r="Q1123">
        <v>2</v>
      </c>
      <c r="R1123">
        <v>3</v>
      </c>
      <c r="S1123">
        <v>5</v>
      </c>
      <c r="T1123">
        <v>1</v>
      </c>
      <c r="U1123">
        <v>14</v>
      </c>
      <c r="V1123" t="s">
        <v>5122</v>
      </c>
      <c r="W1123" t="s">
        <v>45</v>
      </c>
      <c r="X1123" s="1">
        <v>45297</v>
      </c>
      <c r="Y1123" s="2" t="str">
        <f>IF(EmployeeData[[#This Row],[Age]]&lt;25,"Under 25",IF(EmployeeData[[#This Row],[Age]]&lt;=34,"25-34",IF(EmployeeData[[#This Row],[Age]]&lt;=44,"35-44",IF(EmployeeData[[#This Row],[Age]]&lt;=54,"45-54","55+"))))</f>
        <v>45-54</v>
      </c>
      <c r="Z1123">
        <f ca="1">DATEDIF(EmployeeData[[#This Row],[DateOfJoining]],IF(AND(EmployeeData[[#This Row],[Attrition]]="Yes",EmployeeData[[#This Row],[LastWorkingDate]]&lt;&gt;""),EmployeeData[[#This Row],[LastWorkingDate]],TODAY()),"Y")</f>
        <v>0</v>
      </c>
      <c r="AA1123" t="str">
        <f>IF(EmployeeData[[#This Row],[MonthlyIncome]]&lt;30000,"Low",IF(EmployeeData[[#This Row],[MonthlyIncome]]&lt;=60000,"Medium",IF(EmployeeData[[#This Row],[MonthlyIncome]]&lt;=100000,"High","Very High")))</f>
        <v>High</v>
      </c>
      <c r="AB1123">
        <f>IF(EmployeeData[[#This Row],[Attrition]]="Yes",1,0)</f>
        <v>1</v>
      </c>
      <c r="AC1123" t="str">
        <f ca="1">IF(EmployeeData[[#This Row],[Tenure Years]]&lt;1,"Less than 1 Year",IF(EmployeeData[[#This Row],[Tenure Years]]&lt;=3,"1-3 Years",IF(EmployeeData[[#This Row],[Tenure Years]]&lt;=5,"4-5 Years",IF(EmployeeData[[#This Row],[Tenure Years]]&lt;=10,"6-10 Years","More than 10 Years"))))</f>
        <v>Less than 1 Year</v>
      </c>
      <c r="AD1123">
        <f>ROUND(AVERAGE(EmployeeData[[#This Row],[JobSatisfaction]],EmployeeData[[#This Row],[EnvironmentSatisfaction]],EmployeeData[[#This Row],[WorkLifeBalance]]),2)</f>
        <v>1.67</v>
      </c>
      <c r="AE1123" t="str">
        <f>IF(EmployeeData[[#This Row],[Satisfaction Score]]&lt;2,"Low",IF(EmployeeData[[#This Row],[Satisfaction Score]]&lt;3,"Medium","High"))</f>
        <v>Low</v>
      </c>
    </row>
    <row r="1124" spans="1:31" x14ac:dyDescent="0.25">
      <c r="A1124" t="s">
        <v>5124</v>
      </c>
      <c r="B1124" t="s">
        <v>5125</v>
      </c>
      <c r="C1124" t="s">
        <v>49</v>
      </c>
      <c r="D1124">
        <v>28</v>
      </c>
      <c r="E1124" t="s">
        <v>5461</v>
      </c>
      <c r="F1124" t="s">
        <v>89</v>
      </c>
      <c r="G1124" s="1">
        <v>44728</v>
      </c>
      <c r="H1124">
        <v>96238</v>
      </c>
      <c r="I1124" t="s">
        <v>30</v>
      </c>
      <c r="J1124" t="s">
        <v>31</v>
      </c>
      <c r="K1124" t="s">
        <v>5459</v>
      </c>
      <c r="L1124" t="s">
        <v>62</v>
      </c>
      <c r="M1124">
        <v>41</v>
      </c>
      <c r="N1124" t="s">
        <v>34</v>
      </c>
      <c r="O1124">
        <v>1</v>
      </c>
      <c r="P1124">
        <v>2</v>
      </c>
      <c r="Q1124">
        <v>2</v>
      </c>
      <c r="R1124">
        <v>4</v>
      </c>
      <c r="S1124">
        <v>2</v>
      </c>
      <c r="T1124">
        <v>4</v>
      </c>
      <c r="U1124">
        <v>22</v>
      </c>
      <c r="V1124" t="s">
        <v>5127</v>
      </c>
      <c r="W1124" t="s">
        <v>45</v>
      </c>
      <c r="X1124" s="1">
        <v>44883</v>
      </c>
      <c r="Y1124" s="2" t="str">
        <f>IF(EmployeeData[[#This Row],[Age]]&lt;25,"Under 25",IF(EmployeeData[[#This Row],[Age]]&lt;=34,"25-34",IF(EmployeeData[[#This Row],[Age]]&lt;=44,"35-44",IF(EmployeeData[[#This Row],[Age]]&lt;=54,"45-54","55+"))))</f>
        <v>25-34</v>
      </c>
      <c r="Z1124">
        <f ca="1">DATEDIF(EmployeeData[[#This Row],[DateOfJoining]],IF(AND(EmployeeData[[#This Row],[Attrition]]="Yes",EmployeeData[[#This Row],[LastWorkingDate]]&lt;&gt;""),EmployeeData[[#This Row],[LastWorkingDate]],TODAY()),"Y")</f>
        <v>0</v>
      </c>
      <c r="AA1124" t="str">
        <f>IF(EmployeeData[[#This Row],[MonthlyIncome]]&lt;30000,"Low",IF(EmployeeData[[#This Row],[MonthlyIncome]]&lt;=60000,"Medium",IF(EmployeeData[[#This Row],[MonthlyIncome]]&lt;=100000,"High","Very High")))</f>
        <v>High</v>
      </c>
      <c r="AB1124">
        <f>IF(EmployeeData[[#This Row],[Attrition]]="Yes",1,0)</f>
        <v>1</v>
      </c>
      <c r="AC1124" t="str">
        <f ca="1">IF(EmployeeData[[#This Row],[Tenure Years]]&lt;1,"Less than 1 Year",IF(EmployeeData[[#This Row],[Tenure Years]]&lt;=3,"1-3 Years",IF(EmployeeData[[#This Row],[Tenure Years]]&lt;=5,"4-5 Years",IF(EmployeeData[[#This Row],[Tenure Years]]&lt;=10,"6-10 Years","More than 10 Years"))))</f>
        <v>Less than 1 Year</v>
      </c>
      <c r="AD1124">
        <f>ROUND(AVERAGE(EmployeeData[[#This Row],[JobSatisfaction]],EmployeeData[[#This Row],[EnvironmentSatisfaction]],EmployeeData[[#This Row],[WorkLifeBalance]]),2)</f>
        <v>1.67</v>
      </c>
      <c r="AE1124" t="str">
        <f>IF(EmployeeData[[#This Row],[Satisfaction Score]]&lt;2,"Low",IF(EmployeeData[[#This Row],[Satisfaction Score]]&lt;3,"Medium","High"))</f>
        <v>Low</v>
      </c>
    </row>
    <row r="1125" spans="1:31" x14ac:dyDescent="0.25">
      <c r="A1125" t="s">
        <v>5129</v>
      </c>
      <c r="B1125" t="s">
        <v>5130</v>
      </c>
      <c r="C1125" t="s">
        <v>58</v>
      </c>
      <c r="D1125">
        <v>38</v>
      </c>
      <c r="E1125" t="s">
        <v>128</v>
      </c>
      <c r="F1125" t="s">
        <v>271</v>
      </c>
      <c r="G1125" s="1">
        <v>44987</v>
      </c>
      <c r="H1125">
        <v>58844</v>
      </c>
      <c r="I1125" t="s">
        <v>42</v>
      </c>
      <c r="J1125" t="s">
        <v>31</v>
      </c>
      <c r="K1125" t="s">
        <v>54</v>
      </c>
      <c r="L1125" t="s">
        <v>33</v>
      </c>
      <c r="M1125">
        <v>41</v>
      </c>
      <c r="N1125" t="s">
        <v>34</v>
      </c>
      <c r="O1125">
        <v>2</v>
      </c>
      <c r="P1125">
        <v>4</v>
      </c>
      <c r="Q1125">
        <v>4</v>
      </c>
      <c r="R1125">
        <v>4</v>
      </c>
      <c r="S1125">
        <v>6</v>
      </c>
      <c r="T1125">
        <v>7</v>
      </c>
      <c r="U1125">
        <v>11</v>
      </c>
      <c r="V1125" t="s">
        <v>5131</v>
      </c>
      <c r="W1125" t="s">
        <v>34</v>
      </c>
      <c r="Y1125" s="2" t="str">
        <f>IF(EmployeeData[[#This Row],[Age]]&lt;25,"Under 25",IF(EmployeeData[[#This Row],[Age]]&lt;=34,"25-34",IF(EmployeeData[[#This Row],[Age]]&lt;=44,"35-44",IF(EmployeeData[[#This Row],[Age]]&lt;=54,"45-54","55+"))))</f>
        <v>35-44</v>
      </c>
      <c r="Z1125">
        <f ca="1">DATEDIF(EmployeeData[[#This Row],[DateOfJoining]],IF(AND(EmployeeData[[#This Row],[Attrition]]="Yes",EmployeeData[[#This Row],[LastWorkingDate]]&lt;&gt;""),EmployeeData[[#This Row],[LastWorkingDate]],TODAY()),"Y")</f>
        <v>3</v>
      </c>
      <c r="AA1125" t="str">
        <f>IF(EmployeeData[[#This Row],[MonthlyIncome]]&lt;30000,"Low",IF(EmployeeData[[#This Row],[MonthlyIncome]]&lt;=60000,"Medium",IF(EmployeeData[[#This Row],[MonthlyIncome]]&lt;=100000,"High","Very High")))</f>
        <v>Medium</v>
      </c>
      <c r="AB1125">
        <f>IF(EmployeeData[[#This Row],[Attrition]]="Yes",1,0)</f>
        <v>0</v>
      </c>
      <c r="AC1125" t="str">
        <f ca="1">IF(EmployeeData[[#This Row],[Tenure Years]]&lt;1,"Less than 1 Year",IF(EmployeeData[[#This Row],[Tenure Years]]&lt;=3,"1-3 Years",IF(EmployeeData[[#This Row],[Tenure Years]]&lt;=5,"4-5 Years",IF(EmployeeData[[#This Row],[Tenure Years]]&lt;=10,"6-10 Years","More than 10 Years"))))</f>
        <v>1-3 Years</v>
      </c>
      <c r="AD1125">
        <f>ROUND(AVERAGE(EmployeeData[[#This Row],[JobSatisfaction]],EmployeeData[[#This Row],[EnvironmentSatisfaction]],EmployeeData[[#This Row],[WorkLifeBalance]]),2)</f>
        <v>3.33</v>
      </c>
      <c r="AE1125" t="str">
        <f>IF(EmployeeData[[#This Row],[Satisfaction Score]]&lt;2,"Low",IF(EmployeeData[[#This Row],[Satisfaction Score]]&lt;3,"Medium","High"))</f>
        <v>High</v>
      </c>
    </row>
    <row r="1126" spans="1:31" x14ac:dyDescent="0.25">
      <c r="A1126" t="s">
        <v>5132</v>
      </c>
      <c r="B1126" t="s">
        <v>5133</v>
      </c>
      <c r="C1126" t="s">
        <v>58</v>
      </c>
      <c r="D1126">
        <v>44</v>
      </c>
      <c r="E1126" t="s">
        <v>27</v>
      </c>
      <c r="F1126" t="s">
        <v>59</v>
      </c>
      <c r="G1126" s="1">
        <v>45277</v>
      </c>
      <c r="H1126">
        <v>57316</v>
      </c>
      <c r="I1126" t="s">
        <v>52</v>
      </c>
      <c r="J1126" t="s">
        <v>53</v>
      </c>
      <c r="K1126" t="s">
        <v>131</v>
      </c>
      <c r="L1126" t="s">
        <v>33</v>
      </c>
      <c r="M1126">
        <v>26</v>
      </c>
      <c r="N1126" t="s">
        <v>45</v>
      </c>
      <c r="O1126">
        <v>1</v>
      </c>
      <c r="P1126">
        <v>3</v>
      </c>
      <c r="Q1126">
        <v>4</v>
      </c>
      <c r="R1126">
        <v>4</v>
      </c>
      <c r="S1126">
        <v>0</v>
      </c>
      <c r="T1126">
        <v>3</v>
      </c>
      <c r="U1126">
        <v>18</v>
      </c>
      <c r="V1126" t="s">
        <v>5135</v>
      </c>
      <c r="W1126" t="s">
        <v>45</v>
      </c>
      <c r="X1126" s="1">
        <v>45669</v>
      </c>
      <c r="Y1126" s="2" t="str">
        <f>IF(EmployeeData[[#This Row],[Age]]&lt;25,"Under 25",IF(EmployeeData[[#This Row],[Age]]&lt;=34,"25-34",IF(EmployeeData[[#This Row],[Age]]&lt;=44,"35-44",IF(EmployeeData[[#This Row],[Age]]&lt;=54,"45-54","55+"))))</f>
        <v>35-44</v>
      </c>
      <c r="Z1126">
        <f ca="1">DATEDIF(EmployeeData[[#This Row],[DateOfJoining]],IF(AND(EmployeeData[[#This Row],[Attrition]]="Yes",EmployeeData[[#This Row],[LastWorkingDate]]&lt;&gt;""),EmployeeData[[#This Row],[LastWorkingDate]],TODAY()),"Y")</f>
        <v>1</v>
      </c>
      <c r="AA1126" t="str">
        <f>IF(EmployeeData[[#This Row],[MonthlyIncome]]&lt;30000,"Low",IF(EmployeeData[[#This Row],[MonthlyIncome]]&lt;=60000,"Medium",IF(EmployeeData[[#This Row],[MonthlyIncome]]&lt;=100000,"High","Very High")))</f>
        <v>Medium</v>
      </c>
      <c r="AB1126">
        <f>IF(EmployeeData[[#This Row],[Attrition]]="Yes",1,0)</f>
        <v>1</v>
      </c>
      <c r="AC1126" t="str">
        <f ca="1">IF(EmployeeData[[#This Row],[Tenure Years]]&lt;1,"Less than 1 Year",IF(EmployeeData[[#This Row],[Tenure Years]]&lt;=3,"1-3 Years",IF(EmployeeData[[#This Row],[Tenure Years]]&lt;=5,"4-5 Years",IF(EmployeeData[[#This Row],[Tenure Years]]&lt;=10,"6-10 Years","More than 10 Years"))))</f>
        <v>1-3 Years</v>
      </c>
      <c r="AD1126">
        <f>ROUND(AVERAGE(EmployeeData[[#This Row],[JobSatisfaction]],EmployeeData[[#This Row],[EnvironmentSatisfaction]],EmployeeData[[#This Row],[WorkLifeBalance]]),2)</f>
        <v>2.67</v>
      </c>
      <c r="AE1126" t="str">
        <f>IF(EmployeeData[[#This Row],[Satisfaction Score]]&lt;2,"Low",IF(EmployeeData[[#This Row],[Satisfaction Score]]&lt;3,"Medium","High"))</f>
        <v>Medium</v>
      </c>
    </row>
    <row r="1127" spans="1:31" x14ac:dyDescent="0.25">
      <c r="A1127" t="s">
        <v>5137</v>
      </c>
      <c r="B1127" t="s">
        <v>5459</v>
      </c>
      <c r="C1127" t="s">
        <v>58</v>
      </c>
      <c r="D1127">
        <v>39</v>
      </c>
      <c r="E1127" t="s">
        <v>197</v>
      </c>
      <c r="F1127" t="s">
        <v>235</v>
      </c>
      <c r="G1127" s="1">
        <v>41033</v>
      </c>
      <c r="H1127">
        <v>113662</v>
      </c>
      <c r="I1127" t="s">
        <v>30</v>
      </c>
      <c r="J1127" t="s">
        <v>31</v>
      </c>
      <c r="K1127" t="s">
        <v>167</v>
      </c>
      <c r="L1127" t="s">
        <v>33</v>
      </c>
      <c r="M1127">
        <v>2</v>
      </c>
      <c r="N1127" t="s">
        <v>45</v>
      </c>
      <c r="O1127">
        <v>3</v>
      </c>
      <c r="P1127">
        <v>4</v>
      </c>
      <c r="Q1127">
        <v>4</v>
      </c>
      <c r="R1127">
        <v>3</v>
      </c>
      <c r="S1127">
        <v>6</v>
      </c>
      <c r="T1127">
        <v>4</v>
      </c>
      <c r="U1127">
        <v>15</v>
      </c>
      <c r="V1127" t="s">
        <v>5139</v>
      </c>
      <c r="W1127" t="s">
        <v>34</v>
      </c>
      <c r="Y1127" s="2" t="str">
        <f>IF(EmployeeData[[#This Row],[Age]]&lt;25,"Under 25",IF(EmployeeData[[#This Row],[Age]]&lt;=34,"25-34",IF(EmployeeData[[#This Row],[Age]]&lt;=44,"35-44",IF(EmployeeData[[#This Row],[Age]]&lt;=54,"45-54","55+"))))</f>
        <v>35-44</v>
      </c>
      <c r="Z1127">
        <f ca="1">DATEDIF(EmployeeData[[#This Row],[DateOfJoining]],IF(AND(EmployeeData[[#This Row],[Attrition]]="Yes",EmployeeData[[#This Row],[LastWorkingDate]]&lt;&gt;""),EmployeeData[[#This Row],[LastWorkingDate]],TODAY()),"Y")</f>
        <v>14</v>
      </c>
      <c r="AA1127" t="str">
        <f>IF(EmployeeData[[#This Row],[MonthlyIncome]]&lt;30000,"Low",IF(EmployeeData[[#This Row],[MonthlyIncome]]&lt;=60000,"Medium",IF(EmployeeData[[#This Row],[MonthlyIncome]]&lt;=100000,"High","Very High")))</f>
        <v>Very High</v>
      </c>
      <c r="AB1127">
        <f>IF(EmployeeData[[#This Row],[Attrition]]="Yes",1,0)</f>
        <v>0</v>
      </c>
      <c r="AC1127" t="str">
        <f ca="1">IF(EmployeeData[[#This Row],[Tenure Years]]&lt;1,"Less than 1 Year",IF(EmployeeData[[#This Row],[Tenure Years]]&lt;=3,"1-3 Years",IF(EmployeeData[[#This Row],[Tenure Years]]&lt;=5,"4-5 Years",IF(EmployeeData[[#This Row],[Tenure Years]]&lt;=10,"6-10 Years","More than 10 Years"))))</f>
        <v>More than 10 Years</v>
      </c>
      <c r="AD1127">
        <f>ROUND(AVERAGE(EmployeeData[[#This Row],[JobSatisfaction]],EmployeeData[[#This Row],[EnvironmentSatisfaction]],EmployeeData[[#This Row],[WorkLifeBalance]]),2)</f>
        <v>3.67</v>
      </c>
      <c r="AE1127" t="str">
        <f>IF(EmployeeData[[#This Row],[Satisfaction Score]]&lt;2,"Low",IF(EmployeeData[[#This Row],[Satisfaction Score]]&lt;3,"Medium","High"))</f>
        <v>High</v>
      </c>
    </row>
    <row r="1128" spans="1:31" x14ac:dyDescent="0.25">
      <c r="A1128" t="s">
        <v>5140</v>
      </c>
      <c r="B1128" t="s">
        <v>5141</v>
      </c>
      <c r="C1128" t="s">
        <v>58</v>
      </c>
      <c r="D1128">
        <v>30</v>
      </c>
      <c r="E1128" t="s">
        <v>27</v>
      </c>
      <c r="F1128" t="s">
        <v>59</v>
      </c>
      <c r="G1128" s="1">
        <v>40947</v>
      </c>
      <c r="H1128">
        <v>96270</v>
      </c>
      <c r="I1128" t="s">
        <v>42</v>
      </c>
      <c r="J1128" t="s">
        <v>143</v>
      </c>
      <c r="K1128" t="s">
        <v>167</v>
      </c>
      <c r="L1128" t="s">
        <v>33</v>
      </c>
      <c r="M1128">
        <v>7</v>
      </c>
      <c r="N1128" t="s">
        <v>45</v>
      </c>
      <c r="O1128">
        <v>2</v>
      </c>
      <c r="P1128">
        <v>2</v>
      </c>
      <c r="Q1128">
        <v>4</v>
      </c>
      <c r="R1128">
        <v>3</v>
      </c>
      <c r="S1128">
        <v>1</v>
      </c>
      <c r="T1128">
        <v>0</v>
      </c>
      <c r="U1128">
        <v>24</v>
      </c>
      <c r="V1128" t="s">
        <v>5144</v>
      </c>
      <c r="W1128" t="s">
        <v>45</v>
      </c>
      <c r="X1128" s="1">
        <v>41999</v>
      </c>
      <c r="Y1128" s="2" t="str">
        <f>IF(EmployeeData[[#This Row],[Age]]&lt;25,"Under 25",IF(EmployeeData[[#This Row],[Age]]&lt;=34,"25-34",IF(EmployeeData[[#This Row],[Age]]&lt;=44,"35-44",IF(EmployeeData[[#This Row],[Age]]&lt;=54,"45-54","55+"))))</f>
        <v>25-34</v>
      </c>
      <c r="Z1128">
        <f ca="1">DATEDIF(EmployeeData[[#This Row],[DateOfJoining]],IF(AND(EmployeeData[[#This Row],[Attrition]]="Yes",EmployeeData[[#This Row],[LastWorkingDate]]&lt;&gt;""),EmployeeData[[#This Row],[LastWorkingDate]],TODAY()),"Y")</f>
        <v>2</v>
      </c>
      <c r="AA1128" t="str">
        <f>IF(EmployeeData[[#This Row],[MonthlyIncome]]&lt;30000,"Low",IF(EmployeeData[[#This Row],[MonthlyIncome]]&lt;=60000,"Medium",IF(EmployeeData[[#This Row],[MonthlyIncome]]&lt;=100000,"High","Very High")))</f>
        <v>High</v>
      </c>
      <c r="AB1128">
        <f>IF(EmployeeData[[#This Row],[Attrition]]="Yes",1,0)</f>
        <v>1</v>
      </c>
      <c r="AC1128" t="str">
        <f ca="1">IF(EmployeeData[[#This Row],[Tenure Years]]&lt;1,"Less than 1 Year",IF(EmployeeData[[#This Row],[Tenure Years]]&lt;=3,"1-3 Years",IF(EmployeeData[[#This Row],[Tenure Years]]&lt;=5,"4-5 Years",IF(EmployeeData[[#This Row],[Tenure Years]]&lt;=10,"6-10 Years","More than 10 Years"))))</f>
        <v>1-3 Years</v>
      </c>
      <c r="AD1128">
        <f>ROUND(AVERAGE(EmployeeData[[#This Row],[JobSatisfaction]],EmployeeData[[#This Row],[EnvironmentSatisfaction]],EmployeeData[[#This Row],[WorkLifeBalance]]),2)</f>
        <v>2.67</v>
      </c>
      <c r="AE1128" t="str">
        <f>IF(EmployeeData[[#This Row],[Satisfaction Score]]&lt;2,"Low",IF(EmployeeData[[#This Row],[Satisfaction Score]]&lt;3,"Medium","High"))</f>
        <v>Medium</v>
      </c>
    </row>
    <row r="1129" spans="1:31" x14ac:dyDescent="0.25">
      <c r="A1129" t="s">
        <v>5146</v>
      </c>
      <c r="B1129" t="s">
        <v>5147</v>
      </c>
      <c r="C1129" t="s">
        <v>49</v>
      </c>
      <c r="D1129">
        <v>44</v>
      </c>
      <c r="E1129" t="s">
        <v>412</v>
      </c>
      <c r="F1129" t="s">
        <v>945</v>
      </c>
      <c r="G1129" s="1">
        <v>44086</v>
      </c>
      <c r="H1129">
        <v>72470</v>
      </c>
      <c r="I1129" t="s">
        <v>52</v>
      </c>
      <c r="J1129" t="s">
        <v>31</v>
      </c>
      <c r="K1129" t="s">
        <v>200</v>
      </c>
      <c r="L1129" t="s">
        <v>62</v>
      </c>
      <c r="M1129">
        <v>23</v>
      </c>
      <c r="N1129" t="s">
        <v>34</v>
      </c>
      <c r="O1129">
        <v>3</v>
      </c>
      <c r="P1129">
        <v>3</v>
      </c>
      <c r="Q1129">
        <v>1</v>
      </c>
      <c r="R1129">
        <v>1</v>
      </c>
      <c r="S1129">
        <v>0</v>
      </c>
      <c r="T1129">
        <v>4</v>
      </c>
      <c r="U1129">
        <v>11</v>
      </c>
      <c r="V1129" t="s">
        <v>5149</v>
      </c>
      <c r="W1129" t="s">
        <v>34</v>
      </c>
      <c r="Y1129" s="2" t="str">
        <f>IF(EmployeeData[[#This Row],[Age]]&lt;25,"Under 25",IF(EmployeeData[[#This Row],[Age]]&lt;=34,"25-34",IF(EmployeeData[[#This Row],[Age]]&lt;=44,"35-44",IF(EmployeeData[[#This Row],[Age]]&lt;=54,"45-54","55+"))))</f>
        <v>35-44</v>
      </c>
      <c r="Z1129">
        <f ca="1">DATEDIF(EmployeeData[[#This Row],[DateOfJoining]],IF(AND(EmployeeData[[#This Row],[Attrition]]="Yes",EmployeeData[[#This Row],[LastWorkingDate]]&lt;&gt;""),EmployeeData[[#This Row],[LastWorkingDate]],TODAY()),"Y")</f>
        <v>5</v>
      </c>
      <c r="AA1129" t="str">
        <f>IF(EmployeeData[[#This Row],[MonthlyIncome]]&lt;30000,"Low",IF(EmployeeData[[#This Row],[MonthlyIncome]]&lt;=60000,"Medium",IF(EmployeeData[[#This Row],[MonthlyIncome]]&lt;=100000,"High","Very High")))</f>
        <v>High</v>
      </c>
      <c r="AB1129">
        <f>IF(EmployeeData[[#This Row],[Attrition]]="Yes",1,0)</f>
        <v>0</v>
      </c>
      <c r="AC1129" t="str">
        <f ca="1">IF(EmployeeData[[#This Row],[Tenure Years]]&lt;1,"Less than 1 Year",IF(EmployeeData[[#This Row],[Tenure Years]]&lt;=3,"1-3 Years",IF(EmployeeData[[#This Row],[Tenure Years]]&lt;=5,"4-5 Years",IF(EmployeeData[[#This Row],[Tenure Years]]&lt;=10,"6-10 Years","More than 10 Years"))))</f>
        <v>4-5 Years</v>
      </c>
      <c r="AD1129">
        <f>ROUND(AVERAGE(EmployeeData[[#This Row],[JobSatisfaction]],EmployeeData[[#This Row],[EnvironmentSatisfaction]],EmployeeData[[#This Row],[WorkLifeBalance]]),2)</f>
        <v>2.33</v>
      </c>
      <c r="AE1129" t="str">
        <f>IF(EmployeeData[[#This Row],[Satisfaction Score]]&lt;2,"Low",IF(EmployeeData[[#This Row],[Satisfaction Score]]&lt;3,"Medium","High"))</f>
        <v>Medium</v>
      </c>
    </row>
    <row r="1130" spans="1:31" x14ac:dyDescent="0.25">
      <c r="A1130" t="s">
        <v>5150</v>
      </c>
      <c r="B1130" t="s">
        <v>5151</v>
      </c>
      <c r="C1130" t="s">
        <v>49</v>
      </c>
      <c r="D1130">
        <v>19</v>
      </c>
      <c r="E1130" t="s">
        <v>197</v>
      </c>
      <c r="F1130" t="s">
        <v>235</v>
      </c>
      <c r="G1130" s="1">
        <v>43937</v>
      </c>
      <c r="H1130">
        <v>67553</v>
      </c>
      <c r="I1130" t="s">
        <v>30</v>
      </c>
      <c r="J1130" t="s">
        <v>61</v>
      </c>
      <c r="K1130" t="s">
        <v>200</v>
      </c>
      <c r="L1130" t="s">
        <v>33</v>
      </c>
      <c r="M1130">
        <v>23</v>
      </c>
      <c r="N1130" t="s">
        <v>34</v>
      </c>
      <c r="O1130">
        <v>1</v>
      </c>
      <c r="P1130">
        <v>4</v>
      </c>
      <c r="Q1130">
        <v>1</v>
      </c>
      <c r="R1130">
        <v>3</v>
      </c>
      <c r="S1130">
        <v>5</v>
      </c>
      <c r="T1130">
        <v>4</v>
      </c>
      <c r="U1130">
        <v>24</v>
      </c>
      <c r="V1130" t="s">
        <v>5153</v>
      </c>
      <c r="W1130" t="s">
        <v>45</v>
      </c>
      <c r="X1130" s="1">
        <v>44042</v>
      </c>
      <c r="Y1130" s="2" t="str">
        <f>IF(EmployeeData[[#This Row],[Age]]&lt;25,"Under 25",IF(EmployeeData[[#This Row],[Age]]&lt;=34,"25-34",IF(EmployeeData[[#This Row],[Age]]&lt;=44,"35-44",IF(EmployeeData[[#This Row],[Age]]&lt;=54,"45-54","55+"))))</f>
        <v>Under 25</v>
      </c>
      <c r="Z1130">
        <f ca="1">DATEDIF(EmployeeData[[#This Row],[DateOfJoining]],IF(AND(EmployeeData[[#This Row],[Attrition]]="Yes",EmployeeData[[#This Row],[LastWorkingDate]]&lt;&gt;""),EmployeeData[[#This Row],[LastWorkingDate]],TODAY()),"Y")</f>
        <v>0</v>
      </c>
      <c r="AA1130" t="str">
        <f>IF(EmployeeData[[#This Row],[MonthlyIncome]]&lt;30000,"Low",IF(EmployeeData[[#This Row],[MonthlyIncome]]&lt;=60000,"Medium",IF(EmployeeData[[#This Row],[MonthlyIncome]]&lt;=100000,"High","Very High")))</f>
        <v>High</v>
      </c>
      <c r="AB1130">
        <f>IF(EmployeeData[[#This Row],[Attrition]]="Yes",1,0)</f>
        <v>1</v>
      </c>
      <c r="AC1130" t="str">
        <f ca="1">IF(EmployeeData[[#This Row],[Tenure Years]]&lt;1,"Less than 1 Year",IF(EmployeeData[[#This Row],[Tenure Years]]&lt;=3,"1-3 Years",IF(EmployeeData[[#This Row],[Tenure Years]]&lt;=5,"4-5 Years",IF(EmployeeData[[#This Row],[Tenure Years]]&lt;=10,"6-10 Years","More than 10 Years"))))</f>
        <v>Less than 1 Year</v>
      </c>
      <c r="AD1130">
        <f>ROUND(AVERAGE(EmployeeData[[#This Row],[JobSatisfaction]],EmployeeData[[#This Row],[EnvironmentSatisfaction]],EmployeeData[[#This Row],[WorkLifeBalance]]),2)</f>
        <v>2</v>
      </c>
      <c r="AE1130" t="str">
        <f>IF(EmployeeData[[#This Row],[Satisfaction Score]]&lt;2,"Low",IF(EmployeeData[[#This Row],[Satisfaction Score]]&lt;3,"Medium","High"))</f>
        <v>Medium</v>
      </c>
    </row>
    <row r="1131" spans="1:31" x14ac:dyDescent="0.25">
      <c r="A1131" t="s">
        <v>5155</v>
      </c>
      <c r="B1131" t="s">
        <v>5156</v>
      </c>
      <c r="C1131" t="s">
        <v>58</v>
      </c>
      <c r="D1131">
        <v>32</v>
      </c>
      <c r="E1131" t="s">
        <v>94</v>
      </c>
      <c r="F1131" t="s">
        <v>266</v>
      </c>
      <c r="G1131" s="1">
        <v>45871</v>
      </c>
      <c r="H1131">
        <v>116484</v>
      </c>
      <c r="I1131" t="s">
        <v>42</v>
      </c>
      <c r="J1131" t="s">
        <v>61</v>
      </c>
      <c r="K1131" t="s">
        <v>167</v>
      </c>
      <c r="L1131" t="s">
        <v>33</v>
      </c>
      <c r="M1131">
        <v>39</v>
      </c>
      <c r="N1131" t="s">
        <v>34</v>
      </c>
      <c r="O1131">
        <v>3</v>
      </c>
      <c r="P1131">
        <v>4</v>
      </c>
      <c r="Q1131">
        <v>2</v>
      </c>
      <c r="R1131">
        <v>5</v>
      </c>
      <c r="S1131">
        <v>6</v>
      </c>
      <c r="T1131">
        <v>5</v>
      </c>
      <c r="U1131">
        <v>24</v>
      </c>
      <c r="V1131" t="s">
        <v>5459</v>
      </c>
      <c r="W1131" t="s">
        <v>45</v>
      </c>
      <c r="X1131" s="1">
        <v>46218</v>
      </c>
      <c r="Y1131" s="2" t="str">
        <f>IF(EmployeeData[[#This Row],[Age]]&lt;25,"Under 25",IF(EmployeeData[[#This Row],[Age]]&lt;=34,"25-34",IF(EmployeeData[[#This Row],[Age]]&lt;=44,"35-44",IF(EmployeeData[[#This Row],[Age]]&lt;=54,"45-54","55+"))))</f>
        <v>25-34</v>
      </c>
      <c r="Z1131">
        <f ca="1">DATEDIF(EmployeeData[[#This Row],[DateOfJoining]],IF(AND(EmployeeData[[#This Row],[Attrition]]="Yes",EmployeeData[[#This Row],[LastWorkingDate]]&lt;&gt;""),EmployeeData[[#This Row],[LastWorkingDate]],TODAY()),"Y")</f>
        <v>0</v>
      </c>
      <c r="AA1131" t="str">
        <f>IF(EmployeeData[[#This Row],[MonthlyIncome]]&lt;30000,"Low",IF(EmployeeData[[#This Row],[MonthlyIncome]]&lt;=60000,"Medium",IF(EmployeeData[[#This Row],[MonthlyIncome]]&lt;=100000,"High","Very High")))</f>
        <v>Very High</v>
      </c>
      <c r="AB1131">
        <f>IF(EmployeeData[[#This Row],[Attrition]]="Yes",1,0)</f>
        <v>1</v>
      </c>
      <c r="AC1131" t="str">
        <f ca="1">IF(EmployeeData[[#This Row],[Tenure Years]]&lt;1,"Less than 1 Year",IF(EmployeeData[[#This Row],[Tenure Years]]&lt;=3,"1-3 Years",IF(EmployeeData[[#This Row],[Tenure Years]]&lt;=5,"4-5 Years",IF(EmployeeData[[#This Row],[Tenure Years]]&lt;=10,"6-10 Years","More than 10 Years"))))</f>
        <v>Less than 1 Year</v>
      </c>
      <c r="AD1131">
        <f>ROUND(AVERAGE(EmployeeData[[#This Row],[JobSatisfaction]],EmployeeData[[#This Row],[EnvironmentSatisfaction]],EmployeeData[[#This Row],[WorkLifeBalance]]),2)</f>
        <v>3</v>
      </c>
      <c r="AE1131" t="str">
        <f>IF(EmployeeData[[#This Row],[Satisfaction Score]]&lt;2,"Low",IF(EmployeeData[[#This Row],[Satisfaction Score]]&lt;3,"Medium","High"))</f>
        <v>High</v>
      </c>
    </row>
    <row r="1132" spans="1:31" x14ac:dyDescent="0.25">
      <c r="A1132" t="s">
        <v>5159</v>
      </c>
      <c r="B1132" t="s">
        <v>5160</v>
      </c>
      <c r="C1132" t="s">
        <v>49</v>
      </c>
      <c r="D1132">
        <v>48</v>
      </c>
      <c r="E1132" t="s">
        <v>27</v>
      </c>
      <c r="F1132" t="s">
        <v>59</v>
      </c>
      <c r="G1132" s="1">
        <v>46151</v>
      </c>
      <c r="H1132">
        <v>38861</v>
      </c>
      <c r="I1132" t="s">
        <v>52</v>
      </c>
      <c r="J1132" t="s">
        <v>53</v>
      </c>
      <c r="K1132" t="s">
        <v>54</v>
      </c>
      <c r="L1132" t="s">
        <v>43</v>
      </c>
      <c r="M1132">
        <v>1</v>
      </c>
      <c r="N1132" t="s">
        <v>34</v>
      </c>
      <c r="O1132">
        <v>3</v>
      </c>
      <c r="P1132">
        <v>1</v>
      </c>
      <c r="Q1132">
        <v>1</v>
      </c>
      <c r="R1132">
        <v>5</v>
      </c>
      <c r="S1132">
        <v>6</v>
      </c>
      <c r="T1132">
        <v>4</v>
      </c>
      <c r="U1132">
        <v>24</v>
      </c>
      <c r="V1132" t="s">
        <v>5163</v>
      </c>
      <c r="W1132" t="s">
        <v>45</v>
      </c>
      <c r="X1132" s="1">
        <v>46165</v>
      </c>
      <c r="Y1132" s="2" t="str">
        <f>IF(EmployeeData[[#This Row],[Age]]&lt;25,"Under 25",IF(EmployeeData[[#This Row],[Age]]&lt;=34,"25-34",IF(EmployeeData[[#This Row],[Age]]&lt;=44,"35-44",IF(EmployeeData[[#This Row],[Age]]&lt;=54,"45-54","55+"))))</f>
        <v>45-54</v>
      </c>
      <c r="Z1132">
        <f ca="1">DATEDIF(EmployeeData[[#This Row],[DateOfJoining]],IF(AND(EmployeeData[[#This Row],[Attrition]]="Yes",EmployeeData[[#This Row],[LastWorkingDate]]&lt;&gt;""),EmployeeData[[#This Row],[LastWorkingDate]],TODAY()),"Y")</f>
        <v>0</v>
      </c>
      <c r="AA1132" t="str">
        <f>IF(EmployeeData[[#This Row],[MonthlyIncome]]&lt;30000,"Low",IF(EmployeeData[[#This Row],[MonthlyIncome]]&lt;=60000,"Medium",IF(EmployeeData[[#This Row],[MonthlyIncome]]&lt;=100000,"High","Very High")))</f>
        <v>Medium</v>
      </c>
      <c r="AB1132">
        <f>IF(EmployeeData[[#This Row],[Attrition]]="Yes",1,0)</f>
        <v>1</v>
      </c>
      <c r="AC1132" t="str">
        <f ca="1">IF(EmployeeData[[#This Row],[Tenure Years]]&lt;1,"Less than 1 Year",IF(EmployeeData[[#This Row],[Tenure Years]]&lt;=3,"1-3 Years",IF(EmployeeData[[#This Row],[Tenure Years]]&lt;=5,"4-5 Years",IF(EmployeeData[[#This Row],[Tenure Years]]&lt;=10,"6-10 Years","More than 10 Years"))))</f>
        <v>Less than 1 Year</v>
      </c>
      <c r="AD1132">
        <f>ROUND(AVERAGE(EmployeeData[[#This Row],[JobSatisfaction]],EmployeeData[[#This Row],[EnvironmentSatisfaction]],EmployeeData[[#This Row],[WorkLifeBalance]]),2)</f>
        <v>1.67</v>
      </c>
      <c r="AE1132" t="str">
        <f>IF(EmployeeData[[#This Row],[Satisfaction Score]]&lt;2,"Low",IF(EmployeeData[[#This Row],[Satisfaction Score]]&lt;3,"Medium","High"))</f>
        <v>Low</v>
      </c>
    </row>
    <row r="1133" spans="1:31" x14ac:dyDescent="0.25">
      <c r="A1133" t="s">
        <v>5165</v>
      </c>
      <c r="B1133" t="s">
        <v>5166</v>
      </c>
      <c r="C1133" t="s">
        <v>58</v>
      </c>
      <c r="D1133">
        <v>44</v>
      </c>
      <c r="E1133" t="s">
        <v>412</v>
      </c>
      <c r="F1133" t="s">
        <v>945</v>
      </c>
      <c r="G1133" s="1">
        <v>43175</v>
      </c>
      <c r="H1133">
        <v>95656</v>
      </c>
      <c r="I1133" t="s">
        <v>52</v>
      </c>
      <c r="J1133" t="s">
        <v>31</v>
      </c>
      <c r="K1133" t="s">
        <v>83</v>
      </c>
      <c r="L1133" t="s">
        <v>62</v>
      </c>
      <c r="M1133">
        <v>15</v>
      </c>
      <c r="N1133" t="s">
        <v>34</v>
      </c>
      <c r="O1133">
        <v>2</v>
      </c>
      <c r="P1133">
        <v>2</v>
      </c>
      <c r="Q1133">
        <v>2</v>
      </c>
      <c r="R1133">
        <v>3</v>
      </c>
      <c r="S1133">
        <v>4</v>
      </c>
      <c r="T1133">
        <v>4</v>
      </c>
      <c r="U1133">
        <v>19</v>
      </c>
      <c r="V1133" t="s">
        <v>5169</v>
      </c>
      <c r="W1133" t="s">
        <v>34</v>
      </c>
      <c r="Y1133" s="2" t="str">
        <f>IF(EmployeeData[[#This Row],[Age]]&lt;25,"Under 25",IF(EmployeeData[[#This Row],[Age]]&lt;=34,"25-34",IF(EmployeeData[[#This Row],[Age]]&lt;=44,"35-44",IF(EmployeeData[[#This Row],[Age]]&lt;=54,"45-54","55+"))))</f>
        <v>35-44</v>
      </c>
      <c r="Z1133">
        <f ca="1">DATEDIF(EmployeeData[[#This Row],[DateOfJoining]],IF(AND(EmployeeData[[#This Row],[Attrition]]="Yes",EmployeeData[[#This Row],[LastWorkingDate]]&lt;&gt;""),EmployeeData[[#This Row],[LastWorkingDate]],TODAY()),"Y")</f>
        <v>8</v>
      </c>
      <c r="AA1133" t="str">
        <f>IF(EmployeeData[[#This Row],[MonthlyIncome]]&lt;30000,"Low",IF(EmployeeData[[#This Row],[MonthlyIncome]]&lt;=60000,"Medium",IF(EmployeeData[[#This Row],[MonthlyIncome]]&lt;=100000,"High","Very High")))</f>
        <v>High</v>
      </c>
      <c r="AB1133">
        <f>IF(EmployeeData[[#This Row],[Attrition]]="Yes",1,0)</f>
        <v>0</v>
      </c>
      <c r="AC1133" t="str">
        <f ca="1">IF(EmployeeData[[#This Row],[Tenure Years]]&lt;1,"Less than 1 Year",IF(EmployeeData[[#This Row],[Tenure Years]]&lt;=3,"1-3 Years",IF(EmployeeData[[#This Row],[Tenure Years]]&lt;=5,"4-5 Years",IF(EmployeeData[[#This Row],[Tenure Years]]&lt;=10,"6-10 Years","More than 10 Years"))))</f>
        <v>6-10 Years</v>
      </c>
      <c r="AD1133">
        <f>ROUND(AVERAGE(EmployeeData[[#This Row],[JobSatisfaction]],EmployeeData[[#This Row],[EnvironmentSatisfaction]],EmployeeData[[#This Row],[WorkLifeBalance]]),2)</f>
        <v>2</v>
      </c>
      <c r="AE1133" t="str">
        <f>IF(EmployeeData[[#This Row],[Satisfaction Score]]&lt;2,"Low",IF(EmployeeData[[#This Row],[Satisfaction Score]]&lt;3,"Medium","High"))</f>
        <v>Medium</v>
      </c>
    </row>
    <row r="1134" spans="1:31" x14ac:dyDescent="0.25">
      <c r="A1134" t="s">
        <v>5170</v>
      </c>
      <c r="B1134" t="s">
        <v>5171</v>
      </c>
      <c r="C1134" t="s">
        <v>58</v>
      </c>
      <c r="D1134">
        <v>19</v>
      </c>
      <c r="E1134" t="s">
        <v>38</v>
      </c>
      <c r="F1134" t="s">
        <v>5460</v>
      </c>
      <c r="G1134" s="1">
        <v>46000</v>
      </c>
      <c r="H1134">
        <v>46248</v>
      </c>
      <c r="I1134" t="s">
        <v>42</v>
      </c>
      <c r="J1134" t="s">
        <v>61</v>
      </c>
      <c r="K1134" t="s">
        <v>98</v>
      </c>
      <c r="L1134" t="s">
        <v>43</v>
      </c>
      <c r="M1134">
        <v>33</v>
      </c>
      <c r="N1134" t="s">
        <v>34</v>
      </c>
      <c r="O1134">
        <v>3</v>
      </c>
      <c r="P1134">
        <v>4</v>
      </c>
      <c r="Q1134">
        <v>1</v>
      </c>
      <c r="R1134">
        <v>2</v>
      </c>
      <c r="S1134">
        <v>6</v>
      </c>
      <c r="T1134">
        <v>6</v>
      </c>
      <c r="U1134">
        <v>12</v>
      </c>
      <c r="V1134" t="s">
        <v>5173</v>
      </c>
      <c r="W1134" t="s">
        <v>45</v>
      </c>
      <c r="X1134" s="1">
        <v>46004</v>
      </c>
      <c r="Y1134" s="2" t="str">
        <f>IF(EmployeeData[[#This Row],[Age]]&lt;25,"Under 25",IF(EmployeeData[[#This Row],[Age]]&lt;=34,"25-34",IF(EmployeeData[[#This Row],[Age]]&lt;=44,"35-44",IF(EmployeeData[[#This Row],[Age]]&lt;=54,"45-54","55+"))))</f>
        <v>Under 25</v>
      </c>
      <c r="Z1134">
        <f ca="1">DATEDIF(EmployeeData[[#This Row],[DateOfJoining]],IF(AND(EmployeeData[[#This Row],[Attrition]]="Yes",EmployeeData[[#This Row],[LastWorkingDate]]&lt;&gt;""),EmployeeData[[#This Row],[LastWorkingDate]],TODAY()),"Y")</f>
        <v>0</v>
      </c>
      <c r="AA1134" t="str">
        <f>IF(EmployeeData[[#This Row],[MonthlyIncome]]&lt;30000,"Low",IF(EmployeeData[[#This Row],[MonthlyIncome]]&lt;=60000,"Medium",IF(EmployeeData[[#This Row],[MonthlyIncome]]&lt;=100000,"High","Very High")))</f>
        <v>Medium</v>
      </c>
      <c r="AB1134">
        <f>IF(EmployeeData[[#This Row],[Attrition]]="Yes",1,0)</f>
        <v>1</v>
      </c>
      <c r="AC1134" t="str">
        <f ca="1">IF(EmployeeData[[#This Row],[Tenure Years]]&lt;1,"Less than 1 Year",IF(EmployeeData[[#This Row],[Tenure Years]]&lt;=3,"1-3 Years",IF(EmployeeData[[#This Row],[Tenure Years]]&lt;=5,"4-5 Years",IF(EmployeeData[[#This Row],[Tenure Years]]&lt;=10,"6-10 Years","More than 10 Years"))))</f>
        <v>Less than 1 Year</v>
      </c>
      <c r="AD1134">
        <f>ROUND(AVERAGE(EmployeeData[[#This Row],[JobSatisfaction]],EmployeeData[[#This Row],[EnvironmentSatisfaction]],EmployeeData[[#This Row],[WorkLifeBalance]]),2)</f>
        <v>2.67</v>
      </c>
      <c r="AE1134" t="str">
        <f>IF(EmployeeData[[#This Row],[Satisfaction Score]]&lt;2,"Low",IF(EmployeeData[[#This Row],[Satisfaction Score]]&lt;3,"Medium","High"))</f>
        <v>Medium</v>
      </c>
    </row>
    <row r="1135" spans="1:31" x14ac:dyDescent="0.25">
      <c r="A1135" t="s">
        <v>5174</v>
      </c>
      <c r="B1135" t="s">
        <v>5175</v>
      </c>
      <c r="C1135" t="s">
        <v>58</v>
      </c>
      <c r="D1135">
        <v>38</v>
      </c>
      <c r="E1135" t="s">
        <v>5461</v>
      </c>
      <c r="F1135" t="s">
        <v>5463</v>
      </c>
      <c r="G1135" s="1">
        <v>41146</v>
      </c>
      <c r="H1135">
        <v>118540</v>
      </c>
      <c r="I1135" t="s">
        <v>30</v>
      </c>
      <c r="J1135" t="s">
        <v>143</v>
      </c>
      <c r="K1135" t="s">
        <v>32</v>
      </c>
      <c r="L1135" t="s">
        <v>33</v>
      </c>
      <c r="M1135">
        <v>12</v>
      </c>
      <c r="N1135" t="s">
        <v>34</v>
      </c>
      <c r="O1135">
        <v>2</v>
      </c>
      <c r="P1135">
        <v>3</v>
      </c>
      <c r="Q1135">
        <v>3</v>
      </c>
      <c r="R1135">
        <v>4</v>
      </c>
      <c r="S1135">
        <v>0</v>
      </c>
      <c r="T1135">
        <v>8</v>
      </c>
      <c r="U1135">
        <v>23</v>
      </c>
      <c r="V1135" t="s">
        <v>5177</v>
      </c>
      <c r="W1135" t="s">
        <v>34</v>
      </c>
      <c r="Y1135" s="2" t="str">
        <f>IF(EmployeeData[[#This Row],[Age]]&lt;25,"Under 25",IF(EmployeeData[[#This Row],[Age]]&lt;=34,"25-34",IF(EmployeeData[[#This Row],[Age]]&lt;=44,"35-44",IF(EmployeeData[[#This Row],[Age]]&lt;=54,"45-54","55+"))))</f>
        <v>35-44</v>
      </c>
      <c r="Z1135">
        <f ca="1">DATEDIF(EmployeeData[[#This Row],[DateOfJoining]],IF(AND(EmployeeData[[#This Row],[Attrition]]="Yes",EmployeeData[[#This Row],[LastWorkingDate]]&lt;&gt;""),EmployeeData[[#This Row],[LastWorkingDate]],TODAY()),"Y")</f>
        <v>14</v>
      </c>
      <c r="AA1135" t="str">
        <f>IF(EmployeeData[[#This Row],[MonthlyIncome]]&lt;30000,"Low",IF(EmployeeData[[#This Row],[MonthlyIncome]]&lt;=60000,"Medium",IF(EmployeeData[[#This Row],[MonthlyIncome]]&lt;=100000,"High","Very High")))</f>
        <v>Very High</v>
      </c>
      <c r="AB1135">
        <f>IF(EmployeeData[[#This Row],[Attrition]]="Yes",1,0)</f>
        <v>0</v>
      </c>
      <c r="AC1135" t="str">
        <f ca="1">IF(EmployeeData[[#This Row],[Tenure Years]]&lt;1,"Less than 1 Year",IF(EmployeeData[[#This Row],[Tenure Years]]&lt;=3,"1-3 Years",IF(EmployeeData[[#This Row],[Tenure Years]]&lt;=5,"4-5 Years",IF(EmployeeData[[#This Row],[Tenure Years]]&lt;=10,"6-10 Years","More than 10 Years"))))</f>
        <v>More than 10 Years</v>
      </c>
      <c r="AD1135">
        <f>ROUND(AVERAGE(EmployeeData[[#This Row],[JobSatisfaction]],EmployeeData[[#This Row],[EnvironmentSatisfaction]],EmployeeData[[#This Row],[WorkLifeBalance]]),2)</f>
        <v>2.67</v>
      </c>
      <c r="AE1135" t="str">
        <f>IF(EmployeeData[[#This Row],[Satisfaction Score]]&lt;2,"Low",IF(EmployeeData[[#This Row],[Satisfaction Score]]&lt;3,"Medium","High"))</f>
        <v>Medium</v>
      </c>
    </row>
    <row r="1136" spans="1:31" x14ac:dyDescent="0.25">
      <c r="A1136" t="s">
        <v>5178</v>
      </c>
      <c r="B1136" t="s">
        <v>5179</v>
      </c>
      <c r="C1136" t="s">
        <v>58</v>
      </c>
      <c r="D1136">
        <v>35</v>
      </c>
      <c r="E1136" t="s">
        <v>5459</v>
      </c>
      <c r="F1136" t="s">
        <v>323</v>
      </c>
      <c r="G1136" s="1">
        <v>42786</v>
      </c>
      <c r="H1136">
        <v>99281</v>
      </c>
      <c r="I1136" t="s">
        <v>52</v>
      </c>
      <c r="J1136" t="s">
        <v>97</v>
      </c>
      <c r="K1136" t="s">
        <v>200</v>
      </c>
      <c r="L1136" t="s">
        <v>43</v>
      </c>
      <c r="M1136">
        <v>12</v>
      </c>
      <c r="N1136" t="s">
        <v>34</v>
      </c>
      <c r="O1136">
        <v>3</v>
      </c>
      <c r="P1136">
        <v>1</v>
      </c>
      <c r="Q1136">
        <v>3</v>
      </c>
      <c r="R1136">
        <v>4</v>
      </c>
      <c r="S1136">
        <v>4</v>
      </c>
      <c r="T1136">
        <v>6</v>
      </c>
      <c r="U1136">
        <v>20</v>
      </c>
      <c r="V1136" t="s">
        <v>5181</v>
      </c>
      <c r="W1136" t="s">
        <v>34</v>
      </c>
      <c r="Y1136" s="2" t="str">
        <f>IF(EmployeeData[[#This Row],[Age]]&lt;25,"Under 25",IF(EmployeeData[[#This Row],[Age]]&lt;=34,"25-34",IF(EmployeeData[[#This Row],[Age]]&lt;=44,"35-44",IF(EmployeeData[[#This Row],[Age]]&lt;=54,"45-54","55+"))))</f>
        <v>35-44</v>
      </c>
      <c r="Z1136">
        <f ca="1">DATEDIF(EmployeeData[[#This Row],[DateOfJoining]],IF(AND(EmployeeData[[#This Row],[Attrition]]="Yes",EmployeeData[[#This Row],[LastWorkingDate]]&lt;&gt;""),EmployeeData[[#This Row],[LastWorkingDate]],TODAY()),"Y")</f>
        <v>9</v>
      </c>
      <c r="AA1136" t="str">
        <f>IF(EmployeeData[[#This Row],[MonthlyIncome]]&lt;30000,"Low",IF(EmployeeData[[#This Row],[MonthlyIncome]]&lt;=60000,"Medium",IF(EmployeeData[[#This Row],[MonthlyIncome]]&lt;=100000,"High","Very High")))</f>
        <v>High</v>
      </c>
      <c r="AB1136">
        <f>IF(EmployeeData[[#This Row],[Attrition]]="Yes",1,0)</f>
        <v>0</v>
      </c>
      <c r="AC1136" t="str">
        <f ca="1">IF(EmployeeData[[#This Row],[Tenure Years]]&lt;1,"Less than 1 Year",IF(EmployeeData[[#This Row],[Tenure Years]]&lt;=3,"1-3 Years",IF(EmployeeData[[#This Row],[Tenure Years]]&lt;=5,"4-5 Years",IF(EmployeeData[[#This Row],[Tenure Years]]&lt;=10,"6-10 Years","More than 10 Years"))))</f>
        <v>6-10 Years</v>
      </c>
      <c r="AD1136">
        <f>ROUND(AVERAGE(EmployeeData[[#This Row],[JobSatisfaction]],EmployeeData[[#This Row],[EnvironmentSatisfaction]],EmployeeData[[#This Row],[WorkLifeBalance]]),2)</f>
        <v>2.33</v>
      </c>
      <c r="AE1136" t="str">
        <f>IF(EmployeeData[[#This Row],[Satisfaction Score]]&lt;2,"Low",IF(EmployeeData[[#This Row],[Satisfaction Score]]&lt;3,"Medium","High"))</f>
        <v>Medium</v>
      </c>
    </row>
    <row r="1137" spans="1:31" x14ac:dyDescent="0.25">
      <c r="A1137" t="s">
        <v>5182</v>
      </c>
      <c r="B1137" t="s">
        <v>5183</v>
      </c>
      <c r="C1137" t="s">
        <v>58</v>
      </c>
      <c r="D1137">
        <v>53</v>
      </c>
      <c r="E1137" t="s">
        <v>128</v>
      </c>
      <c r="F1137" t="s">
        <v>123</v>
      </c>
      <c r="G1137" s="1">
        <v>42733</v>
      </c>
      <c r="H1137">
        <v>44382</v>
      </c>
      <c r="I1137" t="s">
        <v>52</v>
      </c>
      <c r="J1137" t="s">
        <v>61</v>
      </c>
      <c r="K1137" t="s">
        <v>106</v>
      </c>
      <c r="L1137" t="s">
        <v>33</v>
      </c>
      <c r="M1137">
        <v>14</v>
      </c>
      <c r="N1137" t="s">
        <v>34</v>
      </c>
      <c r="O1137">
        <v>1</v>
      </c>
      <c r="P1137">
        <v>2</v>
      </c>
      <c r="Q1137">
        <v>2</v>
      </c>
      <c r="R1137">
        <v>1</v>
      </c>
      <c r="S1137">
        <v>0</v>
      </c>
      <c r="T1137">
        <v>2</v>
      </c>
      <c r="U1137">
        <v>25</v>
      </c>
      <c r="V1137" t="s">
        <v>5185</v>
      </c>
      <c r="W1137" t="s">
        <v>34</v>
      </c>
      <c r="Y1137" s="2" t="str">
        <f>IF(EmployeeData[[#This Row],[Age]]&lt;25,"Under 25",IF(EmployeeData[[#This Row],[Age]]&lt;=34,"25-34",IF(EmployeeData[[#This Row],[Age]]&lt;=44,"35-44",IF(EmployeeData[[#This Row],[Age]]&lt;=54,"45-54","55+"))))</f>
        <v>45-54</v>
      </c>
      <c r="Z1137">
        <f ca="1">DATEDIF(EmployeeData[[#This Row],[DateOfJoining]],IF(AND(EmployeeData[[#This Row],[Attrition]]="Yes",EmployeeData[[#This Row],[LastWorkingDate]]&lt;&gt;""),EmployeeData[[#This Row],[LastWorkingDate]],TODAY()),"Y")</f>
        <v>9</v>
      </c>
      <c r="AA1137" t="str">
        <f>IF(EmployeeData[[#This Row],[MonthlyIncome]]&lt;30000,"Low",IF(EmployeeData[[#This Row],[MonthlyIncome]]&lt;=60000,"Medium",IF(EmployeeData[[#This Row],[MonthlyIncome]]&lt;=100000,"High","Very High")))</f>
        <v>Medium</v>
      </c>
      <c r="AB1137">
        <f>IF(EmployeeData[[#This Row],[Attrition]]="Yes",1,0)</f>
        <v>0</v>
      </c>
      <c r="AC1137" t="str">
        <f ca="1">IF(EmployeeData[[#This Row],[Tenure Years]]&lt;1,"Less than 1 Year",IF(EmployeeData[[#This Row],[Tenure Years]]&lt;=3,"1-3 Years",IF(EmployeeData[[#This Row],[Tenure Years]]&lt;=5,"4-5 Years",IF(EmployeeData[[#This Row],[Tenure Years]]&lt;=10,"6-10 Years","More than 10 Years"))))</f>
        <v>6-10 Years</v>
      </c>
      <c r="AD1137">
        <f>ROUND(AVERAGE(EmployeeData[[#This Row],[JobSatisfaction]],EmployeeData[[#This Row],[EnvironmentSatisfaction]],EmployeeData[[#This Row],[WorkLifeBalance]]),2)</f>
        <v>1.67</v>
      </c>
      <c r="AE1137" t="str">
        <f>IF(EmployeeData[[#This Row],[Satisfaction Score]]&lt;2,"Low",IF(EmployeeData[[#This Row],[Satisfaction Score]]&lt;3,"Medium","High"))</f>
        <v>Low</v>
      </c>
    </row>
    <row r="1138" spans="1:31" x14ac:dyDescent="0.25">
      <c r="A1138" t="s">
        <v>5186</v>
      </c>
      <c r="B1138" t="s">
        <v>5187</v>
      </c>
      <c r="C1138" t="s">
        <v>49</v>
      </c>
      <c r="D1138">
        <v>40</v>
      </c>
      <c r="E1138" t="s">
        <v>27</v>
      </c>
      <c r="F1138" t="s">
        <v>75</v>
      </c>
      <c r="G1138" s="1">
        <v>45589</v>
      </c>
      <c r="H1138">
        <v>53797</v>
      </c>
      <c r="I1138" t="s">
        <v>52</v>
      </c>
      <c r="J1138" t="s">
        <v>61</v>
      </c>
      <c r="K1138" t="s">
        <v>54</v>
      </c>
      <c r="L1138" t="s">
        <v>62</v>
      </c>
      <c r="M1138">
        <v>41</v>
      </c>
      <c r="N1138" t="s">
        <v>45</v>
      </c>
      <c r="O1138">
        <v>2</v>
      </c>
      <c r="P1138">
        <v>2</v>
      </c>
      <c r="Q1138">
        <v>3</v>
      </c>
      <c r="R1138">
        <v>1</v>
      </c>
      <c r="S1138">
        <v>3</v>
      </c>
      <c r="T1138">
        <v>6</v>
      </c>
      <c r="U1138">
        <v>11</v>
      </c>
      <c r="V1138" t="s">
        <v>5189</v>
      </c>
      <c r="W1138" t="s">
        <v>45</v>
      </c>
      <c r="X1138" s="1">
        <v>45921</v>
      </c>
      <c r="Y1138" s="2" t="str">
        <f>IF(EmployeeData[[#This Row],[Age]]&lt;25,"Under 25",IF(EmployeeData[[#This Row],[Age]]&lt;=34,"25-34",IF(EmployeeData[[#This Row],[Age]]&lt;=44,"35-44",IF(EmployeeData[[#This Row],[Age]]&lt;=54,"45-54","55+"))))</f>
        <v>35-44</v>
      </c>
      <c r="Z1138">
        <f ca="1">DATEDIF(EmployeeData[[#This Row],[DateOfJoining]],IF(AND(EmployeeData[[#This Row],[Attrition]]="Yes",EmployeeData[[#This Row],[LastWorkingDate]]&lt;&gt;""),EmployeeData[[#This Row],[LastWorkingDate]],TODAY()),"Y")</f>
        <v>0</v>
      </c>
      <c r="AA1138" t="str">
        <f>IF(EmployeeData[[#This Row],[MonthlyIncome]]&lt;30000,"Low",IF(EmployeeData[[#This Row],[MonthlyIncome]]&lt;=60000,"Medium",IF(EmployeeData[[#This Row],[MonthlyIncome]]&lt;=100000,"High","Very High")))</f>
        <v>Medium</v>
      </c>
      <c r="AB1138">
        <f>IF(EmployeeData[[#This Row],[Attrition]]="Yes",1,0)</f>
        <v>1</v>
      </c>
      <c r="AC1138" t="str">
        <f ca="1">IF(EmployeeData[[#This Row],[Tenure Years]]&lt;1,"Less than 1 Year",IF(EmployeeData[[#This Row],[Tenure Years]]&lt;=3,"1-3 Years",IF(EmployeeData[[#This Row],[Tenure Years]]&lt;=5,"4-5 Years",IF(EmployeeData[[#This Row],[Tenure Years]]&lt;=10,"6-10 Years","More than 10 Years"))))</f>
        <v>Less than 1 Year</v>
      </c>
      <c r="AD1138">
        <f>ROUND(AVERAGE(EmployeeData[[#This Row],[JobSatisfaction]],EmployeeData[[#This Row],[EnvironmentSatisfaction]],EmployeeData[[#This Row],[WorkLifeBalance]]),2)</f>
        <v>2.33</v>
      </c>
      <c r="AE1138" t="str">
        <f>IF(EmployeeData[[#This Row],[Satisfaction Score]]&lt;2,"Low",IF(EmployeeData[[#This Row],[Satisfaction Score]]&lt;3,"Medium","High"))</f>
        <v>Medium</v>
      </c>
    </row>
    <row r="1139" spans="1:31" x14ac:dyDescent="0.25">
      <c r="A1139" t="s">
        <v>5190</v>
      </c>
      <c r="B1139" t="s">
        <v>5191</v>
      </c>
      <c r="C1139" t="s">
        <v>58</v>
      </c>
      <c r="D1139">
        <v>29</v>
      </c>
      <c r="E1139" t="s">
        <v>94</v>
      </c>
      <c r="F1139" t="s">
        <v>639</v>
      </c>
      <c r="G1139" s="1">
        <v>45876</v>
      </c>
      <c r="H1139">
        <v>127472</v>
      </c>
      <c r="I1139" t="s">
        <v>42</v>
      </c>
      <c r="J1139" t="s">
        <v>31</v>
      </c>
      <c r="K1139" t="s">
        <v>167</v>
      </c>
      <c r="L1139" t="s">
        <v>62</v>
      </c>
      <c r="M1139">
        <v>14</v>
      </c>
      <c r="N1139" t="s">
        <v>34</v>
      </c>
      <c r="O1139">
        <v>1</v>
      </c>
      <c r="P1139">
        <v>4</v>
      </c>
      <c r="Q1139">
        <v>4</v>
      </c>
      <c r="R1139">
        <v>3</v>
      </c>
      <c r="S1139">
        <v>1</v>
      </c>
      <c r="T1139">
        <v>0</v>
      </c>
      <c r="U1139">
        <v>13</v>
      </c>
      <c r="V1139" t="s">
        <v>5194</v>
      </c>
      <c r="W1139" t="s">
        <v>45</v>
      </c>
      <c r="X1139" s="1">
        <v>46073</v>
      </c>
      <c r="Y1139" s="2" t="str">
        <f>IF(EmployeeData[[#This Row],[Age]]&lt;25,"Under 25",IF(EmployeeData[[#This Row],[Age]]&lt;=34,"25-34",IF(EmployeeData[[#This Row],[Age]]&lt;=44,"35-44",IF(EmployeeData[[#This Row],[Age]]&lt;=54,"45-54","55+"))))</f>
        <v>25-34</v>
      </c>
      <c r="Z1139">
        <f ca="1">DATEDIF(EmployeeData[[#This Row],[DateOfJoining]],IF(AND(EmployeeData[[#This Row],[Attrition]]="Yes",EmployeeData[[#This Row],[LastWorkingDate]]&lt;&gt;""),EmployeeData[[#This Row],[LastWorkingDate]],TODAY()),"Y")</f>
        <v>0</v>
      </c>
      <c r="AA1139" t="str">
        <f>IF(EmployeeData[[#This Row],[MonthlyIncome]]&lt;30000,"Low",IF(EmployeeData[[#This Row],[MonthlyIncome]]&lt;=60000,"Medium",IF(EmployeeData[[#This Row],[MonthlyIncome]]&lt;=100000,"High","Very High")))</f>
        <v>Very High</v>
      </c>
      <c r="AB1139">
        <f>IF(EmployeeData[[#This Row],[Attrition]]="Yes",1,0)</f>
        <v>1</v>
      </c>
      <c r="AC1139" t="str">
        <f ca="1">IF(EmployeeData[[#This Row],[Tenure Years]]&lt;1,"Less than 1 Year",IF(EmployeeData[[#This Row],[Tenure Years]]&lt;=3,"1-3 Years",IF(EmployeeData[[#This Row],[Tenure Years]]&lt;=5,"4-5 Years",IF(EmployeeData[[#This Row],[Tenure Years]]&lt;=10,"6-10 Years","More than 10 Years"))))</f>
        <v>Less than 1 Year</v>
      </c>
      <c r="AD1139">
        <f>ROUND(AVERAGE(EmployeeData[[#This Row],[JobSatisfaction]],EmployeeData[[#This Row],[EnvironmentSatisfaction]],EmployeeData[[#This Row],[WorkLifeBalance]]),2)</f>
        <v>3</v>
      </c>
      <c r="AE1139" t="str">
        <f>IF(EmployeeData[[#This Row],[Satisfaction Score]]&lt;2,"Low",IF(EmployeeData[[#This Row],[Satisfaction Score]]&lt;3,"Medium","High"))</f>
        <v>High</v>
      </c>
    </row>
    <row r="1140" spans="1:31" x14ac:dyDescent="0.25">
      <c r="A1140" t="s">
        <v>5196</v>
      </c>
      <c r="B1140" t="s">
        <v>5197</v>
      </c>
      <c r="C1140" t="s">
        <v>58</v>
      </c>
      <c r="D1140">
        <v>39</v>
      </c>
      <c r="E1140" t="s">
        <v>128</v>
      </c>
      <c r="F1140" t="s">
        <v>226</v>
      </c>
      <c r="G1140" s="1">
        <v>44208</v>
      </c>
      <c r="H1140">
        <v>77761</v>
      </c>
      <c r="I1140" t="s">
        <v>52</v>
      </c>
      <c r="J1140" t="s">
        <v>61</v>
      </c>
      <c r="K1140" t="s">
        <v>200</v>
      </c>
      <c r="L1140" t="s">
        <v>43</v>
      </c>
      <c r="M1140">
        <v>18</v>
      </c>
      <c r="N1140" t="s">
        <v>34</v>
      </c>
      <c r="O1140">
        <v>3</v>
      </c>
      <c r="P1140">
        <v>4</v>
      </c>
      <c r="Q1140">
        <v>2</v>
      </c>
      <c r="R1140">
        <v>2</v>
      </c>
      <c r="S1140">
        <v>1</v>
      </c>
      <c r="T1140">
        <v>3</v>
      </c>
      <c r="U1140">
        <v>21</v>
      </c>
      <c r="V1140" t="s">
        <v>5199</v>
      </c>
      <c r="W1140" t="s">
        <v>34</v>
      </c>
      <c r="Y1140" s="2" t="str">
        <f>IF(EmployeeData[[#This Row],[Age]]&lt;25,"Under 25",IF(EmployeeData[[#This Row],[Age]]&lt;=34,"25-34",IF(EmployeeData[[#This Row],[Age]]&lt;=44,"35-44",IF(EmployeeData[[#This Row],[Age]]&lt;=54,"45-54","55+"))))</f>
        <v>35-44</v>
      </c>
      <c r="Z1140">
        <f ca="1">DATEDIF(EmployeeData[[#This Row],[DateOfJoining]],IF(AND(EmployeeData[[#This Row],[Attrition]]="Yes",EmployeeData[[#This Row],[LastWorkingDate]]&lt;&gt;""),EmployeeData[[#This Row],[LastWorkingDate]],TODAY()),"Y")</f>
        <v>5</v>
      </c>
      <c r="AA1140" t="str">
        <f>IF(EmployeeData[[#This Row],[MonthlyIncome]]&lt;30000,"Low",IF(EmployeeData[[#This Row],[MonthlyIncome]]&lt;=60000,"Medium",IF(EmployeeData[[#This Row],[MonthlyIncome]]&lt;=100000,"High","Very High")))</f>
        <v>High</v>
      </c>
      <c r="AB1140">
        <f>IF(EmployeeData[[#This Row],[Attrition]]="Yes",1,0)</f>
        <v>0</v>
      </c>
      <c r="AC1140" t="str">
        <f ca="1">IF(EmployeeData[[#This Row],[Tenure Years]]&lt;1,"Less than 1 Year",IF(EmployeeData[[#This Row],[Tenure Years]]&lt;=3,"1-3 Years",IF(EmployeeData[[#This Row],[Tenure Years]]&lt;=5,"4-5 Years",IF(EmployeeData[[#This Row],[Tenure Years]]&lt;=10,"6-10 Years","More than 10 Years"))))</f>
        <v>4-5 Years</v>
      </c>
      <c r="AD1140">
        <f>ROUND(AVERAGE(EmployeeData[[#This Row],[JobSatisfaction]],EmployeeData[[#This Row],[EnvironmentSatisfaction]],EmployeeData[[#This Row],[WorkLifeBalance]]),2)</f>
        <v>3</v>
      </c>
      <c r="AE1140" t="str">
        <f>IF(EmployeeData[[#This Row],[Satisfaction Score]]&lt;2,"Low",IF(EmployeeData[[#This Row],[Satisfaction Score]]&lt;3,"Medium","High"))</f>
        <v>High</v>
      </c>
    </row>
    <row r="1141" spans="1:31" x14ac:dyDescent="0.25">
      <c r="A1141" t="s">
        <v>5200</v>
      </c>
      <c r="B1141" t="s">
        <v>5201</v>
      </c>
      <c r="C1141" t="s">
        <v>49</v>
      </c>
      <c r="D1141">
        <v>22</v>
      </c>
      <c r="E1141" t="s">
        <v>128</v>
      </c>
      <c r="F1141" t="s">
        <v>226</v>
      </c>
      <c r="G1141" s="1">
        <v>43522</v>
      </c>
      <c r="H1141">
        <v>62331</v>
      </c>
      <c r="I1141" t="s">
        <v>30</v>
      </c>
      <c r="J1141" t="s">
        <v>143</v>
      </c>
      <c r="K1141" t="s">
        <v>131</v>
      </c>
      <c r="L1141" t="s">
        <v>43</v>
      </c>
      <c r="M1141">
        <v>30</v>
      </c>
      <c r="N1141" t="s">
        <v>34</v>
      </c>
      <c r="O1141">
        <v>1</v>
      </c>
      <c r="P1141">
        <v>3</v>
      </c>
      <c r="Q1141">
        <v>3</v>
      </c>
      <c r="R1141">
        <v>5</v>
      </c>
      <c r="S1141">
        <v>6</v>
      </c>
      <c r="T1141">
        <v>8</v>
      </c>
      <c r="U1141">
        <v>12</v>
      </c>
      <c r="V1141" t="s">
        <v>5203</v>
      </c>
      <c r="W1141" t="s">
        <v>34</v>
      </c>
      <c r="Y1141" s="2" t="str">
        <f>IF(EmployeeData[[#This Row],[Age]]&lt;25,"Under 25",IF(EmployeeData[[#This Row],[Age]]&lt;=34,"25-34",IF(EmployeeData[[#This Row],[Age]]&lt;=44,"35-44",IF(EmployeeData[[#This Row],[Age]]&lt;=54,"45-54","55+"))))</f>
        <v>Under 25</v>
      </c>
      <c r="Z1141">
        <f ca="1">DATEDIF(EmployeeData[[#This Row],[DateOfJoining]],IF(AND(EmployeeData[[#This Row],[Attrition]]="Yes",EmployeeData[[#This Row],[LastWorkingDate]]&lt;&gt;""),EmployeeData[[#This Row],[LastWorkingDate]],TODAY()),"Y")</f>
        <v>7</v>
      </c>
      <c r="AA1141" t="str">
        <f>IF(EmployeeData[[#This Row],[MonthlyIncome]]&lt;30000,"Low",IF(EmployeeData[[#This Row],[MonthlyIncome]]&lt;=60000,"Medium",IF(EmployeeData[[#This Row],[MonthlyIncome]]&lt;=100000,"High","Very High")))</f>
        <v>High</v>
      </c>
      <c r="AB1141">
        <f>IF(EmployeeData[[#This Row],[Attrition]]="Yes",1,0)</f>
        <v>0</v>
      </c>
      <c r="AC1141" t="str">
        <f ca="1">IF(EmployeeData[[#This Row],[Tenure Years]]&lt;1,"Less than 1 Year",IF(EmployeeData[[#This Row],[Tenure Years]]&lt;=3,"1-3 Years",IF(EmployeeData[[#This Row],[Tenure Years]]&lt;=5,"4-5 Years",IF(EmployeeData[[#This Row],[Tenure Years]]&lt;=10,"6-10 Years","More than 10 Years"))))</f>
        <v>6-10 Years</v>
      </c>
      <c r="AD1141">
        <f>ROUND(AVERAGE(EmployeeData[[#This Row],[JobSatisfaction]],EmployeeData[[#This Row],[EnvironmentSatisfaction]],EmployeeData[[#This Row],[WorkLifeBalance]]),2)</f>
        <v>2.33</v>
      </c>
      <c r="AE1141" t="str">
        <f>IF(EmployeeData[[#This Row],[Satisfaction Score]]&lt;2,"Low",IF(EmployeeData[[#This Row],[Satisfaction Score]]&lt;3,"Medium","High"))</f>
        <v>Medium</v>
      </c>
    </row>
    <row r="1142" spans="1:31" x14ac:dyDescent="0.25">
      <c r="A1142" t="s">
        <v>5204</v>
      </c>
      <c r="B1142" t="s">
        <v>5205</v>
      </c>
      <c r="C1142" t="s">
        <v>58</v>
      </c>
      <c r="D1142">
        <v>35</v>
      </c>
      <c r="E1142" t="s">
        <v>38</v>
      </c>
      <c r="F1142" t="s">
        <v>5465</v>
      </c>
      <c r="G1142" s="1">
        <v>44169</v>
      </c>
      <c r="H1142">
        <v>54059</v>
      </c>
      <c r="I1142" t="s">
        <v>52</v>
      </c>
      <c r="J1142" t="s">
        <v>97</v>
      </c>
      <c r="K1142" t="s">
        <v>200</v>
      </c>
      <c r="L1142" t="s">
        <v>33</v>
      </c>
      <c r="M1142">
        <v>44</v>
      </c>
      <c r="N1142" t="s">
        <v>34</v>
      </c>
      <c r="O1142">
        <v>3</v>
      </c>
      <c r="P1142">
        <v>1</v>
      </c>
      <c r="Q1142">
        <v>1</v>
      </c>
      <c r="R1142">
        <v>3</v>
      </c>
      <c r="S1142">
        <v>1</v>
      </c>
      <c r="T1142">
        <v>1</v>
      </c>
      <c r="U1142">
        <v>21</v>
      </c>
      <c r="V1142" t="s">
        <v>5206</v>
      </c>
      <c r="W1142" t="s">
        <v>34</v>
      </c>
      <c r="Y1142" s="2" t="str">
        <f>IF(EmployeeData[[#This Row],[Age]]&lt;25,"Under 25",IF(EmployeeData[[#This Row],[Age]]&lt;=34,"25-34",IF(EmployeeData[[#This Row],[Age]]&lt;=44,"35-44",IF(EmployeeData[[#This Row],[Age]]&lt;=54,"45-54","55+"))))</f>
        <v>35-44</v>
      </c>
      <c r="Z1142">
        <f ca="1">DATEDIF(EmployeeData[[#This Row],[DateOfJoining]],IF(AND(EmployeeData[[#This Row],[Attrition]]="Yes",EmployeeData[[#This Row],[LastWorkingDate]]&lt;&gt;""),EmployeeData[[#This Row],[LastWorkingDate]],TODAY()),"Y")</f>
        <v>5</v>
      </c>
      <c r="AA1142" t="str">
        <f>IF(EmployeeData[[#This Row],[MonthlyIncome]]&lt;30000,"Low",IF(EmployeeData[[#This Row],[MonthlyIncome]]&lt;=60000,"Medium",IF(EmployeeData[[#This Row],[MonthlyIncome]]&lt;=100000,"High","Very High")))</f>
        <v>Medium</v>
      </c>
      <c r="AB1142">
        <f>IF(EmployeeData[[#This Row],[Attrition]]="Yes",1,0)</f>
        <v>0</v>
      </c>
      <c r="AC1142" t="str">
        <f ca="1">IF(EmployeeData[[#This Row],[Tenure Years]]&lt;1,"Less than 1 Year",IF(EmployeeData[[#This Row],[Tenure Years]]&lt;=3,"1-3 Years",IF(EmployeeData[[#This Row],[Tenure Years]]&lt;=5,"4-5 Years",IF(EmployeeData[[#This Row],[Tenure Years]]&lt;=10,"6-10 Years","More than 10 Years"))))</f>
        <v>4-5 Years</v>
      </c>
      <c r="AD1142">
        <f>ROUND(AVERAGE(EmployeeData[[#This Row],[JobSatisfaction]],EmployeeData[[#This Row],[EnvironmentSatisfaction]],EmployeeData[[#This Row],[WorkLifeBalance]]),2)</f>
        <v>1.67</v>
      </c>
      <c r="AE1142" t="str">
        <f>IF(EmployeeData[[#This Row],[Satisfaction Score]]&lt;2,"Low",IF(EmployeeData[[#This Row],[Satisfaction Score]]&lt;3,"Medium","High"))</f>
        <v>Low</v>
      </c>
    </row>
    <row r="1143" spans="1:31" x14ac:dyDescent="0.25">
      <c r="A1143" t="s">
        <v>5207</v>
      </c>
      <c r="B1143" t="s">
        <v>5208</v>
      </c>
      <c r="C1143" t="s">
        <v>49</v>
      </c>
      <c r="D1143">
        <v>54</v>
      </c>
      <c r="E1143" t="s">
        <v>94</v>
      </c>
      <c r="F1143" t="s">
        <v>266</v>
      </c>
      <c r="G1143" s="1">
        <v>42963</v>
      </c>
      <c r="H1143">
        <v>78102</v>
      </c>
      <c r="I1143" t="s">
        <v>52</v>
      </c>
      <c r="J1143" t="s">
        <v>61</v>
      </c>
      <c r="K1143" t="s">
        <v>200</v>
      </c>
      <c r="L1143" t="s">
        <v>43</v>
      </c>
      <c r="M1143">
        <v>37</v>
      </c>
      <c r="N1143" t="s">
        <v>34</v>
      </c>
      <c r="O1143">
        <v>4</v>
      </c>
      <c r="P1143">
        <v>2</v>
      </c>
      <c r="Q1143">
        <v>1</v>
      </c>
      <c r="R1143">
        <v>2</v>
      </c>
      <c r="S1143">
        <v>2</v>
      </c>
      <c r="T1143">
        <v>6</v>
      </c>
      <c r="U1143">
        <v>13</v>
      </c>
      <c r="V1143" t="s">
        <v>5210</v>
      </c>
      <c r="W1143" t="s">
        <v>34</v>
      </c>
      <c r="Y1143" s="2" t="str">
        <f>IF(EmployeeData[[#This Row],[Age]]&lt;25,"Under 25",IF(EmployeeData[[#This Row],[Age]]&lt;=34,"25-34",IF(EmployeeData[[#This Row],[Age]]&lt;=44,"35-44",IF(EmployeeData[[#This Row],[Age]]&lt;=54,"45-54","55+"))))</f>
        <v>45-54</v>
      </c>
      <c r="Z1143">
        <f ca="1">DATEDIF(EmployeeData[[#This Row],[DateOfJoining]],IF(AND(EmployeeData[[#This Row],[Attrition]]="Yes",EmployeeData[[#This Row],[LastWorkingDate]]&lt;&gt;""),EmployeeData[[#This Row],[LastWorkingDate]],TODAY()),"Y")</f>
        <v>9</v>
      </c>
      <c r="AA1143" t="str">
        <f>IF(EmployeeData[[#This Row],[MonthlyIncome]]&lt;30000,"Low",IF(EmployeeData[[#This Row],[MonthlyIncome]]&lt;=60000,"Medium",IF(EmployeeData[[#This Row],[MonthlyIncome]]&lt;=100000,"High","Very High")))</f>
        <v>High</v>
      </c>
      <c r="AB1143">
        <f>IF(EmployeeData[[#This Row],[Attrition]]="Yes",1,0)</f>
        <v>0</v>
      </c>
      <c r="AC1143" t="str">
        <f ca="1">IF(EmployeeData[[#This Row],[Tenure Years]]&lt;1,"Less than 1 Year",IF(EmployeeData[[#This Row],[Tenure Years]]&lt;=3,"1-3 Years",IF(EmployeeData[[#This Row],[Tenure Years]]&lt;=5,"4-5 Years",IF(EmployeeData[[#This Row],[Tenure Years]]&lt;=10,"6-10 Years","More than 10 Years"))))</f>
        <v>6-10 Years</v>
      </c>
      <c r="AD1143">
        <f>ROUND(AVERAGE(EmployeeData[[#This Row],[JobSatisfaction]],EmployeeData[[#This Row],[EnvironmentSatisfaction]],EmployeeData[[#This Row],[WorkLifeBalance]]),2)</f>
        <v>2.33</v>
      </c>
      <c r="AE1143" t="str">
        <f>IF(EmployeeData[[#This Row],[Satisfaction Score]]&lt;2,"Low",IF(EmployeeData[[#This Row],[Satisfaction Score]]&lt;3,"Medium","High"))</f>
        <v>Medium</v>
      </c>
    </row>
    <row r="1144" spans="1:31" x14ac:dyDescent="0.25">
      <c r="A1144" t="s">
        <v>5211</v>
      </c>
      <c r="B1144" t="s">
        <v>5212</v>
      </c>
      <c r="C1144" t="s">
        <v>58</v>
      </c>
      <c r="D1144">
        <v>34</v>
      </c>
      <c r="E1144" t="s">
        <v>27</v>
      </c>
      <c r="F1144" t="s">
        <v>75</v>
      </c>
      <c r="G1144" s="1">
        <v>45028</v>
      </c>
      <c r="H1144">
        <v>121190</v>
      </c>
      <c r="I1144" t="s">
        <v>30</v>
      </c>
      <c r="J1144" t="s">
        <v>61</v>
      </c>
      <c r="K1144" t="s">
        <v>167</v>
      </c>
      <c r="L1144" t="s">
        <v>43</v>
      </c>
      <c r="M1144">
        <v>16</v>
      </c>
      <c r="N1144" t="s">
        <v>34</v>
      </c>
      <c r="O1144">
        <v>3</v>
      </c>
      <c r="P1144">
        <v>2</v>
      </c>
      <c r="Q1144">
        <v>4</v>
      </c>
      <c r="R1144">
        <v>3</v>
      </c>
      <c r="S1144">
        <v>4</v>
      </c>
      <c r="T1144">
        <v>2</v>
      </c>
      <c r="U1144">
        <v>25</v>
      </c>
      <c r="V1144" t="s">
        <v>5214</v>
      </c>
      <c r="W1144" t="s">
        <v>34</v>
      </c>
      <c r="Y1144" s="2" t="str">
        <f>IF(EmployeeData[[#This Row],[Age]]&lt;25,"Under 25",IF(EmployeeData[[#This Row],[Age]]&lt;=34,"25-34",IF(EmployeeData[[#This Row],[Age]]&lt;=44,"35-44",IF(EmployeeData[[#This Row],[Age]]&lt;=54,"45-54","55+"))))</f>
        <v>25-34</v>
      </c>
      <c r="Z1144">
        <f ca="1">DATEDIF(EmployeeData[[#This Row],[DateOfJoining]],IF(AND(EmployeeData[[#This Row],[Attrition]]="Yes",EmployeeData[[#This Row],[LastWorkingDate]]&lt;&gt;""),EmployeeData[[#This Row],[LastWorkingDate]],TODAY()),"Y")</f>
        <v>3</v>
      </c>
      <c r="AA1144" t="str">
        <f>IF(EmployeeData[[#This Row],[MonthlyIncome]]&lt;30000,"Low",IF(EmployeeData[[#This Row],[MonthlyIncome]]&lt;=60000,"Medium",IF(EmployeeData[[#This Row],[MonthlyIncome]]&lt;=100000,"High","Very High")))</f>
        <v>Very High</v>
      </c>
      <c r="AB1144">
        <f>IF(EmployeeData[[#This Row],[Attrition]]="Yes",1,0)</f>
        <v>0</v>
      </c>
      <c r="AC1144" t="str">
        <f ca="1">IF(EmployeeData[[#This Row],[Tenure Years]]&lt;1,"Less than 1 Year",IF(EmployeeData[[#This Row],[Tenure Years]]&lt;=3,"1-3 Years",IF(EmployeeData[[#This Row],[Tenure Years]]&lt;=5,"4-5 Years",IF(EmployeeData[[#This Row],[Tenure Years]]&lt;=10,"6-10 Years","More than 10 Years"))))</f>
        <v>1-3 Years</v>
      </c>
      <c r="AD1144">
        <f>ROUND(AVERAGE(EmployeeData[[#This Row],[JobSatisfaction]],EmployeeData[[#This Row],[EnvironmentSatisfaction]],EmployeeData[[#This Row],[WorkLifeBalance]]),2)</f>
        <v>3</v>
      </c>
      <c r="AE1144" t="str">
        <f>IF(EmployeeData[[#This Row],[Satisfaction Score]]&lt;2,"Low",IF(EmployeeData[[#This Row],[Satisfaction Score]]&lt;3,"Medium","High"))</f>
        <v>High</v>
      </c>
    </row>
    <row r="1145" spans="1:31" x14ac:dyDescent="0.25">
      <c r="A1145" t="s">
        <v>5215</v>
      </c>
      <c r="B1145" t="s">
        <v>5216</v>
      </c>
      <c r="C1145" t="s">
        <v>58</v>
      </c>
      <c r="D1145">
        <v>43</v>
      </c>
      <c r="E1145" t="s">
        <v>5461</v>
      </c>
      <c r="F1145" t="s">
        <v>5463</v>
      </c>
      <c r="G1145" s="1">
        <v>42039</v>
      </c>
      <c r="H1145">
        <v>89706</v>
      </c>
      <c r="I1145" t="s">
        <v>52</v>
      </c>
      <c r="J1145" t="s">
        <v>31</v>
      </c>
      <c r="K1145" t="s">
        <v>106</v>
      </c>
      <c r="L1145" t="s">
        <v>33</v>
      </c>
      <c r="M1145">
        <v>8</v>
      </c>
      <c r="N1145" t="s">
        <v>34</v>
      </c>
      <c r="O1145">
        <v>4</v>
      </c>
      <c r="P1145">
        <v>3</v>
      </c>
      <c r="Q1145">
        <v>4</v>
      </c>
      <c r="R1145">
        <v>2</v>
      </c>
      <c r="S1145">
        <v>2</v>
      </c>
      <c r="T1145">
        <v>8</v>
      </c>
      <c r="U1145">
        <v>22</v>
      </c>
      <c r="V1145" t="s">
        <v>5218</v>
      </c>
      <c r="W1145" t="s">
        <v>34</v>
      </c>
      <c r="Y1145" s="2" t="str">
        <f>IF(EmployeeData[[#This Row],[Age]]&lt;25,"Under 25",IF(EmployeeData[[#This Row],[Age]]&lt;=34,"25-34",IF(EmployeeData[[#This Row],[Age]]&lt;=44,"35-44",IF(EmployeeData[[#This Row],[Age]]&lt;=54,"45-54","55+"))))</f>
        <v>35-44</v>
      </c>
      <c r="Z1145">
        <f ca="1">DATEDIF(EmployeeData[[#This Row],[DateOfJoining]],IF(AND(EmployeeData[[#This Row],[Attrition]]="Yes",EmployeeData[[#This Row],[LastWorkingDate]]&lt;&gt;""),EmployeeData[[#This Row],[LastWorkingDate]],TODAY()),"Y")</f>
        <v>11</v>
      </c>
      <c r="AA1145" t="str">
        <f>IF(EmployeeData[[#This Row],[MonthlyIncome]]&lt;30000,"Low",IF(EmployeeData[[#This Row],[MonthlyIncome]]&lt;=60000,"Medium",IF(EmployeeData[[#This Row],[MonthlyIncome]]&lt;=100000,"High","Very High")))</f>
        <v>High</v>
      </c>
      <c r="AB1145">
        <f>IF(EmployeeData[[#This Row],[Attrition]]="Yes",1,0)</f>
        <v>0</v>
      </c>
      <c r="AC1145" t="str">
        <f ca="1">IF(EmployeeData[[#This Row],[Tenure Years]]&lt;1,"Less than 1 Year",IF(EmployeeData[[#This Row],[Tenure Years]]&lt;=3,"1-3 Years",IF(EmployeeData[[#This Row],[Tenure Years]]&lt;=5,"4-5 Years",IF(EmployeeData[[#This Row],[Tenure Years]]&lt;=10,"6-10 Years","More than 10 Years"))))</f>
        <v>More than 10 Years</v>
      </c>
      <c r="AD1145">
        <f>ROUND(AVERAGE(EmployeeData[[#This Row],[JobSatisfaction]],EmployeeData[[#This Row],[EnvironmentSatisfaction]],EmployeeData[[#This Row],[WorkLifeBalance]]),2)</f>
        <v>3.67</v>
      </c>
      <c r="AE1145" t="str">
        <f>IF(EmployeeData[[#This Row],[Satisfaction Score]]&lt;2,"Low",IF(EmployeeData[[#This Row],[Satisfaction Score]]&lt;3,"Medium","High"))</f>
        <v>High</v>
      </c>
    </row>
    <row r="1146" spans="1:31" x14ac:dyDescent="0.25">
      <c r="A1146" t="s">
        <v>5219</v>
      </c>
      <c r="B1146" t="s">
        <v>5220</v>
      </c>
      <c r="C1146" t="s">
        <v>49</v>
      </c>
      <c r="D1146">
        <v>39</v>
      </c>
      <c r="E1146" t="s">
        <v>197</v>
      </c>
      <c r="F1146" t="s">
        <v>573</v>
      </c>
      <c r="G1146" s="1">
        <v>43219</v>
      </c>
      <c r="H1146">
        <v>87698</v>
      </c>
      <c r="I1146" t="s">
        <v>42</v>
      </c>
      <c r="J1146" t="s">
        <v>61</v>
      </c>
      <c r="K1146" t="s">
        <v>54</v>
      </c>
      <c r="L1146" t="s">
        <v>62</v>
      </c>
      <c r="M1146">
        <v>4</v>
      </c>
      <c r="N1146" t="s">
        <v>34</v>
      </c>
      <c r="O1146">
        <v>4</v>
      </c>
      <c r="P1146">
        <v>3</v>
      </c>
      <c r="Q1146">
        <v>2</v>
      </c>
      <c r="R1146">
        <v>3</v>
      </c>
      <c r="S1146">
        <v>6</v>
      </c>
      <c r="T1146">
        <v>8</v>
      </c>
      <c r="U1146">
        <v>18</v>
      </c>
      <c r="V1146" t="s">
        <v>5223</v>
      </c>
      <c r="W1146" t="s">
        <v>34</v>
      </c>
      <c r="Y1146" s="2" t="str">
        <f>IF(EmployeeData[[#This Row],[Age]]&lt;25,"Under 25",IF(EmployeeData[[#This Row],[Age]]&lt;=34,"25-34",IF(EmployeeData[[#This Row],[Age]]&lt;=44,"35-44",IF(EmployeeData[[#This Row],[Age]]&lt;=54,"45-54","55+"))))</f>
        <v>35-44</v>
      </c>
      <c r="Z1146">
        <f ca="1">DATEDIF(EmployeeData[[#This Row],[DateOfJoining]],IF(AND(EmployeeData[[#This Row],[Attrition]]="Yes",EmployeeData[[#This Row],[LastWorkingDate]]&lt;&gt;""),EmployeeData[[#This Row],[LastWorkingDate]],TODAY()),"Y")</f>
        <v>8</v>
      </c>
      <c r="AA1146" t="str">
        <f>IF(EmployeeData[[#This Row],[MonthlyIncome]]&lt;30000,"Low",IF(EmployeeData[[#This Row],[MonthlyIncome]]&lt;=60000,"Medium",IF(EmployeeData[[#This Row],[MonthlyIncome]]&lt;=100000,"High","Very High")))</f>
        <v>High</v>
      </c>
      <c r="AB1146">
        <f>IF(EmployeeData[[#This Row],[Attrition]]="Yes",1,0)</f>
        <v>0</v>
      </c>
      <c r="AC1146" t="str">
        <f ca="1">IF(EmployeeData[[#This Row],[Tenure Years]]&lt;1,"Less than 1 Year",IF(EmployeeData[[#This Row],[Tenure Years]]&lt;=3,"1-3 Years",IF(EmployeeData[[#This Row],[Tenure Years]]&lt;=5,"4-5 Years",IF(EmployeeData[[#This Row],[Tenure Years]]&lt;=10,"6-10 Years","More than 10 Years"))))</f>
        <v>6-10 Years</v>
      </c>
      <c r="AD1146">
        <f>ROUND(AVERAGE(EmployeeData[[#This Row],[JobSatisfaction]],EmployeeData[[#This Row],[EnvironmentSatisfaction]],EmployeeData[[#This Row],[WorkLifeBalance]]),2)</f>
        <v>3</v>
      </c>
      <c r="AE1146" t="str">
        <f>IF(EmployeeData[[#This Row],[Satisfaction Score]]&lt;2,"Low",IF(EmployeeData[[#This Row],[Satisfaction Score]]&lt;3,"Medium","High"))</f>
        <v>High</v>
      </c>
    </row>
    <row r="1147" spans="1:31" x14ac:dyDescent="0.25">
      <c r="A1147" t="s">
        <v>5224</v>
      </c>
      <c r="B1147" t="s">
        <v>5225</v>
      </c>
      <c r="C1147" t="s">
        <v>49</v>
      </c>
      <c r="D1147">
        <v>30</v>
      </c>
      <c r="E1147" t="s">
        <v>27</v>
      </c>
      <c r="F1147" t="s">
        <v>188</v>
      </c>
      <c r="G1147" s="1">
        <v>42601</v>
      </c>
      <c r="H1147">
        <v>92459</v>
      </c>
      <c r="I1147" t="s">
        <v>5459</v>
      </c>
      <c r="J1147" t="s">
        <v>61</v>
      </c>
      <c r="K1147" t="s">
        <v>83</v>
      </c>
      <c r="L1147" t="s">
        <v>62</v>
      </c>
      <c r="M1147">
        <v>25</v>
      </c>
      <c r="N1147" t="s">
        <v>34</v>
      </c>
      <c r="O1147">
        <v>3</v>
      </c>
      <c r="P1147">
        <v>3</v>
      </c>
      <c r="Q1147">
        <v>3</v>
      </c>
      <c r="R1147">
        <v>4</v>
      </c>
      <c r="S1147">
        <v>0</v>
      </c>
      <c r="T1147">
        <v>8</v>
      </c>
      <c r="U1147">
        <v>12</v>
      </c>
      <c r="V1147" t="s">
        <v>5228</v>
      </c>
      <c r="W1147" t="s">
        <v>34</v>
      </c>
      <c r="Y1147" s="2" t="str">
        <f>IF(EmployeeData[[#This Row],[Age]]&lt;25,"Under 25",IF(EmployeeData[[#This Row],[Age]]&lt;=34,"25-34",IF(EmployeeData[[#This Row],[Age]]&lt;=44,"35-44",IF(EmployeeData[[#This Row],[Age]]&lt;=54,"45-54","55+"))))</f>
        <v>25-34</v>
      </c>
      <c r="Z1147">
        <f ca="1">DATEDIF(EmployeeData[[#This Row],[DateOfJoining]],IF(AND(EmployeeData[[#This Row],[Attrition]]="Yes",EmployeeData[[#This Row],[LastWorkingDate]]&lt;&gt;""),EmployeeData[[#This Row],[LastWorkingDate]],TODAY()),"Y")</f>
        <v>10</v>
      </c>
      <c r="AA1147" t="str">
        <f>IF(EmployeeData[[#This Row],[MonthlyIncome]]&lt;30000,"Low",IF(EmployeeData[[#This Row],[MonthlyIncome]]&lt;=60000,"Medium",IF(EmployeeData[[#This Row],[MonthlyIncome]]&lt;=100000,"High","Very High")))</f>
        <v>High</v>
      </c>
      <c r="AB1147">
        <f>IF(EmployeeData[[#This Row],[Attrition]]="Yes",1,0)</f>
        <v>0</v>
      </c>
      <c r="AC1147" t="str">
        <f ca="1">IF(EmployeeData[[#This Row],[Tenure Years]]&lt;1,"Less than 1 Year",IF(EmployeeData[[#This Row],[Tenure Years]]&lt;=3,"1-3 Years",IF(EmployeeData[[#This Row],[Tenure Years]]&lt;=5,"4-5 Years",IF(EmployeeData[[#This Row],[Tenure Years]]&lt;=10,"6-10 Years","More than 10 Years"))))</f>
        <v>6-10 Years</v>
      </c>
      <c r="AD1147">
        <f>ROUND(AVERAGE(EmployeeData[[#This Row],[JobSatisfaction]],EmployeeData[[#This Row],[EnvironmentSatisfaction]],EmployeeData[[#This Row],[WorkLifeBalance]]),2)</f>
        <v>3</v>
      </c>
      <c r="AE1147" t="str">
        <f>IF(EmployeeData[[#This Row],[Satisfaction Score]]&lt;2,"Low",IF(EmployeeData[[#This Row],[Satisfaction Score]]&lt;3,"Medium","High"))</f>
        <v>High</v>
      </c>
    </row>
    <row r="1148" spans="1:31" x14ac:dyDescent="0.25">
      <c r="A1148" t="s">
        <v>5229</v>
      </c>
      <c r="B1148" t="s">
        <v>5230</v>
      </c>
      <c r="C1148" t="s">
        <v>58</v>
      </c>
      <c r="D1148">
        <v>35</v>
      </c>
      <c r="E1148" t="s">
        <v>412</v>
      </c>
      <c r="F1148" t="s">
        <v>5459</v>
      </c>
      <c r="G1148" s="1">
        <v>41659</v>
      </c>
      <c r="H1148">
        <v>61157</v>
      </c>
      <c r="I1148" t="s">
        <v>30</v>
      </c>
      <c r="J1148" t="s">
        <v>143</v>
      </c>
      <c r="K1148" t="s">
        <v>200</v>
      </c>
      <c r="L1148" t="s">
        <v>33</v>
      </c>
      <c r="M1148">
        <v>27</v>
      </c>
      <c r="N1148" t="s">
        <v>45</v>
      </c>
      <c r="O1148">
        <v>2</v>
      </c>
      <c r="P1148">
        <v>4</v>
      </c>
      <c r="Q1148">
        <v>3</v>
      </c>
      <c r="R1148">
        <v>3</v>
      </c>
      <c r="S1148">
        <v>0</v>
      </c>
      <c r="T1148">
        <v>5</v>
      </c>
      <c r="U1148">
        <v>18</v>
      </c>
      <c r="V1148" t="s">
        <v>5232</v>
      </c>
      <c r="W1148" t="s">
        <v>45</v>
      </c>
      <c r="X1148" s="1">
        <v>42575</v>
      </c>
      <c r="Y1148" s="2" t="str">
        <f>IF(EmployeeData[[#This Row],[Age]]&lt;25,"Under 25",IF(EmployeeData[[#This Row],[Age]]&lt;=34,"25-34",IF(EmployeeData[[#This Row],[Age]]&lt;=44,"35-44",IF(EmployeeData[[#This Row],[Age]]&lt;=54,"45-54","55+"))))</f>
        <v>35-44</v>
      </c>
      <c r="Z1148">
        <f ca="1">DATEDIF(EmployeeData[[#This Row],[DateOfJoining]],IF(AND(EmployeeData[[#This Row],[Attrition]]="Yes",EmployeeData[[#This Row],[LastWorkingDate]]&lt;&gt;""),EmployeeData[[#This Row],[LastWorkingDate]],TODAY()),"Y")</f>
        <v>2</v>
      </c>
      <c r="AA1148" t="str">
        <f>IF(EmployeeData[[#This Row],[MonthlyIncome]]&lt;30000,"Low",IF(EmployeeData[[#This Row],[MonthlyIncome]]&lt;=60000,"Medium",IF(EmployeeData[[#This Row],[MonthlyIncome]]&lt;=100000,"High","Very High")))</f>
        <v>High</v>
      </c>
      <c r="AB1148">
        <f>IF(EmployeeData[[#This Row],[Attrition]]="Yes",1,0)</f>
        <v>1</v>
      </c>
      <c r="AC1148" t="str">
        <f ca="1">IF(EmployeeData[[#This Row],[Tenure Years]]&lt;1,"Less than 1 Year",IF(EmployeeData[[#This Row],[Tenure Years]]&lt;=3,"1-3 Years",IF(EmployeeData[[#This Row],[Tenure Years]]&lt;=5,"4-5 Years",IF(EmployeeData[[#This Row],[Tenure Years]]&lt;=10,"6-10 Years","More than 10 Years"))))</f>
        <v>1-3 Years</v>
      </c>
      <c r="AD1148">
        <f>ROUND(AVERAGE(EmployeeData[[#This Row],[JobSatisfaction]],EmployeeData[[#This Row],[EnvironmentSatisfaction]],EmployeeData[[#This Row],[WorkLifeBalance]]),2)</f>
        <v>3</v>
      </c>
      <c r="AE1148" t="str">
        <f>IF(EmployeeData[[#This Row],[Satisfaction Score]]&lt;2,"Low",IF(EmployeeData[[#This Row],[Satisfaction Score]]&lt;3,"Medium","High"))</f>
        <v>High</v>
      </c>
    </row>
    <row r="1149" spans="1:31" x14ac:dyDescent="0.25">
      <c r="A1149" t="s">
        <v>5234</v>
      </c>
      <c r="B1149" t="s">
        <v>5235</v>
      </c>
      <c r="C1149" t="s">
        <v>49</v>
      </c>
      <c r="D1149">
        <v>19</v>
      </c>
      <c r="E1149" t="s">
        <v>38</v>
      </c>
      <c r="F1149" t="s">
        <v>5462</v>
      </c>
      <c r="G1149" s="1">
        <v>46115</v>
      </c>
      <c r="H1149">
        <v>70457</v>
      </c>
      <c r="I1149" t="s">
        <v>30</v>
      </c>
      <c r="J1149" t="s">
        <v>31</v>
      </c>
      <c r="K1149" t="s">
        <v>106</v>
      </c>
      <c r="L1149" t="s">
        <v>33</v>
      </c>
      <c r="M1149">
        <v>27</v>
      </c>
      <c r="N1149" t="s">
        <v>45</v>
      </c>
      <c r="O1149">
        <v>1</v>
      </c>
      <c r="P1149">
        <v>3</v>
      </c>
      <c r="Q1149">
        <v>3</v>
      </c>
      <c r="R1149">
        <v>2</v>
      </c>
      <c r="S1149">
        <v>2</v>
      </c>
      <c r="T1149">
        <v>6</v>
      </c>
      <c r="U1149">
        <v>22</v>
      </c>
      <c r="V1149" t="s">
        <v>5237</v>
      </c>
      <c r="W1149" t="s">
        <v>45</v>
      </c>
      <c r="X1149" s="1">
        <v>46178</v>
      </c>
      <c r="Y1149" s="2" t="str">
        <f>IF(EmployeeData[[#This Row],[Age]]&lt;25,"Under 25",IF(EmployeeData[[#This Row],[Age]]&lt;=34,"25-34",IF(EmployeeData[[#This Row],[Age]]&lt;=44,"35-44",IF(EmployeeData[[#This Row],[Age]]&lt;=54,"45-54","55+"))))</f>
        <v>Under 25</v>
      </c>
      <c r="Z1149">
        <f ca="1">DATEDIF(EmployeeData[[#This Row],[DateOfJoining]],IF(AND(EmployeeData[[#This Row],[Attrition]]="Yes",EmployeeData[[#This Row],[LastWorkingDate]]&lt;&gt;""),EmployeeData[[#This Row],[LastWorkingDate]],TODAY()),"Y")</f>
        <v>0</v>
      </c>
      <c r="AA1149" t="str">
        <f>IF(EmployeeData[[#This Row],[MonthlyIncome]]&lt;30000,"Low",IF(EmployeeData[[#This Row],[MonthlyIncome]]&lt;=60000,"Medium",IF(EmployeeData[[#This Row],[MonthlyIncome]]&lt;=100000,"High","Very High")))</f>
        <v>High</v>
      </c>
      <c r="AB1149">
        <f>IF(EmployeeData[[#This Row],[Attrition]]="Yes",1,0)</f>
        <v>1</v>
      </c>
      <c r="AC1149" t="str">
        <f ca="1">IF(EmployeeData[[#This Row],[Tenure Years]]&lt;1,"Less than 1 Year",IF(EmployeeData[[#This Row],[Tenure Years]]&lt;=3,"1-3 Years",IF(EmployeeData[[#This Row],[Tenure Years]]&lt;=5,"4-5 Years",IF(EmployeeData[[#This Row],[Tenure Years]]&lt;=10,"6-10 Years","More than 10 Years"))))</f>
        <v>Less than 1 Year</v>
      </c>
      <c r="AD1149">
        <f>ROUND(AVERAGE(EmployeeData[[#This Row],[JobSatisfaction]],EmployeeData[[#This Row],[EnvironmentSatisfaction]],EmployeeData[[#This Row],[WorkLifeBalance]]),2)</f>
        <v>2.33</v>
      </c>
      <c r="AE1149" t="str">
        <f>IF(EmployeeData[[#This Row],[Satisfaction Score]]&lt;2,"Low",IF(EmployeeData[[#This Row],[Satisfaction Score]]&lt;3,"Medium","High"))</f>
        <v>Medium</v>
      </c>
    </row>
    <row r="1150" spans="1:31" x14ac:dyDescent="0.25">
      <c r="A1150" t="s">
        <v>5238</v>
      </c>
      <c r="B1150" t="s">
        <v>5239</v>
      </c>
      <c r="C1150" t="s">
        <v>49</v>
      </c>
      <c r="D1150">
        <v>24</v>
      </c>
      <c r="E1150" t="s">
        <v>128</v>
      </c>
      <c r="F1150" t="s">
        <v>255</v>
      </c>
      <c r="G1150" s="1">
        <v>43215</v>
      </c>
      <c r="H1150">
        <v>75555</v>
      </c>
      <c r="I1150" t="s">
        <v>30</v>
      </c>
      <c r="J1150" t="s">
        <v>61</v>
      </c>
      <c r="K1150" t="s">
        <v>131</v>
      </c>
      <c r="L1150" t="s">
        <v>33</v>
      </c>
      <c r="M1150">
        <v>17</v>
      </c>
      <c r="N1150" t="s">
        <v>34</v>
      </c>
      <c r="O1150">
        <v>3</v>
      </c>
      <c r="P1150">
        <v>2</v>
      </c>
      <c r="Q1150">
        <v>3</v>
      </c>
      <c r="R1150">
        <v>1</v>
      </c>
      <c r="S1150">
        <v>4</v>
      </c>
      <c r="T1150">
        <v>7</v>
      </c>
      <c r="U1150">
        <v>11</v>
      </c>
      <c r="V1150" t="s">
        <v>5241</v>
      </c>
      <c r="W1150" t="s">
        <v>34</v>
      </c>
      <c r="Y1150" s="2" t="str">
        <f>IF(EmployeeData[[#This Row],[Age]]&lt;25,"Under 25",IF(EmployeeData[[#This Row],[Age]]&lt;=34,"25-34",IF(EmployeeData[[#This Row],[Age]]&lt;=44,"35-44",IF(EmployeeData[[#This Row],[Age]]&lt;=54,"45-54","55+"))))</f>
        <v>Under 25</v>
      </c>
      <c r="Z1150">
        <f ca="1">DATEDIF(EmployeeData[[#This Row],[DateOfJoining]],IF(AND(EmployeeData[[#This Row],[Attrition]]="Yes",EmployeeData[[#This Row],[LastWorkingDate]]&lt;&gt;""),EmployeeData[[#This Row],[LastWorkingDate]],TODAY()),"Y")</f>
        <v>8</v>
      </c>
      <c r="AA1150" t="str">
        <f>IF(EmployeeData[[#This Row],[MonthlyIncome]]&lt;30000,"Low",IF(EmployeeData[[#This Row],[MonthlyIncome]]&lt;=60000,"Medium",IF(EmployeeData[[#This Row],[MonthlyIncome]]&lt;=100000,"High","Very High")))</f>
        <v>High</v>
      </c>
      <c r="AB1150">
        <f>IF(EmployeeData[[#This Row],[Attrition]]="Yes",1,0)</f>
        <v>0</v>
      </c>
      <c r="AC1150" t="str">
        <f ca="1">IF(EmployeeData[[#This Row],[Tenure Years]]&lt;1,"Less than 1 Year",IF(EmployeeData[[#This Row],[Tenure Years]]&lt;=3,"1-3 Years",IF(EmployeeData[[#This Row],[Tenure Years]]&lt;=5,"4-5 Years",IF(EmployeeData[[#This Row],[Tenure Years]]&lt;=10,"6-10 Years","More than 10 Years"))))</f>
        <v>6-10 Years</v>
      </c>
      <c r="AD1150">
        <f>ROUND(AVERAGE(EmployeeData[[#This Row],[JobSatisfaction]],EmployeeData[[#This Row],[EnvironmentSatisfaction]],EmployeeData[[#This Row],[WorkLifeBalance]]),2)</f>
        <v>2.67</v>
      </c>
      <c r="AE1150" t="str">
        <f>IF(EmployeeData[[#This Row],[Satisfaction Score]]&lt;2,"Low",IF(EmployeeData[[#This Row],[Satisfaction Score]]&lt;3,"Medium","High"))</f>
        <v>Medium</v>
      </c>
    </row>
    <row r="1151" spans="1:31" x14ac:dyDescent="0.25">
      <c r="A1151" t="s">
        <v>5242</v>
      </c>
      <c r="B1151" t="s">
        <v>5243</v>
      </c>
      <c r="C1151" t="s">
        <v>58</v>
      </c>
      <c r="D1151">
        <v>50</v>
      </c>
      <c r="E1151" t="s">
        <v>27</v>
      </c>
      <c r="F1151" t="s">
        <v>75</v>
      </c>
      <c r="G1151" s="1">
        <v>41428</v>
      </c>
      <c r="H1151">
        <v>122978</v>
      </c>
      <c r="I1151" t="s">
        <v>30</v>
      </c>
      <c r="J1151" t="s">
        <v>31</v>
      </c>
      <c r="K1151" t="s">
        <v>167</v>
      </c>
      <c r="L1151" t="s">
        <v>62</v>
      </c>
      <c r="M1151">
        <v>6</v>
      </c>
      <c r="N1151" t="s">
        <v>34</v>
      </c>
      <c r="O1151">
        <v>4</v>
      </c>
      <c r="P1151">
        <v>2</v>
      </c>
      <c r="Q1151">
        <v>3</v>
      </c>
      <c r="R1151">
        <v>4</v>
      </c>
      <c r="S1151">
        <v>1</v>
      </c>
      <c r="T1151">
        <v>2</v>
      </c>
      <c r="U1151">
        <v>21</v>
      </c>
      <c r="V1151" t="s">
        <v>5245</v>
      </c>
      <c r="W1151" t="s">
        <v>34</v>
      </c>
      <c r="Y1151" s="2" t="str">
        <f>IF(EmployeeData[[#This Row],[Age]]&lt;25,"Under 25",IF(EmployeeData[[#This Row],[Age]]&lt;=34,"25-34",IF(EmployeeData[[#This Row],[Age]]&lt;=44,"35-44",IF(EmployeeData[[#This Row],[Age]]&lt;=54,"45-54","55+"))))</f>
        <v>45-54</v>
      </c>
      <c r="Z1151">
        <f ca="1">DATEDIF(EmployeeData[[#This Row],[DateOfJoining]],IF(AND(EmployeeData[[#This Row],[Attrition]]="Yes",EmployeeData[[#This Row],[LastWorkingDate]]&lt;&gt;""),EmployeeData[[#This Row],[LastWorkingDate]],TODAY()),"Y")</f>
        <v>13</v>
      </c>
      <c r="AA1151" t="str">
        <f>IF(EmployeeData[[#This Row],[MonthlyIncome]]&lt;30000,"Low",IF(EmployeeData[[#This Row],[MonthlyIncome]]&lt;=60000,"Medium",IF(EmployeeData[[#This Row],[MonthlyIncome]]&lt;=100000,"High","Very High")))</f>
        <v>Very High</v>
      </c>
      <c r="AB1151">
        <f>IF(EmployeeData[[#This Row],[Attrition]]="Yes",1,0)</f>
        <v>0</v>
      </c>
      <c r="AC1151" t="str">
        <f ca="1">IF(EmployeeData[[#This Row],[Tenure Years]]&lt;1,"Less than 1 Year",IF(EmployeeData[[#This Row],[Tenure Years]]&lt;=3,"1-3 Years",IF(EmployeeData[[#This Row],[Tenure Years]]&lt;=5,"4-5 Years",IF(EmployeeData[[#This Row],[Tenure Years]]&lt;=10,"6-10 Years","More than 10 Years"))))</f>
        <v>More than 10 Years</v>
      </c>
      <c r="AD1151">
        <f>ROUND(AVERAGE(EmployeeData[[#This Row],[JobSatisfaction]],EmployeeData[[#This Row],[EnvironmentSatisfaction]],EmployeeData[[#This Row],[WorkLifeBalance]]),2)</f>
        <v>3</v>
      </c>
      <c r="AE1151" t="str">
        <f>IF(EmployeeData[[#This Row],[Satisfaction Score]]&lt;2,"Low",IF(EmployeeData[[#This Row],[Satisfaction Score]]&lt;3,"Medium","High"))</f>
        <v>High</v>
      </c>
    </row>
    <row r="1152" spans="1:31" x14ac:dyDescent="0.25">
      <c r="A1152" t="s">
        <v>5246</v>
      </c>
      <c r="B1152" t="s">
        <v>5247</v>
      </c>
      <c r="C1152" t="s">
        <v>58</v>
      </c>
      <c r="D1152">
        <v>37</v>
      </c>
      <c r="E1152" t="s">
        <v>197</v>
      </c>
      <c r="F1152" t="s">
        <v>323</v>
      </c>
      <c r="G1152" s="1">
        <v>41899</v>
      </c>
      <c r="H1152">
        <v>107427</v>
      </c>
      <c r="I1152" t="s">
        <v>42</v>
      </c>
      <c r="J1152" t="s">
        <v>31</v>
      </c>
      <c r="K1152" t="s">
        <v>54</v>
      </c>
      <c r="L1152" t="s">
        <v>62</v>
      </c>
      <c r="M1152">
        <v>13</v>
      </c>
      <c r="N1152" t="s">
        <v>34</v>
      </c>
      <c r="O1152">
        <v>2</v>
      </c>
      <c r="P1152">
        <v>3</v>
      </c>
      <c r="Q1152">
        <v>3</v>
      </c>
      <c r="R1152">
        <v>3</v>
      </c>
      <c r="S1152">
        <v>6</v>
      </c>
      <c r="T1152">
        <v>7</v>
      </c>
      <c r="U1152">
        <v>18</v>
      </c>
      <c r="V1152" t="s">
        <v>5249</v>
      </c>
      <c r="W1152" t="s">
        <v>34</v>
      </c>
      <c r="Y1152" s="2" t="str">
        <f>IF(EmployeeData[[#This Row],[Age]]&lt;25,"Under 25",IF(EmployeeData[[#This Row],[Age]]&lt;=34,"25-34",IF(EmployeeData[[#This Row],[Age]]&lt;=44,"35-44",IF(EmployeeData[[#This Row],[Age]]&lt;=54,"45-54","55+"))))</f>
        <v>35-44</v>
      </c>
      <c r="Z1152">
        <f ca="1">DATEDIF(EmployeeData[[#This Row],[DateOfJoining]],IF(AND(EmployeeData[[#This Row],[Attrition]]="Yes",EmployeeData[[#This Row],[LastWorkingDate]]&lt;&gt;""),EmployeeData[[#This Row],[LastWorkingDate]],TODAY()),"Y")</f>
        <v>11</v>
      </c>
      <c r="AA1152" t="str">
        <f>IF(EmployeeData[[#This Row],[MonthlyIncome]]&lt;30000,"Low",IF(EmployeeData[[#This Row],[MonthlyIncome]]&lt;=60000,"Medium",IF(EmployeeData[[#This Row],[MonthlyIncome]]&lt;=100000,"High","Very High")))</f>
        <v>Very High</v>
      </c>
      <c r="AB1152">
        <f>IF(EmployeeData[[#This Row],[Attrition]]="Yes",1,0)</f>
        <v>0</v>
      </c>
      <c r="AC1152" t="str">
        <f ca="1">IF(EmployeeData[[#This Row],[Tenure Years]]&lt;1,"Less than 1 Year",IF(EmployeeData[[#This Row],[Tenure Years]]&lt;=3,"1-3 Years",IF(EmployeeData[[#This Row],[Tenure Years]]&lt;=5,"4-5 Years",IF(EmployeeData[[#This Row],[Tenure Years]]&lt;=10,"6-10 Years","More than 10 Years"))))</f>
        <v>More than 10 Years</v>
      </c>
      <c r="AD1152">
        <f>ROUND(AVERAGE(EmployeeData[[#This Row],[JobSatisfaction]],EmployeeData[[#This Row],[EnvironmentSatisfaction]],EmployeeData[[#This Row],[WorkLifeBalance]]),2)</f>
        <v>2.67</v>
      </c>
      <c r="AE1152" t="str">
        <f>IF(EmployeeData[[#This Row],[Satisfaction Score]]&lt;2,"Low",IF(EmployeeData[[#This Row],[Satisfaction Score]]&lt;3,"Medium","High"))</f>
        <v>Medium</v>
      </c>
    </row>
    <row r="1153" spans="1:31" x14ac:dyDescent="0.25">
      <c r="A1153" t="s">
        <v>5250</v>
      </c>
      <c r="B1153" t="s">
        <v>5251</v>
      </c>
      <c r="C1153" t="s">
        <v>58</v>
      </c>
      <c r="D1153">
        <v>36</v>
      </c>
      <c r="E1153" t="s">
        <v>27</v>
      </c>
      <c r="F1153" t="s">
        <v>50</v>
      </c>
      <c r="G1153" s="1">
        <v>41505</v>
      </c>
      <c r="H1153">
        <v>54847</v>
      </c>
      <c r="I1153" t="s">
        <v>5459</v>
      </c>
      <c r="J1153" t="s">
        <v>31</v>
      </c>
      <c r="K1153" t="s">
        <v>167</v>
      </c>
      <c r="L1153" t="s">
        <v>43</v>
      </c>
      <c r="M1153">
        <v>14</v>
      </c>
      <c r="N1153" t="s">
        <v>34</v>
      </c>
      <c r="O1153">
        <v>2</v>
      </c>
      <c r="P1153">
        <v>2</v>
      </c>
      <c r="Q1153">
        <v>3</v>
      </c>
      <c r="R1153">
        <v>3</v>
      </c>
      <c r="S1153">
        <v>4</v>
      </c>
      <c r="T1153">
        <v>7</v>
      </c>
      <c r="U1153">
        <v>15</v>
      </c>
      <c r="V1153" t="s">
        <v>5253</v>
      </c>
      <c r="W1153" t="s">
        <v>34</v>
      </c>
      <c r="Y1153" s="2" t="str">
        <f>IF(EmployeeData[[#This Row],[Age]]&lt;25,"Under 25",IF(EmployeeData[[#This Row],[Age]]&lt;=34,"25-34",IF(EmployeeData[[#This Row],[Age]]&lt;=44,"35-44",IF(EmployeeData[[#This Row],[Age]]&lt;=54,"45-54","55+"))))</f>
        <v>35-44</v>
      </c>
      <c r="Z1153">
        <f ca="1">DATEDIF(EmployeeData[[#This Row],[DateOfJoining]],IF(AND(EmployeeData[[#This Row],[Attrition]]="Yes",EmployeeData[[#This Row],[LastWorkingDate]]&lt;&gt;""),EmployeeData[[#This Row],[LastWorkingDate]],TODAY()),"Y")</f>
        <v>13</v>
      </c>
      <c r="AA1153" t="str">
        <f>IF(EmployeeData[[#This Row],[MonthlyIncome]]&lt;30000,"Low",IF(EmployeeData[[#This Row],[MonthlyIncome]]&lt;=60000,"Medium",IF(EmployeeData[[#This Row],[MonthlyIncome]]&lt;=100000,"High","Very High")))</f>
        <v>Medium</v>
      </c>
      <c r="AB1153">
        <f>IF(EmployeeData[[#This Row],[Attrition]]="Yes",1,0)</f>
        <v>0</v>
      </c>
      <c r="AC1153" t="str">
        <f ca="1">IF(EmployeeData[[#This Row],[Tenure Years]]&lt;1,"Less than 1 Year",IF(EmployeeData[[#This Row],[Tenure Years]]&lt;=3,"1-3 Years",IF(EmployeeData[[#This Row],[Tenure Years]]&lt;=5,"4-5 Years",IF(EmployeeData[[#This Row],[Tenure Years]]&lt;=10,"6-10 Years","More than 10 Years"))))</f>
        <v>More than 10 Years</v>
      </c>
      <c r="AD1153">
        <f>ROUND(AVERAGE(EmployeeData[[#This Row],[JobSatisfaction]],EmployeeData[[#This Row],[EnvironmentSatisfaction]],EmployeeData[[#This Row],[WorkLifeBalance]]),2)</f>
        <v>2.33</v>
      </c>
      <c r="AE1153" t="str">
        <f>IF(EmployeeData[[#This Row],[Satisfaction Score]]&lt;2,"Low",IF(EmployeeData[[#This Row],[Satisfaction Score]]&lt;3,"Medium","High"))</f>
        <v>Medium</v>
      </c>
    </row>
    <row r="1154" spans="1:31" x14ac:dyDescent="0.25">
      <c r="A1154" t="s">
        <v>5254</v>
      </c>
      <c r="B1154" t="s">
        <v>5255</v>
      </c>
      <c r="C1154" t="s">
        <v>58</v>
      </c>
      <c r="D1154">
        <v>35</v>
      </c>
      <c r="E1154" t="s">
        <v>128</v>
      </c>
      <c r="F1154" t="s">
        <v>226</v>
      </c>
      <c r="G1154" s="1">
        <v>44453</v>
      </c>
      <c r="H1154">
        <v>86157</v>
      </c>
      <c r="I1154" t="s">
        <v>30</v>
      </c>
      <c r="J1154" t="s">
        <v>61</v>
      </c>
      <c r="K1154" t="s">
        <v>54</v>
      </c>
      <c r="L1154" t="s">
        <v>43</v>
      </c>
      <c r="M1154">
        <v>29</v>
      </c>
      <c r="N1154" t="s">
        <v>34</v>
      </c>
      <c r="O1154">
        <v>1</v>
      </c>
      <c r="P1154">
        <v>2</v>
      </c>
      <c r="Q1154">
        <v>1</v>
      </c>
      <c r="R1154">
        <v>3</v>
      </c>
      <c r="S1154">
        <v>6</v>
      </c>
      <c r="T1154">
        <v>7</v>
      </c>
      <c r="U1154">
        <v>23</v>
      </c>
      <c r="V1154" t="s">
        <v>5258</v>
      </c>
      <c r="W1154" t="s">
        <v>34</v>
      </c>
      <c r="Y1154" s="2" t="str">
        <f>IF(EmployeeData[[#This Row],[Age]]&lt;25,"Under 25",IF(EmployeeData[[#This Row],[Age]]&lt;=34,"25-34",IF(EmployeeData[[#This Row],[Age]]&lt;=44,"35-44",IF(EmployeeData[[#This Row],[Age]]&lt;=54,"45-54","55+"))))</f>
        <v>35-44</v>
      </c>
      <c r="Z1154">
        <f ca="1">DATEDIF(EmployeeData[[#This Row],[DateOfJoining]],IF(AND(EmployeeData[[#This Row],[Attrition]]="Yes",EmployeeData[[#This Row],[LastWorkingDate]]&lt;&gt;""),EmployeeData[[#This Row],[LastWorkingDate]],TODAY()),"Y")</f>
        <v>4</v>
      </c>
      <c r="AA1154" t="str">
        <f>IF(EmployeeData[[#This Row],[MonthlyIncome]]&lt;30000,"Low",IF(EmployeeData[[#This Row],[MonthlyIncome]]&lt;=60000,"Medium",IF(EmployeeData[[#This Row],[MonthlyIncome]]&lt;=100000,"High","Very High")))</f>
        <v>High</v>
      </c>
      <c r="AB1154">
        <f>IF(EmployeeData[[#This Row],[Attrition]]="Yes",1,0)</f>
        <v>0</v>
      </c>
      <c r="AC1154" t="str">
        <f ca="1">IF(EmployeeData[[#This Row],[Tenure Years]]&lt;1,"Less than 1 Year",IF(EmployeeData[[#This Row],[Tenure Years]]&lt;=3,"1-3 Years",IF(EmployeeData[[#This Row],[Tenure Years]]&lt;=5,"4-5 Years",IF(EmployeeData[[#This Row],[Tenure Years]]&lt;=10,"6-10 Years","More than 10 Years"))))</f>
        <v>4-5 Years</v>
      </c>
      <c r="AD1154">
        <f>ROUND(AVERAGE(EmployeeData[[#This Row],[JobSatisfaction]],EmployeeData[[#This Row],[EnvironmentSatisfaction]],EmployeeData[[#This Row],[WorkLifeBalance]]),2)</f>
        <v>1.33</v>
      </c>
      <c r="AE1154" t="str">
        <f>IF(EmployeeData[[#This Row],[Satisfaction Score]]&lt;2,"Low",IF(EmployeeData[[#This Row],[Satisfaction Score]]&lt;3,"Medium","High"))</f>
        <v>Low</v>
      </c>
    </row>
    <row r="1155" spans="1:31" x14ac:dyDescent="0.25">
      <c r="A1155" t="s">
        <v>5259</v>
      </c>
      <c r="B1155" t="s">
        <v>5260</v>
      </c>
      <c r="C1155" t="s">
        <v>58</v>
      </c>
      <c r="D1155">
        <v>36</v>
      </c>
      <c r="E1155" t="s">
        <v>128</v>
      </c>
      <c r="F1155" t="s">
        <v>226</v>
      </c>
      <c r="G1155" s="1">
        <v>42265</v>
      </c>
      <c r="H1155">
        <v>76142</v>
      </c>
      <c r="I1155" t="s">
        <v>42</v>
      </c>
      <c r="J1155" t="s">
        <v>31</v>
      </c>
      <c r="K1155" t="s">
        <v>5459</v>
      </c>
      <c r="L1155" t="s">
        <v>5459</v>
      </c>
      <c r="M1155">
        <v>22</v>
      </c>
      <c r="N1155" t="s">
        <v>34</v>
      </c>
      <c r="O1155">
        <v>3</v>
      </c>
      <c r="P1155">
        <v>1</v>
      </c>
      <c r="Q1155">
        <v>1</v>
      </c>
      <c r="R1155">
        <v>4</v>
      </c>
      <c r="S1155">
        <v>5</v>
      </c>
      <c r="T1155">
        <v>4</v>
      </c>
      <c r="U1155">
        <v>16</v>
      </c>
      <c r="V1155" t="s">
        <v>5262</v>
      </c>
      <c r="W1155" t="s">
        <v>34</v>
      </c>
      <c r="Y1155" s="2" t="str">
        <f>IF(EmployeeData[[#This Row],[Age]]&lt;25,"Under 25",IF(EmployeeData[[#This Row],[Age]]&lt;=34,"25-34",IF(EmployeeData[[#This Row],[Age]]&lt;=44,"35-44",IF(EmployeeData[[#This Row],[Age]]&lt;=54,"45-54","55+"))))</f>
        <v>35-44</v>
      </c>
      <c r="Z1155">
        <f ca="1">DATEDIF(EmployeeData[[#This Row],[DateOfJoining]],IF(AND(EmployeeData[[#This Row],[Attrition]]="Yes",EmployeeData[[#This Row],[LastWorkingDate]]&lt;&gt;""),EmployeeData[[#This Row],[LastWorkingDate]],TODAY()),"Y")</f>
        <v>10</v>
      </c>
      <c r="AA1155" t="str">
        <f>IF(EmployeeData[[#This Row],[MonthlyIncome]]&lt;30000,"Low",IF(EmployeeData[[#This Row],[MonthlyIncome]]&lt;=60000,"Medium",IF(EmployeeData[[#This Row],[MonthlyIncome]]&lt;=100000,"High","Very High")))</f>
        <v>High</v>
      </c>
      <c r="AB1155">
        <f>IF(EmployeeData[[#This Row],[Attrition]]="Yes",1,0)</f>
        <v>0</v>
      </c>
      <c r="AC1155" t="str">
        <f ca="1">IF(EmployeeData[[#This Row],[Tenure Years]]&lt;1,"Less than 1 Year",IF(EmployeeData[[#This Row],[Tenure Years]]&lt;=3,"1-3 Years",IF(EmployeeData[[#This Row],[Tenure Years]]&lt;=5,"4-5 Years",IF(EmployeeData[[#This Row],[Tenure Years]]&lt;=10,"6-10 Years","More than 10 Years"))))</f>
        <v>6-10 Years</v>
      </c>
      <c r="AD1155">
        <f>ROUND(AVERAGE(EmployeeData[[#This Row],[JobSatisfaction]],EmployeeData[[#This Row],[EnvironmentSatisfaction]],EmployeeData[[#This Row],[WorkLifeBalance]]),2)</f>
        <v>1.67</v>
      </c>
      <c r="AE1155" t="str">
        <f>IF(EmployeeData[[#This Row],[Satisfaction Score]]&lt;2,"Low",IF(EmployeeData[[#This Row],[Satisfaction Score]]&lt;3,"Medium","High"))</f>
        <v>Low</v>
      </c>
    </row>
    <row r="1156" spans="1:31" x14ac:dyDescent="0.25">
      <c r="A1156" t="s">
        <v>5263</v>
      </c>
      <c r="B1156" t="s">
        <v>5264</v>
      </c>
      <c r="C1156" t="s">
        <v>58</v>
      </c>
      <c r="D1156">
        <v>43</v>
      </c>
      <c r="E1156" t="s">
        <v>128</v>
      </c>
      <c r="F1156" t="s">
        <v>255</v>
      </c>
      <c r="G1156" s="1">
        <v>46047</v>
      </c>
      <c r="H1156">
        <v>71864</v>
      </c>
      <c r="I1156" t="s">
        <v>52</v>
      </c>
      <c r="J1156" t="s">
        <v>61</v>
      </c>
      <c r="K1156" t="s">
        <v>32</v>
      </c>
      <c r="L1156" t="s">
        <v>43</v>
      </c>
      <c r="M1156">
        <v>41</v>
      </c>
      <c r="N1156" t="s">
        <v>34</v>
      </c>
      <c r="O1156">
        <v>1</v>
      </c>
      <c r="P1156">
        <v>4</v>
      </c>
      <c r="Q1156">
        <v>3</v>
      </c>
      <c r="R1156">
        <v>4</v>
      </c>
      <c r="S1156">
        <v>3</v>
      </c>
      <c r="T1156">
        <v>6</v>
      </c>
      <c r="U1156">
        <v>18</v>
      </c>
      <c r="V1156" t="s">
        <v>5266</v>
      </c>
      <c r="W1156" t="s">
        <v>45</v>
      </c>
      <c r="X1156" s="1">
        <v>46137</v>
      </c>
      <c r="Y1156" s="2" t="str">
        <f>IF(EmployeeData[[#This Row],[Age]]&lt;25,"Under 25",IF(EmployeeData[[#This Row],[Age]]&lt;=34,"25-34",IF(EmployeeData[[#This Row],[Age]]&lt;=44,"35-44",IF(EmployeeData[[#This Row],[Age]]&lt;=54,"45-54","55+"))))</f>
        <v>35-44</v>
      </c>
      <c r="Z1156">
        <f ca="1">DATEDIF(EmployeeData[[#This Row],[DateOfJoining]],IF(AND(EmployeeData[[#This Row],[Attrition]]="Yes",EmployeeData[[#This Row],[LastWorkingDate]]&lt;&gt;""),EmployeeData[[#This Row],[LastWorkingDate]],TODAY()),"Y")</f>
        <v>0</v>
      </c>
      <c r="AA1156" t="str">
        <f>IF(EmployeeData[[#This Row],[MonthlyIncome]]&lt;30000,"Low",IF(EmployeeData[[#This Row],[MonthlyIncome]]&lt;=60000,"Medium",IF(EmployeeData[[#This Row],[MonthlyIncome]]&lt;=100000,"High","Very High")))</f>
        <v>High</v>
      </c>
      <c r="AB1156">
        <f>IF(EmployeeData[[#This Row],[Attrition]]="Yes",1,0)</f>
        <v>1</v>
      </c>
      <c r="AC1156" t="str">
        <f ca="1">IF(EmployeeData[[#This Row],[Tenure Years]]&lt;1,"Less than 1 Year",IF(EmployeeData[[#This Row],[Tenure Years]]&lt;=3,"1-3 Years",IF(EmployeeData[[#This Row],[Tenure Years]]&lt;=5,"4-5 Years",IF(EmployeeData[[#This Row],[Tenure Years]]&lt;=10,"6-10 Years","More than 10 Years"))))</f>
        <v>Less than 1 Year</v>
      </c>
      <c r="AD1156">
        <f>ROUND(AVERAGE(EmployeeData[[#This Row],[JobSatisfaction]],EmployeeData[[#This Row],[EnvironmentSatisfaction]],EmployeeData[[#This Row],[WorkLifeBalance]]),2)</f>
        <v>2.67</v>
      </c>
      <c r="AE1156" t="str">
        <f>IF(EmployeeData[[#This Row],[Satisfaction Score]]&lt;2,"Low",IF(EmployeeData[[#This Row],[Satisfaction Score]]&lt;3,"Medium","High"))</f>
        <v>Medium</v>
      </c>
    </row>
    <row r="1157" spans="1:31" x14ac:dyDescent="0.25">
      <c r="A1157" t="s">
        <v>5268</v>
      </c>
      <c r="B1157" t="s">
        <v>5269</v>
      </c>
      <c r="C1157" t="s">
        <v>49</v>
      </c>
      <c r="D1157">
        <v>49</v>
      </c>
      <c r="E1157" t="s">
        <v>5461</v>
      </c>
      <c r="F1157" t="s">
        <v>483</v>
      </c>
      <c r="G1157" s="1">
        <v>41050</v>
      </c>
      <c r="H1157">
        <v>124434</v>
      </c>
      <c r="I1157" t="s">
        <v>30</v>
      </c>
      <c r="J1157" t="s">
        <v>143</v>
      </c>
      <c r="K1157" t="s">
        <v>54</v>
      </c>
      <c r="L1157" t="s">
        <v>62</v>
      </c>
      <c r="M1157">
        <v>40</v>
      </c>
      <c r="N1157" t="s">
        <v>45</v>
      </c>
      <c r="O1157">
        <v>4</v>
      </c>
      <c r="P1157">
        <v>1</v>
      </c>
      <c r="Q1157">
        <v>1</v>
      </c>
      <c r="R1157">
        <v>5</v>
      </c>
      <c r="S1157">
        <v>2</v>
      </c>
      <c r="T1157">
        <v>4</v>
      </c>
      <c r="U1157">
        <v>14</v>
      </c>
      <c r="V1157" t="s">
        <v>5271</v>
      </c>
      <c r="W1157" t="s">
        <v>45</v>
      </c>
      <c r="X1157" s="1">
        <v>45927</v>
      </c>
      <c r="Y1157" s="2" t="str">
        <f>IF(EmployeeData[[#This Row],[Age]]&lt;25,"Under 25",IF(EmployeeData[[#This Row],[Age]]&lt;=34,"25-34",IF(EmployeeData[[#This Row],[Age]]&lt;=44,"35-44",IF(EmployeeData[[#This Row],[Age]]&lt;=54,"45-54","55+"))))</f>
        <v>45-54</v>
      </c>
      <c r="Z1157">
        <f ca="1">DATEDIF(EmployeeData[[#This Row],[DateOfJoining]],IF(AND(EmployeeData[[#This Row],[Attrition]]="Yes",EmployeeData[[#This Row],[LastWorkingDate]]&lt;&gt;""),EmployeeData[[#This Row],[LastWorkingDate]],TODAY()),"Y")</f>
        <v>13</v>
      </c>
      <c r="AA1157" t="str">
        <f>IF(EmployeeData[[#This Row],[MonthlyIncome]]&lt;30000,"Low",IF(EmployeeData[[#This Row],[MonthlyIncome]]&lt;=60000,"Medium",IF(EmployeeData[[#This Row],[MonthlyIncome]]&lt;=100000,"High","Very High")))</f>
        <v>Very High</v>
      </c>
      <c r="AB1157">
        <f>IF(EmployeeData[[#This Row],[Attrition]]="Yes",1,0)</f>
        <v>1</v>
      </c>
      <c r="AC1157" t="str">
        <f ca="1">IF(EmployeeData[[#This Row],[Tenure Years]]&lt;1,"Less than 1 Year",IF(EmployeeData[[#This Row],[Tenure Years]]&lt;=3,"1-3 Years",IF(EmployeeData[[#This Row],[Tenure Years]]&lt;=5,"4-5 Years",IF(EmployeeData[[#This Row],[Tenure Years]]&lt;=10,"6-10 Years","More than 10 Years"))))</f>
        <v>More than 10 Years</v>
      </c>
      <c r="AD1157">
        <f>ROUND(AVERAGE(EmployeeData[[#This Row],[JobSatisfaction]],EmployeeData[[#This Row],[EnvironmentSatisfaction]],EmployeeData[[#This Row],[WorkLifeBalance]]),2)</f>
        <v>2</v>
      </c>
      <c r="AE1157" t="str">
        <f>IF(EmployeeData[[#This Row],[Satisfaction Score]]&lt;2,"Low",IF(EmployeeData[[#This Row],[Satisfaction Score]]&lt;3,"Medium","High"))</f>
        <v>Medium</v>
      </c>
    </row>
    <row r="1158" spans="1:31" x14ac:dyDescent="0.25">
      <c r="A1158" t="s">
        <v>5273</v>
      </c>
      <c r="B1158" t="s">
        <v>5274</v>
      </c>
      <c r="C1158" t="s">
        <v>58</v>
      </c>
      <c r="D1158">
        <v>35</v>
      </c>
      <c r="E1158" t="s">
        <v>27</v>
      </c>
      <c r="F1158" t="s">
        <v>75</v>
      </c>
      <c r="G1158" s="1">
        <v>43191</v>
      </c>
      <c r="H1158">
        <v>51468</v>
      </c>
      <c r="I1158" t="s">
        <v>42</v>
      </c>
      <c r="J1158" t="s">
        <v>31</v>
      </c>
      <c r="K1158" t="s">
        <v>77</v>
      </c>
      <c r="L1158" t="s">
        <v>62</v>
      </c>
      <c r="M1158">
        <v>24</v>
      </c>
      <c r="N1158" t="s">
        <v>45</v>
      </c>
      <c r="O1158">
        <v>3</v>
      </c>
      <c r="P1158">
        <v>1</v>
      </c>
      <c r="Q1158">
        <v>1</v>
      </c>
      <c r="R1158">
        <v>4</v>
      </c>
      <c r="S1158">
        <v>2</v>
      </c>
      <c r="T1158">
        <v>0</v>
      </c>
      <c r="U1158">
        <v>23</v>
      </c>
      <c r="V1158" t="s">
        <v>5276</v>
      </c>
      <c r="W1158" t="s">
        <v>45</v>
      </c>
      <c r="X1158" s="1">
        <v>44746</v>
      </c>
      <c r="Y1158" s="2" t="str">
        <f>IF(EmployeeData[[#This Row],[Age]]&lt;25,"Under 25",IF(EmployeeData[[#This Row],[Age]]&lt;=34,"25-34",IF(EmployeeData[[#This Row],[Age]]&lt;=44,"35-44",IF(EmployeeData[[#This Row],[Age]]&lt;=54,"45-54","55+"))))</f>
        <v>35-44</v>
      </c>
      <c r="Z1158">
        <f ca="1">DATEDIF(EmployeeData[[#This Row],[DateOfJoining]],IF(AND(EmployeeData[[#This Row],[Attrition]]="Yes",EmployeeData[[#This Row],[LastWorkingDate]]&lt;&gt;""),EmployeeData[[#This Row],[LastWorkingDate]],TODAY()),"Y")</f>
        <v>4</v>
      </c>
      <c r="AA1158" t="str">
        <f>IF(EmployeeData[[#This Row],[MonthlyIncome]]&lt;30000,"Low",IF(EmployeeData[[#This Row],[MonthlyIncome]]&lt;=60000,"Medium",IF(EmployeeData[[#This Row],[MonthlyIncome]]&lt;=100000,"High","Very High")))</f>
        <v>Medium</v>
      </c>
      <c r="AB1158">
        <f>IF(EmployeeData[[#This Row],[Attrition]]="Yes",1,0)</f>
        <v>1</v>
      </c>
      <c r="AC1158" t="str">
        <f ca="1">IF(EmployeeData[[#This Row],[Tenure Years]]&lt;1,"Less than 1 Year",IF(EmployeeData[[#This Row],[Tenure Years]]&lt;=3,"1-3 Years",IF(EmployeeData[[#This Row],[Tenure Years]]&lt;=5,"4-5 Years",IF(EmployeeData[[#This Row],[Tenure Years]]&lt;=10,"6-10 Years","More than 10 Years"))))</f>
        <v>4-5 Years</v>
      </c>
      <c r="AD1158">
        <f>ROUND(AVERAGE(EmployeeData[[#This Row],[JobSatisfaction]],EmployeeData[[#This Row],[EnvironmentSatisfaction]],EmployeeData[[#This Row],[WorkLifeBalance]]),2)</f>
        <v>1.67</v>
      </c>
      <c r="AE1158" t="str">
        <f>IF(EmployeeData[[#This Row],[Satisfaction Score]]&lt;2,"Low",IF(EmployeeData[[#This Row],[Satisfaction Score]]&lt;3,"Medium","High"))</f>
        <v>Low</v>
      </c>
    </row>
    <row r="1159" spans="1:31" x14ac:dyDescent="0.25">
      <c r="A1159" t="s">
        <v>5278</v>
      </c>
      <c r="B1159" t="s">
        <v>5279</v>
      </c>
      <c r="C1159" t="s">
        <v>49</v>
      </c>
      <c r="D1159">
        <v>37</v>
      </c>
      <c r="E1159" t="s">
        <v>38</v>
      </c>
      <c r="F1159" t="s">
        <v>5465</v>
      </c>
      <c r="G1159" s="1">
        <v>43546</v>
      </c>
      <c r="H1159">
        <v>91734</v>
      </c>
      <c r="I1159" t="s">
        <v>30</v>
      </c>
      <c r="J1159" t="s">
        <v>31</v>
      </c>
      <c r="K1159" t="s">
        <v>113</v>
      </c>
      <c r="L1159" t="s">
        <v>33</v>
      </c>
      <c r="M1159">
        <v>30</v>
      </c>
      <c r="N1159" t="s">
        <v>34</v>
      </c>
      <c r="O1159">
        <v>1</v>
      </c>
      <c r="P1159">
        <v>1</v>
      </c>
      <c r="Q1159">
        <v>3</v>
      </c>
      <c r="R1159">
        <v>3</v>
      </c>
      <c r="S1159">
        <v>2</v>
      </c>
      <c r="T1159">
        <v>8</v>
      </c>
      <c r="U1159">
        <v>19</v>
      </c>
      <c r="V1159" t="s">
        <v>5281</v>
      </c>
      <c r="W1159" t="s">
        <v>34</v>
      </c>
      <c r="Y1159" s="2" t="str">
        <f>IF(EmployeeData[[#This Row],[Age]]&lt;25,"Under 25",IF(EmployeeData[[#This Row],[Age]]&lt;=34,"25-34",IF(EmployeeData[[#This Row],[Age]]&lt;=44,"35-44",IF(EmployeeData[[#This Row],[Age]]&lt;=54,"45-54","55+"))))</f>
        <v>35-44</v>
      </c>
      <c r="Z1159">
        <f ca="1">DATEDIF(EmployeeData[[#This Row],[DateOfJoining]],IF(AND(EmployeeData[[#This Row],[Attrition]]="Yes",EmployeeData[[#This Row],[LastWorkingDate]]&lt;&gt;""),EmployeeData[[#This Row],[LastWorkingDate]],TODAY()),"Y")</f>
        <v>7</v>
      </c>
      <c r="AA1159" t="str">
        <f>IF(EmployeeData[[#This Row],[MonthlyIncome]]&lt;30000,"Low",IF(EmployeeData[[#This Row],[MonthlyIncome]]&lt;=60000,"Medium",IF(EmployeeData[[#This Row],[MonthlyIncome]]&lt;=100000,"High","Very High")))</f>
        <v>High</v>
      </c>
      <c r="AB1159">
        <f>IF(EmployeeData[[#This Row],[Attrition]]="Yes",1,0)</f>
        <v>0</v>
      </c>
      <c r="AC1159" t="str">
        <f ca="1">IF(EmployeeData[[#This Row],[Tenure Years]]&lt;1,"Less than 1 Year",IF(EmployeeData[[#This Row],[Tenure Years]]&lt;=3,"1-3 Years",IF(EmployeeData[[#This Row],[Tenure Years]]&lt;=5,"4-5 Years",IF(EmployeeData[[#This Row],[Tenure Years]]&lt;=10,"6-10 Years","More than 10 Years"))))</f>
        <v>6-10 Years</v>
      </c>
      <c r="AD1159">
        <f>ROUND(AVERAGE(EmployeeData[[#This Row],[JobSatisfaction]],EmployeeData[[#This Row],[EnvironmentSatisfaction]],EmployeeData[[#This Row],[WorkLifeBalance]]),2)</f>
        <v>1.67</v>
      </c>
      <c r="AE1159" t="str">
        <f>IF(EmployeeData[[#This Row],[Satisfaction Score]]&lt;2,"Low",IF(EmployeeData[[#This Row],[Satisfaction Score]]&lt;3,"Medium","High"))</f>
        <v>Low</v>
      </c>
    </row>
    <row r="1160" spans="1:31" x14ac:dyDescent="0.25">
      <c r="A1160" t="s">
        <v>5282</v>
      </c>
      <c r="B1160" t="s">
        <v>5283</v>
      </c>
      <c r="C1160" t="s">
        <v>58</v>
      </c>
      <c r="D1160">
        <v>47</v>
      </c>
      <c r="E1160" t="s">
        <v>197</v>
      </c>
      <c r="F1160" t="s">
        <v>573</v>
      </c>
      <c r="G1160" s="1">
        <v>45897</v>
      </c>
      <c r="H1160">
        <v>75970</v>
      </c>
      <c r="I1160" t="s">
        <v>42</v>
      </c>
      <c r="J1160" t="s">
        <v>143</v>
      </c>
      <c r="K1160" t="s">
        <v>54</v>
      </c>
      <c r="L1160" t="s">
        <v>43</v>
      </c>
      <c r="M1160">
        <v>3</v>
      </c>
      <c r="N1160" t="s">
        <v>45</v>
      </c>
      <c r="O1160">
        <v>3</v>
      </c>
      <c r="P1160">
        <v>3</v>
      </c>
      <c r="Q1160">
        <v>3</v>
      </c>
      <c r="R1160">
        <v>3</v>
      </c>
      <c r="S1160">
        <v>3</v>
      </c>
      <c r="T1160">
        <v>1</v>
      </c>
      <c r="U1160">
        <v>14</v>
      </c>
      <c r="V1160" t="s">
        <v>5285</v>
      </c>
      <c r="W1160" t="s">
        <v>45</v>
      </c>
      <c r="X1160" s="1">
        <v>46121</v>
      </c>
      <c r="Y1160" s="2" t="str">
        <f>IF(EmployeeData[[#This Row],[Age]]&lt;25,"Under 25",IF(EmployeeData[[#This Row],[Age]]&lt;=34,"25-34",IF(EmployeeData[[#This Row],[Age]]&lt;=44,"35-44",IF(EmployeeData[[#This Row],[Age]]&lt;=54,"45-54","55+"))))</f>
        <v>45-54</v>
      </c>
      <c r="Z1160">
        <f ca="1">DATEDIF(EmployeeData[[#This Row],[DateOfJoining]],IF(AND(EmployeeData[[#This Row],[Attrition]]="Yes",EmployeeData[[#This Row],[LastWorkingDate]]&lt;&gt;""),EmployeeData[[#This Row],[LastWorkingDate]],TODAY()),"Y")</f>
        <v>0</v>
      </c>
      <c r="AA1160" t="str">
        <f>IF(EmployeeData[[#This Row],[MonthlyIncome]]&lt;30000,"Low",IF(EmployeeData[[#This Row],[MonthlyIncome]]&lt;=60000,"Medium",IF(EmployeeData[[#This Row],[MonthlyIncome]]&lt;=100000,"High","Very High")))</f>
        <v>High</v>
      </c>
      <c r="AB1160">
        <f>IF(EmployeeData[[#This Row],[Attrition]]="Yes",1,0)</f>
        <v>1</v>
      </c>
      <c r="AC1160" t="str">
        <f ca="1">IF(EmployeeData[[#This Row],[Tenure Years]]&lt;1,"Less than 1 Year",IF(EmployeeData[[#This Row],[Tenure Years]]&lt;=3,"1-3 Years",IF(EmployeeData[[#This Row],[Tenure Years]]&lt;=5,"4-5 Years",IF(EmployeeData[[#This Row],[Tenure Years]]&lt;=10,"6-10 Years","More than 10 Years"))))</f>
        <v>Less than 1 Year</v>
      </c>
      <c r="AD1160">
        <f>ROUND(AVERAGE(EmployeeData[[#This Row],[JobSatisfaction]],EmployeeData[[#This Row],[EnvironmentSatisfaction]],EmployeeData[[#This Row],[WorkLifeBalance]]),2)</f>
        <v>3</v>
      </c>
      <c r="AE1160" t="str">
        <f>IF(EmployeeData[[#This Row],[Satisfaction Score]]&lt;2,"Low",IF(EmployeeData[[#This Row],[Satisfaction Score]]&lt;3,"Medium","High"))</f>
        <v>High</v>
      </c>
    </row>
    <row r="1161" spans="1:31" x14ac:dyDescent="0.25">
      <c r="A1161" t="s">
        <v>5287</v>
      </c>
      <c r="B1161" t="s">
        <v>5288</v>
      </c>
      <c r="C1161" t="s">
        <v>49</v>
      </c>
      <c r="D1161">
        <v>19</v>
      </c>
      <c r="E1161" t="s">
        <v>27</v>
      </c>
      <c r="F1161" t="s">
        <v>59</v>
      </c>
      <c r="G1161" s="1">
        <v>40800</v>
      </c>
      <c r="H1161">
        <v>116072</v>
      </c>
      <c r="I1161" t="s">
        <v>52</v>
      </c>
      <c r="J1161" t="s">
        <v>61</v>
      </c>
      <c r="K1161" t="s">
        <v>54</v>
      </c>
      <c r="L1161" t="s">
        <v>33</v>
      </c>
      <c r="M1161">
        <v>40</v>
      </c>
      <c r="N1161" t="s">
        <v>45</v>
      </c>
      <c r="O1161">
        <v>3</v>
      </c>
      <c r="P1161">
        <v>1</v>
      </c>
      <c r="Q1161">
        <v>3</v>
      </c>
      <c r="R1161">
        <v>3</v>
      </c>
      <c r="S1161">
        <v>5</v>
      </c>
      <c r="T1161">
        <v>1</v>
      </c>
      <c r="U1161">
        <v>15</v>
      </c>
      <c r="V1161" t="s">
        <v>5290</v>
      </c>
      <c r="W1161" t="s">
        <v>45</v>
      </c>
      <c r="X1161" s="1">
        <v>43262</v>
      </c>
      <c r="Y1161" s="2" t="str">
        <f>IF(EmployeeData[[#This Row],[Age]]&lt;25,"Under 25",IF(EmployeeData[[#This Row],[Age]]&lt;=34,"25-34",IF(EmployeeData[[#This Row],[Age]]&lt;=44,"35-44",IF(EmployeeData[[#This Row],[Age]]&lt;=54,"45-54","55+"))))</f>
        <v>Under 25</v>
      </c>
      <c r="Z1161">
        <f ca="1">DATEDIF(EmployeeData[[#This Row],[DateOfJoining]],IF(AND(EmployeeData[[#This Row],[Attrition]]="Yes",EmployeeData[[#This Row],[LastWorkingDate]]&lt;&gt;""),EmployeeData[[#This Row],[LastWorkingDate]],TODAY()),"Y")</f>
        <v>6</v>
      </c>
      <c r="AA1161" t="str">
        <f>IF(EmployeeData[[#This Row],[MonthlyIncome]]&lt;30000,"Low",IF(EmployeeData[[#This Row],[MonthlyIncome]]&lt;=60000,"Medium",IF(EmployeeData[[#This Row],[MonthlyIncome]]&lt;=100000,"High","Very High")))</f>
        <v>Very High</v>
      </c>
      <c r="AB1161">
        <f>IF(EmployeeData[[#This Row],[Attrition]]="Yes",1,0)</f>
        <v>1</v>
      </c>
      <c r="AC1161" t="str">
        <f ca="1">IF(EmployeeData[[#This Row],[Tenure Years]]&lt;1,"Less than 1 Year",IF(EmployeeData[[#This Row],[Tenure Years]]&lt;=3,"1-3 Years",IF(EmployeeData[[#This Row],[Tenure Years]]&lt;=5,"4-5 Years",IF(EmployeeData[[#This Row],[Tenure Years]]&lt;=10,"6-10 Years","More than 10 Years"))))</f>
        <v>6-10 Years</v>
      </c>
      <c r="AD1161">
        <f>ROUND(AVERAGE(EmployeeData[[#This Row],[JobSatisfaction]],EmployeeData[[#This Row],[EnvironmentSatisfaction]],EmployeeData[[#This Row],[WorkLifeBalance]]),2)</f>
        <v>2.33</v>
      </c>
      <c r="AE1161" t="str">
        <f>IF(EmployeeData[[#This Row],[Satisfaction Score]]&lt;2,"Low",IF(EmployeeData[[#This Row],[Satisfaction Score]]&lt;3,"Medium","High"))</f>
        <v>Medium</v>
      </c>
    </row>
    <row r="1162" spans="1:31" x14ac:dyDescent="0.25">
      <c r="A1162" t="s">
        <v>5292</v>
      </c>
      <c r="B1162" t="s">
        <v>5293</v>
      </c>
      <c r="C1162" t="s">
        <v>58</v>
      </c>
      <c r="D1162">
        <v>39</v>
      </c>
      <c r="E1162" t="s">
        <v>128</v>
      </c>
      <c r="F1162" t="s">
        <v>255</v>
      </c>
      <c r="G1162" s="1">
        <v>43267</v>
      </c>
      <c r="H1162">
        <v>70169</v>
      </c>
      <c r="I1162" t="s">
        <v>52</v>
      </c>
      <c r="J1162" t="s">
        <v>31</v>
      </c>
      <c r="K1162" t="s">
        <v>98</v>
      </c>
      <c r="L1162" t="s">
        <v>62</v>
      </c>
      <c r="M1162">
        <v>3</v>
      </c>
      <c r="N1162" t="s">
        <v>45</v>
      </c>
      <c r="O1162">
        <v>2</v>
      </c>
      <c r="P1162">
        <v>4</v>
      </c>
      <c r="Q1162">
        <v>3</v>
      </c>
      <c r="R1162">
        <v>4</v>
      </c>
      <c r="S1162">
        <v>5</v>
      </c>
      <c r="T1162">
        <v>2</v>
      </c>
      <c r="U1162">
        <v>18</v>
      </c>
      <c r="V1162" t="s">
        <v>5295</v>
      </c>
      <c r="W1162" t="s">
        <v>45</v>
      </c>
      <c r="X1162" s="1">
        <v>45388</v>
      </c>
      <c r="Y1162" s="2" t="str">
        <f>IF(EmployeeData[[#This Row],[Age]]&lt;25,"Under 25",IF(EmployeeData[[#This Row],[Age]]&lt;=34,"25-34",IF(EmployeeData[[#This Row],[Age]]&lt;=44,"35-44",IF(EmployeeData[[#This Row],[Age]]&lt;=54,"45-54","55+"))))</f>
        <v>35-44</v>
      </c>
      <c r="Z1162">
        <f ca="1">DATEDIF(EmployeeData[[#This Row],[DateOfJoining]],IF(AND(EmployeeData[[#This Row],[Attrition]]="Yes",EmployeeData[[#This Row],[LastWorkingDate]]&lt;&gt;""),EmployeeData[[#This Row],[LastWorkingDate]],TODAY()),"Y")</f>
        <v>5</v>
      </c>
      <c r="AA1162" t="str">
        <f>IF(EmployeeData[[#This Row],[MonthlyIncome]]&lt;30000,"Low",IF(EmployeeData[[#This Row],[MonthlyIncome]]&lt;=60000,"Medium",IF(EmployeeData[[#This Row],[MonthlyIncome]]&lt;=100000,"High","Very High")))</f>
        <v>High</v>
      </c>
      <c r="AB1162">
        <f>IF(EmployeeData[[#This Row],[Attrition]]="Yes",1,0)</f>
        <v>1</v>
      </c>
      <c r="AC1162" t="str">
        <f ca="1">IF(EmployeeData[[#This Row],[Tenure Years]]&lt;1,"Less than 1 Year",IF(EmployeeData[[#This Row],[Tenure Years]]&lt;=3,"1-3 Years",IF(EmployeeData[[#This Row],[Tenure Years]]&lt;=5,"4-5 Years",IF(EmployeeData[[#This Row],[Tenure Years]]&lt;=10,"6-10 Years","More than 10 Years"))))</f>
        <v>4-5 Years</v>
      </c>
      <c r="AD1162">
        <f>ROUND(AVERAGE(EmployeeData[[#This Row],[JobSatisfaction]],EmployeeData[[#This Row],[EnvironmentSatisfaction]],EmployeeData[[#This Row],[WorkLifeBalance]]),2)</f>
        <v>3</v>
      </c>
      <c r="AE1162" t="str">
        <f>IF(EmployeeData[[#This Row],[Satisfaction Score]]&lt;2,"Low",IF(EmployeeData[[#This Row],[Satisfaction Score]]&lt;3,"Medium","High"))</f>
        <v>High</v>
      </c>
    </row>
    <row r="1163" spans="1:31" x14ac:dyDescent="0.25">
      <c r="A1163" t="s">
        <v>5297</v>
      </c>
      <c r="B1163" t="s">
        <v>5298</v>
      </c>
      <c r="C1163" t="s">
        <v>49</v>
      </c>
      <c r="D1163">
        <v>46</v>
      </c>
      <c r="E1163" t="s">
        <v>94</v>
      </c>
      <c r="F1163" t="s">
        <v>356</v>
      </c>
      <c r="G1163" s="1">
        <v>41546</v>
      </c>
      <c r="H1163">
        <v>137905</v>
      </c>
      <c r="I1163" t="s">
        <v>30</v>
      </c>
      <c r="J1163" t="s">
        <v>143</v>
      </c>
      <c r="K1163" t="s">
        <v>32</v>
      </c>
      <c r="L1163" t="s">
        <v>33</v>
      </c>
      <c r="M1163">
        <v>27</v>
      </c>
      <c r="N1163" t="s">
        <v>34</v>
      </c>
      <c r="O1163">
        <v>4</v>
      </c>
      <c r="P1163">
        <v>3</v>
      </c>
      <c r="Q1163">
        <v>4</v>
      </c>
      <c r="R1163">
        <v>3</v>
      </c>
      <c r="S1163">
        <v>4</v>
      </c>
      <c r="T1163">
        <v>8</v>
      </c>
      <c r="U1163">
        <v>17</v>
      </c>
      <c r="V1163" t="s">
        <v>5301</v>
      </c>
      <c r="W1163" t="s">
        <v>34</v>
      </c>
      <c r="Y1163" s="2" t="str">
        <f>IF(EmployeeData[[#This Row],[Age]]&lt;25,"Under 25",IF(EmployeeData[[#This Row],[Age]]&lt;=34,"25-34",IF(EmployeeData[[#This Row],[Age]]&lt;=44,"35-44",IF(EmployeeData[[#This Row],[Age]]&lt;=54,"45-54","55+"))))</f>
        <v>45-54</v>
      </c>
      <c r="Z1163">
        <f ca="1">DATEDIF(EmployeeData[[#This Row],[DateOfJoining]],IF(AND(EmployeeData[[#This Row],[Attrition]]="Yes",EmployeeData[[#This Row],[LastWorkingDate]]&lt;&gt;""),EmployeeData[[#This Row],[LastWorkingDate]],TODAY()),"Y")</f>
        <v>12</v>
      </c>
      <c r="AA1163" t="str">
        <f>IF(EmployeeData[[#This Row],[MonthlyIncome]]&lt;30000,"Low",IF(EmployeeData[[#This Row],[MonthlyIncome]]&lt;=60000,"Medium",IF(EmployeeData[[#This Row],[MonthlyIncome]]&lt;=100000,"High","Very High")))</f>
        <v>Very High</v>
      </c>
      <c r="AB1163">
        <f>IF(EmployeeData[[#This Row],[Attrition]]="Yes",1,0)</f>
        <v>0</v>
      </c>
      <c r="AC1163" t="str">
        <f ca="1">IF(EmployeeData[[#This Row],[Tenure Years]]&lt;1,"Less than 1 Year",IF(EmployeeData[[#This Row],[Tenure Years]]&lt;=3,"1-3 Years",IF(EmployeeData[[#This Row],[Tenure Years]]&lt;=5,"4-5 Years",IF(EmployeeData[[#This Row],[Tenure Years]]&lt;=10,"6-10 Years","More than 10 Years"))))</f>
        <v>More than 10 Years</v>
      </c>
      <c r="AD1163">
        <f>ROUND(AVERAGE(EmployeeData[[#This Row],[JobSatisfaction]],EmployeeData[[#This Row],[EnvironmentSatisfaction]],EmployeeData[[#This Row],[WorkLifeBalance]]),2)</f>
        <v>3.67</v>
      </c>
      <c r="AE1163" t="str">
        <f>IF(EmployeeData[[#This Row],[Satisfaction Score]]&lt;2,"Low",IF(EmployeeData[[#This Row],[Satisfaction Score]]&lt;3,"Medium","High"))</f>
        <v>High</v>
      </c>
    </row>
    <row r="1164" spans="1:31" x14ac:dyDescent="0.25">
      <c r="A1164" t="s">
        <v>5302</v>
      </c>
      <c r="B1164" t="s">
        <v>5303</v>
      </c>
      <c r="C1164" t="s">
        <v>49</v>
      </c>
      <c r="D1164">
        <v>30</v>
      </c>
      <c r="E1164" t="s">
        <v>94</v>
      </c>
      <c r="F1164" t="s">
        <v>306</v>
      </c>
      <c r="G1164" s="1">
        <v>46022</v>
      </c>
      <c r="H1164">
        <v>92726</v>
      </c>
      <c r="I1164" t="s">
        <v>42</v>
      </c>
      <c r="J1164" t="s">
        <v>143</v>
      </c>
      <c r="K1164" t="s">
        <v>131</v>
      </c>
      <c r="L1164" t="s">
        <v>62</v>
      </c>
      <c r="M1164">
        <v>33</v>
      </c>
      <c r="N1164" t="s">
        <v>34</v>
      </c>
      <c r="O1164">
        <v>2</v>
      </c>
      <c r="P1164">
        <v>4</v>
      </c>
      <c r="Q1164">
        <v>4</v>
      </c>
      <c r="R1164">
        <v>4</v>
      </c>
      <c r="S1164">
        <v>0</v>
      </c>
      <c r="T1164">
        <v>6</v>
      </c>
      <c r="U1164">
        <v>15</v>
      </c>
      <c r="V1164" t="s">
        <v>5305</v>
      </c>
      <c r="W1164" t="s">
        <v>45</v>
      </c>
      <c r="X1164" s="1">
        <v>46041</v>
      </c>
      <c r="Y1164" s="2" t="str">
        <f>IF(EmployeeData[[#This Row],[Age]]&lt;25,"Under 25",IF(EmployeeData[[#This Row],[Age]]&lt;=34,"25-34",IF(EmployeeData[[#This Row],[Age]]&lt;=44,"35-44",IF(EmployeeData[[#This Row],[Age]]&lt;=54,"45-54","55+"))))</f>
        <v>25-34</v>
      </c>
      <c r="Z1164">
        <f ca="1">DATEDIF(EmployeeData[[#This Row],[DateOfJoining]],IF(AND(EmployeeData[[#This Row],[Attrition]]="Yes",EmployeeData[[#This Row],[LastWorkingDate]]&lt;&gt;""),EmployeeData[[#This Row],[LastWorkingDate]],TODAY()),"Y")</f>
        <v>0</v>
      </c>
      <c r="AA1164" t="str">
        <f>IF(EmployeeData[[#This Row],[MonthlyIncome]]&lt;30000,"Low",IF(EmployeeData[[#This Row],[MonthlyIncome]]&lt;=60000,"Medium",IF(EmployeeData[[#This Row],[MonthlyIncome]]&lt;=100000,"High","Very High")))</f>
        <v>High</v>
      </c>
      <c r="AB1164">
        <f>IF(EmployeeData[[#This Row],[Attrition]]="Yes",1,0)</f>
        <v>1</v>
      </c>
      <c r="AC1164" t="str">
        <f ca="1">IF(EmployeeData[[#This Row],[Tenure Years]]&lt;1,"Less than 1 Year",IF(EmployeeData[[#This Row],[Tenure Years]]&lt;=3,"1-3 Years",IF(EmployeeData[[#This Row],[Tenure Years]]&lt;=5,"4-5 Years",IF(EmployeeData[[#This Row],[Tenure Years]]&lt;=10,"6-10 Years","More than 10 Years"))))</f>
        <v>Less than 1 Year</v>
      </c>
      <c r="AD1164">
        <f>ROUND(AVERAGE(EmployeeData[[#This Row],[JobSatisfaction]],EmployeeData[[#This Row],[EnvironmentSatisfaction]],EmployeeData[[#This Row],[WorkLifeBalance]]),2)</f>
        <v>3.33</v>
      </c>
      <c r="AE1164" t="str">
        <f>IF(EmployeeData[[#This Row],[Satisfaction Score]]&lt;2,"Low",IF(EmployeeData[[#This Row],[Satisfaction Score]]&lt;3,"Medium","High"))</f>
        <v>High</v>
      </c>
    </row>
    <row r="1165" spans="1:31" x14ac:dyDescent="0.25">
      <c r="A1165" t="s">
        <v>5307</v>
      </c>
      <c r="B1165" t="s">
        <v>5308</v>
      </c>
      <c r="C1165" t="s">
        <v>49</v>
      </c>
      <c r="D1165">
        <v>44</v>
      </c>
      <c r="E1165" t="s">
        <v>197</v>
      </c>
      <c r="F1165" t="s">
        <v>323</v>
      </c>
      <c r="G1165" s="1">
        <v>43041</v>
      </c>
      <c r="H1165">
        <v>71276</v>
      </c>
      <c r="I1165" t="s">
        <v>52</v>
      </c>
      <c r="J1165" t="s">
        <v>31</v>
      </c>
      <c r="K1165" t="s">
        <v>54</v>
      </c>
      <c r="L1165" t="s">
        <v>33</v>
      </c>
      <c r="M1165">
        <v>22</v>
      </c>
      <c r="N1165" t="s">
        <v>34</v>
      </c>
      <c r="O1165">
        <v>2</v>
      </c>
      <c r="P1165">
        <v>1</v>
      </c>
      <c r="Q1165">
        <v>3</v>
      </c>
      <c r="R1165">
        <v>4</v>
      </c>
      <c r="S1165">
        <v>0</v>
      </c>
      <c r="T1165">
        <v>1</v>
      </c>
      <c r="U1165">
        <v>22</v>
      </c>
      <c r="V1165" t="s">
        <v>5310</v>
      </c>
      <c r="W1165" t="s">
        <v>34</v>
      </c>
      <c r="Y1165" s="2" t="str">
        <f>IF(EmployeeData[[#This Row],[Age]]&lt;25,"Under 25",IF(EmployeeData[[#This Row],[Age]]&lt;=34,"25-34",IF(EmployeeData[[#This Row],[Age]]&lt;=44,"35-44",IF(EmployeeData[[#This Row],[Age]]&lt;=54,"45-54","55+"))))</f>
        <v>35-44</v>
      </c>
      <c r="Z1165">
        <f ca="1">DATEDIF(EmployeeData[[#This Row],[DateOfJoining]],IF(AND(EmployeeData[[#This Row],[Attrition]]="Yes",EmployeeData[[#This Row],[LastWorkingDate]]&lt;&gt;""),EmployeeData[[#This Row],[LastWorkingDate]],TODAY()),"Y")</f>
        <v>8</v>
      </c>
      <c r="AA1165" t="str">
        <f>IF(EmployeeData[[#This Row],[MonthlyIncome]]&lt;30000,"Low",IF(EmployeeData[[#This Row],[MonthlyIncome]]&lt;=60000,"Medium",IF(EmployeeData[[#This Row],[MonthlyIncome]]&lt;=100000,"High","Very High")))</f>
        <v>High</v>
      </c>
      <c r="AB1165">
        <f>IF(EmployeeData[[#This Row],[Attrition]]="Yes",1,0)</f>
        <v>0</v>
      </c>
      <c r="AC1165" t="str">
        <f ca="1">IF(EmployeeData[[#This Row],[Tenure Years]]&lt;1,"Less than 1 Year",IF(EmployeeData[[#This Row],[Tenure Years]]&lt;=3,"1-3 Years",IF(EmployeeData[[#This Row],[Tenure Years]]&lt;=5,"4-5 Years",IF(EmployeeData[[#This Row],[Tenure Years]]&lt;=10,"6-10 Years","More than 10 Years"))))</f>
        <v>6-10 Years</v>
      </c>
      <c r="AD1165">
        <f>ROUND(AVERAGE(EmployeeData[[#This Row],[JobSatisfaction]],EmployeeData[[#This Row],[EnvironmentSatisfaction]],EmployeeData[[#This Row],[WorkLifeBalance]]),2)</f>
        <v>2</v>
      </c>
      <c r="AE1165" t="str">
        <f>IF(EmployeeData[[#This Row],[Satisfaction Score]]&lt;2,"Low",IF(EmployeeData[[#This Row],[Satisfaction Score]]&lt;3,"Medium","High"))</f>
        <v>Medium</v>
      </c>
    </row>
    <row r="1166" spans="1:31" x14ac:dyDescent="0.25">
      <c r="A1166" t="s">
        <v>5311</v>
      </c>
      <c r="B1166" t="s">
        <v>5312</v>
      </c>
      <c r="C1166" t="s">
        <v>49</v>
      </c>
      <c r="D1166">
        <v>40</v>
      </c>
      <c r="E1166" t="s">
        <v>27</v>
      </c>
      <c r="F1166" t="s">
        <v>75</v>
      </c>
      <c r="G1166" s="1">
        <v>44820</v>
      </c>
      <c r="H1166">
        <v>93358</v>
      </c>
      <c r="I1166" t="s">
        <v>52</v>
      </c>
      <c r="J1166" t="s">
        <v>31</v>
      </c>
      <c r="K1166" t="s">
        <v>5459</v>
      </c>
      <c r="L1166" t="s">
        <v>33</v>
      </c>
      <c r="M1166">
        <v>40</v>
      </c>
      <c r="N1166" t="s">
        <v>34</v>
      </c>
      <c r="O1166">
        <v>1</v>
      </c>
      <c r="P1166">
        <v>3</v>
      </c>
      <c r="Q1166">
        <v>2</v>
      </c>
      <c r="R1166">
        <v>5</v>
      </c>
      <c r="S1166">
        <v>2</v>
      </c>
      <c r="T1166">
        <v>4</v>
      </c>
      <c r="U1166">
        <v>17</v>
      </c>
      <c r="V1166" t="s">
        <v>5314</v>
      </c>
      <c r="W1166" t="s">
        <v>45</v>
      </c>
      <c r="X1166" s="1">
        <v>46156</v>
      </c>
      <c r="Y1166" s="2" t="str">
        <f>IF(EmployeeData[[#This Row],[Age]]&lt;25,"Under 25",IF(EmployeeData[[#This Row],[Age]]&lt;=34,"25-34",IF(EmployeeData[[#This Row],[Age]]&lt;=44,"35-44",IF(EmployeeData[[#This Row],[Age]]&lt;=54,"45-54","55+"))))</f>
        <v>35-44</v>
      </c>
      <c r="Z1166">
        <f ca="1">DATEDIF(EmployeeData[[#This Row],[DateOfJoining]],IF(AND(EmployeeData[[#This Row],[Attrition]]="Yes",EmployeeData[[#This Row],[LastWorkingDate]]&lt;&gt;""),EmployeeData[[#This Row],[LastWorkingDate]],TODAY()),"Y")</f>
        <v>3</v>
      </c>
      <c r="AA1166" t="str">
        <f>IF(EmployeeData[[#This Row],[MonthlyIncome]]&lt;30000,"Low",IF(EmployeeData[[#This Row],[MonthlyIncome]]&lt;=60000,"Medium",IF(EmployeeData[[#This Row],[MonthlyIncome]]&lt;=100000,"High","Very High")))</f>
        <v>High</v>
      </c>
      <c r="AB1166">
        <f>IF(EmployeeData[[#This Row],[Attrition]]="Yes",1,0)</f>
        <v>1</v>
      </c>
      <c r="AC1166" t="str">
        <f ca="1">IF(EmployeeData[[#This Row],[Tenure Years]]&lt;1,"Less than 1 Year",IF(EmployeeData[[#This Row],[Tenure Years]]&lt;=3,"1-3 Years",IF(EmployeeData[[#This Row],[Tenure Years]]&lt;=5,"4-5 Years",IF(EmployeeData[[#This Row],[Tenure Years]]&lt;=10,"6-10 Years","More than 10 Years"))))</f>
        <v>1-3 Years</v>
      </c>
      <c r="AD1166">
        <f>ROUND(AVERAGE(EmployeeData[[#This Row],[JobSatisfaction]],EmployeeData[[#This Row],[EnvironmentSatisfaction]],EmployeeData[[#This Row],[WorkLifeBalance]]),2)</f>
        <v>2</v>
      </c>
      <c r="AE1166" t="str">
        <f>IF(EmployeeData[[#This Row],[Satisfaction Score]]&lt;2,"Low",IF(EmployeeData[[#This Row],[Satisfaction Score]]&lt;3,"Medium","High"))</f>
        <v>Medium</v>
      </c>
    </row>
    <row r="1167" spans="1:31" x14ac:dyDescent="0.25">
      <c r="A1167" t="s">
        <v>5316</v>
      </c>
      <c r="B1167" t="s">
        <v>5317</v>
      </c>
      <c r="C1167" t="s">
        <v>58</v>
      </c>
      <c r="D1167">
        <v>34</v>
      </c>
      <c r="E1167" t="s">
        <v>27</v>
      </c>
      <c r="F1167" t="s">
        <v>50</v>
      </c>
      <c r="G1167" s="1">
        <v>43169</v>
      </c>
      <c r="H1167">
        <v>66871</v>
      </c>
      <c r="I1167" t="s">
        <v>42</v>
      </c>
      <c r="J1167" t="s">
        <v>31</v>
      </c>
      <c r="K1167" t="s">
        <v>131</v>
      </c>
      <c r="L1167" t="s">
        <v>43</v>
      </c>
      <c r="M1167">
        <v>22</v>
      </c>
      <c r="N1167" t="s">
        <v>45</v>
      </c>
      <c r="O1167">
        <v>3</v>
      </c>
      <c r="P1167">
        <v>2</v>
      </c>
      <c r="Q1167">
        <v>3</v>
      </c>
      <c r="R1167">
        <v>1</v>
      </c>
      <c r="S1167">
        <v>6</v>
      </c>
      <c r="T1167">
        <v>4</v>
      </c>
      <c r="U1167">
        <v>25</v>
      </c>
      <c r="V1167" t="s">
        <v>5319</v>
      </c>
      <c r="W1167" t="s">
        <v>34</v>
      </c>
      <c r="Y1167" s="2" t="str">
        <f>IF(EmployeeData[[#This Row],[Age]]&lt;25,"Under 25",IF(EmployeeData[[#This Row],[Age]]&lt;=34,"25-34",IF(EmployeeData[[#This Row],[Age]]&lt;=44,"35-44",IF(EmployeeData[[#This Row],[Age]]&lt;=54,"45-54","55+"))))</f>
        <v>25-34</v>
      </c>
      <c r="Z1167">
        <f ca="1">DATEDIF(EmployeeData[[#This Row],[DateOfJoining]],IF(AND(EmployeeData[[#This Row],[Attrition]]="Yes",EmployeeData[[#This Row],[LastWorkingDate]]&lt;&gt;""),EmployeeData[[#This Row],[LastWorkingDate]],TODAY()),"Y")</f>
        <v>8</v>
      </c>
      <c r="AA1167" t="str">
        <f>IF(EmployeeData[[#This Row],[MonthlyIncome]]&lt;30000,"Low",IF(EmployeeData[[#This Row],[MonthlyIncome]]&lt;=60000,"Medium",IF(EmployeeData[[#This Row],[MonthlyIncome]]&lt;=100000,"High","Very High")))</f>
        <v>High</v>
      </c>
      <c r="AB1167">
        <f>IF(EmployeeData[[#This Row],[Attrition]]="Yes",1,0)</f>
        <v>0</v>
      </c>
      <c r="AC1167" t="str">
        <f ca="1">IF(EmployeeData[[#This Row],[Tenure Years]]&lt;1,"Less than 1 Year",IF(EmployeeData[[#This Row],[Tenure Years]]&lt;=3,"1-3 Years",IF(EmployeeData[[#This Row],[Tenure Years]]&lt;=5,"4-5 Years",IF(EmployeeData[[#This Row],[Tenure Years]]&lt;=10,"6-10 Years","More than 10 Years"))))</f>
        <v>6-10 Years</v>
      </c>
      <c r="AD1167">
        <f>ROUND(AVERAGE(EmployeeData[[#This Row],[JobSatisfaction]],EmployeeData[[#This Row],[EnvironmentSatisfaction]],EmployeeData[[#This Row],[WorkLifeBalance]]),2)</f>
        <v>2.67</v>
      </c>
      <c r="AE1167" t="str">
        <f>IF(EmployeeData[[#This Row],[Satisfaction Score]]&lt;2,"Low",IF(EmployeeData[[#This Row],[Satisfaction Score]]&lt;3,"Medium","High"))</f>
        <v>Medium</v>
      </c>
    </row>
    <row r="1168" spans="1:31" x14ac:dyDescent="0.25">
      <c r="A1168" t="s">
        <v>5320</v>
      </c>
      <c r="B1168" t="s">
        <v>5321</v>
      </c>
      <c r="C1168" t="s">
        <v>49</v>
      </c>
      <c r="D1168">
        <v>29</v>
      </c>
      <c r="E1168" t="s">
        <v>5461</v>
      </c>
      <c r="F1168" t="s">
        <v>5463</v>
      </c>
      <c r="G1168" s="1">
        <v>45804</v>
      </c>
      <c r="H1168">
        <v>131508</v>
      </c>
      <c r="I1168" t="s">
        <v>30</v>
      </c>
      <c r="J1168" t="s">
        <v>31</v>
      </c>
      <c r="K1168" t="s">
        <v>200</v>
      </c>
      <c r="L1168" t="s">
        <v>43</v>
      </c>
      <c r="M1168">
        <v>3</v>
      </c>
      <c r="N1168" t="s">
        <v>34</v>
      </c>
      <c r="O1168">
        <v>2</v>
      </c>
      <c r="P1168">
        <v>1</v>
      </c>
      <c r="Q1168">
        <v>3</v>
      </c>
      <c r="R1168">
        <v>3</v>
      </c>
      <c r="S1168">
        <v>1</v>
      </c>
      <c r="T1168">
        <v>3</v>
      </c>
      <c r="U1168">
        <v>25</v>
      </c>
      <c r="V1168" t="s">
        <v>5323</v>
      </c>
      <c r="W1168" t="s">
        <v>34</v>
      </c>
      <c r="Y1168" s="2" t="str">
        <f>IF(EmployeeData[[#This Row],[Age]]&lt;25,"Under 25",IF(EmployeeData[[#This Row],[Age]]&lt;=34,"25-34",IF(EmployeeData[[#This Row],[Age]]&lt;=44,"35-44",IF(EmployeeData[[#This Row],[Age]]&lt;=54,"45-54","55+"))))</f>
        <v>25-34</v>
      </c>
      <c r="Z1168">
        <f ca="1">DATEDIF(EmployeeData[[#This Row],[DateOfJoining]],IF(AND(EmployeeData[[#This Row],[Attrition]]="Yes",EmployeeData[[#This Row],[LastWorkingDate]]&lt;&gt;""),EmployeeData[[#This Row],[LastWorkingDate]],TODAY()),"Y")</f>
        <v>1</v>
      </c>
      <c r="AA1168" t="str">
        <f>IF(EmployeeData[[#This Row],[MonthlyIncome]]&lt;30000,"Low",IF(EmployeeData[[#This Row],[MonthlyIncome]]&lt;=60000,"Medium",IF(EmployeeData[[#This Row],[MonthlyIncome]]&lt;=100000,"High","Very High")))</f>
        <v>Very High</v>
      </c>
      <c r="AB1168">
        <f>IF(EmployeeData[[#This Row],[Attrition]]="Yes",1,0)</f>
        <v>0</v>
      </c>
      <c r="AC1168" t="str">
        <f ca="1">IF(EmployeeData[[#This Row],[Tenure Years]]&lt;1,"Less than 1 Year",IF(EmployeeData[[#This Row],[Tenure Years]]&lt;=3,"1-3 Years",IF(EmployeeData[[#This Row],[Tenure Years]]&lt;=5,"4-5 Years",IF(EmployeeData[[#This Row],[Tenure Years]]&lt;=10,"6-10 Years","More than 10 Years"))))</f>
        <v>1-3 Years</v>
      </c>
      <c r="AD1168">
        <f>ROUND(AVERAGE(EmployeeData[[#This Row],[JobSatisfaction]],EmployeeData[[#This Row],[EnvironmentSatisfaction]],EmployeeData[[#This Row],[WorkLifeBalance]]),2)</f>
        <v>2</v>
      </c>
      <c r="AE1168" t="str">
        <f>IF(EmployeeData[[#This Row],[Satisfaction Score]]&lt;2,"Low",IF(EmployeeData[[#This Row],[Satisfaction Score]]&lt;3,"Medium","High"))</f>
        <v>Medium</v>
      </c>
    </row>
    <row r="1169" spans="1:31" x14ac:dyDescent="0.25">
      <c r="A1169" t="s">
        <v>5324</v>
      </c>
      <c r="B1169" t="s">
        <v>5325</v>
      </c>
      <c r="C1169" t="s">
        <v>49</v>
      </c>
      <c r="D1169">
        <v>34</v>
      </c>
      <c r="E1169" t="s">
        <v>27</v>
      </c>
      <c r="F1169" t="s">
        <v>75</v>
      </c>
      <c r="G1169" s="1">
        <v>43540</v>
      </c>
      <c r="H1169">
        <v>61392</v>
      </c>
      <c r="I1169" t="s">
        <v>42</v>
      </c>
      <c r="J1169" t="s">
        <v>31</v>
      </c>
      <c r="K1169" t="s">
        <v>131</v>
      </c>
      <c r="L1169" t="s">
        <v>33</v>
      </c>
      <c r="M1169">
        <v>36</v>
      </c>
      <c r="N1169" t="s">
        <v>45</v>
      </c>
      <c r="O1169">
        <v>3</v>
      </c>
      <c r="P1169">
        <v>1</v>
      </c>
      <c r="Q1169">
        <v>3</v>
      </c>
      <c r="R1169">
        <v>4</v>
      </c>
      <c r="S1169">
        <v>0</v>
      </c>
      <c r="T1169">
        <v>1</v>
      </c>
      <c r="U1169">
        <v>18</v>
      </c>
      <c r="V1169" t="s">
        <v>5327</v>
      </c>
      <c r="W1169" t="s">
        <v>34</v>
      </c>
      <c r="Y1169" s="2" t="str">
        <f>IF(EmployeeData[[#This Row],[Age]]&lt;25,"Under 25",IF(EmployeeData[[#This Row],[Age]]&lt;=34,"25-34",IF(EmployeeData[[#This Row],[Age]]&lt;=44,"35-44",IF(EmployeeData[[#This Row],[Age]]&lt;=54,"45-54","55+"))))</f>
        <v>25-34</v>
      </c>
      <c r="Z1169">
        <f ca="1">DATEDIF(EmployeeData[[#This Row],[DateOfJoining]],IF(AND(EmployeeData[[#This Row],[Attrition]]="Yes",EmployeeData[[#This Row],[LastWorkingDate]]&lt;&gt;""),EmployeeData[[#This Row],[LastWorkingDate]],TODAY()),"Y")</f>
        <v>7</v>
      </c>
      <c r="AA1169" t="str">
        <f>IF(EmployeeData[[#This Row],[MonthlyIncome]]&lt;30000,"Low",IF(EmployeeData[[#This Row],[MonthlyIncome]]&lt;=60000,"Medium",IF(EmployeeData[[#This Row],[MonthlyIncome]]&lt;=100000,"High","Very High")))</f>
        <v>High</v>
      </c>
      <c r="AB1169">
        <f>IF(EmployeeData[[#This Row],[Attrition]]="Yes",1,0)</f>
        <v>0</v>
      </c>
      <c r="AC1169" t="str">
        <f ca="1">IF(EmployeeData[[#This Row],[Tenure Years]]&lt;1,"Less than 1 Year",IF(EmployeeData[[#This Row],[Tenure Years]]&lt;=3,"1-3 Years",IF(EmployeeData[[#This Row],[Tenure Years]]&lt;=5,"4-5 Years",IF(EmployeeData[[#This Row],[Tenure Years]]&lt;=10,"6-10 Years","More than 10 Years"))))</f>
        <v>6-10 Years</v>
      </c>
      <c r="AD1169">
        <f>ROUND(AVERAGE(EmployeeData[[#This Row],[JobSatisfaction]],EmployeeData[[#This Row],[EnvironmentSatisfaction]],EmployeeData[[#This Row],[WorkLifeBalance]]),2)</f>
        <v>2.33</v>
      </c>
      <c r="AE1169" t="str">
        <f>IF(EmployeeData[[#This Row],[Satisfaction Score]]&lt;2,"Low",IF(EmployeeData[[#This Row],[Satisfaction Score]]&lt;3,"Medium","High"))</f>
        <v>Medium</v>
      </c>
    </row>
    <row r="1170" spans="1:31" x14ac:dyDescent="0.25">
      <c r="A1170" t="s">
        <v>5328</v>
      </c>
      <c r="B1170" t="s">
        <v>5329</v>
      </c>
      <c r="C1170" t="s">
        <v>58</v>
      </c>
      <c r="D1170">
        <v>34</v>
      </c>
      <c r="E1170" t="s">
        <v>27</v>
      </c>
      <c r="F1170" t="s">
        <v>5459</v>
      </c>
      <c r="G1170" s="1">
        <v>44202</v>
      </c>
      <c r="H1170">
        <v>50660</v>
      </c>
      <c r="I1170" t="s">
        <v>52</v>
      </c>
      <c r="J1170" t="s">
        <v>61</v>
      </c>
      <c r="K1170" t="s">
        <v>98</v>
      </c>
      <c r="L1170" t="s">
        <v>33</v>
      </c>
      <c r="M1170">
        <v>40</v>
      </c>
      <c r="N1170" t="s">
        <v>45</v>
      </c>
      <c r="O1170">
        <v>3</v>
      </c>
      <c r="P1170">
        <v>3</v>
      </c>
      <c r="Q1170">
        <v>4</v>
      </c>
      <c r="R1170">
        <v>3</v>
      </c>
      <c r="S1170">
        <v>2</v>
      </c>
      <c r="T1170">
        <v>1</v>
      </c>
      <c r="U1170">
        <v>11</v>
      </c>
      <c r="V1170" t="s">
        <v>5331</v>
      </c>
      <c r="W1170" t="s">
        <v>34</v>
      </c>
      <c r="Y1170" s="2" t="str">
        <f>IF(EmployeeData[[#This Row],[Age]]&lt;25,"Under 25",IF(EmployeeData[[#This Row],[Age]]&lt;=34,"25-34",IF(EmployeeData[[#This Row],[Age]]&lt;=44,"35-44",IF(EmployeeData[[#This Row],[Age]]&lt;=54,"45-54","55+"))))</f>
        <v>25-34</v>
      </c>
      <c r="Z1170">
        <f ca="1">DATEDIF(EmployeeData[[#This Row],[DateOfJoining]],IF(AND(EmployeeData[[#This Row],[Attrition]]="Yes",EmployeeData[[#This Row],[LastWorkingDate]]&lt;&gt;""),EmployeeData[[#This Row],[LastWorkingDate]],TODAY()),"Y")</f>
        <v>5</v>
      </c>
      <c r="AA1170" t="str">
        <f>IF(EmployeeData[[#This Row],[MonthlyIncome]]&lt;30000,"Low",IF(EmployeeData[[#This Row],[MonthlyIncome]]&lt;=60000,"Medium",IF(EmployeeData[[#This Row],[MonthlyIncome]]&lt;=100000,"High","Very High")))</f>
        <v>Medium</v>
      </c>
      <c r="AB1170">
        <f>IF(EmployeeData[[#This Row],[Attrition]]="Yes",1,0)</f>
        <v>0</v>
      </c>
      <c r="AC1170" t="str">
        <f ca="1">IF(EmployeeData[[#This Row],[Tenure Years]]&lt;1,"Less than 1 Year",IF(EmployeeData[[#This Row],[Tenure Years]]&lt;=3,"1-3 Years",IF(EmployeeData[[#This Row],[Tenure Years]]&lt;=5,"4-5 Years",IF(EmployeeData[[#This Row],[Tenure Years]]&lt;=10,"6-10 Years","More than 10 Years"))))</f>
        <v>4-5 Years</v>
      </c>
      <c r="AD1170">
        <f>ROUND(AVERAGE(EmployeeData[[#This Row],[JobSatisfaction]],EmployeeData[[#This Row],[EnvironmentSatisfaction]],EmployeeData[[#This Row],[WorkLifeBalance]]),2)</f>
        <v>3.33</v>
      </c>
      <c r="AE1170" t="str">
        <f>IF(EmployeeData[[#This Row],[Satisfaction Score]]&lt;2,"Low",IF(EmployeeData[[#This Row],[Satisfaction Score]]&lt;3,"Medium","High"))</f>
        <v>High</v>
      </c>
    </row>
    <row r="1171" spans="1:31" x14ac:dyDescent="0.25">
      <c r="A1171" t="s">
        <v>5332</v>
      </c>
      <c r="B1171" t="s">
        <v>5333</v>
      </c>
      <c r="C1171" t="s">
        <v>58</v>
      </c>
      <c r="D1171">
        <v>43</v>
      </c>
      <c r="E1171" t="s">
        <v>94</v>
      </c>
      <c r="F1171" t="s">
        <v>306</v>
      </c>
      <c r="G1171" s="1">
        <v>44380</v>
      </c>
      <c r="H1171">
        <v>82741</v>
      </c>
      <c r="I1171" t="s">
        <v>42</v>
      </c>
      <c r="J1171" t="s">
        <v>97</v>
      </c>
      <c r="K1171" t="s">
        <v>131</v>
      </c>
      <c r="L1171" t="s">
        <v>43</v>
      </c>
      <c r="M1171">
        <v>16</v>
      </c>
      <c r="N1171" t="s">
        <v>34</v>
      </c>
      <c r="O1171">
        <v>1</v>
      </c>
      <c r="P1171">
        <v>3</v>
      </c>
      <c r="Q1171">
        <v>3</v>
      </c>
      <c r="R1171">
        <v>3</v>
      </c>
      <c r="S1171">
        <v>2</v>
      </c>
      <c r="T1171">
        <v>4</v>
      </c>
      <c r="U1171">
        <v>19</v>
      </c>
      <c r="V1171" t="s">
        <v>5335</v>
      </c>
      <c r="W1171" t="s">
        <v>34</v>
      </c>
      <c r="Y1171" s="2" t="str">
        <f>IF(EmployeeData[[#This Row],[Age]]&lt;25,"Under 25",IF(EmployeeData[[#This Row],[Age]]&lt;=34,"25-34",IF(EmployeeData[[#This Row],[Age]]&lt;=44,"35-44",IF(EmployeeData[[#This Row],[Age]]&lt;=54,"45-54","55+"))))</f>
        <v>35-44</v>
      </c>
      <c r="Z1171">
        <f ca="1">DATEDIF(EmployeeData[[#This Row],[DateOfJoining]],IF(AND(EmployeeData[[#This Row],[Attrition]]="Yes",EmployeeData[[#This Row],[LastWorkingDate]]&lt;&gt;""),EmployeeData[[#This Row],[LastWorkingDate]],TODAY()),"Y")</f>
        <v>5</v>
      </c>
      <c r="AA1171" t="str">
        <f>IF(EmployeeData[[#This Row],[MonthlyIncome]]&lt;30000,"Low",IF(EmployeeData[[#This Row],[MonthlyIncome]]&lt;=60000,"Medium",IF(EmployeeData[[#This Row],[MonthlyIncome]]&lt;=100000,"High","Very High")))</f>
        <v>High</v>
      </c>
      <c r="AB1171">
        <f>IF(EmployeeData[[#This Row],[Attrition]]="Yes",1,0)</f>
        <v>0</v>
      </c>
      <c r="AC1171" t="str">
        <f ca="1">IF(EmployeeData[[#This Row],[Tenure Years]]&lt;1,"Less than 1 Year",IF(EmployeeData[[#This Row],[Tenure Years]]&lt;=3,"1-3 Years",IF(EmployeeData[[#This Row],[Tenure Years]]&lt;=5,"4-5 Years",IF(EmployeeData[[#This Row],[Tenure Years]]&lt;=10,"6-10 Years","More than 10 Years"))))</f>
        <v>4-5 Years</v>
      </c>
      <c r="AD1171">
        <f>ROUND(AVERAGE(EmployeeData[[#This Row],[JobSatisfaction]],EmployeeData[[#This Row],[EnvironmentSatisfaction]],EmployeeData[[#This Row],[WorkLifeBalance]]),2)</f>
        <v>2.33</v>
      </c>
      <c r="AE1171" t="str">
        <f>IF(EmployeeData[[#This Row],[Satisfaction Score]]&lt;2,"Low",IF(EmployeeData[[#This Row],[Satisfaction Score]]&lt;3,"Medium","High"))</f>
        <v>Medium</v>
      </c>
    </row>
    <row r="1172" spans="1:31" x14ac:dyDescent="0.25">
      <c r="A1172" t="s">
        <v>5336</v>
      </c>
      <c r="B1172" t="s">
        <v>5337</v>
      </c>
      <c r="C1172" t="s">
        <v>58</v>
      </c>
      <c r="D1172">
        <v>40</v>
      </c>
      <c r="E1172" t="s">
        <v>38</v>
      </c>
      <c r="F1172" t="s">
        <v>5465</v>
      </c>
      <c r="G1172" s="1">
        <v>45848</v>
      </c>
      <c r="H1172">
        <v>60850</v>
      </c>
      <c r="I1172" t="s">
        <v>5459</v>
      </c>
      <c r="J1172" t="s">
        <v>61</v>
      </c>
      <c r="K1172" t="s">
        <v>32</v>
      </c>
      <c r="L1172" t="s">
        <v>43</v>
      </c>
      <c r="M1172">
        <v>4</v>
      </c>
      <c r="N1172" t="s">
        <v>34</v>
      </c>
      <c r="O1172">
        <v>4</v>
      </c>
      <c r="P1172">
        <v>1</v>
      </c>
      <c r="Q1172">
        <v>1</v>
      </c>
      <c r="R1172">
        <v>2</v>
      </c>
      <c r="S1172">
        <v>5</v>
      </c>
      <c r="T1172">
        <v>4</v>
      </c>
      <c r="U1172">
        <v>16</v>
      </c>
      <c r="V1172" t="s">
        <v>5339</v>
      </c>
      <c r="W1172" t="s">
        <v>34</v>
      </c>
      <c r="Y1172" s="2" t="str">
        <f>IF(EmployeeData[[#This Row],[Age]]&lt;25,"Under 25",IF(EmployeeData[[#This Row],[Age]]&lt;=34,"25-34",IF(EmployeeData[[#This Row],[Age]]&lt;=44,"35-44",IF(EmployeeData[[#This Row],[Age]]&lt;=54,"45-54","55+"))))</f>
        <v>35-44</v>
      </c>
      <c r="Z1172">
        <f ca="1">DATEDIF(EmployeeData[[#This Row],[DateOfJoining]],IF(AND(EmployeeData[[#This Row],[Attrition]]="Yes",EmployeeData[[#This Row],[LastWorkingDate]]&lt;&gt;""),EmployeeData[[#This Row],[LastWorkingDate]],TODAY()),"Y")</f>
        <v>1</v>
      </c>
      <c r="AA1172" t="str">
        <f>IF(EmployeeData[[#This Row],[MonthlyIncome]]&lt;30000,"Low",IF(EmployeeData[[#This Row],[MonthlyIncome]]&lt;=60000,"Medium",IF(EmployeeData[[#This Row],[MonthlyIncome]]&lt;=100000,"High","Very High")))</f>
        <v>High</v>
      </c>
      <c r="AB1172">
        <f>IF(EmployeeData[[#This Row],[Attrition]]="Yes",1,0)</f>
        <v>0</v>
      </c>
      <c r="AC1172" t="str">
        <f ca="1">IF(EmployeeData[[#This Row],[Tenure Years]]&lt;1,"Less than 1 Year",IF(EmployeeData[[#This Row],[Tenure Years]]&lt;=3,"1-3 Years",IF(EmployeeData[[#This Row],[Tenure Years]]&lt;=5,"4-5 Years",IF(EmployeeData[[#This Row],[Tenure Years]]&lt;=10,"6-10 Years","More than 10 Years"))))</f>
        <v>1-3 Years</v>
      </c>
      <c r="AD1172">
        <f>ROUND(AVERAGE(EmployeeData[[#This Row],[JobSatisfaction]],EmployeeData[[#This Row],[EnvironmentSatisfaction]],EmployeeData[[#This Row],[WorkLifeBalance]]),2)</f>
        <v>2</v>
      </c>
      <c r="AE1172" t="str">
        <f>IF(EmployeeData[[#This Row],[Satisfaction Score]]&lt;2,"Low",IF(EmployeeData[[#This Row],[Satisfaction Score]]&lt;3,"Medium","High"))</f>
        <v>Medium</v>
      </c>
    </row>
    <row r="1173" spans="1:31" x14ac:dyDescent="0.25">
      <c r="A1173" t="s">
        <v>5340</v>
      </c>
      <c r="B1173" t="s">
        <v>5341</v>
      </c>
      <c r="C1173" t="s">
        <v>58</v>
      </c>
      <c r="D1173">
        <v>44</v>
      </c>
      <c r="E1173" t="s">
        <v>128</v>
      </c>
      <c r="F1173" t="s">
        <v>271</v>
      </c>
      <c r="G1173" s="1">
        <v>43764</v>
      </c>
      <c r="H1173">
        <v>71864</v>
      </c>
      <c r="I1173" t="s">
        <v>52</v>
      </c>
      <c r="J1173" t="s">
        <v>31</v>
      </c>
      <c r="K1173" t="s">
        <v>83</v>
      </c>
      <c r="L1173" t="s">
        <v>33</v>
      </c>
      <c r="M1173">
        <v>28</v>
      </c>
      <c r="N1173" t="s">
        <v>45</v>
      </c>
      <c r="O1173">
        <v>4</v>
      </c>
      <c r="P1173">
        <v>2</v>
      </c>
      <c r="Q1173">
        <v>4</v>
      </c>
      <c r="R1173">
        <v>3</v>
      </c>
      <c r="S1173">
        <v>5</v>
      </c>
      <c r="T1173">
        <v>5</v>
      </c>
      <c r="U1173">
        <v>17</v>
      </c>
      <c r="V1173" t="s">
        <v>5343</v>
      </c>
      <c r="W1173" t="s">
        <v>34</v>
      </c>
      <c r="Y1173" s="2" t="str">
        <f>IF(EmployeeData[[#This Row],[Age]]&lt;25,"Under 25",IF(EmployeeData[[#This Row],[Age]]&lt;=34,"25-34",IF(EmployeeData[[#This Row],[Age]]&lt;=44,"35-44",IF(EmployeeData[[#This Row],[Age]]&lt;=54,"45-54","55+"))))</f>
        <v>35-44</v>
      </c>
      <c r="Z1173">
        <f ca="1">DATEDIF(EmployeeData[[#This Row],[DateOfJoining]],IF(AND(EmployeeData[[#This Row],[Attrition]]="Yes",EmployeeData[[#This Row],[LastWorkingDate]]&lt;&gt;""),EmployeeData[[#This Row],[LastWorkingDate]],TODAY()),"Y")</f>
        <v>6</v>
      </c>
      <c r="AA1173" t="str">
        <f>IF(EmployeeData[[#This Row],[MonthlyIncome]]&lt;30000,"Low",IF(EmployeeData[[#This Row],[MonthlyIncome]]&lt;=60000,"Medium",IF(EmployeeData[[#This Row],[MonthlyIncome]]&lt;=100000,"High","Very High")))</f>
        <v>High</v>
      </c>
      <c r="AB1173">
        <f>IF(EmployeeData[[#This Row],[Attrition]]="Yes",1,0)</f>
        <v>0</v>
      </c>
      <c r="AC1173" t="str">
        <f ca="1">IF(EmployeeData[[#This Row],[Tenure Years]]&lt;1,"Less than 1 Year",IF(EmployeeData[[#This Row],[Tenure Years]]&lt;=3,"1-3 Years",IF(EmployeeData[[#This Row],[Tenure Years]]&lt;=5,"4-5 Years",IF(EmployeeData[[#This Row],[Tenure Years]]&lt;=10,"6-10 Years","More than 10 Years"))))</f>
        <v>6-10 Years</v>
      </c>
      <c r="AD1173">
        <f>ROUND(AVERAGE(EmployeeData[[#This Row],[JobSatisfaction]],EmployeeData[[#This Row],[EnvironmentSatisfaction]],EmployeeData[[#This Row],[WorkLifeBalance]]),2)</f>
        <v>3.33</v>
      </c>
      <c r="AE1173" t="str">
        <f>IF(EmployeeData[[#This Row],[Satisfaction Score]]&lt;2,"Low",IF(EmployeeData[[#This Row],[Satisfaction Score]]&lt;3,"Medium","High"))</f>
        <v>High</v>
      </c>
    </row>
    <row r="1174" spans="1:31" x14ac:dyDescent="0.25">
      <c r="A1174" t="s">
        <v>5344</v>
      </c>
      <c r="B1174" t="s">
        <v>5345</v>
      </c>
      <c r="C1174" t="s">
        <v>5459</v>
      </c>
      <c r="D1174">
        <v>29</v>
      </c>
      <c r="E1174" t="s">
        <v>197</v>
      </c>
      <c r="F1174" t="s">
        <v>235</v>
      </c>
      <c r="G1174" s="1">
        <v>43943</v>
      </c>
      <c r="H1174">
        <v>92932</v>
      </c>
      <c r="I1174" t="s">
        <v>30</v>
      </c>
      <c r="J1174" t="s">
        <v>61</v>
      </c>
      <c r="K1174" t="s">
        <v>106</v>
      </c>
      <c r="L1174" t="s">
        <v>43</v>
      </c>
      <c r="M1174">
        <v>39</v>
      </c>
      <c r="N1174" t="s">
        <v>34</v>
      </c>
      <c r="O1174">
        <v>2</v>
      </c>
      <c r="P1174">
        <v>1</v>
      </c>
      <c r="Q1174">
        <v>3</v>
      </c>
      <c r="R1174">
        <v>3</v>
      </c>
      <c r="S1174">
        <v>5</v>
      </c>
      <c r="T1174">
        <v>1</v>
      </c>
      <c r="U1174">
        <v>22</v>
      </c>
      <c r="V1174" t="s">
        <v>5347</v>
      </c>
      <c r="W1174" t="s">
        <v>34</v>
      </c>
      <c r="Y1174" s="2" t="str">
        <f>IF(EmployeeData[[#This Row],[Age]]&lt;25,"Under 25",IF(EmployeeData[[#This Row],[Age]]&lt;=34,"25-34",IF(EmployeeData[[#This Row],[Age]]&lt;=44,"35-44",IF(EmployeeData[[#This Row],[Age]]&lt;=54,"45-54","55+"))))</f>
        <v>25-34</v>
      </c>
      <c r="Z1174">
        <f ca="1">DATEDIF(EmployeeData[[#This Row],[DateOfJoining]],IF(AND(EmployeeData[[#This Row],[Attrition]]="Yes",EmployeeData[[#This Row],[LastWorkingDate]]&lt;&gt;""),EmployeeData[[#This Row],[LastWorkingDate]],TODAY()),"Y")</f>
        <v>6</v>
      </c>
      <c r="AA1174" t="str">
        <f>IF(EmployeeData[[#This Row],[MonthlyIncome]]&lt;30000,"Low",IF(EmployeeData[[#This Row],[MonthlyIncome]]&lt;=60000,"Medium",IF(EmployeeData[[#This Row],[MonthlyIncome]]&lt;=100000,"High","Very High")))</f>
        <v>High</v>
      </c>
      <c r="AB1174">
        <f>IF(EmployeeData[[#This Row],[Attrition]]="Yes",1,0)</f>
        <v>0</v>
      </c>
      <c r="AC1174" t="str">
        <f ca="1">IF(EmployeeData[[#This Row],[Tenure Years]]&lt;1,"Less than 1 Year",IF(EmployeeData[[#This Row],[Tenure Years]]&lt;=3,"1-3 Years",IF(EmployeeData[[#This Row],[Tenure Years]]&lt;=5,"4-5 Years",IF(EmployeeData[[#This Row],[Tenure Years]]&lt;=10,"6-10 Years","More than 10 Years"))))</f>
        <v>6-10 Years</v>
      </c>
      <c r="AD1174">
        <f>ROUND(AVERAGE(EmployeeData[[#This Row],[JobSatisfaction]],EmployeeData[[#This Row],[EnvironmentSatisfaction]],EmployeeData[[#This Row],[WorkLifeBalance]]),2)</f>
        <v>2</v>
      </c>
      <c r="AE1174" t="str">
        <f>IF(EmployeeData[[#This Row],[Satisfaction Score]]&lt;2,"Low",IF(EmployeeData[[#This Row],[Satisfaction Score]]&lt;3,"Medium","High"))</f>
        <v>Medium</v>
      </c>
    </row>
    <row r="1175" spans="1:31" x14ac:dyDescent="0.25">
      <c r="A1175" t="s">
        <v>5348</v>
      </c>
      <c r="B1175" t="s">
        <v>5349</v>
      </c>
      <c r="C1175" t="s">
        <v>49</v>
      </c>
      <c r="D1175">
        <v>46</v>
      </c>
      <c r="E1175" t="s">
        <v>38</v>
      </c>
      <c r="F1175" t="s">
        <v>5462</v>
      </c>
      <c r="G1175" s="1">
        <v>40991</v>
      </c>
      <c r="H1175">
        <v>78185</v>
      </c>
      <c r="I1175" t="s">
        <v>42</v>
      </c>
      <c r="J1175" t="s">
        <v>61</v>
      </c>
      <c r="K1175" t="s">
        <v>54</v>
      </c>
      <c r="L1175" t="s">
        <v>62</v>
      </c>
      <c r="M1175">
        <v>4</v>
      </c>
      <c r="N1175" t="s">
        <v>34</v>
      </c>
      <c r="O1175">
        <v>3</v>
      </c>
      <c r="P1175">
        <v>2</v>
      </c>
      <c r="Q1175">
        <v>3</v>
      </c>
      <c r="R1175">
        <v>3</v>
      </c>
      <c r="S1175">
        <v>2</v>
      </c>
      <c r="T1175">
        <v>3</v>
      </c>
      <c r="U1175">
        <v>24</v>
      </c>
      <c r="V1175" t="s">
        <v>5351</v>
      </c>
      <c r="W1175" t="s">
        <v>34</v>
      </c>
      <c r="Y1175" s="2" t="str">
        <f>IF(EmployeeData[[#This Row],[Age]]&lt;25,"Under 25",IF(EmployeeData[[#This Row],[Age]]&lt;=34,"25-34",IF(EmployeeData[[#This Row],[Age]]&lt;=44,"35-44",IF(EmployeeData[[#This Row],[Age]]&lt;=54,"45-54","55+"))))</f>
        <v>45-54</v>
      </c>
      <c r="Z1175">
        <f ca="1">DATEDIF(EmployeeData[[#This Row],[DateOfJoining]],IF(AND(EmployeeData[[#This Row],[Attrition]]="Yes",EmployeeData[[#This Row],[LastWorkingDate]]&lt;&gt;""),EmployeeData[[#This Row],[LastWorkingDate]],TODAY()),"Y")</f>
        <v>14</v>
      </c>
      <c r="AA1175" t="str">
        <f>IF(EmployeeData[[#This Row],[MonthlyIncome]]&lt;30000,"Low",IF(EmployeeData[[#This Row],[MonthlyIncome]]&lt;=60000,"Medium",IF(EmployeeData[[#This Row],[MonthlyIncome]]&lt;=100000,"High","Very High")))</f>
        <v>High</v>
      </c>
      <c r="AB1175">
        <f>IF(EmployeeData[[#This Row],[Attrition]]="Yes",1,0)</f>
        <v>0</v>
      </c>
      <c r="AC1175" t="str">
        <f ca="1">IF(EmployeeData[[#This Row],[Tenure Years]]&lt;1,"Less than 1 Year",IF(EmployeeData[[#This Row],[Tenure Years]]&lt;=3,"1-3 Years",IF(EmployeeData[[#This Row],[Tenure Years]]&lt;=5,"4-5 Years",IF(EmployeeData[[#This Row],[Tenure Years]]&lt;=10,"6-10 Years","More than 10 Years"))))</f>
        <v>More than 10 Years</v>
      </c>
      <c r="AD1175">
        <f>ROUND(AVERAGE(EmployeeData[[#This Row],[JobSatisfaction]],EmployeeData[[#This Row],[EnvironmentSatisfaction]],EmployeeData[[#This Row],[WorkLifeBalance]]),2)</f>
        <v>2.67</v>
      </c>
      <c r="AE1175" t="str">
        <f>IF(EmployeeData[[#This Row],[Satisfaction Score]]&lt;2,"Low",IF(EmployeeData[[#This Row],[Satisfaction Score]]&lt;3,"Medium","High"))</f>
        <v>Medium</v>
      </c>
    </row>
    <row r="1176" spans="1:31" x14ac:dyDescent="0.25">
      <c r="A1176" t="s">
        <v>5352</v>
      </c>
      <c r="B1176" t="s">
        <v>5353</v>
      </c>
      <c r="C1176" t="s">
        <v>58</v>
      </c>
      <c r="D1176">
        <v>35</v>
      </c>
      <c r="E1176" t="s">
        <v>128</v>
      </c>
      <c r="F1176" t="s">
        <v>226</v>
      </c>
      <c r="G1176" s="1">
        <v>42282</v>
      </c>
      <c r="H1176">
        <v>45639</v>
      </c>
      <c r="I1176" t="s">
        <v>30</v>
      </c>
      <c r="J1176" t="s">
        <v>61</v>
      </c>
      <c r="K1176" t="s">
        <v>32</v>
      </c>
      <c r="L1176" t="s">
        <v>33</v>
      </c>
      <c r="M1176">
        <v>13</v>
      </c>
      <c r="N1176" t="s">
        <v>45</v>
      </c>
      <c r="O1176">
        <v>3</v>
      </c>
      <c r="P1176">
        <v>1</v>
      </c>
      <c r="Q1176">
        <v>2</v>
      </c>
      <c r="R1176">
        <v>1</v>
      </c>
      <c r="S1176">
        <v>1</v>
      </c>
      <c r="T1176">
        <v>5</v>
      </c>
      <c r="U1176">
        <v>24</v>
      </c>
      <c r="V1176" t="s">
        <v>5356</v>
      </c>
      <c r="W1176" t="s">
        <v>34</v>
      </c>
      <c r="Y1176" s="2" t="str">
        <f>IF(EmployeeData[[#This Row],[Age]]&lt;25,"Under 25",IF(EmployeeData[[#This Row],[Age]]&lt;=34,"25-34",IF(EmployeeData[[#This Row],[Age]]&lt;=44,"35-44",IF(EmployeeData[[#This Row],[Age]]&lt;=54,"45-54","55+"))))</f>
        <v>35-44</v>
      </c>
      <c r="Z1176">
        <f ca="1">DATEDIF(EmployeeData[[#This Row],[DateOfJoining]],IF(AND(EmployeeData[[#This Row],[Attrition]]="Yes",EmployeeData[[#This Row],[LastWorkingDate]]&lt;&gt;""),EmployeeData[[#This Row],[LastWorkingDate]],TODAY()),"Y")</f>
        <v>10</v>
      </c>
      <c r="AA1176" t="str">
        <f>IF(EmployeeData[[#This Row],[MonthlyIncome]]&lt;30000,"Low",IF(EmployeeData[[#This Row],[MonthlyIncome]]&lt;=60000,"Medium",IF(EmployeeData[[#This Row],[MonthlyIncome]]&lt;=100000,"High","Very High")))</f>
        <v>Medium</v>
      </c>
      <c r="AB1176">
        <f>IF(EmployeeData[[#This Row],[Attrition]]="Yes",1,0)</f>
        <v>0</v>
      </c>
      <c r="AC1176" t="str">
        <f ca="1">IF(EmployeeData[[#This Row],[Tenure Years]]&lt;1,"Less than 1 Year",IF(EmployeeData[[#This Row],[Tenure Years]]&lt;=3,"1-3 Years",IF(EmployeeData[[#This Row],[Tenure Years]]&lt;=5,"4-5 Years",IF(EmployeeData[[#This Row],[Tenure Years]]&lt;=10,"6-10 Years","More than 10 Years"))))</f>
        <v>6-10 Years</v>
      </c>
      <c r="AD1176">
        <f>ROUND(AVERAGE(EmployeeData[[#This Row],[JobSatisfaction]],EmployeeData[[#This Row],[EnvironmentSatisfaction]],EmployeeData[[#This Row],[WorkLifeBalance]]),2)</f>
        <v>2</v>
      </c>
      <c r="AE1176" t="str">
        <f>IF(EmployeeData[[#This Row],[Satisfaction Score]]&lt;2,"Low",IF(EmployeeData[[#This Row],[Satisfaction Score]]&lt;3,"Medium","High"))</f>
        <v>Medium</v>
      </c>
    </row>
    <row r="1177" spans="1:31" x14ac:dyDescent="0.25">
      <c r="A1177" t="s">
        <v>5357</v>
      </c>
      <c r="B1177" t="s">
        <v>5358</v>
      </c>
      <c r="C1177" t="s">
        <v>58</v>
      </c>
      <c r="D1177">
        <v>31</v>
      </c>
      <c r="E1177" t="s">
        <v>27</v>
      </c>
      <c r="F1177" t="s">
        <v>75</v>
      </c>
      <c r="G1177" s="1">
        <v>43711</v>
      </c>
      <c r="H1177">
        <v>50442</v>
      </c>
      <c r="I1177" t="s">
        <v>52</v>
      </c>
      <c r="J1177" t="s">
        <v>31</v>
      </c>
      <c r="K1177" t="s">
        <v>106</v>
      </c>
      <c r="L1177" t="s">
        <v>43</v>
      </c>
      <c r="M1177">
        <v>27</v>
      </c>
      <c r="N1177" t="s">
        <v>34</v>
      </c>
      <c r="O1177">
        <v>1</v>
      </c>
      <c r="P1177">
        <v>4</v>
      </c>
      <c r="Q1177">
        <v>1</v>
      </c>
      <c r="R1177">
        <v>4</v>
      </c>
      <c r="S1177">
        <v>0</v>
      </c>
      <c r="T1177">
        <v>3</v>
      </c>
      <c r="U1177">
        <v>14</v>
      </c>
      <c r="V1177" t="s">
        <v>5360</v>
      </c>
      <c r="W1177" t="s">
        <v>45</v>
      </c>
      <c r="X1177" s="1">
        <v>45340</v>
      </c>
      <c r="Y1177" s="2" t="str">
        <f>IF(EmployeeData[[#This Row],[Age]]&lt;25,"Under 25",IF(EmployeeData[[#This Row],[Age]]&lt;=34,"25-34",IF(EmployeeData[[#This Row],[Age]]&lt;=44,"35-44",IF(EmployeeData[[#This Row],[Age]]&lt;=54,"45-54","55+"))))</f>
        <v>25-34</v>
      </c>
      <c r="Z1177">
        <f ca="1">DATEDIF(EmployeeData[[#This Row],[DateOfJoining]],IF(AND(EmployeeData[[#This Row],[Attrition]]="Yes",EmployeeData[[#This Row],[LastWorkingDate]]&lt;&gt;""),EmployeeData[[#This Row],[LastWorkingDate]],TODAY()),"Y")</f>
        <v>4</v>
      </c>
      <c r="AA1177" t="str">
        <f>IF(EmployeeData[[#This Row],[MonthlyIncome]]&lt;30000,"Low",IF(EmployeeData[[#This Row],[MonthlyIncome]]&lt;=60000,"Medium",IF(EmployeeData[[#This Row],[MonthlyIncome]]&lt;=100000,"High","Very High")))</f>
        <v>Medium</v>
      </c>
      <c r="AB1177">
        <f>IF(EmployeeData[[#This Row],[Attrition]]="Yes",1,0)</f>
        <v>1</v>
      </c>
      <c r="AC1177" t="str">
        <f ca="1">IF(EmployeeData[[#This Row],[Tenure Years]]&lt;1,"Less than 1 Year",IF(EmployeeData[[#This Row],[Tenure Years]]&lt;=3,"1-3 Years",IF(EmployeeData[[#This Row],[Tenure Years]]&lt;=5,"4-5 Years",IF(EmployeeData[[#This Row],[Tenure Years]]&lt;=10,"6-10 Years","More than 10 Years"))))</f>
        <v>4-5 Years</v>
      </c>
      <c r="AD1177">
        <f>ROUND(AVERAGE(EmployeeData[[#This Row],[JobSatisfaction]],EmployeeData[[#This Row],[EnvironmentSatisfaction]],EmployeeData[[#This Row],[WorkLifeBalance]]),2)</f>
        <v>2</v>
      </c>
      <c r="AE1177" t="str">
        <f>IF(EmployeeData[[#This Row],[Satisfaction Score]]&lt;2,"Low",IF(EmployeeData[[#This Row],[Satisfaction Score]]&lt;3,"Medium","High"))</f>
        <v>Medium</v>
      </c>
    </row>
    <row r="1178" spans="1:31" x14ac:dyDescent="0.25">
      <c r="A1178" t="s">
        <v>5362</v>
      </c>
      <c r="B1178" t="s">
        <v>5285</v>
      </c>
      <c r="C1178" t="s">
        <v>58</v>
      </c>
      <c r="D1178">
        <v>36</v>
      </c>
      <c r="E1178" t="s">
        <v>128</v>
      </c>
      <c r="F1178" t="s">
        <v>123</v>
      </c>
      <c r="G1178" s="1">
        <v>43150</v>
      </c>
      <c r="H1178">
        <v>54883</v>
      </c>
      <c r="I1178" t="s">
        <v>30</v>
      </c>
      <c r="J1178" t="s">
        <v>97</v>
      </c>
      <c r="K1178" t="s">
        <v>113</v>
      </c>
      <c r="L1178" t="s">
        <v>62</v>
      </c>
      <c r="M1178">
        <v>11</v>
      </c>
      <c r="N1178" t="s">
        <v>34</v>
      </c>
      <c r="O1178">
        <v>1</v>
      </c>
      <c r="P1178">
        <v>2</v>
      </c>
      <c r="Q1178">
        <v>2</v>
      </c>
      <c r="R1178">
        <v>5</v>
      </c>
      <c r="S1178">
        <v>0</v>
      </c>
      <c r="T1178">
        <v>2</v>
      </c>
      <c r="U1178">
        <v>19</v>
      </c>
      <c r="V1178" t="s">
        <v>5364</v>
      </c>
      <c r="W1178" t="s">
        <v>34</v>
      </c>
      <c r="Y1178" s="2" t="str">
        <f>IF(EmployeeData[[#This Row],[Age]]&lt;25,"Under 25",IF(EmployeeData[[#This Row],[Age]]&lt;=34,"25-34",IF(EmployeeData[[#This Row],[Age]]&lt;=44,"35-44",IF(EmployeeData[[#This Row],[Age]]&lt;=54,"45-54","55+"))))</f>
        <v>35-44</v>
      </c>
      <c r="Z1178">
        <f ca="1">DATEDIF(EmployeeData[[#This Row],[DateOfJoining]],IF(AND(EmployeeData[[#This Row],[Attrition]]="Yes",EmployeeData[[#This Row],[LastWorkingDate]]&lt;&gt;""),EmployeeData[[#This Row],[LastWorkingDate]],TODAY()),"Y")</f>
        <v>8</v>
      </c>
      <c r="AA1178" t="str">
        <f>IF(EmployeeData[[#This Row],[MonthlyIncome]]&lt;30000,"Low",IF(EmployeeData[[#This Row],[MonthlyIncome]]&lt;=60000,"Medium",IF(EmployeeData[[#This Row],[MonthlyIncome]]&lt;=100000,"High","Very High")))</f>
        <v>Medium</v>
      </c>
      <c r="AB1178">
        <f>IF(EmployeeData[[#This Row],[Attrition]]="Yes",1,0)</f>
        <v>0</v>
      </c>
      <c r="AC1178" t="str">
        <f ca="1">IF(EmployeeData[[#This Row],[Tenure Years]]&lt;1,"Less than 1 Year",IF(EmployeeData[[#This Row],[Tenure Years]]&lt;=3,"1-3 Years",IF(EmployeeData[[#This Row],[Tenure Years]]&lt;=5,"4-5 Years",IF(EmployeeData[[#This Row],[Tenure Years]]&lt;=10,"6-10 Years","More than 10 Years"))))</f>
        <v>6-10 Years</v>
      </c>
      <c r="AD1178">
        <f>ROUND(AVERAGE(EmployeeData[[#This Row],[JobSatisfaction]],EmployeeData[[#This Row],[EnvironmentSatisfaction]],EmployeeData[[#This Row],[WorkLifeBalance]]),2)</f>
        <v>1.67</v>
      </c>
      <c r="AE1178" t="str">
        <f>IF(EmployeeData[[#This Row],[Satisfaction Score]]&lt;2,"Low",IF(EmployeeData[[#This Row],[Satisfaction Score]]&lt;3,"Medium","High"))</f>
        <v>Low</v>
      </c>
    </row>
    <row r="1179" spans="1:31" x14ac:dyDescent="0.25">
      <c r="A1179" t="s">
        <v>5365</v>
      </c>
      <c r="B1179" t="s">
        <v>4383</v>
      </c>
      <c r="C1179" t="s">
        <v>49</v>
      </c>
      <c r="D1179">
        <v>33</v>
      </c>
      <c r="E1179" t="s">
        <v>94</v>
      </c>
      <c r="F1179" t="s">
        <v>356</v>
      </c>
      <c r="G1179" s="1">
        <v>44299</v>
      </c>
      <c r="H1179">
        <v>122533</v>
      </c>
      <c r="I1179" t="s">
        <v>30</v>
      </c>
      <c r="J1179" t="s">
        <v>31</v>
      </c>
      <c r="K1179" t="s">
        <v>113</v>
      </c>
      <c r="L1179" t="s">
        <v>33</v>
      </c>
      <c r="M1179">
        <v>17</v>
      </c>
      <c r="N1179" t="s">
        <v>34</v>
      </c>
      <c r="O1179">
        <v>2</v>
      </c>
      <c r="P1179">
        <v>1</v>
      </c>
      <c r="Q1179">
        <v>3</v>
      </c>
      <c r="R1179">
        <v>3</v>
      </c>
      <c r="S1179">
        <v>4</v>
      </c>
      <c r="T1179">
        <v>5</v>
      </c>
      <c r="U1179">
        <v>18</v>
      </c>
      <c r="V1179" t="s">
        <v>5459</v>
      </c>
      <c r="W1179" t="s">
        <v>34</v>
      </c>
      <c r="Y1179" s="2" t="str">
        <f>IF(EmployeeData[[#This Row],[Age]]&lt;25,"Under 25",IF(EmployeeData[[#This Row],[Age]]&lt;=34,"25-34",IF(EmployeeData[[#This Row],[Age]]&lt;=44,"35-44",IF(EmployeeData[[#This Row],[Age]]&lt;=54,"45-54","55+"))))</f>
        <v>25-34</v>
      </c>
      <c r="Z1179">
        <f ca="1">DATEDIF(EmployeeData[[#This Row],[DateOfJoining]],IF(AND(EmployeeData[[#This Row],[Attrition]]="Yes",EmployeeData[[#This Row],[LastWorkingDate]]&lt;&gt;""),EmployeeData[[#This Row],[LastWorkingDate]],TODAY()),"Y")</f>
        <v>5</v>
      </c>
      <c r="AA1179" t="str">
        <f>IF(EmployeeData[[#This Row],[MonthlyIncome]]&lt;30000,"Low",IF(EmployeeData[[#This Row],[MonthlyIncome]]&lt;=60000,"Medium",IF(EmployeeData[[#This Row],[MonthlyIncome]]&lt;=100000,"High","Very High")))</f>
        <v>Very High</v>
      </c>
      <c r="AB1179">
        <f>IF(EmployeeData[[#This Row],[Attrition]]="Yes",1,0)</f>
        <v>0</v>
      </c>
      <c r="AC1179" t="str">
        <f ca="1">IF(EmployeeData[[#This Row],[Tenure Years]]&lt;1,"Less than 1 Year",IF(EmployeeData[[#This Row],[Tenure Years]]&lt;=3,"1-3 Years",IF(EmployeeData[[#This Row],[Tenure Years]]&lt;=5,"4-5 Years",IF(EmployeeData[[#This Row],[Tenure Years]]&lt;=10,"6-10 Years","More than 10 Years"))))</f>
        <v>4-5 Years</v>
      </c>
      <c r="AD1179">
        <f>ROUND(AVERAGE(EmployeeData[[#This Row],[JobSatisfaction]],EmployeeData[[#This Row],[EnvironmentSatisfaction]],EmployeeData[[#This Row],[WorkLifeBalance]]),2)</f>
        <v>2</v>
      </c>
      <c r="AE1179" t="str">
        <f>IF(EmployeeData[[#This Row],[Satisfaction Score]]&lt;2,"Low",IF(EmployeeData[[#This Row],[Satisfaction Score]]&lt;3,"Medium","High"))</f>
        <v>Medium</v>
      </c>
    </row>
    <row r="1180" spans="1:31" x14ac:dyDescent="0.25">
      <c r="A1180" t="s">
        <v>5368</v>
      </c>
      <c r="B1180" t="s">
        <v>5369</v>
      </c>
      <c r="C1180" t="s">
        <v>49</v>
      </c>
      <c r="D1180">
        <v>42</v>
      </c>
      <c r="E1180" t="s">
        <v>5461</v>
      </c>
      <c r="F1180" t="s">
        <v>483</v>
      </c>
      <c r="G1180" s="1">
        <v>44026</v>
      </c>
      <c r="H1180">
        <v>146939</v>
      </c>
      <c r="I1180" t="s">
        <v>30</v>
      </c>
      <c r="J1180" t="s">
        <v>31</v>
      </c>
      <c r="K1180" t="s">
        <v>131</v>
      </c>
      <c r="L1180" t="s">
        <v>33</v>
      </c>
      <c r="M1180">
        <v>30</v>
      </c>
      <c r="N1180" t="s">
        <v>34</v>
      </c>
      <c r="O1180">
        <v>1</v>
      </c>
      <c r="P1180">
        <v>2</v>
      </c>
      <c r="Q1180">
        <v>3</v>
      </c>
      <c r="R1180">
        <v>4</v>
      </c>
      <c r="S1180">
        <v>6</v>
      </c>
      <c r="T1180">
        <v>4</v>
      </c>
      <c r="U1180">
        <v>23</v>
      </c>
      <c r="V1180" t="s">
        <v>5371</v>
      </c>
      <c r="W1180" t="s">
        <v>34</v>
      </c>
      <c r="Y1180" s="2" t="str">
        <f>IF(EmployeeData[[#This Row],[Age]]&lt;25,"Under 25",IF(EmployeeData[[#This Row],[Age]]&lt;=34,"25-34",IF(EmployeeData[[#This Row],[Age]]&lt;=44,"35-44",IF(EmployeeData[[#This Row],[Age]]&lt;=54,"45-54","55+"))))</f>
        <v>35-44</v>
      </c>
      <c r="Z1180">
        <f ca="1">DATEDIF(EmployeeData[[#This Row],[DateOfJoining]],IF(AND(EmployeeData[[#This Row],[Attrition]]="Yes",EmployeeData[[#This Row],[LastWorkingDate]]&lt;&gt;""),EmployeeData[[#This Row],[LastWorkingDate]],TODAY()),"Y")</f>
        <v>6</v>
      </c>
      <c r="AA1180" t="str">
        <f>IF(EmployeeData[[#This Row],[MonthlyIncome]]&lt;30000,"Low",IF(EmployeeData[[#This Row],[MonthlyIncome]]&lt;=60000,"Medium",IF(EmployeeData[[#This Row],[MonthlyIncome]]&lt;=100000,"High","Very High")))</f>
        <v>Very High</v>
      </c>
      <c r="AB1180">
        <f>IF(EmployeeData[[#This Row],[Attrition]]="Yes",1,0)</f>
        <v>0</v>
      </c>
      <c r="AC1180" t="str">
        <f ca="1">IF(EmployeeData[[#This Row],[Tenure Years]]&lt;1,"Less than 1 Year",IF(EmployeeData[[#This Row],[Tenure Years]]&lt;=3,"1-3 Years",IF(EmployeeData[[#This Row],[Tenure Years]]&lt;=5,"4-5 Years",IF(EmployeeData[[#This Row],[Tenure Years]]&lt;=10,"6-10 Years","More than 10 Years"))))</f>
        <v>6-10 Years</v>
      </c>
      <c r="AD1180">
        <f>ROUND(AVERAGE(EmployeeData[[#This Row],[JobSatisfaction]],EmployeeData[[#This Row],[EnvironmentSatisfaction]],EmployeeData[[#This Row],[WorkLifeBalance]]),2)</f>
        <v>2</v>
      </c>
      <c r="AE1180" t="str">
        <f>IF(EmployeeData[[#This Row],[Satisfaction Score]]&lt;2,"Low",IF(EmployeeData[[#This Row],[Satisfaction Score]]&lt;3,"Medium","High"))</f>
        <v>Medium</v>
      </c>
    </row>
    <row r="1181" spans="1:31" x14ac:dyDescent="0.25">
      <c r="A1181" t="s">
        <v>5372</v>
      </c>
      <c r="B1181" t="s">
        <v>5373</v>
      </c>
      <c r="C1181" t="s">
        <v>58</v>
      </c>
      <c r="D1181">
        <v>41</v>
      </c>
      <c r="E1181" t="s">
        <v>38</v>
      </c>
      <c r="F1181" t="s">
        <v>792</v>
      </c>
      <c r="G1181" s="1">
        <v>42798</v>
      </c>
      <c r="H1181">
        <v>47549</v>
      </c>
      <c r="I1181" t="s">
        <v>5459</v>
      </c>
      <c r="J1181" t="s">
        <v>61</v>
      </c>
      <c r="K1181" t="s">
        <v>106</v>
      </c>
      <c r="L1181" t="s">
        <v>62</v>
      </c>
      <c r="M1181">
        <v>38</v>
      </c>
      <c r="N1181" t="s">
        <v>34</v>
      </c>
      <c r="O1181">
        <v>2</v>
      </c>
      <c r="P1181">
        <v>1</v>
      </c>
      <c r="Q1181">
        <v>3</v>
      </c>
      <c r="R1181">
        <v>3</v>
      </c>
      <c r="S1181">
        <v>3</v>
      </c>
      <c r="T1181">
        <v>6</v>
      </c>
      <c r="U1181">
        <v>12</v>
      </c>
      <c r="V1181" t="s">
        <v>5375</v>
      </c>
      <c r="W1181" t="s">
        <v>45</v>
      </c>
      <c r="X1181" s="1">
        <v>44622</v>
      </c>
      <c r="Y1181" s="2" t="str">
        <f>IF(EmployeeData[[#This Row],[Age]]&lt;25,"Under 25",IF(EmployeeData[[#This Row],[Age]]&lt;=34,"25-34",IF(EmployeeData[[#This Row],[Age]]&lt;=44,"35-44",IF(EmployeeData[[#This Row],[Age]]&lt;=54,"45-54","55+"))))</f>
        <v>35-44</v>
      </c>
      <c r="Z1181">
        <f ca="1">DATEDIF(EmployeeData[[#This Row],[DateOfJoining]],IF(AND(EmployeeData[[#This Row],[Attrition]]="Yes",EmployeeData[[#This Row],[LastWorkingDate]]&lt;&gt;""),EmployeeData[[#This Row],[LastWorkingDate]],TODAY()),"Y")</f>
        <v>4</v>
      </c>
      <c r="AA1181" t="str">
        <f>IF(EmployeeData[[#This Row],[MonthlyIncome]]&lt;30000,"Low",IF(EmployeeData[[#This Row],[MonthlyIncome]]&lt;=60000,"Medium",IF(EmployeeData[[#This Row],[MonthlyIncome]]&lt;=100000,"High","Very High")))</f>
        <v>Medium</v>
      </c>
      <c r="AB1181">
        <f>IF(EmployeeData[[#This Row],[Attrition]]="Yes",1,0)</f>
        <v>1</v>
      </c>
      <c r="AC1181" t="str">
        <f ca="1">IF(EmployeeData[[#This Row],[Tenure Years]]&lt;1,"Less than 1 Year",IF(EmployeeData[[#This Row],[Tenure Years]]&lt;=3,"1-3 Years",IF(EmployeeData[[#This Row],[Tenure Years]]&lt;=5,"4-5 Years",IF(EmployeeData[[#This Row],[Tenure Years]]&lt;=10,"6-10 Years","More than 10 Years"))))</f>
        <v>4-5 Years</v>
      </c>
      <c r="AD1181">
        <f>ROUND(AVERAGE(EmployeeData[[#This Row],[JobSatisfaction]],EmployeeData[[#This Row],[EnvironmentSatisfaction]],EmployeeData[[#This Row],[WorkLifeBalance]]),2)</f>
        <v>2</v>
      </c>
      <c r="AE1181" t="str">
        <f>IF(EmployeeData[[#This Row],[Satisfaction Score]]&lt;2,"Low",IF(EmployeeData[[#This Row],[Satisfaction Score]]&lt;3,"Medium","High"))</f>
        <v>Medium</v>
      </c>
    </row>
    <row r="1182" spans="1:31" x14ac:dyDescent="0.25">
      <c r="A1182" t="s">
        <v>5377</v>
      </c>
      <c r="B1182" t="s">
        <v>5378</v>
      </c>
      <c r="C1182" t="s">
        <v>58</v>
      </c>
      <c r="D1182">
        <v>36</v>
      </c>
      <c r="E1182" t="s">
        <v>5459</v>
      </c>
      <c r="F1182" t="s">
        <v>59</v>
      </c>
      <c r="G1182" s="1">
        <v>45549</v>
      </c>
      <c r="H1182">
        <v>45107</v>
      </c>
      <c r="I1182" t="s">
        <v>42</v>
      </c>
      <c r="J1182" t="s">
        <v>31</v>
      </c>
      <c r="K1182" t="s">
        <v>106</v>
      </c>
      <c r="L1182" t="s">
        <v>43</v>
      </c>
      <c r="M1182">
        <v>8</v>
      </c>
      <c r="N1182" t="s">
        <v>45</v>
      </c>
      <c r="O1182">
        <v>4</v>
      </c>
      <c r="P1182">
        <v>4</v>
      </c>
      <c r="Q1182">
        <v>1</v>
      </c>
      <c r="R1182">
        <v>2</v>
      </c>
      <c r="S1182">
        <v>3</v>
      </c>
      <c r="T1182">
        <v>0</v>
      </c>
      <c r="U1182">
        <v>24</v>
      </c>
      <c r="V1182" t="s">
        <v>5380</v>
      </c>
      <c r="W1182" t="s">
        <v>45</v>
      </c>
      <c r="X1182" s="1">
        <v>45946</v>
      </c>
      <c r="Y1182" s="2" t="str">
        <f>IF(EmployeeData[[#This Row],[Age]]&lt;25,"Under 25",IF(EmployeeData[[#This Row],[Age]]&lt;=34,"25-34",IF(EmployeeData[[#This Row],[Age]]&lt;=44,"35-44",IF(EmployeeData[[#This Row],[Age]]&lt;=54,"45-54","55+"))))</f>
        <v>35-44</v>
      </c>
      <c r="Z1182">
        <f ca="1">DATEDIF(EmployeeData[[#This Row],[DateOfJoining]],IF(AND(EmployeeData[[#This Row],[Attrition]]="Yes",EmployeeData[[#This Row],[LastWorkingDate]]&lt;&gt;""),EmployeeData[[#This Row],[LastWorkingDate]],TODAY()),"Y")</f>
        <v>1</v>
      </c>
      <c r="AA1182" t="str">
        <f>IF(EmployeeData[[#This Row],[MonthlyIncome]]&lt;30000,"Low",IF(EmployeeData[[#This Row],[MonthlyIncome]]&lt;=60000,"Medium",IF(EmployeeData[[#This Row],[MonthlyIncome]]&lt;=100000,"High","Very High")))</f>
        <v>Medium</v>
      </c>
      <c r="AB1182">
        <f>IF(EmployeeData[[#This Row],[Attrition]]="Yes",1,0)</f>
        <v>1</v>
      </c>
      <c r="AC1182" t="str">
        <f ca="1">IF(EmployeeData[[#This Row],[Tenure Years]]&lt;1,"Less than 1 Year",IF(EmployeeData[[#This Row],[Tenure Years]]&lt;=3,"1-3 Years",IF(EmployeeData[[#This Row],[Tenure Years]]&lt;=5,"4-5 Years",IF(EmployeeData[[#This Row],[Tenure Years]]&lt;=10,"6-10 Years","More than 10 Years"))))</f>
        <v>1-3 Years</v>
      </c>
      <c r="AD1182">
        <f>ROUND(AVERAGE(EmployeeData[[#This Row],[JobSatisfaction]],EmployeeData[[#This Row],[EnvironmentSatisfaction]],EmployeeData[[#This Row],[WorkLifeBalance]]),2)</f>
        <v>3</v>
      </c>
      <c r="AE1182" t="str">
        <f>IF(EmployeeData[[#This Row],[Satisfaction Score]]&lt;2,"Low",IF(EmployeeData[[#This Row],[Satisfaction Score]]&lt;3,"Medium","High"))</f>
        <v>High</v>
      </c>
    </row>
    <row r="1183" spans="1:31" x14ac:dyDescent="0.25">
      <c r="A1183" t="s">
        <v>5382</v>
      </c>
      <c r="B1183" t="s">
        <v>5383</v>
      </c>
      <c r="C1183" t="s">
        <v>49</v>
      </c>
      <c r="D1183">
        <v>39</v>
      </c>
      <c r="E1183" t="s">
        <v>197</v>
      </c>
      <c r="F1183" t="s">
        <v>573</v>
      </c>
      <c r="G1183" s="1">
        <v>41034</v>
      </c>
      <c r="H1183">
        <v>114980</v>
      </c>
      <c r="I1183" t="s">
        <v>30</v>
      </c>
      <c r="J1183" t="s">
        <v>31</v>
      </c>
      <c r="K1183" t="s">
        <v>83</v>
      </c>
      <c r="L1183" t="s">
        <v>43</v>
      </c>
      <c r="M1183">
        <v>13</v>
      </c>
      <c r="N1183" t="s">
        <v>34</v>
      </c>
      <c r="O1183">
        <v>4</v>
      </c>
      <c r="P1183">
        <v>1</v>
      </c>
      <c r="Q1183">
        <v>2</v>
      </c>
      <c r="R1183">
        <v>3</v>
      </c>
      <c r="S1183">
        <v>6</v>
      </c>
      <c r="T1183">
        <v>5</v>
      </c>
      <c r="U1183">
        <v>23</v>
      </c>
      <c r="V1183" t="s">
        <v>5459</v>
      </c>
      <c r="W1183" t="s">
        <v>34</v>
      </c>
      <c r="Y1183" s="2" t="str">
        <f>IF(EmployeeData[[#This Row],[Age]]&lt;25,"Under 25",IF(EmployeeData[[#This Row],[Age]]&lt;=34,"25-34",IF(EmployeeData[[#This Row],[Age]]&lt;=44,"35-44",IF(EmployeeData[[#This Row],[Age]]&lt;=54,"45-54","55+"))))</f>
        <v>35-44</v>
      </c>
      <c r="Z1183">
        <f ca="1">DATEDIF(EmployeeData[[#This Row],[DateOfJoining]],IF(AND(EmployeeData[[#This Row],[Attrition]]="Yes",EmployeeData[[#This Row],[LastWorkingDate]]&lt;&gt;""),EmployeeData[[#This Row],[LastWorkingDate]],TODAY()),"Y")</f>
        <v>14</v>
      </c>
      <c r="AA1183" t="str">
        <f>IF(EmployeeData[[#This Row],[MonthlyIncome]]&lt;30000,"Low",IF(EmployeeData[[#This Row],[MonthlyIncome]]&lt;=60000,"Medium",IF(EmployeeData[[#This Row],[MonthlyIncome]]&lt;=100000,"High","Very High")))</f>
        <v>Very High</v>
      </c>
      <c r="AB1183">
        <f>IF(EmployeeData[[#This Row],[Attrition]]="Yes",1,0)</f>
        <v>0</v>
      </c>
      <c r="AC1183" t="str">
        <f ca="1">IF(EmployeeData[[#This Row],[Tenure Years]]&lt;1,"Less than 1 Year",IF(EmployeeData[[#This Row],[Tenure Years]]&lt;=3,"1-3 Years",IF(EmployeeData[[#This Row],[Tenure Years]]&lt;=5,"4-5 Years",IF(EmployeeData[[#This Row],[Tenure Years]]&lt;=10,"6-10 Years","More than 10 Years"))))</f>
        <v>More than 10 Years</v>
      </c>
      <c r="AD1183">
        <f>ROUND(AVERAGE(EmployeeData[[#This Row],[JobSatisfaction]],EmployeeData[[#This Row],[EnvironmentSatisfaction]],EmployeeData[[#This Row],[WorkLifeBalance]]),2)</f>
        <v>2.33</v>
      </c>
      <c r="AE1183" t="str">
        <f>IF(EmployeeData[[#This Row],[Satisfaction Score]]&lt;2,"Low",IF(EmployeeData[[#This Row],[Satisfaction Score]]&lt;3,"Medium","High"))</f>
        <v>Medium</v>
      </c>
    </row>
    <row r="1184" spans="1:31" x14ac:dyDescent="0.25">
      <c r="A1184" t="s">
        <v>5385</v>
      </c>
      <c r="B1184" t="s">
        <v>5386</v>
      </c>
      <c r="C1184" t="s">
        <v>58</v>
      </c>
      <c r="D1184">
        <v>40</v>
      </c>
      <c r="E1184" t="s">
        <v>5459</v>
      </c>
      <c r="F1184" t="s">
        <v>483</v>
      </c>
      <c r="G1184" s="1">
        <v>45110</v>
      </c>
      <c r="H1184">
        <v>78134</v>
      </c>
      <c r="I1184" t="s">
        <v>42</v>
      </c>
      <c r="J1184" t="s">
        <v>61</v>
      </c>
      <c r="K1184" t="s">
        <v>200</v>
      </c>
      <c r="L1184" t="s">
        <v>43</v>
      </c>
      <c r="M1184">
        <v>23</v>
      </c>
      <c r="N1184" t="s">
        <v>34</v>
      </c>
      <c r="O1184">
        <v>4</v>
      </c>
      <c r="P1184">
        <v>2</v>
      </c>
      <c r="Q1184">
        <v>2</v>
      </c>
      <c r="R1184">
        <v>4</v>
      </c>
      <c r="S1184">
        <v>1</v>
      </c>
      <c r="T1184">
        <v>3</v>
      </c>
      <c r="U1184">
        <v>14</v>
      </c>
      <c r="V1184" t="s">
        <v>5388</v>
      </c>
      <c r="W1184" t="s">
        <v>34</v>
      </c>
      <c r="Y1184" s="2" t="str">
        <f>IF(EmployeeData[[#This Row],[Age]]&lt;25,"Under 25",IF(EmployeeData[[#This Row],[Age]]&lt;=34,"25-34",IF(EmployeeData[[#This Row],[Age]]&lt;=44,"35-44",IF(EmployeeData[[#This Row],[Age]]&lt;=54,"45-54","55+"))))</f>
        <v>35-44</v>
      </c>
      <c r="Z1184">
        <f ca="1">DATEDIF(EmployeeData[[#This Row],[DateOfJoining]],IF(AND(EmployeeData[[#This Row],[Attrition]]="Yes",EmployeeData[[#This Row],[LastWorkingDate]]&lt;&gt;""),EmployeeData[[#This Row],[LastWorkingDate]],TODAY()),"Y")</f>
        <v>3</v>
      </c>
      <c r="AA1184" t="str">
        <f>IF(EmployeeData[[#This Row],[MonthlyIncome]]&lt;30000,"Low",IF(EmployeeData[[#This Row],[MonthlyIncome]]&lt;=60000,"Medium",IF(EmployeeData[[#This Row],[MonthlyIncome]]&lt;=100000,"High","Very High")))</f>
        <v>High</v>
      </c>
      <c r="AB1184">
        <f>IF(EmployeeData[[#This Row],[Attrition]]="Yes",1,0)</f>
        <v>0</v>
      </c>
      <c r="AC1184" t="str">
        <f ca="1">IF(EmployeeData[[#This Row],[Tenure Years]]&lt;1,"Less than 1 Year",IF(EmployeeData[[#This Row],[Tenure Years]]&lt;=3,"1-3 Years",IF(EmployeeData[[#This Row],[Tenure Years]]&lt;=5,"4-5 Years",IF(EmployeeData[[#This Row],[Tenure Years]]&lt;=10,"6-10 Years","More than 10 Years"))))</f>
        <v>1-3 Years</v>
      </c>
      <c r="AD1184">
        <f>ROUND(AVERAGE(EmployeeData[[#This Row],[JobSatisfaction]],EmployeeData[[#This Row],[EnvironmentSatisfaction]],EmployeeData[[#This Row],[WorkLifeBalance]]),2)</f>
        <v>2.67</v>
      </c>
      <c r="AE1184" t="str">
        <f>IF(EmployeeData[[#This Row],[Satisfaction Score]]&lt;2,"Low",IF(EmployeeData[[#This Row],[Satisfaction Score]]&lt;3,"Medium","High"))</f>
        <v>Medium</v>
      </c>
    </row>
    <row r="1185" spans="1:31" x14ac:dyDescent="0.25">
      <c r="A1185" t="s">
        <v>5389</v>
      </c>
      <c r="B1185" t="s">
        <v>5390</v>
      </c>
      <c r="C1185" t="s">
        <v>49</v>
      </c>
      <c r="D1185">
        <v>39</v>
      </c>
      <c r="E1185" t="s">
        <v>128</v>
      </c>
      <c r="F1185" t="s">
        <v>271</v>
      </c>
      <c r="G1185" s="1">
        <v>42914</v>
      </c>
      <c r="H1185">
        <v>56702</v>
      </c>
      <c r="I1185" t="s">
        <v>42</v>
      </c>
      <c r="J1185" t="s">
        <v>61</v>
      </c>
      <c r="K1185" t="s">
        <v>131</v>
      </c>
      <c r="L1185" t="s">
        <v>43</v>
      </c>
      <c r="M1185">
        <v>32</v>
      </c>
      <c r="N1185" t="s">
        <v>34</v>
      </c>
      <c r="O1185">
        <v>3</v>
      </c>
      <c r="P1185">
        <v>4</v>
      </c>
      <c r="Q1185">
        <v>3</v>
      </c>
      <c r="R1185">
        <v>3</v>
      </c>
      <c r="S1185">
        <v>5</v>
      </c>
      <c r="T1185">
        <v>7</v>
      </c>
      <c r="U1185">
        <v>14</v>
      </c>
      <c r="V1185" t="s">
        <v>5392</v>
      </c>
      <c r="W1185" t="s">
        <v>34</v>
      </c>
      <c r="Y1185" s="2" t="str">
        <f>IF(EmployeeData[[#This Row],[Age]]&lt;25,"Under 25",IF(EmployeeData[[#This Row],[Age]]&lt;=34,"25-34",IF(EmployeeData[[#This Row],[Age]]&lt;=44,"35-44",IF(EmployeeData[[#This Row],[Age]]&lt;=54,"45-54","55+"))))</f>
        <v>35-44</v>
      </c>
      <c r="Z1185">
        <f ca="1">DATEDIF(EmployeeData[[#This Row],[DateOfJoining]],IF(AND(EmployeeData[[#This Row],[Attrition]]="Yes",EmployeeData[[#This Row],[LastWorkingDate]]&lt;&gt;""),EmployeeData[[#This Row],[LastWorkingDate]],TODAY()),"Y")</f>
        <v>9</v>
      </c>
      <c r="AA1185" t="str">
        <f>IF(EmployeeData[[#This Row],[MonthlyIncome]]&lt;30000,"Low",IF(EmployeeData[[#This Row],[MonthlyIncome]]&lt;=60000,"Medium",IF(EmployeeData[[#This Row],[MonthlyIncome]]&lt;=100000,"High","Very High")))</f>
        <v>Medium</v>
      </c>
      <c r="AB1185">
        <f>IF(EmployeeData[[#This Row],[Attrition]]="Yes",1,0)</f>
        <v>0</v>
      </c>
      <c r="AC1185" t="str">
        <f ca="1">IF(EmployeeData[[#This Row],[Tenure Years]]&lt;1,"Less than 1 Year",IF(EmployeeData[[#This Row],[Tenure Years]]&lt;=3,"1-3 Years",IF(EmployeeData[[#This Row],[Tenure Years]]&lt;=5,"4-5 Years",IF(EmployeeData[[#This Row],[Tenure Years]]&lt;=10,"6-10 Years","More than 10 Years"))))</f>
        <v>6-10 Years</v>
      </c>
      <c r="AD1185">
        <f>ROUND(AVERAGE(EmployeeData[[#This Row],[JobSatisfaction]],EmployeeData[[#This Row],[EnvironmentSatisfaction]],EmployeeData[[#This Row],[WorkLifeBalance]]),2)</f>
        <v>3.33</v>
      </c>
      <c r="AE1185" t="str">
        <f>IF(EmployeeData[[#This Row],[Satisfaction Score]]&lt;2,"Low",IF(EmployeeData[[#This Row],[Satisfaction Score]]&lt;3,"Medium","High"))</f>
        <v>High</v>
      </c>
    </row>
    <row r="1186" spans="1:31" x14ac:dyDescent="0.25">
      <c r="A1186" t="s">
        <v>5393</v>
      </c>
      <c r="B1186" t="s">
        <v>5394</v>
      </c>
      <c r="C1186" t="s">
        <v>58</v>
      </c>
      <c r="D1186">
        <v>31</v>
      </c>
      <c r="E1186" t="s">
        <v>27</v>
      </c>
      <c r="F1186" t="s">
        <v>75</v>
      </c>
      <c r="G1186" s="1">
        <v>45673</v>
      </c>
      <c r="H1186">
        <v>58326</v>
      </c>
      <c r="I1186" t="s">
        <v>42</v>
      </c>
      <c r="J1186" t="s">
        <v>53</v>
      </c>
      <c r="K1186" t="s">
        <v>167</v>
      </c>
      <c r="L1186" t="s">
        <v>33</v>
      </c>
      <c r="M1186">
        <v>37</v>
      </c>
      <c r="N1186" t="s">
        <v>45</v>
      </c>
      <c r="O1186">
        <v>4</v>
      </c>
      <c r="P1186">
        <v>4</v>
      </c>
      <c r="Q1186">
        <v>1</v>
      </c>
      <c r="R1186">
        <v>3</v>
      </c>
      <c r="S1186">
        <v>1</v>
      </c>
      <c r="T1186">
        <v>6</v>
      </c>
      <c r="U1186">
        <v>25</v>
      </c>
      <c r="V1186" t="s">
        <v>5396</v>
      </c>
      <c r="W1186" t="s">
        <v>45</v>
      </c>
      <c r="X1186" s="1">
        <v>46162</v>
      </c>
      <c r="Y1186" s="2" t="str">
        <f>IF(EmployeeData[[#This Row],[Age]]&lt;25,"Under 25",IF(EmployeeData[[#This Row],[Age]]&lt;=34,"25-34",IF(EmployeeData[[#This Row],[Age]]&lt;=44,"35-44",IF(EmployeeData[[#This Row],[Age]]&lt;=54,"45-54","55+"))))</f>
        <v>25-34</v>
      </c>
      <c r="Z1186">
        <f ca="1">DATEDIF(EmployeeData[[#This Row],[DateOfJoining]],IF(AND(EmployeeData[[#This Row],[Attrition]]="Yes",EmployeeData[[#This Row],[LastWorkingDate]]&lt;&gt;""),EmployeeData[[#This Row],[LastWorkingDate]],TODAY()),"Y")</f>
        <v>1</v>
      </c>
      <c r="AA1186" t="str">
        <f>IF(EmployeeData[[#This Row],[MonthlyIncome]]&lt;30000,"Low",IF(EmployeeData[[#This Row],[MonthlyIncome]]&lt;=60000,"Medium",IF(EmployeeData[[#This Row],[MonthlyIncome]]&lt;=100000,"High","Very High")))</f>
        <v>Medium</v>
      </c>
      <c r="AB1186">
        <f>IF(EmployeeData[[#This Row],[Attrition]]="Yes",1,0)</f>
        <v>1</v>
      </c>
      <c r="AC1186" t="str">
        <f ca="1">IF(EmployeeData[[#This Row],[Tenure Years]]&lt;1,"Less than 1 Year",IF(EmployeeData[[#This Row],[Tenure Years]]&lt;=3,"1-3 Years",IF(EmployeeData[[#This Row],[Tenure Years]]&lt;=5,"4-5 Years",IF(EmployeeData[[#This Row],[Tenure Years]]&lt;=10,"6-10 Years","More than 10 Years"))))</f>
        <v>1-3 Years</v>
      </c>
      <c r="AD1186">
        <f>ROUND(AVERAGE(EmployeeData[[#This Row],[JobSatisfaction]],EmployeeData[[#This Row],[EnvironmentSatisfaction]],EmployeeData[[#This Row],[WorkLifeBalance]]),2)</f>
        <v>3</v>
      </c>
      <c r="AE1186" t="str">
        <f>IF(EmployeeData[[#This Row],[Satisfaction Score]]&lt;2,"Low",IF(EmployeeData[[#This Row],[Satisfaction Score]]&lt;3,"Medium","High"))</f>
        <v>High</v>
      </c>
    </row>
    <row r="1187" spans="1:31" x14ac:dyDescent="0.25">
      <c r="A1187" t="s">
        <v>5398</v>
      </c>
      <c r="B1187" t="s">
        <v>5399</v>
      </c>
      <c r="C1187" t="s">
        <v>58</v>
      </c>
      <c r="D1187">
        <v>41</v>
      </c>
      <c r="E1187" t="s">
        <v>27</v>
      </c>
      <c r="F1187" t="s">
        <v>75</v>
      </c>
      <c r="G1187" s="1">
        <v>41660</v>
      </c>
      <c r="H1187">
        <v>58944</v>
      </c>
      <c r="I1187" t="s">
        <v>30</v>
      </c>
      <c r="J1187" t="s">
        <v>61</v>
      </c>
      <c r="K1187" t="s">
        <v>113</v>
      </c>
      <c r="L1187" t="s">
        <v>43</v>
      </c>
      <c r="M1187">
        <v>15</v>
      </c>
      <c r="N1187" t="s">
        <v>34</v>
      </c>
      <c r="O1187">
        <v>4</v>
      </c>
      <c r="P1187">
        <v>4</v>
      </c>
      <c r="Q1187">
        <v>1</v>
      </c>
      <c r="R1187">
        <v>3</v>
      </c>
      <c r="S1187">
        <v>0</v>
      </c>
      <c r="T1187">
        <v>0</v>
      </c>
      <c r="U1187">
        <v>21</v>
      </c>
      <c r="V1187" t="s">
        <v>5401</v>
      </c>
      <c r="W1187" t="s">
        <v>34</v>
      </c>
      <c r="Y1187" s="2" t="str">
        <f>IF(EmployeeData[[#This Row],[Age]]&lt;25,"Under 25",IF(EmployeeData[[#This Row],[Age]]&lt;=34,"25-34",IF(EmployeeData[[#This Row],[Age]]&lt;=44,"35-44",IF(EmployeeData[[#This Row],[Age]]&lt;=54,"45-54","55+"))))</f>
        <v>35-44</v>
      </c>
      <c r="Z1187">
        <f ca="1">DATEDIF(EmployeeData[[#This Row],[DateOfJoining]],IF(AND(EmployeeData[[#This Row],[Attrition]]="Yes",EmployeeData[[#This Row],[LastWorkingDate]]&lt;&gt;""),EmployeeData[[#This Row],[LastWorkingDate]],TODAY()),"Y")</f>
        <v>12</v>
      </c>
      <c r="AA1187" t="str">
        <f>IF(EmployeeData[[#This Row],[MonthlyIncome]]&lt;30000,"Low",IF(EmployeeData[[#This Row],[MonthlyIncome]]&lt;=60000,"Medium",IF(EmployeeData[[#This Row],[MonthlyIncome]]&lt;=100000,"High","Very High")))</f>
        <v>Medium</v>
      </c>
      <c r="AB1187">
        <f>IF(EmployeeData[[#This Row],[Attrition]]="Yes",1,0)</f>
        <v>0</v>
      </c>
      <c r="AC1187" t="str">
        <f ca="1">IF(EmployeeData[[#This Row],[Tenure Years]]&lt;1,"Less than 1 Year",IF(EmployeeData[[#This Row],[Tenure Years]]&lt;=3,"1-3 Years",IF(EmployeeData[[#This Row],[Tenure Years]]&lt;=5,"4-5 Years",IF(EmployeeData[[#This Row],[Tenure Years]]&lt;=10,"6-10 Years","More than 10 Years"))))</f>
        <v>More than 10 Years</v>
      </c>
      <c r="AD1187">
        <f>ROUND(AVERAGE(EmployeeData[[#This Row],[JobSatisfaction]],EmployeeData[[#This Row],[EnvironmentSatisfaction]],EmployeeData[[#This Row],[WorkLifeBalance]]),2)</f>
        <v>3</v>
      </c>
      <c r="AE1187" t="str">
        <f>IF(EmployeeData[[#This Row],[Satisfaction Score]]&lt;2,"Low",IF(EmployeeData[[#This Row],[Satisfaction Score]]&lt;3,"Medium","High"))</f>
        <v>High</v>
      </c>
    </row>
    <row r="1188" spans="1:31" x14ac:dyDescent="0.25">
      <c r="A1188" t="s">
        <v>5402</v>
      </c>
      <c r="B1188" t="s">
        <v>5403</v>
      </c>
      <c r="C1188" t="s">
        <v>58</v>
      </c>
      <c r="D1188">
        <v>32</v>
      </c>
      <c r="E1188" t="s">
        <v>5461</v>
      </c>
      <c r="F1188" t="s">
        <v>261</v>
      </c>
      <c r="G1188" s="1">
        <v>44059</v>
      </c>
      <c r="H1188">
        <v>105685</v>
      </c>
      <c r="I1188" t="s">
        <v>52</v>
      </c>
      <c r="J1188" t="s">
        <v>31</v>
      </c>
      <c r="K1188" t="s">
        <v>131</v>
      </c>
      <c r="L1188" t="s">
        <v>33</v>
      </c>
      <c r="M1188">
        <v>29</v>
      </c>
      <c r="N1188" t="s">
        <v>34</v>
      </c>
      <c r="O1188">
        <v>2</v>
      </c>
      <c r="P1188">
        <v>4</v>
      </c>
      <c r="Q1188">
        <v>3</v>
      </c>
      <c r="R1188">
        <v>5</v>
      </c>
      <c r="S1188">
        <v>3</v>
      </c>
      <c r="T1188">
        <v>6</v>
      </c>
      <c r="U1188">
        <v>15</v>
      </c>
      <c r="V1188" t="s">
        <v>5405</v>
      </c>
      <c r="W1188" t="s">
        <v>34</v>
      </c>
      <c r="Y1188" s="2" t="str">
        <f>IF(EmployeeData[[#This Row],[Age]]&lt;25,"Under 25",IF(EmployeeData[[#This Row],[Age]]&lt;=34,"25-34",IF(EmployeeData[[#This Row],[Age]]&lt;=44,"35-44",IF(EmployeeData[[#This Row],[Age]]&lt;=54,"45-54","55+"))))</f>
        <v>25-34</v>
      </c>
      <c r="Z1188">
        <f ca="1">DATEDIF(EmployeeData[[#This Row],[DateOfJoining]],IF(AND(EmployeeData[[#This Row],[Attrition]]="Yes",EmployeeData[[#This Row],[LastWorkingDate]]&lt;&gt;""),EmployeeData[[#This Row],[LastWorkingDate]],TODAY()),"Y")</f>
        <v>6</v>
      </c>
      <c r="AA1188" t="str">
        <f>IF(EmployeeData[[#This Row],[MonthlyIncome]]&lt;30000,"Low",IF(EmployeeData[[#This Row],[MonthlyIncome]]&lt;=60000,"Medium",IF(EmployeeData[[#This Row],[MonthlyIncome]]&lt;=100000,"High","Very High")))</f>
        <v>Very High</v>
      </c>
      <c r="AB1188">
        <f>IF(EmployeeData[[#This Row],[Attrition]]="Yes",1,0)</f>
        <v>0</v>
      </c>
      <c r="AC1188" t="str">
        <f ca="1">IF(EmployeeData[[#This Row],[Tenure Years]]&lt;1,"Less than 1 Year",IF(EmployeeData[[#This Row],[Tenure Years]]&lt;=3,"1-3 Years",IF(EmployeeData[[#This Row],[Tenure Years]]&lt;=5,"4-5 Years",IF(EmployeeData[[#This Row],[Tenure Years]]&lt;=10,"6-10 Years","More than 10 Years"))))</f>
        <v>6-10 Years</v>
      </c>
      <c r="AD1188">
        <f>ROUND(AVERAGE(EmployeeData[[#This Row],[JobSatisfaction]],EmployeeData[[#This Row],[EnvironmentSatisfaction]],EmployeeData[[#This Row],[WorkLifeBalance]]),2)</f>
        <v>3</v>
      </c>
      <c r="AE1188" t="str">
        <f>IF(EmployeeData[[#This Row],[Satisfaction Score]]&lt;2,"Low",IF(EmployeeData[[#This Row],[Satisfaction Score]]&lt;3,"Medium","High"))</f>
        <v>High</v>
      </c>
    </row>
    <row r="1189" spans="1:31" x14ac:dyDescent="0.25">
      <c r="A1189" t="s">
        <v>5406</v>
      </c>
      <c r="B1189" t="s">
        <v>5407</v>
      </c>
      <c r="C1189" t="s">
        <v>58</v>
      </c>
      <c r="D1189">
        <v>32</v>
      </c>
      <c r="E1189" t="s">
        <v>27</v>
      </c>
      <c r="F1189" t="s">
        <v>59</v>
      </c>
      <c r="G1189" s="1">
        <v>45081</v>
      </c>
      <c r="H1189">
        <v>83084</v>
      </c>
      <c r="I1189" t="s">
        <v>52</v>
      </c>
      <c r="J1189" t="s">
        <v>61</v>
      </c>
      <c r="K1189" t="s">
        <v>54</v>
      </c>
      <c r="L1189" t="s">
        <v>43</v>
      </c>
      <c r="M1189">
        <v>4</v>
      </c>
      <c r="N1189" t="s">
        <v>34</v>
      </c>
      <c r="O1189">
        <v>3</v>
      </c>
      <c r="P1189">
        <v>2</v>
      </c>
      <c r="Q1189">
        <v>1</v>
      </c>
      <c r="R1189">
        <v>5</v>
      </c>
      <c r="S1189">
        <v>3</v>
      </c>
      <c r="T1189">
        <v>0</v>
      </c>
      <c r="U1189">
        <v>24</v>
      </c>
      <c r="V1189" t="s">
        <v>5409</v>
      </c>
      <c r="W1189" t="s">
        <v>34</v>
      </c>
      <c r="Y1189" s="2" t="str">
        <f>IF(EmployeeData[[#This Row],[Age]]&lt;25,"Under 25",IF(EmployeeData[[#This Row],[Age]]&lt;=34,"25-34",IF(EmployeeData[[#This Row],[Age]]&lt;=44,"35-44",IF(EmployeeData[[#This Row],[Age]]&lt;=54,"45-54","55+"))))</f>
        <v>25-34</v>
      </c>
      <c r="Z1189">
        <f ca="1">DATEDIF(EmployeeData[[#This Row],[DateOfJoining]],IF(AND(EmployeeData[[#This Row],[Attrition]]="Yes",EmployeeData[[#This Row],[LastWorkingDate]]&lt;&gt;""),EmployeeData[[#This Row],[LastWorkingDate]],TODAY()),"Y")</f>
        <v>3</v>
      </c>
      <c r="AA1189" t="str">
        <f>IF(EmployeeData[[#This Row],[MonthlyIncome]]&lt;30000,"Low",IF(EmployeeData[[#This Row],[MonthlyIncome]]&lt;=60000,"Medium",IF(EmployeeData[[#This Row],[MonthlyIncome]]&lt;=100000,"High","Very High")))</f>
        <v>High</v>
      </c>
      <c r="AB1189">
        <f>IF(EmployeeData[[#This Row],[Attrition]]="Yes",1,0)</f>
        <v>0</v>
      </c>
      <c r="AC1189" t="str">
        <f ca="1">IF(EmployeeData[[#This Row],[Tenure Years]]&lt;1,"Less than 1 Year",IF(EmployeeData[[#This Row],[Tenure Years]]&lt;=3,"1-3 Years",IF(EmployeeData[[#This Row],[Tenure Years]]&lt;=5,"4-5 Years",IF(EmployeeData[[#This Row],[Tenure Years]]&lt;=10,"6-10 Years","More than 10 Years"))))</f>
        <v>1-3 Years</v>
      </c>
      <c r="AD1189">
        <f>ROUND(AVERAGE(EmployeeData[[#This Row],[JobSatisfaction]],EmployeeData[[#This Row],[EnvironmentSatisfaction]],EmployeeData[[#This Row],[WorkLifeBalance]]),2)</f>
        <v>2</v>
      </c>
      <c r="AE1189" t="str">
        <f>IF(EmployeeData[[#This Row],[Satisfaction Score]]&lt;2,"Low",IF(EmployeeData[[#This Row],[Satisfaction Score]]&lt;3,"Medium","High"))</f>
        <v>Medium</v>
      </c>
    </row>
    <row r="1190" spans="1:31" x14ac:dyDescent="0.25">
      <c r="A1190" t="s">
        <v>5410</v>
      </c>
      <c r="B1190" t="s">
        <v>5411</v>
      </c>
      <c r="C1190" t="s">
        <v>58</v>
      </c>
      <c r="D1190">
        <v>28</v>
      </c>
      <c r="E1190" t="s">
        <v>27</v>
      </c>
      <c r="F1190" t="s">
        <v>188</v>
      </c>
      <c r="G1190" s="1">
        <v>45358</v>
      </c>
      <c r="H1190">
        <v>73232</v>
      </c>
      <c r="I1190" t="s">
        <v>52</v>
      </c>
      <c r="J1190" t="s">
        <v>143</v>
      </c>
      <c r="K1190" t="s">
        <v>54</v>
      </c>
      <c r="L1190" t="s">
        <v>62</v>
      </c>
      <c r="M1190">
        <v>28</v>
      </c>
      <c r="N1190" t="s">
        <v>34</v>
      </c>
      <c r="O1190">
        <v>2</v>
      </c>
      <c r="P1190">
        <v>4</v>
      </c>
      <c r="Q1190">
        <v>2</v>
      </c>
      <c r="R1190">
        <v>3</v>
      </c>
      <c r="S1190">
        <v>4</v>
      </c>
      <c r="T1190">
        <v>2</v>
      </c>
      <c r="U1190">
        <v>14</v>
      </c>
      <c r="V1190" t="s">
        <v>5412</v>
      </c>
      <c r="W1190" t="s">
        <v>34</v>
      </c>
      <c r="Y1190" s="2" t="str">
        <f>IF(EmployeeData[[#This Row],[Age]]&lt;25,"Under 25",IF(EmployeeData[[#This Row],[Age]]&lt;=34,"25-34",IF(EmployeeData[[#This Row],[Age]]&lt;=44,"35-44",IF(EmployeeData[[#This Row],[Age]]&lt;=54,"45-54","55+"))))</f>
        <v>25-34</v>
      </c>
      <c r="Z1190">
        <f ca="1">DATEDIF(EmployeeData[[#This Row],[DateOfJoining]],IF(AND(EmployeeData[[#This Row],[Attrition]]="Yes",EmployeeData[[#This Row],[LastWorkingDate]]&lt;&gt;""),EmployeeData[[#This Row],[LastWorkingDate]],TODAY()),"Y")</f>
        <v>2</v>
      </c>
      <c r="AA1190" t="str">
        <f>IF(EmployeeData[[#This Row],[MonthlyIncome]]&lt;30000,"Low",IF(EmployeeData[[#This Row],[MonthlyIncome]]&lt;=60000,"Medium",IF(EmployeeData[[#This Row],[MonthlyIncome]]&lt;=100000,"High","Very High")))</f>
        <v>High</v>
      </c>
      <c r="AB1190">
        <f>IF(EmployeeData[[#This Row],[Attrition]]="Yes",1,0)</f>
        <v>0</v>
      </c>
      <c r="AC1190" t="str">
        <f ca="1">IF(EmployeeData[[#This Row],[Tenure Years]]&lt;1,"Less than 1 Year",IF(EmployeeData[[#This Row],[Tenure Years]]&lt;=3,"1-3 Years",IF(EmployeeData[[#This Row],[Tenure Years]]&lt;=5,"4-5 Years",IF(EmployeeData[[#This Row],[Tenure Years]]&lt;=10,"6-10 Years","More than 10 Years"))))</f>
        <v>1-3 Years</v>
      </c>
      <c r="AD1190">
        <f>ROUND(AVERAGE(EmployeeData[[#This Row],[JobSatisfaction]],EmployeeData[[#This Row],[EnvironmentSatisfaction]],EmployeeData[[#This Row],[WorkLifeBalance]]),2)</f>
        <v>2.67</v>
      </c>
      <c r="AE1190" t="str">
        <f>IF(EmployeeData[[#This Row],[Satisfaction Score]]&lt;2,"Low",IF(EmployeeData[[#This Row],[Satisfaction Score]]&lt;3,"Medium","High"))</f>
        <v>Medium</v>
      </c>
    </row>
    <row r="1191" spans="1:31" x14ac:dyDescent="0.25">
      <c r="A1191" t="s">
        <v>5413</v>
      </c>
      <c r="B1191" t="s">
        <v>5414</v>
      </c>
      <c r="C1191" t="s">
        <v>58</v>
      </c>
      <c r="D1191">
        <v>41</v>
      </c>
      <c r="E1191" t="s">
        <v>5461</v>
      </c>
      <c r="F1191" t="s">
        <v>5463</v>
      </c>
      <c r="G1191" s="1">
        <v>41558</v>
      </c>
      <c r="H1191">
        <v>129168</v>
      </c>
      <c r="I1191" t="s">
        <v>52</v>
      </c>
      <c r="J1191" t="s">
        <v>5459</v>
      </c>
      <c r="K1191" t="s">
        <v>32</v>
      </c>
      <c r="L1191" t="s">
        <v>33</v>
      </c>
      <c r="M1191">
        <v>45</v>
      </c>
      <c r="N1191" t="s">
        <v>34</v>
      </c>
      <c r="O1191">
        <v>3</v>
      </c>
      <c r="P1191">
        <v>3</v>
      </c>
      <c r="Q1191">
        <v>3</v>
      </c>
      <c r="R1191">
        <v>3</v>
      </c>
      <c r="S1191">
        <v>2</v>
      </c>
      <c r="T1191">
        <v>5</v>
      </c>
      <c r="U1191">
        <v>11</v>
      </c>
      <c r="V1191" t="s">
        <v>5416</v>
      </c>
      <c r="W1191" t="s">
        <v>34</v>
      </c>
      <c r="Y1191" s="2" t="str">
        <f>IF(EmployeeData[[#This Row],[Age]]&lt;25,"Under 25",IF(EmployeeData[[#This Row],[Age]]&lt;=34,"25-34",IF(EmployeeData[[#This Row],[Age]]&lt;=44,"35-44",IF(EmployeeData[[#This Row],[Age]]&lt;=54,"45-54","55+"))))</f>
        <v>35-44</v>
      </c>
      <c r="Z1191">
        <f ca="1">DATEDIF(EmployeeData[[#This Row],[DateOfJoining]],IF(AND(EmployeeData[[#This Row],[Attrition]]="Yes",EmployeeData[[#This Row],[LastWorkingDate]]&lt;&gt;""),EmployeeData[[#This Row],[LastWorkingDate]],TODAY()),"Y")</f>
        <v>12</v>
      </c>
      <c r="AA1191" t="str">
        <f>IF(EmployeeData[[#This Row],[MonthlyIncome]]&lt;30000,"Low",IF(EmployeeData[[#This Row],[MonthlyIncome]]&lt;=60000,"Medium",IF(EmployeeData[[#This Row],[MonthlyIncome]]&lt;=100000,"High","Very High")))</f>
        <v>Very High</v>
      </c>
      <c r="AB1191">
        <f>IF(EmployeeData[[#This Row],[Attrition]]="Yes",1,0)</f>
        <v>0</v>
      </c>
      <c r="AC1191" t="str">
        <f ca="1">IF(EmployeeData[[#This Row],[Tenure Years]]&lt;1,"Less than 1 Year",IF(EmployeeData[[#This Row],[Tenure Years]]&lt;=3,"1-3 Years",IF(EmployeeData[[#This Row],[Tenure Years]]&lt;=5,"4-5 Years",IF(EmployeeData[[#This Row],[Tenure Years]]&lt;=10,"6-10 Years","More than 10 Years"))))</f>
        <v>More than 10 Years</v>
      </c>
      <c r="AD1191">
        <f>ROUND(AVERAGE(EmployeeData[[#This Row],[JobSatisfaction]],EmployeeData[[#This Row],[EnvironmentSatisfaction]],EmployeeData[[#This Row],[WorkLifeBalance]]),2)</f>
        <v>3</v>
      </c>
      <c r="AE1191" t="str">
        <f>IF(EmployeeData[[#This Row],[Satisfaction Score]]&lt;2,"Low",IF(EmployeeData[[#This Row],[Satisfaction Score]]&lt;3,"Medium","High"))</f>
        <v>High</v>
      </c>
    </row>
    <row r="1192" spans="1:31" x14ac:dyDescent="0.25">
      <c r="A1192" t="s">
        <v>5417</v>
      </c>
      <c r="B1192" t="s">
        <v>5418</v>
      </c>
      <c r="C1192" t="s">
        <v>49</v>
      </c>
      <c r="D1192">
        <v>25</v>
      </c>
      <c r="E1192" t="s">
        <v>5461</v>
      </c>
      <c r="F1192" t="s">
        <v>261</v>
      </c>
      <c r="G1192" s="1">
        <v>43107</v>
      </c>
      <c r="H1192">
        <v>129071</v>
      </c>
      <c r="I1192" t="s">
        <v>52</v>
      </c>
      <c r="J1192" t="s">
        <v>143</v>
      </c>
      <c r="K1192" t="s">
        <v>200</v>
      </c>
      <c r="L1192" t="s">
        <v>33</v>
      </c>
      <c r="M1192">
        <v>24</v>
      </c>
      <c r="N1192" t="s">
        <v>34</v>
      </c>
      <c r="O1192">
        <v>4</v>
      </c>
      <c r="P1192">
        <v>2</v>
      </c>
      <c r="Q1192">
        <v>1</v>
      </c>
      <c r="R1192">
        <v>2</v>
      </c>
      <c r="S1192">
        <v>2</v>
      </c>
      <c r="T1192">
        <v>5</v>
      </c>
      <c r="U1192">
        <v>22</v>
      </c>
      <c r="V1192" t="s">
        <v>5459</v>
      </c>
      <c r="W1192" t="s">
        <v>34</v>
      </c>
      <c r="Y1192" s="2" t="str">
        <f>IF(EmployeeData[[#This Row],[Age]]&lt;25,"Under 25",IF(EmployeeData[[#This Row],[Age]]&lt;=34,"25-34",IF(EmployeeData[[#This Row],[Age]]&lt;=44,"35-44",IF(EmployeeData[[#This Row],[Age]]&lt;=54,"45-54","55+"))))</f>
        <v>25-34</v>
      </c>
      <c r="Z1192">
        <f ca="1">DATEDIF(EmployeeData[[#This Row],[DateOfJoining]],IF(AND(EmployeeData[[#This Row],[Attrition]]="Yes",EmployeeData[[#This Row],[LastWorkingDate]]&lt;&gt;""),EmployeeData[[#This Row],[LastWorkingDate]],TODAY()),"Y")</f>
        <v>8</v>
      </c>
      <c r="AA1192" t="str">
        <f>IF(EmployeeData[[#This Row],[MonthlyIncome]]&lt;30000,"Low",IF(EmployeeData[[#This Row],[MonthlyIncome]]&lt;=60000,"Medium",IF(EmployeeData[[#This Row],[MonthlyIncome]]&lt;=100000,"High","Very High")))</f>
        <v>Very High</v>
      </c>
      <c r="AB1192">
        <f>IF(EmployeeData[[#This Row],[Attrition]]="Yes",1,0)</f>
        <v>0</v>
      </c>
      <c r="AC1192" t="str">
        <f ca="1">IF(EmployeeData[[#This Row],[Tenure Years]]&lt;1,"Less than 1 Year",IF(EmployeeData[[#This Row],[Tenure Years]]&lt;=3,"1-3 Years",IF(EmployeeData[[#This Row],[Tenure Years]]&lt;=5,"4-5 Years",IF(EmployeeData[[#This Row],[Tenure Years]]&lt;=10,"6-10 Years","More than 10 Years"))))</f>
        <v>6-10 Years</v>
      </c>
      <c r="AD1192">
        <f>ROUND(AVERAGE(EmployeeData[[#This Row],[JobSatisfaction]],EmployeeData[[#This Row],[EnvironmentSatisfaction]],EmployeeData[[#This Row],[WorkLifeBalance]]),2)</f>
        <v>2.33</v>
      </c>
      <c r="AE1192" t="str">
        <f>IF(EmployeeData[[#This Row],[Satisfaction Score]]&lt;2,"Low",IF(EmployeeData[[#This Row],[Satisfaction Score]]&lt;3,"Medium","High"))</f>
        <v>Medium</v>
      </c>
    </row>
    <row r="1193" spans="1:31" x14ac:dyDescent="0.25">
      <c r="A1193" t="s">
        <v>5420</v>
      </c>
      <c r="B1193" t="s">
        <v>5421</v>
      </c>
      <c r="C1193" t="s">
        <v>58</v>
      </c>
      <c r="D1193">
        <v>23</v>
      </c>
      <c r="E1193" t="s">
        <v>27</v>
      </c>
      <c r="F1193" t="s">
        <v>75</v>
      </c>
      <c r="G1193" s="1">
        <v>45996</v>
      </c>
      <c r="H1193">
        <v>120602</v>
      </c>
      <c r="I1193" t="s">
        <v>30</v>
      </c>
      <c r="J1193" t="s">
        <v>61</v>
      </c>
      <c r="K1193" t="s">
        <v>77</v>
      </c>
      <c r="L1193" t="s">
        <v>43</v>
      </c>
      <c r="M1193">
        <v>23</v>
      </c>
      <c r="N1193" t="s">
        <v>34</v>
      </c>
      <c r="O1193">
        <v>4</v>
      </c>
      <c r="P1193">
        <v>1</v>
      </c>
      <c r="Q1193">
        <v>3</v>
      </c>
      <c r="R1193">
        <v>4</v>
      </c>
      <c r="S1193">
        <v>0</v>
      </c>
      <c r="T1193">
        <v>2</v>
      </c>
      <c r="U1193">
        <v>24</v>
      </c>
      <c r="V1193" t="s">
        <v>5424</v>
      </c>
      <c r="W1193" t="s">
        <v>34</v>
      </c>
      <c r="Y1193" s="2" t="str">
        <f>IF(EmployeeData[[#This Row],[Age]]&lt;25,"Under 25",IF(EmployeeData[[#This Row],[Age]]&lt;=34,"25-34",IF(EmployeeData[[#This Row],[Age]]&lt;=44,"35-44",IF(EmployeeData[[#This Row],[Age]]&lt;=54,"45-54","55+"))))</f>
        <v>Under 25</v>
      </c>
      <c r="Z1193">
        <f ca="1">DATEDIF(EmployeeData[[#This Row],[DateOfJoining]],IF(AND(EmployeeData[[#This Row],[Attrition]]="Yes",EmployeeData[[#This Row],[LastWorkingDate]]&lt;&gt;""),EmployeeData[[#This Row],[LastWorkingDate]],TODAY()),"Y")</f>
        <v>0</v>
      </c>
      <c r="AA1193" t="str">
        <f>IF(EmployeeData[[#This Row],[MonthlyIncome]]&lt;30000,"Low",IF(EmployeeData[[#This Row],[MonthlyIncome]]&lt;=60000,"Medium",IF(EmployeeData[[#This Row],[MonthlyIncome]]&lt;=100000,"High","Very High")))</f>
        <v>Very High</v>
      </c>
      <c r="AB1193">
        <f>IF(EmployeeData[[#This Row],[Attrition]]="Yes",1,0)</f>
        <v>0</v>
      </c>
      <c r="AC1193" t="str">
        <f ca="1">IF(EmployeeData[[#This Row],[Tenure Years]]&lt;1,"Less than 1 Year",IF(EmployeeData[[#This Row],[Tenure Years]]&lt;=3,"1-3 Years",IF(EmployeeData[[#This Row],[Tenure Years]]&lt;=5,"4-5 Years",IF(EmployeeData[[#This Row],[Tenure Years]]&lt;=10,"6-10 Years","More than 10 Years"))))</f>
        <v>Less than 1 Year</v>
      </c>
      <c r="AD1193">
        <f>ROUND(AVERAGE(EmployeeData[[#This Row],[JobSatisfaction]],EmployeeData[[#This Row],[EnvironmentSatisfaction]],EmployeeData[[#This Row],[WorkLifeBalance]]),2)</f>
        <v>2.67</v>
      </c>
      <c r="AE1193" t="str">
        <f>IF(EmployeeData[[#This Row],[Satisfaction Score]]&lt;2,"Low",IF(EmployeeData[[#This Row],[Satisfaction Score]]&lt;3,"Medium","High"))</f>
        <v>Medium</v>
      </c>
    </row>
    <row r="1194" spans="1:31" x14ac:dyDescent="0.25">
      <c r="A1194" t="s">
        <v>5425</v>
      </c>
      <c r="B1194" t="s">
        <v>5426</v>
      </c>
      <c r="C1194" t="s">
        <v>58</v>
      </c>
      <c r="D1194">
        <v>39</v>
      </c>
      <c r="E1194" t="s">
        <v>128</v>
      </c>
      <c r="F1194" t="s">
        <v>123</v>
      </c>
      <c r="G1194" s="1">
        <v>41159</v>
      </c>
      <c r="H1194">
        <v>51330</v>
      </c>
      <c r="I1194" t="s">
        <v>30</v>
      </c>
      <c r="J1194" t="s">
        <v>61</v>
      </c>
      <c r="K1194" t="s">
        <v>5459</v>
      </c>
      <c r="L1194" t="s">
        <v>43</v>
      </c>
      <c r="M1194">
        <v>34</v>
      </c>
      <c r="N1194" t="s">
        <v>34</v>
      </c>
      <c r="O1194">
        <v>1</v>
      </c>
      <c r="P1194">
        <v>4</v>
      </c>
      <c r="Q1194">
        <v>1</v>
      </c>
      <c r="R1194">
        <v>4</v>
      </c>
      <c r="S1194">
        <v>3</v>
      </c>
      <c r="T1194">
        <v>4</v>
      </c>
      <c r="U1194">
        <v>17</v>
      </c>
      <c r="V1194" t="s">
        <v>5428</v>
      </c>
      <c r="W1194" t="s">
        <v>45</v>
      </c>
      <c r="X1194" s="1">
        <v>41619</v>
      </c>
      <c r="Y1194" s="2" t="str">
        <f>IF(EmployeeData[[#This Row],[Age]]&lt;25,"Under 25",IF(EmployeeData[[#This Row],[Age]]&lt;=34,"25-34",IF(EmployeeData[[#This Row],[Age]]&lt;=44,"35-44",IF(EmployeeData[[#This Row],[Age]]&lt;=54,"45-54","55+"))))</f>
        <v>35-44</v>
      </c>
      <c r="Z1194">
        <f ca="1">DATEDIF(EmployeeData[[#This Row],[DateOfJoining]],IF(AND(EmployeeData[[#This Row],[Attrition]]="Yes",EmployeeData[[#This Row],[LastWorkingDate]]&lt;&gt;""),EmployeeData[[#This Row],[LastWorkingDate]],TODAY()),"Y")</f>
        <v>1</v>
      </c>
      <c r="AA1194" t="str">
        <f>IF(EmployeeData[[#This Row],[MonthlyIncome]]&lt;30000,"Low",IF(EmployeeData[[#This Row],[MonthlyIncome]]&lt;=60000,"Medium",IF(EmployeeData[[#This Row],[MonthlyIncome]]&lt;=100000,"High","Very High")))</f>
        <v>Medium</v>
      </c>
      <c r="AB1194">
        <f>IF(EmployeeData[[#This Row],[Attrition]]="Yes",1,0)</f>
        <v>1</v>
      </c>
      <c r="AC1194" t="str">
        <f ca="1">IF(EmployeeData[[#This Row],[Tenure Years]]&lt;1,"Less than 1 Year",IF(EmployeeData[[#This Row],[Tenure Years]]&lt;=3,"1-3 Years",IF(EmployeeData[[#This Row],[Tenure Years]]&lt;=5,"4-5 Years",IF(EmployeeData[[#This Row],[Tenure Years]]&lt;=10,"6-10 Years","More than 10 Years"))))</f>
        <v>1-3 Years</v>
      </c>
      <c r="AD1194">
        <f>ROUND(AVERAGE(EmployeeData[[#This Row],[JobSatisfaction]],EmployeeData[[#This Row],[EnvironmentSatisfaction]],EmployeeData[[#This Row],[WorkLifeBalance]]),2)</f>
        <v>2</v>
      </c>
      <c r="AE1194" t="str">
        <f>IF(EmployeeData[[#This Row],[Satisfaction Score]]&lt;2,"Low",IF(EmployeeData[[#This Row],[Satisfaction Score]]&lt;3,"Medium","High"))</f>
        <v>Medium</v>
      </c>
    </row>
    <row r="1195" spans="1:31" x14ac:dyDescent="0.25">
      <c r="A1195" t="s">
        <v>5430</v>
      </c>
      <c r="B1195" t="s">
        <v>5431</v>
      </c>
      <c r="C1195" t="s">
        <v>49</v>
      </c>
      <c r="D1195">
        <v>21</v>
      </c>
      <c r="E1195" t="s">
        <v>38</v>
      </c>
      <c r="F1195" t="s">
        <v>5465</v>
      </c>
      <c r="G1195" s="1">
        <v>42539</v>
      </c>
      <c r="H1195">
        <v>45978</v>
      </c>
      <c r="I1195" t="s">
        <v>30</v>
      </c>
      <c r="J1195" t="s">
        <v>5459</v>
      </c>
      <c r="K1195" t="s">
        <v>83</v>
      </c>
      <c r="L1195" t="s">
        <v>62</v>
      </c>
      <c r="M1195">
        <v>31</v>
      </c>
      <c r="N1195" t="s">
        <v>45</v>
      </c>
      <c r="O1195">
        <v>1</v>
      </c>
      <c r="P1195">
        <v>4</v>
      </c>
      <c r="Q1195">
        <v>1</v>
      </c>
      <c r="R1195">
        <v>5</v>
      </c>
      <c r="S1195">
        <v>0</v>
      </c>
      <c r="T1195">
        <v>5</v>
      </c>
      <c r="U1195">
        <v>23</v>
      </c>
      <c r="V1195" t="s">
        <v>5434</v>
      </c>
      <c r="W1195" t="s">
        <v>45</v>
      </c>
      <c r="X1195" s="1">
        <v>44089</v>
      </c>
      <c r="Y1195" s="2" t="str">
        <f>IF(EmployeeData[[#This Row],[Age]]&lt;25,"Under 25",IF(EmployeeData[[#This Row],[Age]]&lt;=34,"25-34",IF(EmployeeData[[#This Row],[Age]]&lt;=44,"35-44",IF(EmployeeData[[#This Row],[Age]]&lt;=54,"45-54","55+"))))</f>
        <v>Under 25</v>
      </c>
      <c r="Z1195">
        <f ca="1">DATEDIF(EmployeeData[[#This Row],[DateOfJoining]],IF(AND(EmployeeData[[#This Row],[Attrition]]="Yes",EmployeeData[[#This Row],[LastWorkingDate]]&lt;&gt;""),EmployeeData[[#This Row],[LastWorkingDate]],TODAY()),"Y")</f>
        <v>4</v>
      </c>
      <c r="AA1195" t="str">
        <f>IF(EmployeeData[[#This Row],[MonthlyIncome]]&lt;30000,"Low",IF(EmployeeData[[#This Row],[MonthlyIncome]]&lt;=60000,"Medium",IF(EmployeeData[[#This Row],[MonthlyIncome]]&lt;=100000,"High","Very High")))</f>
        <v>Medium</v>
      </c>
      <c r="AB1195">
        <f>IF(EmployeeData[[#This Row],[Attrition]]="Yes",1,0)</f>
        <v>1</v>
      </c>
      <c r="AC1195" t="str">
        <f ca="1">IF(EmployeeData[[#This Row],[Tenure Years]]&lt;1,"Less than 1 Year",IF(EmployeeData[[#This Row],[Tenure Years]]&lt;=3,"1-3 Years",IF(EmployeeData[[#This Row],[Tenure Years]]&lt;=5,"4-5 Years",IF(EmployeeData[[#This Row],[Tenure Years]]&lt;=10,"6-10 Years","More than 10 Years"))))</f>
        <v>4-5 Years</v>
      </c>
      <c r="AD1195">
        <f>ROUND(AVERAGE(EmployeeData[[#This Row],[JobSatisfaction]],EmployeeData[[#This Row],[EnvironmentSatisfaction]],EmployeeData[[#This Row],[WorkLifeBalance]]),2)</f>
        <v>2</v>
      </c>
      <c r="AE1195" t="str">
        <f>IF(EmployeeData[[#This Row],[Satisfaction Score]]&lt;2,"Low",IF(EmployeeData[[#This Row],[Satisfaction Score]]&lt;3,"Medium","High"))</f>
        <v>Medium</v>
      </c>
    </row>
    <row r="1196" spans="1:31" x14ac:dyDescent="0.25">
      <c r="A1196" t="s">
        <v>5436</v>
      </c>
      <c r="B1196" t="s">
        <v>2215</v>
      </c>
      <c r="C1196" t="s">
        <v>5459</v>
      </c>
      <c r="D1196">
        <v>45</v>
      </c>
      <c r="E1196" t="s">
        <v>5461</v>
      </c>
      <c r="F1196" t="s">
        <v>483</v>
      </c>
      <c r="G1196" s="1">
        <v>44597</v>
      </c>
      <c r="H1196">
        <v>129559</v>
      </c>
      <c r="I1196" t="s">
        <v>52</v>
      </c>
      <c r="J1196" t="s">
        <v>61</v>
      </c>
      <c r="K1196" t="s">
        <v>167</v>
      </c>
      <c r="L1196" t="s">
        <v>33</v>
      </c>
      <c r="M1196">
        <v>26</v>
      </c>
      <c r="N1196" t="s">
        <v>45</v>
      </c>
      <c r="O1196">
        <v>3</v>
      </c>
      <c r="P1196">
        <v>2</v>
      </c>
      <c r="Q1196">
        <v>2</v>
      </c>
      <c r="R1196">
        <v>4</v>
      </c>
      <c r="S1196">
        <v>5</v>
      </c>
      <c r="T1196">
        <v>4</v>
      </c>
      <c r="U1196">
        <v>14</v>
      </c>
      <c r="V1196" t="s">
        <v>5438</v>
      </c>
      <c r="W1196" t="s">
        <v>45</v>
      </c>
      <c r="X1196" s="1">
        <v>44987</v>
      </c>
      <c r="Y1196" s="2" t="str">
        <f>IF(EmployeeData[[#This Row],[Age]]&lt;25,"Under 25",IF(EmployeeData[[#This Row],[Age]]&lt;=34,"25-34",IF(EmployeeData[[#This Row],[Age]]&lt;=44,"35-44",IF(EmployeeData[[#This Row],[Age]]&lt;=54,"45-54","55+"))))</f>
        <v>45-54</v>
      </c>
      <c r="Z1196">
        <f ca="1">DATEDIF(EmployeeData[[#This Row],[DateOfJoining]],IF(AND(EmployeeData[[#This Row],[Attrition]]="Yes",EmployeeData[[#This Row],[LastWorkingDate]]&lt;&gt;""),EmployeeData[[#This Row],[LastWorkingDate]],TODAY()),"Y")</f>
        <v>1</v>
      </c>
      <c r="AA1196" t="str">
        <f>IF(EmployeeData[[#This Row],[MonthlyIncome]]&lt;30000,"Low",IF(EmployeeData[[#This Row],[MonthlyIncome]]&lt;=60000,"Medium",IF(EmployeeData[[#This Row],[MonthlyIncome]]&lt;=100000,"High","Very High")))</f>
        <v>Very High</v>
      </c>
      <c r="AB1196">
        <f>IF(EmployeeData[[#This Row],[Attrition]]="Yes",1,0)</f>
        <v>1</v>
      </c>
      <c r="AC1196" t="str">
        <f ca="1">IF(EmployeeData[[#This Row],[Tenure Years]]&lt;1,"Less than 1 Year",IF(EmployeeData[[#This Row],[Tenure Years]]&lt;=3,"1-3 Years",IF(EmployeeData[[#This Row],[Tenure Years]]&lt;=5,"4-5 Years",IF(EmployeeData[[#This Row],[Tenure Years]]&lt;=10,"6-10 Years","More than 10 Years"))))</f>
        <v>1-3 Years</v>
      </c>
      <c r="AD1196">
        <f>ROUND(AVERAGE(EmployeeData[[#This Row],[JobSatisfaction]],EmployeeData[[#This Row],[EnvironmentSatisfaction]],EmployeeData[[#This Row],[WorkLifeBalance]]),2)</f>
        <v>2.33</v>
      </c>
      <c r="AE1196" t="str">
        <f>IF(EmployeeData[[#This Row],[Satisfaction Score]]&lt;2,"Low",IF(EmployeeData[[#This Row],[Satisfaction Score]]&lt;3,"Medium","High"))</f>
        <v>Medium</v>
      </c>
    </row>
    <row r="1197" spans="1:31" x14ac:dyDescent="0.25">
      <c r="A1197" t="s">
        <v>5439</v>
      </c>
      <c r="B1197" t="s">
        <v>5440</v>
      </c>
      <c r="C1197" t="s">
        <v>49</v>
      </c>
      <c r="D1197">
        <v>20</v>
      </c>
      <c r="E1197" t="s">
        <v>5461</v>
      </c>
      <c r="F1197" t="s">
        <v>5463</v>
      </c>
      <c r="G1197" s="1">
        <v>41253</v>
      </c>
      <c r="H1197">
        <v>143455</v>
      </c>
      <c r="I1197" t="s">
        <v>5459</v>
      </c>
      <c r="J1197" t="s">
        <v>31</v>
      </c>
      <c r="K1197" t="s">
        <v>54</v>
      </c>
      <c r="L1197" t="s">
        <v>62</v>
      </c>
      <c r="M1197">
        <v>24</v>
      </c>
      <c r="N1197" t="s">
        <v>45</v>
      </c>
      <c r="O1197">
        <v>3</v>
      </c>
      <c r="P1197">
        <v>4</v>
      </c>
      <c r="Q1197">
        <v>3</v>
      </c>
      <c r="R1197">
        <v>4</v>
      </c>
      <c r="S1197">
        <v>3</v>
      </c>
      <c r="T1197">
        <v>5</v>
      </c>
      <c r="U1197">
        <v>14</v>
      </c>
      <c r="V1197" t="s">
        <v>5442</v>
      </c>
      <c r="W1197" t="s">
        <v>34</v>
      </c>
      <c r="Y1197" s="2" t="str">
        <f>IF(EmployeeData[[#This Row],[Age]]&lt;25,"Under 25",IF(EmployeeData[[#This Row],[Age]]&lt;=34,"25-34",IF(EmployeeData[[#This Row],[Age]]&lt;=44,"35-44",IF(EmployeeData[[#This Row],[Age]]&lt;=54,"45-54","55+"))))</f>
        <v>Under 25</v>
      </c>
      <c r="Z1197">
        <f ca="1">DATEDIF(EmployeeData[[#This Row],[DateOfJoining]],IF(AND(EmployeeData[[#This Row],[Attrition]]="Yes",EmployeeData[[#This Row],[LastWorkingDate]]&lt;&gt;""),EmployeeData[[#This Row],[LastWorkingDate]],TODAY()),"Y")</f>
        <v>13</v>
      </c>
      <c r="AA1197" t="str">
        <f>IF(EmployeeData[[#This Row],[MonthlyIncome]]&lt;30000,"Low",IF(EmployeeData[[#This Row],[MonthlyIncome]]&lt;=60000,"Medium",IF(EmployeeData[[#This Row],[MonthlyIncome]]&lt;=100000,"High","Very High")))</f>
        <v>Very High</v>
      </c>
      <c r="AB1197">
        <f>IF(EmployeeData[[#This Row],[Attrition]]="Yes",1,0)</f>
        <v>0</v>
      </c>
      <c r="AC1197" t="str">
        <f ca="1">IF(EmployeeData[[#This Row],[Tenure Years]]&lt;1,"Less than 1 Year",IF(EmployeeData[[#This Row],[Tenure Years]]&lt;=3,"1-3 Years",IF(EmployeeData[[#This Row],[Tenure Years]]&lt;=5,"4-5 Years",IF(EmployeeData[[#This Row],[Tenure Years]]&lt;=10,"6-10 Years","More than 10 Years"))))</f>
        <v>More than 10 Years</v>
      </c>
      <c r="AD1197">
        <f>ROUND(AVERAGE(EmployeeData[[#This Row],[JobSatisfaction]],EmployeeData[[#This Row],[EnvironmentSatisfaction]],EmployeeData[[#This Row],[WorkLifeBalance]]),2)</f>
        <v>3.33</v>
      </c>
      <c r="AE1197" t="str">
        <f>IF(EmployeeData[[#This Row],[Satisfaction Score]]&lt;2,"Low",IF(EmployeeData[[#This Row],[Satisfaction Score]]&lt;3,"Medium","High"))</f>
        <v>High</v>
      </c>
    </row>
    <row r="1198" spans="1:31" x14ac:dyDescent="0.25">
      <c r="A1198" t="s">
        <v>5443</v>
      </c>
      <c r="B1198" t="s">
        <v>5444</v>
      </c>
      <c r="C1198" t="s">
        <v>49</v>
      </c>
      <c r="D1198">
        <v>48</v>
      </c>
      <c r="E1198" t="s">
        <v>38</v>
      </c>
      <c r="F1198" t="s">
        <v>5462</v>
      </c>
      <c r="G1198" s="1">
        <v>45236</v>
      </c>
      <c r="H1198">
        <v>47399</v>
      </c>
      <c r="I1198" t="s">
        <v>30</v>
      </c>
      <c r="J1198" t="s">
        <v>61</v>
      </c>
      <c r="K1198" t="s">
        <v>54</v>
      </c>
      <c r="L1198" t="s">
        <v>62</v>
      </c>
      <c r="M1198">
        <v>6</v>
      </c>
      <c r="N1198" t="s">
        <v>45</v>
      </c>
      <c r="O1198">
        <v>3</v>
      </c>
      <c r="P1198">
        <v>1</v>
      </c>
      <c r="Q1198">
        <v>1</v>
      </c>
      <c r="R1198">
        <v>3</v>
      </c>
      <c r="S1198">
        <v>6</v>
      </c>
      <c r="T1198">
        <v>6</v>
      </c>
      <c r="U1198">
        <v>25</v>
      </c>
      <c r="V1198" t="s">
        <v>5459</v>
      </c>
      <c r="W1198" t="s">
        <v>34</v>
      </c>
      <c r="Y1198" s="2" t="str">
        <f>IF(EmployeeData[[#This Row],[Age]]&lt;25,"Under 25",IF(EmployeeData[[#This Row],[Age]]&lt;=34,"25-34",IF(EmployeeData[[#This Row],[Age]]&lt;=44,"35-44",IF(EmployeeData[[#This Row],[Age]]&lt;=54,"45-54","55+"))))</f>
        <v>45-54</v>
      </c>
      <c r="Z1198">
        <f ca="1">DATEDIF(EmployeeData[[#This Row],[DateOfJoining]],IF(AND(EmployeeData[[#This Row],[Attrition]]="Yes",EmployeeData[[#This Row],[LastWorkingDate]]&lt;&gt;""),EmployeeData[[#This Row],[LastWorkingDate]],TODAY()),"Y")</f>
        <v>2</v>
      </c>
      <c r="AA1198" t="str">
        <f>IF(EmployeeData[[#This Row],[MonthlyIncome]]&lt;30000,"Low",IF(EmployeeData[[#This Row],[MonthlyIncome]]&lt;=60000,"Medium",IF(EmployeeData[[#This Row],[MonthlyIncome]]&lt;=100000,"High","Very High")))</f>
        <v>Medium</v>
      </c>
      <c r="AB1198">
        <f>IF(EmployeeData[[#This Row],[Attrition]]="Yes",1,0)</f>
        <v>0</v>
      </c>
      <c r="AC1198" t="str">
        <f ca="1">IF(EmployeeData[[#This Row],[Tenure Years]]&lt;1,"Less than 1 Year",IF(EmployeeData[[#This Row],[Tenure Years]]&lt;=3,"1-3 Years",IF(EmployeeData[[#This Row],[Tenure Years]]&lt;=5,"4-5 Years",IF(EmployeeData[[#This Row],[Tenure Years]]&lt;=10,"6-10 Years","More than 10 Years"))))</f>
        <v>1-3 Years</v>
      </c>
      <c r="AD1198">
        <f>ROUND(AVERAGE(EmployeeData[[#This Row],[JobSatisfaction]],EmployeeData[[#This Row],[EnvironmentSatisfaction]],EmployeeData[[#This Row],[WorkLifeBalance]]),2)</f>
        <v>1.67</v>
      </c>
      <c r="AE1198" t="str">
        <f>IF(EmployeeData[[#This Row],[Satisfaction Score]]&lt;2,"Low",IF(EmployeeData[[#This Row],[Satisfaction Score]]&lt;3,"Medium","High"))</f>
        <v>Low</v>
      </c>
    </row>
    <row r="1199" spans="1:31" x14ac:dyDescent="0.25">
      <c r="A1199" t="s">
        <v>5446</v>
      </c>
      <c r="B1199" t="s">
        <v>5447</v>
      </c>
      <c r="C1199" t="s">
        <v>49</v>
      </c>
      <c r="D1199">
        <v>24</v>
      </c>
      <c r="E1199" t="s">
        <v>27</v>
      </c>
      <c r="F1199" t="s">
        <v>50</v>
      </c>
      <c r="G1199" s="1">
        <v>41187</v>
      </c>
      <c r="H1199">
        <v>77392</v>
      </c>
      <c r="I1199" t="s">
        <v>52</v>
      </c>
      <c r="J1199" t="s">
        <v>31</v>
      </c>
      <c r="K1199" t="s">
        <v>113</v>
      </c>
      <c r="L1199" t="s">
        <v>33</v>
      </c>
      <c r="M1199">
        <v>12</v>
      </c>
      <c r="N1199" t="s">
        <v>34</v>
      </c>
      <c r="O1199">
        <v>4</v>
      </c>
      <c r="P1199">
        <v>2</v>
      </c>
      <c r="Q1199">
        <v>3</v>
      </c>
      <c r="R1199">
        <v>4</v>
      </c>
      <c r="S1199">
        <v>3</v>
      </c>
      <c r="T1199">
        <v>4</v>
      </c>
      <c r="U1199">
        <v>16</v>
      </c>
      <c r="V1199" t="s">
        <v>5449</v>
      </c>
      <c r="W1199" t="s">
        <v>34</v>
      </c>
      <c r="Y1199" s="2" t="str">
        <f>IF(EmployeeData[[#This Row],[Age]]&lt;25,"Under 25",IF(EmployeeData[[#This Row],[Age]]&lt;=34,"25-34",IF(EmployeeData[[#This Row],[Age]]&lt;=44,"35-44",IF(EmployeeData[[#This Row],[Age]]&lt;=54,"45-54","55+"))))</f>
        <v>Under 25</v>
      </c>
      <c r="Z1199">
        <f ca="1">DATEDIF(EmployeeData[[#This Row],[DateOfJoining]],IF(AND(EmployeeData[[#This Row],[Attrition]]="Yes",EmployeeData[[#This Row],[LastWorkingDate]]&lt;&gt;""),EmployeeData[[#This Row],[LastWorkingDate]],TODAY()),"Y")</f>
        <v>13</v>
      </c>
      <c r="AA1199" t="str">
        <f>IF(EmployeeData[[#This Row],[MonthlyIncome]]&lt;30000,"Low",IF(EmployeeData[[#This Row],[MonthlyIncome]]&lt;=60000,"Medium",IF(EmployeeData[[#This Row],[MonthlyIncome]]&lt;=100000,"High","Very High")))</f>
        <v>High</v>
      </c>
      <c r="AB1199">
        <f>IF(EmployeeData[[#This Row],[Attrition]]="Yes",1,0)</f>
        <v>0</v>
      </c>
      <c r="AC1199" t="str">
        <f ca="1">IF(EmployeeData[[#This Row],[Tenure Years]]&lt;1,"Less than 1 Year",IF(EmployeeData[[#This Row],[Tenure Years]]&lt;=3,"1-3 Years",IF(EmployeeData[[#This Row],[Tenure Years]]&lt;=5,"4-5 Years",IF(EmployeeData[[#This Row],[Tenure Years]]&lt;=10,"6-10 Years","More than 10 Years"))))</f>
        <v>More than 10 Years</v>
      </c>
      <c r="AD1199">
        <f>ROUND(AVERAGE(EmployeeData[[#This Row],[JobSatisfaction]],EmployeeData[[#This Row],[EnvironmentSatisfaction]],EmployeeData[[#This Row],[WorkLifeBalance]]),2)</f>
        <v>3</v>
      </c>
      <c r="AE1199" t="str">
        <f>IF(EmployeeData[[#This Row],[Satisfaction Score]]&lt;2,"Low",IF(EmployeeData[[#This Row],[Satisfaction Score]]&lt;3,"Medium","High"))</f>
        <v>High</v>
      </c>
    </row>
    <row r="1200" spans="1:31" x14ac:dyDescent="0.25">
      <c r="A1200" t="s">
        <v>5450</v>
      </c>
      <c r="B1200" t="s">
        <v>5451</v>
      </c>
      <c r="C1200" t="s">
        <v>49</v>
      </c>
      <c r="D1200">
        <v>25</v>
      </c>
      <c r="E1200" t="s">
        <v>27</v>
      </c>
      <c r="F1200" t="s">
        <v>75</v>
      </c>
      <c r="G1200" s="1">
        <v>42888</v>
      </c>
      <c r="H1200">
        <v>95445</v>
      </c>
      <c r="I1200" t="s">
        <v>52</v>
      </c>
      <c r="J1200" t="s">
        <v>61</v>
      </c>
      <c r="K1200" t="s">
        <v>200</v>
      </c>
      <c r="L1200" t="s">
        <v>33</v>
      </c>
      <c r="M1200">
        <v>29</v>
      </c>
      <c r="N1200" t="s">
        <v>45</v>
      </c>
      <c r="O1200">
        <v>4</v>
      </c>
      <c r="P1200">
        <v>3</v>
      </c>
      <c r="Q1200">
        <v>1</v>
      </c>
      <c r="R1200">
        <v>3</v>
      </c>
      <c r="S1200">
        <v>0</v>
      </c>
      <c r="T1200">
        <v>8</v>
      </c>
      <c r="U1200">
        <v>23</v>
      </c>
      <c r="V1200" t="s">
        <v>5453</v>
      </c>
      <c r="W1200" t="s">
        <v>45</v>
      </c>
      <c r="X1200" s="1">
        <v>44712</v>
      </c>
      <c r="Y1200" s="2" t="str">
        <f>IF(EmployeeData[[#This Row],[Age]]&lt;25,"Under 25",IF(EmployeeData[[#This Row],[Age]]&lt;=34,"25-34",IF(EmployeeData[[#This Row],[Age]]&lt;=44,"35-44",IF(EmployeeData[[#This Row],[Age]]&lt;=54,"45-54","55+"))))</f>
        <v>25-34</v>
      </c>
      <c r="Z1200">
        <f ca="1">DATEDIF(EmployeeData[[#This Row],[DateOfJoining]],IF(AND(EmployeeData[[#This Row],[Attrition]]="Yes",EmployeeData[[#This Row],[LastWorkingDate]]&lt;&gt;""),EmployeeData[[#This Row],[LastWorkingDate]],TODAY()),"Y")</f>
        <v>4</v>
      </c>
      <c r="AA1200" t="str">
        <f>IF(EmployeeData[[#This Row],[MonthlyIncome]]&lt;30000,"Low",IF(EmployeeData[[#This Row],[MonthlyIncome]]&lt;=60000,"Medium",IF(EmployeeData[[#This Row],[MonthlyIncome]]&lt;=100000,"High","Very High")))</f>
        <v>High</v>
      </c>
      <c r="AB1200">
        <f>IF(EmployeeData[[#This Row],[Attrition]]="Yes",1,0)</f>
        <v>1</v>
      </c>
      <c r="AC1200" t="str">
        <f ca="1">IF(EmployeeData[[#This Row],[Tenure Years]]&lt;1,"Less than 1 Year",IF(EmployeeData[[#This Row],[Tenure Years]]&lt;=3,"1-3 Years",IF(EmployeeData[[#This Row],[Tenure Years]]&lt;=5,"4-5 Years",IF(EmployeeData[[#This Row],[Tenure Years]]&lt;=10,"6-10 Years","More than 10 Years"))))</f>
        <v>4-5 Years</v>
      </c>
      <c r="AD1200">
        <f>ROUND(AVERAGE(EmployeeData[[#This Row],[JobSatisfaction]],EmployeeData[[#This Row],[EnvironmentSatisfaction]],EmployeeData[[#This Row],[WorkLifeBalance]]),2)</f>
        <v>2.67</v>
      </c>
      <c r="AE1200" t="str">
        <f>IF(EmployeeData[[#This Row],[Satisfaction Score]]&lt;2,"Low",IF(EmployeeData[[#This Row],[Satisfaction Score]]&lt;3,"Medium","High"))</f>
        <v>Medium</v>
      </c>
    </row>
    <row r="1201" spans="1:31" x14ac:dyDescent="0.25">
      <c r="A1201" t="s">
        <v>5455</v>
      </c>
      <c r="B1201" t="s">
        <v>5456</v>
      </c>
      <c r="C1201" t="s">
        <v>49</v>
      </c>
      <c r="D1201">
        <v>41</v>
      </c>
      <c r="E1201" t="s">
        <v>5461</v>
      </c>
      <c r="F1201" t="s">
        <v>89</v>
      </c>
      <c r="G1201" s="1">
        <v>44437</v>
      </c>
      <c r="H1201">
        <v>61988</v>
      </c>
      <c r="I1201" t="s">
        <v>52</v>
      </c>
      <c r="J1201" t="s">
        <v>31</v>
      </c>
      <c r="K1201" t="s">
        <v>113</v>
      </c>
      <c r="L1201" t="s">
        <v>43</v>
      </c>
      <c r="M1201">
        <v>12</v>
      </c>
      <c r="N1201" t="s">
        <v>34</v>
      </c>
      <c r="O1201">
        <v>3</v>
      </c>
      <c r="P1201">
        <v>2</v>
      </c>
      <c r="Q1201">
        <v>3</v>
      </c>
      <c r="R1201">
        <v>3</v>
      </c>
      <c r="S1201">
        <v>1</v>
      </c>
      <c r="T1201">
        <v>1</v>
      </c>
      <c r="U1201">
        <v>17</v>
      </c>
      <c r="V1201" t="s">
        <v>5458</v>
      </c>
      <c r="W1201" t="s">
        <v>34</v>
      </c>
      <c r="Y1201" s="2" t="str">
        <f>IF(EmployeeData[[#This Row],[Age]]&lt;25,"Under 25",IF(EmployeeData[[#This Row],[Age]]&lt;=34,"25-34",IF(EmployeeData[[#This Row],[Age]]&lt;=44,"35-44",IF(EmployeeData[[#This Row],[Age]]&lt;=54,"45-54","55+"))))</f>
        <v>35-44</v>
      </c>
      <c r="Z1201">
        <f ca="1">DATEDIF(EmployeeData[[#This Row],[DateOfJoining]],IF(AND(EmployeeData[[#This Row],[Attrition]]="Yes",EmployeeData[[#This Row],[LastWorkingDate]]&lt;&gt;""),EmployeeData[[#This Row],[LastWorkingDate]],TODAY()),"Y")</f>
        <v>5</v>
      </c>
      <c r="AA1201" t="str">
        <f>IF(EmployeeData[[#This Row],[MonthlyIncome]]&lt;30000,"Low",IF(EmployeeData[[#This Row],[MonthlyIncome]]&lt;=60000,"Medium",IF(EmployeeData[[#This Row],[MonthlyIncome]]&lt;=100000,"High","Very High")))</f>
        <v>High</v>
      </c>
      <c r="AB1201">
        <f>IF(EmployeeData[[#This Row],[Attrition]]="Yes",1,0)</f>
        <v>0</v>
      </c>
      <c r="AC1201" t="str">
        <f ca="1">IF(EmployeeData[[#This Row],[Tenure Years]]&lt;1,"Less than 1 Year",IF(EmployeeData[[#This Row],[Tenure Years]]&lt;=3,"1-3 Years",IF(EmployeeData[[#This Row],[Tenure Years]]&lt;=5,"4-5 Years",IF(EmployeeData[[#This Row],[Tenure Years]]&lt;=10,"6-10 Years","More than 10 Years"))))</f>
        <v>4-5 Years</v>
      </c>
      <c r="AD1201">
        <f>ROUND(AVERAGE(EmployeeData[[#This Row],[JobSatisfaction]],EmployeeData[[#This Row],[EnvironmentSatisfaction]],EmployeeData[[#This Row],[WorkLifeBalance]]),2)</f>
        <v>2.67</v>
      </c>
      <c r="AE1201" t="str">
        <f>IF(EmployeeData[[#This Row],[Satisfaction Score]]&lt;2,"Low",IF(EmployeeData[[#This Row],[Satisfaction Score]]&lt;3,"Medium","High"))</f>
        <v>Medium</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vt:lpstr>
      <vt:lpstr>PivotAnalysis</vt:lpstr>
      <vt:lpstr>KPI</vt:lpstr>
      <vt:lpstr>Documentation</vt:lpstr>
      <vt:lpstr>Dashboard</vt:lpstr>
      <vt:lpstr>CleanData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Abhijit Das</cp:lastModifiedBy>
  <cp:lastPrinted>2026-09-04T13:17:56Z</cp:lastPrinted>
  <dcterms:created xsi:type="dcterms:W3CDTF">2026-08-31T11:28:02Z</dcterms:created>
  <dcterms:modified xsi:type="dcterms:W3CDTF">2026-09-04T13:32:16Z</dcterms:modified>
</cp:coreProperties>
</file>